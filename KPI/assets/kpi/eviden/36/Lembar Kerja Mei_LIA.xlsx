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990"/>
  </bookViews>
  <sheets>
    <sheet name="Kertas Kerja" sheetId="1" r:id="rId1"/>
  </sheets>
  <externalReferences>
    <externalReference r:id="rId2"/>
  </externalReferences>
  <definedNames>
    <definedName name="Progresit">'[1]PROGRES TUGAS IT 2020'!$B$3:$L$215</definedName>
    <definedName name="WAHYUARIFPRASETYO">#REF!</definedName>
  </definedNames>
  <calcPr calcId="145621" iterateDelta="1E-4"/>
</workbook>
</file>

<file path=xl/calcChain.xml><?xml version="1.0" encoding="utf-8"?>
<calcChain xmlns="http://schemas.openxmlformats.org/spreadsheetml/2006/main">
  <c r="H6" i="1" l="1"/>
  <c r="H9" i="1"/>
  <c r="H11" i="1"/>
  <c r="G63" i="1"/>
  <c r="G51" i="1"/>
  <c r="G40" i="1"/>
  <c r="H28" i="1"/>
  <c r="H13" i="1" l="1"/>
  <c r="H114" i="1" l="1"/>
  <c r="G62" i="1" l="1"/>
  <c r="G50" i="1"/>
  <c r="G39" i="1"/>
  <c r="H27" i="1"/>
  <c r="H12" i="1"/>
  <c r="H10" i="1"/>
  <c r="H8" i="1"/>
  <c r="H113" i="1"/>
  <c r="H7" i="1" l="1"/>
  <c r="H17" i="1" l="1"/>
  <c r="D141" i="1"/>
  <c r="D140" i="1"/>
  <c r="D139" i="1"/>
  <c r="D138" i="1"/>
  <c r="D137" i="1"/>
  <c r="D130" i="1"/>
  <c r="D129" i="1"/>
  <c r="D128" i="1"/>
  <c r="D127" i="1"/>
  <c r="D126" i="1"/>
  <c r="H111" i="1"/>
  <c r="H112" i="1"/>
  <c r="H106" i="1"/>
  <c r="F100" i="1"/>
  <c r="D100" i="1"/>
  <c r="D99" i="1"/>
  <c r="D98" i="1"/>
  <c r="D97" i="1"/>
  <c r="D96" i="1"/>
  <c r="H89" i="1"/>
  <c r="D89" i="1"/>
  <c r="H88" i="1"/>
  <c r="D88" i="1"/>
  <c r="H87" i="1"/>
  <c r="D87" i="1"/>
  <c r="H86" i="1"/>
  <c r="D86" i="1"/>
  <c r="H85" i="1"/>
  <c r="D85" i="1"/>
  <c r="H84" i="1"/>
  <c r="F78" i="1"/>
  <c r="G61" i="1"/>
  <c r="G60" i="1"/>
  <c r="G59" i="1"/>
  <c r="G49" i="1"/>
  <c r="G48" i="1"/>
  <c r="G47" i="1"/>
  <c r="G38" i="1"/>
  <c r="G37" i="1"/>
  <c r="G36" i="1"/>
  <c r="D30" i="1"/>
  <c r="D29" i="1"/>
  <c r="D28" i="1"/>
  <c r="D27" i="1"/>
  <c r="H26" i="1"/>
  <c r="D26" i="1"/>
  <c r="H25" i="1"/>
  <c r="D25" i="1"/>
  <c r="H24" i="1"/>
  <c r="H120" i="1" l="1"/>
  <c r="G42" i="1"/>
  <c r="F101" i="1"/>
  <c r="H31" i="1"/>
  <c r="G53" i="1"/>
  <c r="H90" i="1"/>
  <c r="G65" i="1"/>
</calcChain>
</file>

<file path=xl/comments1.xml><?xml version="1.0" encoding="utf-8"?>
<comments xmlns="http://schemas.openxmlformats.org/spreadsheetml/2006/main">
  <authors>
    <author>Anisa</author>
  </authors>
  <commentList>
    <comment ref="F83" authorId="0">
      <text>
        <r>
          <rPr>
            <b/>
            <sz val="9"/>
            <color indexed="81"/>
            <rFont val="Tahoma"/>
            <family val="2"/>
          </rPr>
          <t xml:space="preserve">Lia:
</t>
        </r>
        <r>
          <rPr>
            <sz val="9"/>
            <color indexed="81"/>
            <rFont val="Tahoma"/>
            <family val="2"/>
          </rPr>
          <t xml:space="preserve">Menunggu bupot karyawan dari P. Supri
</t>
        </r>
      </text>
    </comment>
    <comment ref="H106" authorId="0">
      <text>
        <r>
          <rPr>
            <b/>
            <sz val="9"/>
            <color indexed="81"/>
            <rFont val="Tahoma"/>
            <family val="2"/>
          </rPr>
          <t xml:space="preserve">Lia: 
</t>
        </r>
        <r>
          <rPr>
            <sz val="9"/>
            <color indexed="81"/>
            <rFont val="Tahoma"/>
            <family val="2"/>
          </rPr>
          <t xml:space="preserve">Belum Menghandle
</t>
        </r>
      </text>
    </comment>
  </commentList>
</comments>
</file>

<file path=xl/sharedStrings.xml><?xml version="1.0" encoding="utf-8"?>
<sst xmlns="http://schemas.openxmlformats.org/spreadsheetml/2006/main" count="143" uniqueCount="60">
  <si>
    <t>Goal</t>
  </si>
  <si>
    <t xml:space="preserve">What </t>
  </si>
  <si>
    <t>How</t>
  </si>
  <si>
    <t>Jurnal Zahir</t>
  </si>
  <si>
    <t>Tanggal</t>
  </si>
  <si>
    <t>Jumlah transaksi</t>
  </si>
  <si>
    <t>Rata" selesai (/jam)</t>
  </si>
  <si>
    <t>Rata-Rata (a)</t>
  </si>
  <si>
    <t>Pelaporan Laporan Keuangan maksimal H+15 bulan berikutnya</t>
  </si>
  <si>
    <t>Masa LK</t>
  </si>
  <si>
    <t>Bulan Lapor</t>
  </si>
  <si>
    <t>Max H Lapor</t>
  </si>
  <si>
    <t>laporan keuangan</t>
  </si>
  <si>
    <t>Selisih</t>
  </si>
  <si>
    <t>Desember</t>
  </si>
  <si>
    <t>Januari</t>
  </si>
  <si>
    <t>Februari</t>
  </si>
  <si>
    <t>Maret</t>
  </si>
  <si>
    <t>April</t>
  </si>
  <si>
    <t>Mei</t>
  </si>
  <si>
    <t>Juni</t>
  </si>
  <si>
    <t>Juli</t>
  </si>
  <si>
    <t>Rata-Rata</t>
  </si>
  <si>
    <t xml:space="preserve"> </t>
  </si>
  <si>
    <t>Laporan Tagihan BPJS maksimal H+10 awal bulan</t>
  </si>
  <si>
    <t>Max Tgl Lapor</t>
  </si>
  <si>
    <t>Tanggal Lapor</t>
  </si>
  <si>
    <t>Selisih H</t>
  </si>
  <si>
    <t>Rata2</t>
  </si>
  <si>
    <t>Laporan Insentif Karyawan maksimal H+14 awal bulan</t>
  </si>
  <si>
    <t>Laporan Penjualan dan Piutang PT. KIU maksimal H+11 awal bulan</t>
  </si>
  <si>
    <t>Realisasi Tanggal Lapor</t>
  </si>
  <si>
    <t>Realisasi Bonus</t>
  </si>
  <si>
    <t>Realisasi (H)</t>
  </si>
  <si>
    <t>Pelaporan PPh pasal 21 (maksimal Tgl 15 bulan berikutnya) dan PPh 23 (maksimal H+3 bulan berikutnya)</t>
  </si>
  <si>
    <t>Masa</t>
  </si>
  <si>
    <t>PPh 21</t>
  </si>
  <si>
    <t>PPh 23</t>
  </si>
  <si>
    <t>Tercapai H+</t>
  </si>
  <si>
    <t>Pelaporan SPT PPN maksimal H+6 bulan berikutnya</t>
  </si>
  <si>
    <t xml:space="preserve">Pelaporan SPT Badan maksimal H-3 sebelum batas pelaporan </t>
  </si>
  <si>
    <t>Tahun Masa Pajak</t>
  </si>
  <si>
    <t>Bulan</t>
  </si>
  <si>
    <t>Maks Tgl Lapor</t>
  </si>
  <si>
    <t>Tgl Lapor</t>
  </si>
  <si>
    <t>Pembuatan Bukti Potong PPh 21 &amp; PPh 23</t>
  </si>
  <si>
    <t>Penerimaan Bukti</t>
  </si>
  <si>
    <t>Selesai Bupot</t>
  </si>
  <si>
    <t>Selisih Jam</t>
  </si>
  <si>
    <t>Pembuatan E-Billing untuk pembayaran PPh 23 &amp; PPH 25 Maks H+5 bulan berikutnya</t>
  </si>
  <si>
    <t>PPh 25</t>
  </si>
  <si>
    <t>Pembuatan E-Billing untuk pembayaran PPN Maks Akhir Bulan Berikutnya</t>
  </si>
  <si>
    <t>H buat e-billing jika kurang bayar</t>
  </si>
  <si>
    <t>H selesai rekap jika lebih bayar</t>
  </si>
  <si>
    <t>Pengupload-an Faktur Pajak Keluaran maks H+4 Bulan berikutnya</t>
  </si>
  <si>
    <t>Jumlah Transaksi</t>
  </si>
  <si>
    <t>Maks Tanggal Upload</t>
  </si>
  <si>
    <t>Tanggal Upload</t>
  </si>
  <si>
    <t>Selesai Jurnal</t>
  </si>
  <si>
    <t>Menyerahkan bukti Pendukung laporan keuangan SPT Badan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</si>
</sst>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??_-;_-@_-"/>
    <numFmt numFmtId="165" formatCode="[$-F400]h:mm:ss\ AM/PM"/>
    <numFmt numFmtId="166" formatCode="h:mm;@"/>
    <numFmt numFmtId="167" formatCode="[$-13809]h:mm:ss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2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2" fillId="0" borderId="2" xfId="0" applyFont="1" applyFill="1" applyBorder="1" applyAlignment="1"/>
    <xf numFmtId="0" fontId="2" fillId="0" borderId="3" xfId="0" applyFon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16" fontId="4" fillId="0" borderId="0" xfId="0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164" fontId="4" fillId="0" borderId="0" xfId="0" applyNumberFormat="1" applyFont="1" applyFill="1" applyBorder="1" applyAlignment="1">
      <alignment horizontal="center"/>
    </xf>
    <xf numFmtId="0" fontId="3" fillId="0" borderId="0" xfId="0" applyFont="1" applyFill="1"/>
    <xf numFmtId="0" fontId="0" fillId="0" borderId="0" xfId="0" applyFill="1"/>
    <xf numFmtId="0" fontId="4" fillId="0" borderId="0" xfId="0" applyFont="1" applyFill="1"/>
    <xf numFmtId="0" fontId="2" fillId="2" borderId="1" xfId="0" applyFont="1" applyFill="1" applyBorder="1"/>
    <xf numFmtId="0" fontId="5" fillId="2" borderId="1" xfId="0" applyFont="1" applyFill="1" applyBorder="1"/>
    <xf numFmtId="0" fontId="0" fillId="0" borderId="1" xfId="0" applyFill="1" applyBorder="1"/>
    <xf numFmtId="0" fontId="0" fillId="0" borderId="1" xfId="0" applyNumberFormat="1" applyFill="1" applyBorder="1"/>
    <xf numFmtId="1" fontId="0" fillId="0" borderId="1" xfId="0" applyNumberFormat="1" applyFill="1" applyBorder="1"/>
    <xf numFmtId="0" fontId="2" fillId="0" borderId="3" xfId="0" applyFont="1" applyFill="1" applyBorder="1" applyAlignment="1"/>
    <xf numFmtId="1" fontId="2" fillId="3" borderId="4" xfId="0" applyNumberFormat="1" applyFont="1" applyFill="1" applyBorder="1" applyAlignment="1"/>
    <xf numFmtId="0" fontId="0" fillId="0" borderId="0" xfId="0" applyFont="1" applyFill="1" applyBorder="1" applyAlignment="1">
      <alignment horizontal="center"/>
    </xf>
    <xf numFmtId="0" fontId="0" fillId="0" borderId="1" xfId="0" applyNumberFormat="1" applyBorder="1"/>
    <xf numFmtId="1" fontId="0" fillId="0" borderId="1" xfId="0" applyNumberFormat="1" applyBorder="1"/>
    <xf numFmtId="0" fontId="2" fillId="0" borderId="4" xfId="0" applyFont="1" applyFill="1" applyBorder="1" applyAlignment="1"/>
    <xf numFmtId="1" fontId="0" fillId="4" borderId="1" xfId="0" applyNumberFormat="1" applyFill="1" applyBorder="1"/>
    <xf numFmtId="0" fontId="2" fillId="0" borderId="0" xfId="0" applyFont="1" applyFill="1" applyBorder="1" applyAlignment="1"/>
    <xf numFmtId="1" fontId="0" fillId="0" borderId="0" xfId="0" applyNumberFormat="1" applyFill="1" applyBorder="1"/>
    <xf numFmtId="0" fontId="0" fillId="0" borderId="2" xfId="0" applyBorder="1"/>
    <xf numFmtId="0" fontId="2" fillId="0" borderId="0" xfId="0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4" xfId="0" applyNumberFormat="1" applyBorder="1"/>
    <xf numFmtId="1" fontId="0" fillId="5" borderId="1" xfId="0" applyNumberFormat="1" applyFill="1" applyBorder="1"/>
    <xf numFmtId="0" fontId="2" fillId="0" borderId="2" xfId="0" applyFont="1" applyBorder="1" applyAlignment="1"/>
    <xf numFmtId="0" fontId="2" fillId="0" borderId="3" xfId="0" applyFont="1" applyBorder="1" applyAlignment="1"/>
    <xf numFmtId="0" fontId="2" fillId="6" borderId="1" xfId="0" applyFont="1" applyFill="1" applyBorder="1"/>
    <xf numFmtId="0" fontId="4" fillId="0" borderId="1" xfId="0" applyFont="1" applyFill="1" applyBorder="1"/>
    <xf numFmtId="0" fontId="0" fillId="4" borderId="1" xfId="0" applyNumberFormat="1" applyFill="1" applyBorder="1"/>
    <xf numFmtId="0" fontId="4" fillId="0" borderId="0" xfId="0" applyFont="1" applyFill="1" applyBorder="1"/>
    <xf numFmtId="0" fontId="0" fillId="0" borderId="0" xfId="0" applyNumberFormat="1" applyBorder="1"/>
    <xf numFmtId="165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5" fontId="2" fillId="0" borderId="3" xfId="0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0" fillId="0" borderId="0" xfId="0" applyNumberFormat="1"/>
    <xf numFmtId="0" fontId="0" fillId="0" borderId="0" xfId="0" applyAlignment="1">
      <alignment horizontal="center"/>
    </xf>
    <xf numFmtId="167" fontId="4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0" fillId="0" borderId="0" xfId="0" applyBorder="1"/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173183</xdr:colOff>
      <xdr:row>156</xdr:row>
      <xdr:rowOff>34635</xdr:rowOff>
    </xdr:from>
    <xdr:to>
      <xdr:col>5</xdr:col>
      <xdr:colOff>1095376</xdr:colOff>
      <xdr:row>171</xdr:row>
      <xdr:rowOff>143102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58" y="29752635"/>
          <a:ext cx="3179618" cy="29659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 refreshError="1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H155"/>
  <sheetViews>
    <sheetView tabSelected="1" zoomScaleNormal="100" workbookViewId="0">
      <pane xSplit="3" ySplit="2" topLeftCell="D79" activePane="bottomRight" state="frozen"/>
      <selection pane="topRight" activeCell="D1" sqref="D1"/>
      <selection pane="bottomLeft" activeCell="A3" sqref="A3"/>
      <selection pane="bottomRight" activeCell="G172" sqref="G172"/>
    </sheetView>
  </sheetViews>
  <sheetFormatPr defaultRowHeight="15" x14ac:dyDescent="0.25"/>
  <cols>
    <col min="1" max="1" width="4.85546875" customWidth="1"/>
    <col min="2" max="2" width="6" customWidth="1"/>
    <col min="3" max="3" width="6.7109375" customWidth="1"/>
    <col min="4" max="4" width="15.7109375" customWidth="1"/>
    <col min="5" max="5" width="18.140625" style="53" customWidth="1"/>
    <col min="6" max="6" width="30" style="53" customWidth="1"/>
    <col min="7" max="7" width="27.85546875" style="53" customWidth="1"/>
    <col min="8" max="8" width="28.42578125" customWidth="1"/>
    <col min="9" max="9" width="18.7109375" customWidth="1"/>
  </cols>
  <sheetData>
    <row r="1" spans="1:8" x14ac:dyDescent="0.25">
      <c r="E1"/>
      <c r="F1"/>
      <c r="G1"/>
    </row>
    <row r="2" spans="1:8" x14ac:dyDescent="0.25">
      <c r="A2" t="s">
        <v>0</v>
      </c>
      <c r="B2" t="s">
        <v>1</v>
      </c>
      <c r="C2" t="s">
        <v>2</v>
      </c>
      <c r="E2"/>
      <c r="F2"/>
      <c r="G2"/>
    </row>
    <row r="3" spans="1:8" x14ac:dyDescent="0.25">
      <c r="A3">
        <v>1</v>
      </c>
      <c r="B3">
        <v>1</v>
      </c>
      <c r="C3">
        <v>1</v>
      </c>
      <c r="D3" s="1" t="s">
        <v>3</v>
      </c>
      <c r="E3" s="2"/>
      <c r="F3" s="2"/>
      <c r="G3" s="2"/>
      <c r="H3" s="2"/>
    </row>
    <row r="4" spans="1:8" x14ac:dyDescent="0.25">
      <c r="D4" s="1"/>
      <c r="E4" s="2"/>
      <c r="F4" s="2"/>
      <c r="G4" s="2"/>
      <c r="H4" s="2"/>
    </row>
    <row r="5" spans="1:8" x14ac:dyDescent="0.25">
      <c r="D5" s="3" t="s">
        <v>4</v>
      </c>
      <c r="E5" s="3" t="s">
        <v>5</v>
      </c>
      <c r="F5" s="16" t="s">
        <v>46</v>
      </c>
      <c r="G5" s="16" t="s">
        <v>58</v>
      </c>
      <c r="H5" s="3" t="s">
        <v>6</v>
      </c>
    </row>
    <row r="6" spans="1:8" x14ac:dyDescent="0.25">
      <c r="D6" s="4">
        <v>46151</v>
      </c>
      <c r="E6" s="5">
        <v>2</v>
      </c>
      <c r="F6" s="54">
        <v>46151.333333333336</v>
      </c>
      <c r="G6" s="54">
        <v>46151.364583333336</v>
      </c>
      <c r="H6" s="45">
        <f>G6-F6</f>
        <v>3.125E-2</v>
      </c>
    </row>
    <row r="7" spans="1:8" x14ac:dyDescent="0.25">
      <c r="D7" s="4">
        <v>46151</v>
      </c>
      <c r="E7" s="5">
        <v>19</v>
      </c>
      <c r="F7" s="54">
        <v>46151.556944444441</v>
      </c>
      <c r="G7" s="54">
        <v>46151.625</v>
      </c>
      <c r="H7" s="45">
        <f>G7-F7</f>
        <v>6.805555555911269E-2</v>
      </c>
    </row>
    <row r="8" spans="1:8" x14ac:dyDescent="0.25">
      <c r="D8" s="4">
        <v>46153</v>
      </c>
      <c r="E8" s="5">
        <v>24</v>
      </c>
      <c r="F8" s="54">
        <v>46151.6</v>
      </c>
      <c r="G8" s="54">
        <v>46151.662499999999</v>
      </c>
      <c r="H8" s="45">
        <f t="shared" ref="H8:H13" si="0">G8-F8</f>
        <v>6.25E-2</v>
      </c>
    </row>
    <row r="9" spans="1:8" x14ac:dyDescent="0.25">
      <c r="D9" s="4">
        <v>46154</v>
      </c>
      <c r="E9" s="5">
        <v>25</v>
      </c>
      <c r="F9" s="54">
        <v>46154.383333333331</v>
      </c>
      <c r="G9" s="54">
        <v>46154.499421296299</v>
      </c>
      <c r="H9" s="45">
        <f>G9-F9</f>
        <v>0.1160879629678675</v>
      </c>
    </row>
    <row r="10" spans="1:8" x14ac:dyDescent="0.25">
      <c r="D10" s="4">
        <v>46161</v>
      </c>
      <c r="E10" s="5">
        <v>1</v>
      </c>
      <c r="F10" s="44">
        <v>46161.491666666669</v>
      </c>
      <c r="G10" s="44">
        <v>46161.531944444447</v>
      </c>
      <c r="H10" s="45">
        <f t="shared" si="0"/>
        <v>4.0277777778101154E-2</v>
      </c>
    </row>
    <row r="11" spans="1:8" x14ac:dyDescent="0.25">
      <c r="D11" s="4">
        <v>46162</v>
      </c>
      <c r="E11" s="5">
        <v>10</v>
      </c>
      <c r="F11" s="54">
        <v>46162.333333333336</v>
      </c>
      <c r="G11" s="54">
        <v>46162.393055555556</v>
      </c>
      <c r="H11" s="45">
        <f>G11-F11</f>
        <v>5.9722222220443655E-2</v>
      </c>
    </row>
    <row r="12" spans="1:8" x14ac:dyDescent="0.25">
      <c r="D12" s="4">
        <v>46163</v>
      </c>
      <c r="E12" s="5">
        <v>5</v>
      </c>
      <c r="F12" s="44">
        <v>46163.54791666667</v>
      </c>
      <c r="G12" s="44">
        <v>46163.59097222222</v>
      </c>
      <c r="H12" s="45">
        <f t="shared" si="0"/>
        <v>4.3055555550381541E-2</v>
      </c>
    </row>
    <row r="13" spans="1:8" x14ac:dyDescent="0.25">
      <c r="D13" s="4">
        <v>46171</v>
      </c>
      <c r="E13" s="5">
        <v>2</v>
      </c>
      <c r="F13" s="44">
        <v>46171.603472222225</v>
      </c>
      <c r="G13" s="44">
        <v>46171.609027777777</v>
      </c>
      <c r="H13" s="45">
        <f t="shared" si="0"/>
        <v>5.5555555518367328E-3</v>
      </c>
    </row>
    <row r="14" spans="1:8" x14ac:dyDescent="0.25">
      <c r="D14" s="4"/>
      <c r="E14" s="5"/>
      <c r="F14" s="44"/>
      <c r="G14" s="44"/>
      <c r="H14" s="6"/>
    </row>
    <row r="15" spans="1:8" x14ac:dyDescent="0.25">
      <c r="D15" s="4"/>
      <c r="E15" s="5"/>
      <c r="F15" s="44"/>
      <c r="G15" s="44"/>
      <c r="H15" s="6"/>
    </row>
    <row r="16" spans="1:8" x14ac:dyDescent="0.25">
      <c r="D16" s="4"/>
      <c r="E16" s="5"/>
      <c r="F16" s="44"/>
      <c r="G16" s="44"/>
      <c r="H16" s="6"/>
    </row>
    <row r="17" spans="1:8" x14ac:dyDescent="0.25">
      <c r="D17" s="58" t="s">
        <v>7</v>
      </c>
      <c r="E17" s="59"/>
      <c r="F17" s="59"/>
      <c r="G17" s="60"/>
      <c r="H17" s="45">
        <f>AVERAGE(H6:H12)</f>
        <v>6.0135582010843791E-2</v>
      </c>
    </row>
    <row r="18" spans="1:8" x14ac:dyDescent="0.25">
      <c r="D18" s="2"/>
      <c r="E18" s="10"/>
      <c r="F18" s="10"/>
      <c r="G18" s="2"/>
      <c r="H18" s="2"/>
    </row>
    <row r="19" spans="1:8" x14ac:dyDescent="0.25">
      <c r="D19" s="11"/>
      <c r="E19" s="11"/>
      <c r="F19" s="12"/>
      <c r="G19" s="2"/>
      <c r="H19" s="2"/>
    </row>
    <row r="20" spans="1:8" x14ac:dyDescent="0.25">
      <c r="D20" s="2"/>
      <c r="E20" s="10"/>
      <c r="F20" s="10"/>
      <c r="G20" s="2"/>
      <c r="H20" s="2"/>
    </row>
    <row r="21" spans="1:8" x14ac:dyDescent="0.25">
      <c r="A21">
        <v>1</v>
      </c>
      <c r="B21">
        <v>2</v>
      </c>
      <c r="D21" s="13" t="s">
        <v>8</v>
      </c>
      <c r="E21" s="14"/>
      <c r="F21" s="15"/>
      <c r="G21"/>
    </row>
    <row r="22" spans="1:8" x14ac:dyDescent="0.25">
      <c r="D22" s="14"/>
      <c r="E22" s="14"/>
      <c r="F22" s="15"/>
      <c r="G22"/>
    </row>
    <row r="23" spans="1:8" x14ac:dyDescent="0.25">
      <c r="D23" s="16" t="s">
        <v>9</v>
      </c>
      <c r="E23" s="16" t="s">
        <v>10</v>
      </c>
      <c r="F23" s="16" t="s">
        <v>11</v>
      </c>
      <c r="G23" s="17" t="s">
        <v>12</v>
      </c>
      <c r="H23" s="17" t="s">
        <v>13</v>
      </c>
    </row>
    <row r="24" spans="1:8" x14ac:dyDescent="0.25">
      <c r="D24" s="18" t="s">
        <v>14</v>
      </c>
      <c r="E24" s="18" t="s">
        <v>15</v>
      </c>
      <c r="F24" s="19">
        <v>15</v>
      </c>
      <c r="G24" s="19">
        <v>14</v>
      </c>
      <c r="H24" s="20">
        <f>+G24-F24</f>
        <v>-1</v>
      </c>
    </row>
    <row r="25" spans="1:8" x14ac:dyDescent="0.25">
      <c r="D25" s="18" t="str">
        <f t="shared" ref="D25:D26" si="1">E24</f>
        <v>Januari</v>
      </c>
      <c r="E25" s="18" t="s">
        <v>16</v>
      </c>
      <c r="F25" s="19">
        <v>15</v>
      </c>
      <c r="G25" s="19">
        <v>13</v>
      </c>
      <c r="H25" s="20">
        <f>+G25-F25</f>
        <v>-2</v>
      </c>
    </row>
    <row r="26" spans="1:8" x14ac:dyDescent="0.25">
      <c r="D26" s="18" t="str">
        <f t="shared" si="1"/>
        <v>Februari</v>
      </c>
      <c r="E26" s="18" t="s">
        <v>17</v>
      </c>
      <c r="F26" s="19">
        <v>15</v>
      </c>
      <c r="G26" s="19">
        <v>14</v>
      </c>
      <c r="H26" s="20">
        <f>+G26-F26</f>
        <v>-1</v>
      </c>
    </row>
    <row r="27" spans="1:8" x14ac:dyDescent="0.25">
      <c r="D27" s="18" t="str">
        <f>E26</f>
        <v>Maret</v>
      </c>
      <c r="E27" s="18" t="s">
        <v>18</v>
      </c>
      <c r="F27" s="19">
        <v>15</v>
      </c>
      <c r="G27" s="19">
        <v>12</v>
      </c>
      <c r="H27" s="20">
        <f>+G27-F27</f>
        <v>-3</v>
      </c>
    </row>
    <row r="28" spans="1:8" x14ac:dyDescent="0.25">
      <c r="D28" s="18" t="str">
        <f t="shared" ref="D28:D30" si="2">E27</f>
        <v>April</v>
      </c>
      <c r="E28" s="18" t="s">
        <v>19</v>
      </c>
      <c r="F28" s="19">
        <v>15</v>
      </c>
      <c r="G28" s="19">
        <v>12</v>
      </c>
      <c r="H28" s="20">
        <f>+G28-F28</f>
        <v>-3</v>
      </c>
    </row>
    <row r="29" spans="1:8" x14ac:dyDescent="0.25">
      <c r="D29" s="18" t="str">
        <f t="shared" si="2"/>
        <v>Mei</v>
      </c>
      <c r="E29" s="18" t="s">
        <v>20</v>
      </c>
      <c r="F29" s="19">
        <v>15</v>
      </c>
      <c r="G29" s="19"/>
      <c r="H29" s="20"/>
    </row>
    <row r="30" spans="1:8" x14ac:dyDescent="0.25">
      <c r="D30" s="18" t="str">
        <f t="shared" si="2"/>
        <v>Juni</v>
      </c>
      <c r="E30" s="18" t="s">
        <v>21</v>
      </c>
      <c r="F30" s="19">
        <v>15</v>
      </c>
      <c r="G30" s="19"/>
      <c r="H30" s="20"/>
    </row>
    <row r="31" spans="1:8" x14ac:dyDescent="0.25">
      <c r="D31" s="7" t="s">
        <v>22</v>
      </c>
      <c r="E31" s="21"/>
      <c r="F31" s="21"/>
      <c r="G31" s="21" t="s">
        <v>23</v>
      </c>
      <c r="H31" s="22">
        <f>AVERAGE(H25:H30)</f>
        <v>-2.25</v>
      </c>
    </row>
    <row r="32" spans="1:8" x14ac:dyDescent="0.25">
      <c r="D32" s="23"/>
      <c r="E32"/>
      <c r="F32"/>
      <c r="G32"/>
    </row>
    <row r="33" spans="1:7" x14ac:dyDescent="0.25">
      <c r="A33">
        <v>1</v>
      </c>
      <c r="C33">
        <v>2</v>
      </c>
      <c r="D33" s="1" t="s">
        <v>24</v>
      </c>
      <c r="E33"/>
      <c r="F33"/>
      <c r="G33"/>
    </row>
    <row r="34" spans="1:7" x14ac:dyDescent="0.25">
      <c r="E34"/>
      <c r="F34"/>
      <c r="G34"/>
    </row>
    <row r="35" spans="1:7" x14ac:dyDescent="0.25">
      <c r="D35" s="16" t="s">
        <v>10</v>
      </c>
      <c r="E35" s="16" t="s">
        <v>25</v>
      </c>
      <c r="F35" s="16" t="s">
        <v>26</v>
      </c>
      <c r="G35" s="16" t="s">
        <v>27</v>
      </c>
    </row>
    <row r="36" spans="1:7" x14ac:dyDescent="0.25">
      <c r="D36" s="18" t="s">
        <v>15</v>
      </c>
      <c r="E36" s="24">
        <v>9</v>
      </c>
      <c r="F36" s="24">
        <v>2</v>
      </c>
      <c r="G36" s="25">
        <f>+F36-E36</f>
        <v>-7</v>
      </c>
    </row>
    <row r="37" spans="1:7" x14ac:dyDescent="0.25">
      <c r="D37" s="18" t="s">
        <v>16</v>
      </c>
      <c r="E37" s="24">
        <v>9</v>
      </c>
      <c r="F37" s="24">
        <v>4</v>
      </c>
      <c r="G37" s="25">
        <f>+F37-E37</f>
        <v>-5</v>
      </c>
    </row>
    <row r="38" spans="1:7" x14ac:dyDescent="0.25">
      <c r="D38" s="18" t="s">
        <v>17</v>
      </c>
      <c r="E38" s="24">
        <v>9</v>
      </c>
      <c r="F38" s="24">
        <v>5</v>
      </c>
      <c r="G38" s="25">
        <f>+F38-E38</f>
        <v>-4</v>
      </c>
    </row>
    <row r="39" spans="1:7" x14ac:dyDescent="0.25">
      <c r="D39" s="18" t="s">
        <v>18</v>
      </c>
      <c r="E39" s="24">
        <v>9</v>
      </c>
      <c r="F39" s="24">
        <v>5</v>
      </c>
      <c r="G39" s="25">
        <f>+F39-E39</f>
        <v>-4</v>
      </c>
    </row>
    <row r="40" spans="1:7" x14ac:dyDescent="0.25">
      <c r="D40" s="18" t="s">
        <v>19</v>
      </c>
      <c r="E40" s="24">
        <v>9</v>
      </c>
      <c r="F40" s="24">
        <v>4</v>
      </c>
      <c r="G40" s="25">
        <f>+F40-E40</f>
        <v>-5</v>
      </c>
    </row>
    <row r="41" spans="1:7" x14ac:dyDescent="0.25">
      <c r="D41" s="18" t="s">
        <v>20</v>
      </c>
      <c r="E41" s="24">
        <v>9</v>
      </c>
      <c r="F41" s="24"/>
      <c r="G41" s="25"/>
    </row>
    <row r="42" spans="1:7" x14ac:dyDescent="0.25">
      <c r="D42" s="7" t="s">
        <v>28</v>
      </c>
      <c r="E42" s="21"/>
      <c r="F42" s="26"/>
      <c r="G42" s="27">
        <f>AVERAGE(G36:G41)</f>
        <v>-5</v>
      </c>
    </row>
    <row r="43" spans="1:7" x14ac:dyDescent="0.25">
      <c r="D43" s="14"/>
      <c r="E43" s="14"/>
      <c r="F43" s="15"/>
      <c r="G43" s="15"/>
    </row>
    <row r="44" spans="1:7" x14ac:dyDescent="0.25">
      <c r="A44">
        <v>1</v>
      </c>
      <c r="C44">
        <v>3</v>
      </c>
      <c r="D44" s="1" t="s">
        <v>29</v>
      </c>
      <c r="E44"/>
      <c r="F44"/>
      <c r="G44"/>
    </row>
    <row r="45" spans="1:7" x14ac:dyDescent="0.25">
      <c r="E45"/>
      <c r="F45"/>
      <c r="G45"/>
    </row>
    <row r="46" spans="1:7" x14ac:dyDescent="0.25">
      <c r="D46" s="16" t="s">
        <v>10</v>
      </c>
      <c r="E46" s="16" t="s">
        <v>25</v>
      </c>
      <c r="F46" s="16" t="s">
        <v>26</v>
      </c>
      <c r="G46" s="16" t="s">
        <v>27</v>
      </c>
    </row>
    <row r="47" spans="1:7" x14ac:dyDescent="0.25">
      <c r="D47" s="18" t="s">
        <v>15</v>
      </c>
      <c r="E47" s="24">
        <v>14</v>
      </c>
      <c r="F47" s="24">
        <v>14</v>
      </c>
      <c r="G47" s="25">
        <f>+F47-E47</f>
        <v>0</v>
      </c>
    </row>
    <row r="48" spans="1:7" x14ac:dyDescent="0.25">
      <c r="D48" s="18" t="s">
        <v>16</v>
      </c>
      <c r="E48" s="24">
        <v>14</v>
      </c>
      <c r="F48" s="24">
        <v>11</v>
      </c>
      <c r="G48" s="25">
        <f>+F48-E48</f>
        <v>-3</v>
      </c>
    </row>
    <row r="49" spans="1:7" x14ac:dyDescent="0.25">
      <c r="D49" s="18" t="s">
        <v>17</v>
      </c>
      <c r="E49" s="24">
        <v>14</v>
      </c>
      <c r="F49" s="24">
        <v>12</v>
      </c>
      <c r="G49" s="25">
        <f>+F49-E49</f>
        <v>-2</v>
      </c>
    </row>
    <row r="50" spans="1:7" x14ac:dyDescent="0.25">
      <c r="D50" s="18" t="s">
        <v>18</v>
      </c>
      <c r="E50" s="24">
        <v>14</v>
      </c>
      <c r="F50" s="24">
        <v>12</v>
      </c>
      <c r="G50" s="25">
        <f>+F50-E50</f>
        <v>-2</v>
      </c>
    </row>
    <row r="51" spans="1:7" x14ac:dyDescent="0.25">
      <c r="D51" s="18" t="s">
        <v>19</v>
      </c>
      <c r="E51" s="24">
        <v>14</v>
      </c>
      <c r="F51" s="24">
        <v>10</v>
      </c>
      <c r="G51" s="25">
        <f>+F51-E51</f>
        <v>-4</v>
      </c>
    </row>
    <row r="52" spans="1:7" x14ac:dyDescent="0.25">
      <c r="D52" s="18" t="s">
        <v>20</v>
      </c>
      <c r="E52" s="24">
        <v>14</v>
      </c>
      <c r="F52" s="24"/>
      <c r="G52" s="25"/>
    </row>
    <row r="53" spans="1:7" x14ac:dyDescent="0.25">
      <c r="D53" s="7" t="s">
        <v>28</v>
      </c>
      <c r="E53" s="21"/>
      <c r="F53" s="26"/>
      <c r="G53" s="27">
        <f>AVERAGE(G47:G52)</f>
        <v>-2.2000000000000002</v>
      </c>
    </row>
    <row r="54" spans="1:7" s="14" customFormat="1" x14ac:dyDescent="0.25">
      <c r="D54" s="28"/>
      <c r="E54" s="28"/>
      <c r="F54" s="28"/>
      <c r="G54" s="29"/>
    </row>
    <row r="55" spans="1:7" s="14" customFormat="1" x14ac:dyDescent="0.25">
      <c r="D55" s="28"/>
      <c r="E55" s="28"/>
      <c r="F55" s="28"/>
      <c r="G55" s="29"/>
    </row>
    <row r="56" spans="1:7" x14ac:dyDescent="0.25">
      <c r="A56">
        <v>1</v>
      </c>
      <c r="B56">
        <v>3</v>
      </c>
      <c r="C56">
        <v>4</v>
      </c>
      <c r="D56" s="1" t="s">
        <v>30</v>
      </c>
      <c r="E56"/>
      <c r="F56"/>
      <c r="G56"/>
    </row>
    <row r="57" spans="1:7" x14ac:dyDescent="0.25">
      <c r="D57" s="23"/>
      <c r="E57"/>
      <c r="F57"/>
      <c r="G57"/>
    </row>
    <row r="58" spans="1:7" x14ac:dyDescent="0.25">
      <c r="D58" s="16" t="s">
        <v>10</v>
      </c>
      <c r="E58" s="16" t="s">
        <v>25</v>
      </c>
      <c r="F58" s="3" t="s">
        <v>31</v>
      </c>
      <c r="G58" s="16" t="s">
        <v>27</v>
      </c>
    </row>
    <row r="59" spans="1:7" x14ac:dyDescent="0.25">
      <c r="D59" s="18" t="s">
        <v>15</v>
      </c>
      <c r="E59" s="30">
        <v>11</v>
      </c>
      <c r="F59" s="24">
        <v>14</v>
      </c>
      <c r="G59" s="25">
        <f>+F59-E59</f>
        <v>3</v>
      </c>
    </row>
    <row r="60" spans="1:7" x14ac:dyDescent="0.25">
      <c r="D60" s="18" t="s">
        <v>16</v>
      </c>
      <c r="E60" s="30">
        <v>11</v>
      </c>
      <c r="F60" s="24">
        <v>7</v>
      </c>
      <c r="G60" s="25">
        <f>+F60-E60</f>
        <v>-4</v>
      </c>
    </row>
    <row r="61" spans="1:7" x14ac:dyDescent="0.25">
      <c r="D61" s="18" t="s">
        <v>17</v>
      </c>
      <c r="E61" s="30">
        <v>11</v>
      </c>
      <c r="F61" s="24">
        <v>7</v>
      </c>
      <c r="G61" s="25">
        <f>+F61-E61</f>
        <v>-4</v>
      </c>
    </row>
    <row r="62" spans="1:7" x14ac:dyDescent="0.25">
      <c r="D62" s="18" t="s">
        <v>18</v>
      </c>
      <c r="E62" s="30">
        <v>11</v>
      </c>
      <c r="F62" s="24">
        <v>9</v>
      </c>
      <c r="G62" s="25">
        <f>+F62-E62</f>
        <v>-2</v>
      </c>
    </row>
    <row r="63" spans="1:7" x14ac:dyDescent="0.25">
      <c r="D63" s="18" t="s">
        <v>19</v>
      </c>
      <c r="E63" s="30">
        <v>11</v>
      </c>
      <c r="F63" s="24">
        <v>8</v>
      </c>
      <c r="G63" s="25">
        <f>+F63-E63</f>
        <v>-3</v>
      </c>
    </row>
    <row r="64" spans="1:7" x14ac:dyDescent="0.25">
      <c r="D64" s="18" t="s">
        <v>20</v>
      </c>
      <c r="E64" s="30">
        <v>11</v>
      </c>
      <c r="F64" s="24"/>
      <c r="G64" s="25"/>
    </row>
    <row r="65" spans="1:8" x14ac:dyDescent="0.25">
      <c r="D65" s="7" t="s">
        <v>28</v>
      </c>
      <c r="E65" s="21"/>
      <c r="F65" s="21"/>
      <c r="G65" s="27">
        <f>AVERAGE(G59:G64)</f>
        <v>-2</v>
      </c>
    </row>
    <row r="66" spans="1:8" x14ac:dyDescent="0.25">
      <c r="D66" s="28"/>
      <c r="E66" s="28"/>
      <c r="F66" s="28"/>
      <c r="G66"/>
    </row>
    <row r="67" spans="1:8" x14ac:dyDescent="0.25">
      <c r="D67" s="14"/>
      <c r="E67" s="14"/>
      <c r="F67" s="15"/>
      <c r="G67"/>
    </row>
    <row r="68" spans="1:8" x14ac:dyDescent="0.25">
      <c r="A68">
        <v>1</v>
      </c>
      <c r="B68">
        <v>4</v>
      </c>
      <c r="C68">
        <v>5</v>
      </c>
      <c r="D68" s="1" t="s">
        <v>32</v>
      </c>
      <c r="E68" s="2"/>
      <c r="F68" s="2"/>
      <c r="G68" s="2"/>
      <c r="H68" s="2"/>
    </row>
    <row r="69" spans="1:8" x14ac:dyDescent="0.25">
      <c r="D69" s="1"/>
      <c r="E69" s="2"/>
      <c r="F69" s="2"/>
      <c r="G69" s="2"/>
      <c r="H69" s="2"/>
    </row>
    <row r="70" spans="1:8" x14ac:dyDescent="0.25">
      <c r="D70" s="3" t="s">
        <v>4</v>
      </c>
      <c r="E70" s="3" t="s">
        <v>5</v>
      </c>
      <c r="F70" s="3" t="s">
        <v>33</v>
      </c>
      <c r="G70"/>
    </row>
    <row r="71" spans="1:8" x14ac:dyDescent="0.25">
      <c r="D71" s="4">
        <v>46153</v>
      </c>
      <c r="E71" s="5">
        <v>3</v>
      </c>
      <c r="F71" s="61">
        <v>0</v>
      </c>
      <c r="G71"/>
    </row>
    <row r="72" spans="1:8" x14ac:dyDescent="0.25">
      <c r="D72" s="4">
        <v>46161</v>
      </c>
      <c r="E72" s="5">
        <v>2</v>
      </c>
      <c r="F72" s="61">
        <v>1</v>
      </c>
      <c r="G72"/>
    </row>
    <row r="73" spans="1:8" x14ac:dyDescent="0.25">
      <c r="D73" s="4">
        <v>46171</v>
      </c>
      <c r="E73" s="5">
        <v>1</v>
      </c>
      <c r="F73" s="61">
        <v>0</v>
      </c>
      <c r="G73"/>
    </row>
    <row r="74" spans="1:8" x14ac:dyDescent="0.25">
      <c r="D74" s="4"/>
      <c r="E74" s="5"/>
      <c r="F74" s="61"/>
      <c r="G74"/>
    </row>
    <row r="75" spans="1:8" x14ac:dyDescent="0.25">
      <c r="D75" s="4"/>
      <c r="E75" s="5"/>
      <c r="F75" s="6"/>
      <c r="G75"/>
    </row>
    <row r="76" spans="1:8" x14ac:dyDescent="0.25">
      <c r="D76" s="4"/>
      <c r="E76" s="5"/>
      <c r="F76" s="6"/>
      <c r="G76"/>
    </row>
    <row r="77" spans="1:8" x14ac:dyDescent="0.25">
      <c r="D77" s="4"/>
      <c r="E77" s="5"/>
      <c r="F77" s="6"/>
      <c r="G77"/>
    </row>
    <row r="78" spans="1:8" x14ac:dyDescent="0.25">
      <c r="D78" s="7" t="s">
        <v>7</v>
      </c>
      <c r="E78" s="8"/>
      <c r="F78" s="9">
        <f>AVERAGE(F71:F77)</f>
        <v>0.33333333333333331</v>
      </c>
      <c r="G78"/>
    </row>
    <row r="79" spans="1:8" x14ac:dyDescent="0.25">
      <c r="D79" s="28"/>
      <c r="E79" s="31"/>
      <c r="F79" s="32"/>
      <c r="G79"/>
    </row>
    <row r="80" spans="1:8" x14ac:dyDescent="0.25">
      <c r="D80" s="28"/>
      <c r="E80" s="31"/>
      <c r="F80" s="32"/>
      <c r="G80"/>
    </row>
    <row r="81" spans="1:8" x14ac:dyDescent="0.25">
      <c r="A81">
        <v>2</v>
      </c>
      <c r="B81">
        <v>1</v>
      </c>
      <c r="D81" s="1" t="s">
        <v>34</v>
      </c>
      <c r="E81"/>
      <c r="F81"/>
      <c r="G81"/>
    </row>
    <row r="82" spans="1:8" x14ac:dyDescent="0.25">
      <c r="D82" s="14"/>
      <c r="E82" s="14"/>
      <c r="F82" s="15"/>
      <c r="G82"/>
    </row>
    <row r="83" spans="1:8" x14ac:dyDescent="0.25">
      <c r="D83" s="16" t="s">
        <v>35</v>
      </c>
      <c r="E83" s="16" t="s">
        <v>10</v>
      </c>
      <c r="F83" s="33" t="s">
        <v>36</v>
      </c>
      <c r="G83" s="16" t="s">
        <v>37</v>
      </c>
      <c r="H83" s="33" t="s">
        <v>38</v>
      </c>
    </row>
    <row r="84" spans="1:8" x14ac:dyDescent="0.25">
      <c r="D84" s="34" t="s">
        <v>14</v>
      </c>
      <c r="E84" s="18" t="s">
        <v>15</v>
      </c>
      <c r="F84" s="24">
        <v>14</v>
      </c>
      <c r="G84" s="35">
        <v>2</v>
      </c>
      <c r="H84" s="25">
        <f>G84</f>
        <v>2</v>
      </c>
    </row>
    <row r="85" spans="1:8" x14ac:dyDescent="0.25">
      <c r="D85" s="34" t="str">
        <f>E84</f>
        <v>Januari</v>
      </c>
      <c r="E85" s="18" t="s">
        <v>16</v>
      </c>
      <c r="F85" s="24">
        <v>14</v>
      </c>
      <c r="G85" s="35">
        <v>2</v>
      </c>
      <c r="H85" s="25">
        <f t="shared" ref="H85:H89" si="3">G85</f>
        <v>2</v>
      </c>
    </row>
    <row r="86" spans="1:8" x14ac:dyDescent="0.25">
      <c r="D86" s="34" t="str">
        <f t="shared" ref="D86:D89" si="4">E85</f>
        <v>Februari</v>
      </c>
      <c r="E86" s="18" t="s">
        <v>17</v>
      </c>
      <c r="F86" s="24">
        <v>14</v>
      </c>
      <c r="G86" s="35">
        <v>1</v>
      </c>
      <c r="H86" s="25">
        <f t="shared" si="3"/>
        <v>1</v>
      </c>
    </row>
    <row r="87" spans="1:8" x14ac:dyDescent="0.25">
      <c r="D87" s="34" t="str">
        <f t="shared" si="4"/>
        <v>Maret</v>
      </c>
      <c r="E87" s="18" t="s">
        <v>18</v>
      </c>
      <c r="F87" s="24">
        <v>14</v>
      </c>
      <c r="G87" s="35">
        <v>1</v>
      </c>
      <c r="H87" s="25">
        <f t="shared" si="3"/>
        <v>1</v>
      </c>
    </row>
    <row r="88" spans="1:8" x14ac:dyDescent="0.25">
      <c r="D88" s="34" t="str">
        <f t="shared" si="4"/>
        <v>April</v>
      </c>
      <c r="E88" s="18" t="s">
        <v>19</v>
      </c>
      <c r="F88" s="24">
        <v>15</v>
      </c>
      <c r="G88" s="35">
        <v>1</v>
      </c>
      <c r="H88" s="25">
        <f t="shared" si="3"/>
        <v>1</v>
      </c>
    </row>
    <row r="89" spans="1:8" x14ac:dyDescent="0.25">
      <c r="D89" s="34" t="str">
        <f t="shared" si="4"/>
        <v>Mei</v>
      </c>
      <c r="E89" s="18" t="s">
        <v>20</v>
      </c>
      <c r="F89" s="24"/>
      <c r="G89" s="35"/>
      <c r="H89" s="25">
        <f t="shared" si="3"/>
        <v>0</v>
      </c>
    </row>
    <row r="90" spans="1:8" x14ac:dyDescent="0.25">
      <c r="D90" s="55" t="s">
        <v>22</v>
      </c>
      <c r="E90" s="56"/>
      <c r="F90" s="56"/>
      <c r="G90" s="57"/>
      <c r="H90" s="36">
        <f>AVERAGE(H84:H89)</f>
        <v>1.1666666666666667</v>
      </c>
    </row>
    <row r="91" spans="1:8" x14ac:dyDescent="0.25">
      <c r="D91" s="2"/>
      <c r="E91" s="2"/>
      <c r="F91" s="2"/>
      <c r="G91" s="2"/>
    </row>
    <row r="92" spans="1:8" x14ac:dyDescent="0.25">
      <c r="A92">
        <v>2</v>
      </c>
      <c r="B92">
        <v>2</v>
      </c>
      <c r="D92" s="13" t="s">
        <v>39</v>
      </c>
      <c r="E92" s="14"/>
      <c r="F92" s="15"/>
      <c r="G92"/>
    </row>
    <row r="93" spans="1:8" x14ac:dyDescent="0.25">
      <c r="D93" s="14"/>
      <c r="E93" s="14"/>
      <c r="F93" s="15"/>
      <c r="G93"/>
    </row>
    <row r="94" spans="1:8" x14ac:dyDescent="0.25">
      <c r="D94" s="16" t="s">
        <v>35</v>
      </c>
      <c r="E94" s="16" t="s">
        <v>10</v>
      </c>
      <c r="F94" s="33" t="s">
        <v>38</v>
      </c>
      <c r="G94"/>
    </row>
    <row r="95" spans="1:8" x14ac:dyDescent="0.25">
      <c r="D95" s="34" t="s">
        <v>14</v>
      </c>
      <c r="E95" s="18" t="s">
        <v>15</v>
      </c>
      <c r="F95" s="34">
        <v>16</v>
      </c>
      <c r="G95"/>
    </row>
    <row r="96" spans="1:8" x14ac:dyDescent="0.25">
      <c r="D96" s="34" t="str">
        <f>E95</f>
        <v>Januari</v>
      </c>
      <c r="E96" s="18" t="s">
        <v>16</v>
      </c>
      <c r="F96" s="34">
        <v>4</v>
      </c>
      <c r="G96"/>
    </row>
    <row r="97" spans="1:8" x14ac:dyDescent="0.25">
      <c r="D97" s="34" t="str">
        <f t="shared" ref="D97:D100" si="5">E96</f>
        <v>Februari</v>
      </c>
      <c r="E97" s="18" t="s">
        <v>17</v>
      </c>
      <c r="F97" s="34">
        <v>2</v>
      </c>
      <c r="G97"/>
    </row>
    <row r="98" spans="1:8" x14ac:dyDescent="0.25">
      <c r="D98" s="34" t="str">
        <f t="shared" si="5"/>
        <v>Maret</v>
      </c>
      <c r="E98" s="18" t="s">
        <v>18</v>
      </c>
      <c r="F98" s="34">
        <v>3</v>
      </c>
      <c r="G98"/>
    </row>
    <row r="99" spans="1:8" x14ac:dyDescent="0.25">
      <c r="D99" s="34" t="str">
        <f t="shared" si="5"/>
        <v>April</v>
      </c>
      <c r="E99" s="18" t="s">
        <v>19</v>
      </c>
      <c r="F99" s="34">
        <v>3</v>
      </c>
      <c r="G99"/>
    </row>
    <row r="100" spans="1:8" x14ac:dyDescent="0.25">
      <c r="D100" s="34" t="str">
        <f t="shared" si="5"/>
        <v>Mei</v>
      </c>
      <c r="E100" s="18" t="s">
        <v>20</v>
      </c>
      <c r="F100" s="34" t="str">
        <f>IFERROR(#REF!-#REF!,"")</f>
        <v/>
      </c>
      <c r="G100"/>
    </row>
    <row r="101" spans="1:8" x14ac:dyDescent="0.25">
      <c r="D101" s="37" t="s">
        <v>22</v>
      </c>
      <c r="E101" s="38"/>
      <c r="F101" s="27">
        <f>AVERAGE(F95:F100)</f>
        <v>5.6</v>
      </c>
      <c r="G101"/>
    </row>
    <row r="102" spans="1:8" x14ac:dyDescent="0.25">
      <c r="D102" s="2"/>
      <c r="E102" s="2"/>
      <c r="F102" s="2"/>
      <c r="G102" s="2"/>
      <c r="H102" s="29"/>
    </row>
    <row r="103" spans="1:8" x14ac:dyDescent="0.25">
      <c r="A103">
        <v>1</v>
      </c>
      <c r="B103">
        <v>3</v>
      </c>
      <c r="D103" s="13" t="s">
        <v>40</v>
      </c>
      <c r="E103"/>
      <c r="F103"/>
      <c r="G103"/>
    </row>
    <row r="104" spans="1:8" x14ac:dyDescent="0.25">
      <c r="D104" s="13"/>
      <c r="E104"/>
      <c r="F104"/>
      <c r="G104"/>
    </row>
    <row r="105" spans="1:8" x14ac:dyDescent="0.25">
      <c r="D105" s="16" t="s">
        <v>41</v>
      </c>
      <c r="E105" s="16" t="s">
        <v>42</v>
      </c>
      <c r="F105" s="16" t="s">
        <v>43</v>
      </c>
      <c r="G105" s="16" t="s">
        <v>44</v>
      </c>
      <c r="H105" s="39" t="s">
        <v>27</v>
      </c>
    </row>
    <row r="106" spans="1:8" x14ac:dyDescent="0.25">
      <c r="D106" s="40">
        <v>2025</v>
      </c>
      <c r="E106" s="40" t="s">
        <v>18</v>
      </c>
      <c r="F106" s="24">
        <v>30</v>
      </c>
      <c r="G106" s="41">
        <v>23</v>
      </c>
      <c r="H106" s="34">
        <f>IFERROR(F106-G106,"")</f>
        <v>7</v>
      </c>
    </row>
    <row r="107" spans="1:8" x14ac:dyDescent="0.25">
      <c r="D107" s="42"/>
      <c r="E107" s="42"/>
      <c r="F107" s="43"/>
      <c r="G107" s="43"/>
    </row>
    <row r="108" spans="1:8" x14ac:dyDescent="0.25">
      <c r="A108">
        <v>1</v>
      </c>
      <c r="C108">
        <v>1</v>
      </c>
      <c r="D108" s="1" t="s">
        <v>45</v>
      </c>
      <c r="E108"/>
      <c r="F108"/>
      <c r="G108"/>
    </row>
    <row r="109" spans="1:8" x14ac:dyDescent="0.25">
      <c r="D109" s="1"/>
      <c r="E109" s="2"/>
      <c r="F109" s="2"/>
      <c r="G109" s="2"/>
      <c r="H109" s="2"/>
    </row>
    <row r="110" spans="1:8" x14ac:dyDescent="0.25">
      <c r="D110" s="16" t="s">
        <v>4</v>
      </c>
      <c r="E110" s="16" t="s">
        <v>5</v>
      </c>
      <c r="F110" s="16" t="s">
        <v>46</v>
      </c>
      <c r="G110" s="16" t="s">
        <v>47</v>
      </c>
      <c r="H110" s="16" t="s">
        <v>48</v>
      </c>
    </row>
    <row r="111" spans="1:8" x14ac:dyDescent="0.25">
      <c r="D111" s="4">
        <v>46151</v>
      </c>
      <c r="E111" s="5">
        <v>2</v>
      </c>
      <c r="F111" s="54">
        <v>46151.333333333336</v>
      </c>
      <c r="G111" s="54">
        <v>46151.402777777781</v>
      </c>
      <c r="H111" s="45">
        <f>G111-F111</f>
        <v>6.9444444445252884E-2</v>
      </c>
    </row>
    <row r="112" spans="1:8" x14ac:dyDescent="0.25">
      <c r="D112" s="4">
        <v>46161</v>
      </c>
      <c r="E112" s="5">
        <v>1</v>
      </c>
      <c r="F112" s="44">
        <v>46161.491666666669</v>
      </c>
      <c r="G112" s="44">
        <v>46161.527083333334</v>
      </c>
      <c r="H112" s="45">
        <f t="shared" ref="H112:H114" si="6">G112-F112</f>
        <v>3.5416666665696539E-2</v>
      </c>
    </row>
    <row r="113" spans="1:8" x14ac:dyDescent="0.25">
      <c r="D113" s="4">
        <v>46161</v>
      </c>
      <c r="E113" s="5">
        <v>6</v>
      </c>
      <c r="F113" s="44">
        <v>46161.625694444447</v>
      </c>
      <c r="G113" s="44">
        <v>46161.636111111111</v>
      </c>
      <c r="H113" s="45">
        <f t="shared" si="6"/>
        <v>1.0416666664241347E-2</v>
      </c>
    </row>
    <row r="114" spans="1:8" x14ac:dyDescent="0.25">
      <c r="D114" s="4">
        <v>46163</v>
      </c>
      <c r="E114" s="5">
        <v>4</v>
      </c>
      <c r="F114" s="44">
        <v>46163.54791666667</v>
      </c>
      <c r="G114" s="44">
        <v>46163.561805555553</v>
      </c>
      <c r="H114" s="45">
        <f t="shared" si="6"/>
        <v>1.3888888883229811E-2</v>
      </c>
    </row>
    <row r="115" spans="1:8" x14ac:dyDescent="0.25">
      <c r="D115" s="4"/>
      <c r="E115" s="5"/>
      <c r="F115" s="44"/>
      <c r="G115" s="44"/>
      <c r="H115" s="45"/>
    </row>
    <row r="116" spans="1:8" x14ac:dyDescent="0.25">
      <c r="D116" s="4"/>
      <c r="E116" s="5"/>
      <c r="F116" s="44"/>
      <c r="G116" s="44"/>
      <c r="H116" s="45"/>
    </row>
    <row r="117" spans="1:8" x14ac:dyDescent="0.25">
      <c r="D117" s="4"/>
      <c r="E117" s="5"/>
      <c r="F117" s="44"/>
      <c r="G117" s="44"/>
      <c r="H117" s="45"/>
    </row>
    <row r="118" spans="1:8" x14ac:dyDescent="0.25">
      <c r="D118" s="4"/>
      <c r="E118" s="5"/>
      <c r="F118" s="44"/>
      <c r="G118" s="44"/>
      <c r="H118" s="45"/>
    </row>
    <row r="119" spans="1:8" x14ac:dyDescent="0.25">
      <c r="D119" s="4"/>
      <c r="E119" s="5"/>
      <c r="F119" s="44"/>
      <c r="G119" s="44"/>
      <c r="H119" s="45"/>
    </row>
    <row r="120" spans="1:8" x14ac:dyDescent="0.25">
      <c r="D120" s="7" t="s">
        <v>7</v>
      </c>
      <c r="E120" s="8"/>
      <c r="F120" s="46"/>
      <c r="G120" s="47"/>
      <c r="H120" s="48">
        <f>AVERAGE(H111:H119)</f>
        <v>3.2291666664605145E-2</v>
      </c>
    </row>
    <row r="121" spans="1:8" x14ac:dyDescent="0.25">
      <c r="D121" s="28"/>
      <c r="E121" s="31"/>
      <c r="F121" s="49"/>
      <c r="G121" s="31"/>
      <c r="H121" s="50"/>
    </row>
    <row r="122" spans="1:8" x14ac:dyDescent="0.25">
      <c r="A122">
        <v>1</v>
      </c>
      <c r="C122">
        <v>2</v>
      </c>
      <c r="D122" s="1" t="s">
        <v>49</v>
      </c>
      <c r="E122"/>
      <c r="F122"/>
      <c r="G122"/>
    </row>
    <row r="123" spans="1:8" x14ac:dyDescent="0.25">
      <c r="E123"/>
      <c r="F123"/>
      <c r="G123"/>
    </row>
    <row r="124" spans="1:8" x14ac:dyDescent="0.25">
      <c r="D124" s="33" t="s">
        <v>35</v>
      </c>
      <c r="E124" s="33" t="s">
        <v>10</v>
      </c>
      <c r="F124" s="33" t="s">
        <v>37</v>
      </c>
      <c r="G124" s="33" t="s">
        <v>50</v>
      </c>
    </row>
    <row r="125" spans="1:8" x14ac:dyDescent="0.25">
      <c r="D125" s="34" t="s">
        <v>14</v>
      </c>
      <c r="E125" s="18" t="s">
        <v>15</v>
      </c>
      <c r="F125" s="24">
        <v>2</v>
      </c>
      <c r="G125" s="24">
        <v>0</v>
      </c>
    </row>
    <row r="126" spans="1:8" x14ac:dyDescent="0.25">
      <c r="D126" s="34" t="str">
        <f>E125</f>
        <v>Januari</v>
      </c>
      <c r="E126" s="18" t="s">
        <v>16</v>
      </c>
      <c r="F126" s="24">
        <v>2</v>
      </c>
      <c r="G126" s="24">
        <v>0</v>
      </c>
    </row>
    <row r="127" spans="1:8" x14ac:dyDescent="0.25">
      <c r="D127" s="34" t="str">
        <f t="shared" ref="D127:D130" si="7">E126</f>
        <v>Februari</v>
      </c>
      <c r="E127" s="18" t="s">
        <v>17</v>
      </c>
      <c r="F127" s="24">
        <v>1</v>
      </c>
      <c r="G127" s="24">
        <v>0</v>
      </c>
    </row>
    <row r="128" spans="1:8" x14ac:dyDescent="0.25">
      <c r="D128" s="34" t="str">
        <f t="shared" si="7"/>
        <v>Maret</v>
      </c>
      <c r="E128" s="18" t="s">
        <v>18</v>
      </c>
      <c r="F128" s="24">
        <v>1</v>
      </c>
      <c r="G128" s="24">
        <v>0</v>
      </c>
    </row>
    <row r="129" spans="1:8" x14ac:dyDescent="0.25">
      <c r="D129" s="34" t="str">
        <f t="shared" si="7"/>
        <v>April</v>
      </c>
      <c r="E129" s="18" t="s">
        <v>19</v>
      </c>
      <c r="F129" s="24">
        <v>1</v>
      </c>
      <c r="G129" s="24">
        <v>0</v>
      </c>
    </row>
    <row r="130" spans="1:8" x14ac:dyDescent="0.25">
      <c r="D130" s="34" t="str">
        <f t="shared" si="7"/>
        <v>Mei</v>
      </c>
      <c r="E130" s="18" t="s">
        <v>20</v>
      </c>
      <c r="F130" s="24"/>
      <c r="G130" s="24"/>
    </row>
    <row r="131" spans="1:8" x14ac:dyDescent="0.25">
      <c r="D131" s="2"/>
      <c r="E131" s="2"/>
      <c r="F131" s="2"/>
      <c r="G131" s="2"/>
      <c r="H131" s="2"/>
    </row>
    <row r="132" spans="1:8" x14ac:dyDescent="0.25">
      <c r="D132" s="2"/>
      <c r="E132" s="2"/>
      <c r="F132" s="2"/>
      <c r="G132" s="2"/>
      <c r="H132" s="29"/>
    </row>
    <row r="133" spans="1:8" x14ac:dyDescent="0.25">
      <c r="A133">
        <v>1</v>
      </c>
      <c r="C133">
        <v>3</v>
      </c>
      <c r="D133" s="1" t="s">
        <v>51</v>
      </c>
      <c r="E133"/>
      <c r="F133"/>
      <c r="G133"/>
    </row>
    <row r="134" spans="1:8" x14ac:dyDescent="0.25">
      <c r="E134"/>
      <c r="F134"/>
      <c r="G134"/>
    </row>
    <row r="135" spans="1:8" x14ac:dyDescent="0.25">
      <c r="D135" s="33" t="s">
        <v>35</v>
      </c>
      <c r="E135" s="33" t="s">
        <v>10</v>
      </c>
      <c r="F135" s="33" t="s">
        <v>52</v>
      </c>
      <c r="G135" s="33" t="s">
        <v>53</v>
      </c>
    </row>
    <row r="136" spans="1:8" x14ac:dyDescent="0.25">
      <c r="D136" s="34" t="s">
        <v>14</v>
      </c>
      <c r="E136" s="18" t="s">
        <v>15</v>
      </c>
      <c r="F136" s="34">
        <v>16</v>
      </c>
      <c r="G136" s="24">
        <v>16</v>
      </c>
    </row>
    <row r="137" spans="1:8" x14ac:dyDescent="0.25">
      <c r="D137" s="34" t="str">
        <f>E136</f>
        <v>Januari</v>
      </c>
      <c r="E137" s="18" t="s">
        <v>16</v>
      </c>
      <c r="F137" s="34">
        <v>4</v>
      </c>
      <c r="G137" s="24">
        <v>4</v>
      </c>
    </row>
    <row r="138" spans="1:8" x14ac:dyDescent="0.25">
      <c r="D138" s="34" t="str">
        <f t="shared" ref="D138:D141" si="8">E137</f>
        <v>Februari</v>
      </c>
      <c r="E138" s="18" t="s">
        <v>17</v>
      </c>
      <c r="F138" s="34">
        <v>0</v>
      </c>
      <c r="G138" s="24">
        <v>2</v>
      </c>
    </row>
    <row r="139" spans="1:8" x14ac:dyDescent="0.25">
      <c r="D139" s="34" t="str">
        <f t="shared" si="8"/>
        <v>Maret</v>
      </c>
      <c r="E139" s="18" t="s">
        <v>18</v>
      </c>
      <c r="F139" s="24">
        <v>10</v>
      </c>
      <c r="G139" s="24">
        <v>3</v>
      </c>
    </row>
    <row r="140" spans="1:8" x14ac:dyDescent="0.25">
      <c r="A140" s="23"/>
      <c r="B140" s="51"/>
      <c r="D140" s="34" t="str">
        <f t="shared" si="8"/>
        <v>April</v>
      </c>
      <c r="E140" s="18" t="s">
        <v>19</v>
      </c>
      <c r="F140" s="24">
        <v>0</v>
      </c>
      <c r="G140" s="24">
        <v>3</v>
      </c>
    </row>
    <row r="141" spans="1:8" x14ac:dyDescent="0.25">
      <c r="A141" s="23"/>
      <c r="B141" s="51"/>
      <c r="D141" s="34" t="str">
        <f t="shared" si="8"/>
        <v>Mei</v>
      </c>
      <c r="E141" s="18" t="s">
        <v>20</v>
      </c>
      <c r="F141" s="24"/>
      <c r="G141" s="24"/>
    </row>
    <row r="142" spans="1:8" x14ac:dyDescent="0.25">
      <c r="A142" s="23"/>
      <c r="B142" s="51"/>
      <c r="E142"/>
      <c r="F142"/>
      <c r="G142"/>
    </row>
    <row r="143" spans="1:8" x14ac:dyDescent="0.25">
      <c r="A143" s="23"/>
      <c r="B143" s="51"/>
      <c r="E143"/>
      <c r="F143"/>
      <c r="G143"/>
    </row>
    <row r="144" spans="1:8" x14ac:dyDescent="0.25">
      <c r="A144">
        <v>1</v>
      </c>
      <c r="C144">
        <v>4</v>
      </c>
      <c r="D144" s="1" t="s">
        <v>54</v>
      </c>
      <c r="E144"/>
      <c r="F144"/>
      <c r="G144"/>
    </row>
    <row r="145" spans="1:7" x14ac:dyDescent="0.25">
      <c r="E145"/>
      <c r="F145"/>
      <c r="G145"/>
    </row>
    <row r="146" spans="1:7" x14ac:dyDescent="0.25">
      <c r="D146" s="33" t="s">
        <v>35</v>
      </c>
      <c r="E146" s="33" t="s">
        <v>55</v>
      </c>
      <c r="F146" s="33" t="s">
        <v>56</v>
      </c>
      <c r="G146" s="33" t="s">
        <v>57</v>
      </c>
    </row>
    <row r="147" spans="1:7" x14ac:dyDescent="0.25">
      <c r="D147" s="18" t="s">
        <v>14</v>
      </c>
      <c r="E147" s="34">
        <v>3</v>
      </c>
      <c r="F147" s="24">
        <v>4</v>
      </c>
      <c r="G147" s="24">
        <v>3</v>
      </c>
    </row>
    <row r="148" spans="1:7" x14ac:dyDescent="0.25">
      <c r="D148" s="18" t="s">
        <v>15</v>
      </c>
      <c r="E148" s="34">
        <v>1</v>
      </c>
      <c r="F148" s="24">
        <v>4</v>
      </c>
      <c r="G148" s="24">
        <v>2</v>
      </c>
    </row>
    <row r="149" spans="1:7" x14ac:dyDescent="0.25">
      <c r="D149" s="18" t="s">
        <v>16</v>
      </c>
      <c r="E149" s="34">
        <v>1</v>
      </c>
      <c r="F149" s="24">
        <v>4</v>
      </c>
      <c r="G149" s="24">
        <v>1</v>
      </c>
    </row>
    <row r="150" spans="1:7" x14ac:dyDescent="0.25">
      <c r="A150" s="23"/>
      <c r="B150" s="51"/>
      <c r="D150" s="18" t="s">
        <v>17</v>
      </c>
      <c r="E150" s="34">
        <v>2</v>
      </c>
      <c r="F150" s="24">
        <v>4</v>
      </c>
      <c r="G150" s="24">
        <v>1</v>
      </c>
    </row>
    <row r="151" spans="1:7" x14ac:dyDescent="0.25">
      <c r="A151" s="23"/>
      <c r="B151" s="51"/>
      <c r="D151" s="18" t="s">
        <v>18</v>
      </c>
      <c r="E151" s="34">
        <v>1</v>
      </c>
      <c r="F151" s="24">
        <v>4</v>
      </c>
      <c r="G151" s="24">
        <v>1</v>
      </c>
    </row>
    <row r="152" spans="1:7" x14ac:dyDescent="0.25">
      <c r="D152" s="18" t="s">
        <v>19</v>
      </c>
      <c r="E152" s="34"/>
      <c r="F152" s="24">
        <v>4</v>
      </c>
      <c r="G152" s="24"/>
    </row>
    <row r="153" spans="1:7" x14ac:dyDescent="0.25">
      <c r="D153" s="51"/>
      <c r="E153" s="62"/>
      <c r="F153" s="43"/>
      <c r="G153" s="43"/>
    </row>
    <row r="154" spans="1:7" x14ac:dyDescent="0.25">
      <c r="D154" s="52"/>
      <c r="E154" s="52"/>
      <c r="F154"/>
      <c r="G154"/>
    </row>
    <row r="155" spans="1:7" x14ac:dyDescent="0.25">
      <c r="A155">
        <v>1</v>
      </c>
      <c r="C155">
        <v>5</v>
      </c>
      <c r="D155" s="1" t="s">
        <v>59</v>
      </c>
    </row>
  </sheetData>
  <mergeCells count="2">
    <mergeCell ref="D90:G90"/>
    <mergeCell ref="D17:G17"/>
  </mergeCells>
  <pageMargins left="0.7" right="0.7" top="0.75" bottom="0.75" header="0.3" footer="0.3"/>
  <pageSetup orientation="portrait" horizontalDpi="120" verticalDpi="72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Kertas Kerja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</dc:creator>
  <cp:lastModifiedBy>Lia</cp:lastModifiedBy>
  <dcterms:created xsi:type="dcterms:W3CDTF">2026-04-09T05:27:20Z</dcterms:created>
  <dcterms:modified xsi:type="dcterms:W3CDTF">2026-06-03T08:53:46Z</dcterms:modified>
</cp:coreProperties>
</file>