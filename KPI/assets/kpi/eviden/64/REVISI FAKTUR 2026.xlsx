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0" yWindow="0" windowWidth="20730" windowHeight="11760" firstSheet="4" activeTab="4"/>
  </bookViews>
  <sheets>
    <sheet name="REVISI FAKTUR SC" sheetId="20" state="hidden" r:id="rId1"/>
    <sheet name="REVISI Per Brg ADM SC" sheetId="19" state="hidden" r:id="rId2"/>
    <sheet name="REVISI PER FAKTUR ADM SC" sheetId="27" state="hidden" r:id="rId3"/>
    <sheet name="REVISI FAKTUR LOG" sheetId="21" state="hidden" r:id="rId4"/>
    <sheet name="REKAP (Faktur)" sheetId="2" r:id="rId5"/>
    <sheet name="Data (Per Faktur)" sheetId="30" r:id="rId6"/>
    <sheet name="REKAP (Per Barang)" sheetId="9" r:id="rId7"/>
    <sheet name="DATA (Per Barang)" sheetId="31" r:id="rId8"/>
    <sheet name="Sheet1" sheetId="36" r:id="rId9"/>
    <sheet name="Update Revisi Faktur Harian" sheetId="28" state="hidden" r:id="rId10"/>
    <sheet name="Rincian November" sheetId="29" state="hidden" r:id="rId11"/>
  </sheets>
  <externalReferences>
    <externalReference r:id="rId12"/>
    <externalReference r:id="rId13"/>
  </externalReferences>
  <definedNames>
    <definedName name="_xlnm._FilterDatabase" localSheetId="7" hidden="1">'DATA (Per Barang)'!$A$24:$K$53</definedName>
    <definedName name="_xlnm._FilterDatabase" localSheetId="5" hidden="1">'Data (Per Faktur)'!$A$1:$L$1</definedName>
    <definedName name="ch_hrgincppn" localSheetId="8">'[1]CEK Harga'!$AD$2:$AD$13259</definedName>
    <definedName name="ch_hrgincppn">'[2]CEK Harga'!$AD$2:$AD$13259</definedName>
    <definedName name="ch_kd" localSheetId="8">'[1]CEK Harga'!$W$2:$W$13259</definedName>
    <definedName name="ch_kd">'[2]CEK Harga'!$W$2:$W$13259</definedName>
    <definedName name="_xlnm.Print_Area" localSheetId="5">'Data (Per Faktur)'!#REF!</definedName>
    <definedName name="_xlnm.Print_Area" localSheetId="6">'REKAP (Per Barang)'!$B$33:$AF$70</definedName>
    <definedName name="_xlnm.Print_Area" localSheetId="1">'REVISI Per Brg ADM SC'!$B$31:$Q$47</definedName>
    <definedName name="_xlnm.Print_Area" localSheetId="2">'REVISI PER FAKTUR ADM SC'!$B$23:$O$40</definedName>
    <definedName name="_xlnm.Print_Area" localSheetId="10">'Rincian November'!$G$1:$L$1</definedName>
    <definedName name="_xlnm.Print_Area" localSheetId="8">Sheet1!$A$3:$J$27</definedName>
    <definedName name="_xlnm.Print_Area" localSheetId="9">'Update Revisi Faktur Harian'!$G$1:$L$187</definedName>
    <definedName name="TBLHRG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9" l="1"/>
  <c r="O83" i="9" l="1"/>
  <c r="F101" i="9"/>
  <c r="F84" i="9"/>
  <c r="E84" i="9"/>
  <c r="D84" i="9"/>
  <c r="C84" i="9"/>
  <c r="O91" i="9"/>
  <c r="P91" i="9" s="1"/>
  <c r="O101" i="9" l="1"/>
  <c r="F98" i="9" l="1"/>
  <c r="F97" i="9"/>
  <c r="N84" i="9" l="1"/>
  <c r="M84" i="9"/>
  <c r="L84" i="9"/>
  <c r="K84" i="9"/>
  <c r="J84" i="9"/>
  <c r="I84" i="9"/>
  <c r="H84" i="9"/>
  <c r="G84" i="9"/>
  <c r="E100" i="9"/>
  <c r="O90" i="9"/>
  <c r="P90" i="9" s="1"/>
  <c r="O82" i="9"/>
  <c r="O100" i="9" l="1"/>
  <c r="T68" i="9" l="1"/>
  <c r="T67" i="9"/>
  <c r="T66" i="9"/>
  <c r="T65" i="9"/>
  <c r="T64" i="9"/>
  <c r="T63" i="9"/>
  <c r="E68" i="9"/>
  <c r="E67" i="9"/>
  <c r="E66" i="9"/>
  <c r="E65" i="9"/>
  <c r="E64" i="9"/>
  <c r="E63" i="9"/>
  <c r="AD42" i="9"/>
  <c r="AD41" i="9"/>
  <c r="AD40" i="9"/>
  <c r="AD39" i="9"/>
  <c r="AD38" i="9"/>
  <c r="AD37" i="9"/>
  <c r="AD36" i="9"/>
  <c r="O42" i="9"/>
  <c r="O41" i="9"/>
  <c r="O40" i="9"/>
  <c r="O39" i="9"/>
  <c r="O38" i="9"/>
  <c r="O37" i="9"/>
  <c r="O36" i="9"/>
  <c r="N99" i="9" l="1"/>
  <c r="M99" i="9"/>
  <c r="L99" i="9"/>
  <c r="K99" i="9"/>
  <c r="J99" i="9"/>
  <c r="I99" i="9"/>
  <c r="H99" i="9"/>
  <c r="E99" i="9"/>
  <c r="D99" i="9"/>
  <c r="N98" i="9"/>
  <c r="M98" i="9"/>
  <c r="L98" i="9"/>
  <c r="K98" i="9"/>
  <c r="J98" i="9"/>
  <c r="I98" i="9"/>
  <c r="H98" i="9"/>
  <c r="G98" i="9"/>
  <c r="E98" i="9"/>
  <c r="D98" i="9"/>
  <c r="N97" i="9"/>
  <c r="M97" i="9"/>
  <c r="L97" i="9"/>
  <c r="K97" i="9"/>
  <c r="J97" i="9"/>
  <c r="I97" i="9"/>
  <c r="H97" i="9"/>
  <c r="G97" i="9"/>
  <c r="E97" i="9"/>
  <c r="D97" i="9"/>
  <c r="AC68" i="9"/>
  <c r="AB68" i="9"/>
  <c r="AA68" i="9"/>
  <c r="Z68" i="9"/>
  <c r="Y68" i="9"/>
  <c r="X68" i="9"/>
  <c r="W68" i="9"/>
  <c r="V68" i="9"/>
  <c r="U68" i="9"/>
  <c r="S68" i="9"/>
  <c r="AC67" i="9"/>
  <c r="AB67" i="9"/>
  <c r="AA67" i="9"/>
  <c r="Z67" i="9"/>
  <c r="Y67" i="9"/>
  <c r="X67" i="9"/>
  <c r="W67" i="9"/>
  <c r="V67" i="9"/>
  <c r="U67" i="9"/>
  <c r="S67" i="9"/>
  <c r="AC66" i="9"/>
  <c r="AB66" i="9"/>
  <c r="AA66" i="9"/>
  <c r="Z66" i="9"/>
  <c r="Y66" i="9"/>
  <c r="X66" i="9"/>
  <c r="W66" i="9"/>
  <c r="V66" i="9"/>
  <c r="U66" i="9"/>
  <c r="S66" i="9"/>
  <c r="AC65" i="9"/>
  <c r="AB65" i="9"/>
  <c r="AA65" i="9"/>
  <c r="Z65" i="9"/>
  <c r="Y65" i="9"/>
  <c r="X65" i="9"/>
  <c r="W65" i="9"/>
  <c r="V65" i="9"/>
  <c r="U65" i="9"/>
  <c r="S65" i="9"/>
  <c r="AC64" i="9"/>
  <c r="AB64" i="9"/>
  <c r="AA64" i="9"/>
  <c r="Z64" i="9"/>
  <c r="Y64" i="9"/>
  <c r="X64" i="9"/>
  <c r="W64" i="9"/>
  <c r="V64" i="9"/>
  <c r="U64" i="9"/>
  <c r="S64" i="9"/>
  <c r="AC63" i="9"/>
  <c r="AB63" i="9"/>
  <c r="AA63" i="9"/>
  <c r="Z63" i="9"/>
  <c r="Y63" i="9"/>
  <c r="X63" i="9"/>
  <c r="W63" i="9"/>
  <c r="V63" i="9"/>
  <c r="U63" i="9"/>
  <c r="S63" i="9"/>
  <c r="AC62" i="9"/>
  <c r="AB62" i="9"/>
  <c r="AA62" i="9"/>
  <c r="Z62" i="9"/>
  <c r="Y62" i="9"/>
  <c r="X62" i="9"/>
  <c r="W62" i="9"/>
  <c r="V62" i="9"/>
  <c r="U62" i="9"/>
  <c r="T62" i="9"/>
  <c r="S62" i="9"/>
  <c r="R68" i="9"/>
  <c r="R67" i="9"/>
  <c r="R66" i="9"/>
  <c r="R65" i="9"/>
  <c r="R64" i="9"/>
  <c r="R63" i="9"/>
  <c r="R62" i="9"/>
  <c r="N68" i="9"/>
  <c r="M68" i="9"/>
  <c r="L68" i="9"/>
  <c r="K68" i="9"/>
  <c r="J68" i="9"/>
  <c r="I68" i="9"/>
  <c r="H68" i="9"/>
  <c r="G68" i="9"/>
  <c r="F68" i="9"/>
  <c r="D68" i="9"/>
  <c r="N67" i="9"/>
  <c r="M67" i="9"/>
  <c r="L67" i="9"/>
  <c r="K67" i="9"/>
  <c r="J67" i="9"/>
  <c r="I67" i="9"/>
  <c r="H67" i="9"/>
  <c r="G67" i="9"/>
  <c r="F67" i="9"/>
  <c r="D67" i="9"/>
  <c r="N66" i="9"/>
  <c r="M66" i="9"/>
  <c r="L66" i="9"/>
  <c r="K66" i="9"/>
  <c r="J66" i="9"/>
  <c r="I66" i="9"/>
  <c r="H66" i="9"/>
  <c r="G66" i="9"/>
  <c r="F66" i="9"/>
  <c r="D66" i="9"/>
  <c r="N65" i="9"/>
  <c r="M65" i="9"/>
  <c r="L65" i="9"/>
  <c r="K65" i="9"/>
  <c r="J65" i="9"/>
  <c r="I65" i="9"/>
  <c r="H65" i="9"/>
  <c r="G65" i="9"/>
  <c r="F65" i="9"/>
  <c r="D65" i="9"/>
  <c r="N64" i="9"/>
  <c r="M64" i="9"/>
  <c r="L64" i="9"/>
  <c r="K64" i="9"/>
  <c r="J64" i="9"/>
  <c r="I64" i="9"/>
  <c r="H64" i="9"/>
  <c r="G64" i="9"/>
  <c r="F64" i="9"/>
  <c r="D64" i="9"/>
  <c r="N63" i="9"/>
  <c r="M63" i="9"/>
  <c r="L63" i="9"/>
  <c r="K63" i="9"/>
  <c r="J63" i="9"/>
  <c r="I63" i="9"/>
  <c r="H63" i="9"/>
  <c r="G63" i="9"/>
  <c r="F63" i="9"/>
  <c r="D63" i="9"/>
  <c r="N62" i="9"/>
  <c r="M62" i="9"/>
  <c r="L62" i="9"/>
  <c r="K62" i="9"/>
  <c r="J62" i="9"/>
  <c r="I62" i="9"/>
  <c r="H62" i="9"/>
  <c r="G62" i="9"/>
  <c r="F62" i="9"/>
  <c r="E62" i="9"/>
  <c r="D62" i="9"/>
  <c r="C99" i="9" l="1"/>
  <c r="C62" i="9"/>
  <c r="O81" i="9" l="1"/>
  <c r="E9" i="36" l="1"/>
  <c r="E7" i="36"/>
  <c r="D9" i="36" l="1"/>
  <c r="D7" i="36"/>
  <c r="C23" i="36" l="1"/>
  <c r="C22" i="36"/>
  <c r="D21" i="36"/>
  <c r="E21" i="36" s="1"/>
  <c r="I20" i="36"/>
  <c r="D19" i="36"/>
  <c r="I18" i="36"/>
  <c r="I16" i="36"/>
  <c r="C10" i="36"/>
  <c r="F9" i="36"/>
  <c r="G9" i="36" s="1"/>
  <c r="H9" i="36" s="1"/>
  <c r="I8" i="36"/>
  <c r="F7" i="36"/>
  <c r="I6" i="36"/>
  <c r="I22" i="36" l="1"/>
  <c r="D23" i="36"/>
  <c r="E19" i="36"/>
  <c r="F19" i="36" s="1"/>
  <c r="G19" i="36" s="1"/>
  <c r="I10" i="36"/>
  <c r="D10" i="36"/>
  <c r="E22" i="36"/>
  <c r="F21" i="36"/>
  <c r="F10" i="36"/>
  <c r="G7" i="36"/>
  <c r="D22" i="36"/>
  <c r="E23" i="36"/>
  <c r="E10" i="36"/>
  <c r="F23" i="36" l="1"/>
  <c r="H7" i="36"/>
  <c r="H10" i="36" s="1"/>
  <c r="G10" i="36"/>
  <c r="F22" i="36"/>
  <c r="G21" i="36"/>
  <c r="H19" i="36"/>
  <c r="G22" i="36" l="1"/>
  <c r="H21" i="36"/>
  <c r="H22" i="36" s="1"/>
  <c r="G23" i="36"/>
  <c r="H23" i="36" l="1"/>
  <c r="O89" i="9" l="1"/>
  <c r="P89" i="9" s="1"/>
  <c r="C98" i="9"/>
  <c r="C65" i="9"/>
  <c r="C64" i="9"/>
  <c r="O99" i="9" l="1"/>
  <c r="E96" i="9"/>
  <c r="E10" i="2" l="1"/>
  <c r="E29" i="9" l="1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R59" i="9" l="1"/>
  <c r="C66" i="9" l="1"/>
  <c r="O51" i="9"/>
  <c r="AD51" i="9"/>
  <c r="AD57" i="2"/>
  <c r="AD56" i="2"/>
  <c r="O57" i="2"/>
  <c r="O56" i="2"/>
  <c r="O43" i="2"/>
  <c r="O42" i="2"/>
  <c r="AD42" i="2"/>
  <c r="AD66" i="9" l="1"/>
  <c r="O66" i="9"/>
  <c r="R46" i="2"/>
  <c r="R45" i="2"/>
  <c r="R44" i="2"/>
  <c r="R37" i="2"/>
  <c r="S37" i="2"/>
  <c r="T37" i="2"/>
  <c r="U37" i="2"/>
  <c r="V37" i="2"/>
  <c r="W37" i="2"/>
  <c r="X37" i="2"/>
  <c r="Y37" i="2"/>
  <c r="Z37" i="2"/>
  <c r="R38" i="2"/>
  <c r="S38" i="2"/>
  <c r="T38" i="2"/>
  <c r="U38" i="2"/>
  <c r="V38" i="2"/>
  <c r="W38" i="2"/>
  <c r="X38" i="2"/>
  <c r="Y38" i="2"/>
  <c r="Z38" i="2"/>
  <c r="R39" i="2"/>
  <c r="S39" i="2"/>
  <c r="T39" i="2"/>
  <c r="U39" i="2"/>
  <c r="V39" i="2"/>
  <c r="W39" i="2"/>
  <c r="X39" i="2"/>
  <c r="Y39" i="2"/>
  <c r="Z39" i="2"/>
  <c r="R40" i="2"/>
  <c r="S40" i="2"/>
  <c r="T40" i="2"/>
  <c r="U40" i="2"/>
  <c r="V40" i="2"/>
  <c r="W40" i="2"/>
  <c r="X40" i="2"/>
  <c r="Y40" i="2"/>
  <c r="Z40" i="2"/>
  <c r="R41" i="2"/>
  <c r="S41" i="2"/>
  <c r="T41" i="2"/>
  <c r="U41" i="2"/>
  <c r="V41" i="2"/>
  <c r="W41" i="2"/>
  <c r="X41" i="2"/>
  <c r="Y41" i="2"/>
  <c r="Z41" i="2"/>
  <c r="R43" i="2"/>
  <c r="S43" i="2"/>
  <c r="T43" i="2"/>
  <c r="U43" i="2"/>
  <c r="V43" i="2"/>
  <c r="W43" i="2"/>
  <c r="X43" i="2"/>
  <c r="Y43" i="2"/>
  <c r="Z43" i="2"/>
  <c r="S44" i="2"/>
  <c r="T44" i="2"/>
  <c r="U44" i="2"/>
  <c r="V44" i="2"/>
  <c r="W44" i="2"/>
  <c r="X44" i="2"/>
  <c r="Y44" i="2"/>
  <c r="Z44" i="2"/>
  <c r="S45" i="2"/>
  <c r="T45" i="2"/>
  <c r="U45" i="2"/>
  <c r="V45" i="2"/>
  <c r="W45" i="2"/>
  <c r="X45" i="2"/>
  <c r="Y45" i="2"/>
  <c r="Z45" i="2"/>
  <c r="S46" i="2"/>
  <c r="T46" i="2"/>
  <c r="U46" i="2"/>
  <c r="V46" i="2"/>
  <c r="W46" i="2"/>
  <c r="X46" i="2"/>
  <c r="Y46" i="2"/>
  <c r="Z46" i="2"/>
  <c r="D5" i="2"/>
  <c r="N28" i="9" l="1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C43" i="9" l="1"/>
  <c r="D43" i="9"/>
  <c r="E43" i="9"/>
  <c r="F43" i="9"/>
  <c r="G43" i="9"/>
  <c r="H43" i="9"/>
  <c r="I43" i="9"/>
  <c r="J43" i="9"/>
  <c r="K43" i="9"/>
  <c r="L43" i="9"/>
  <c r="M43" i="9"/>
  <c r="N43" i="9"/>
  <c r="O53" i="9"/>
  <c r="O52" i="9"/>
  <c r="O50" i="9"/>
  <c r="O49" i="9"/>
  <c r="O48" i="9"/>
  <c r="O47" i="9"/>
  <c r="O62" i="9" s="1"/>
  <c r="Q30" i="2" l="1"/>
  <c r="AD53" i="9" l="1"/>
  <c r="AD52" i="9"/>
  <c r="AD50" i="9"/>
  <c r="AD65" i="9" s="1"/>
  <c r="AD49" i="9"/>
  <c r="AD64" i="9" s="1"/>
  <c r="AD48" i="9"/>
  <c r="AD63" i="9" s="1"/>
  <c r="AD47" i="9"/>
  <c r="AD62" i="9" s="1"/>
  <c r="K80" i="2" l="1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I74" i="2"/>
  <c r="I76" i="2"/>
  <c r="H76" i="2"/>
  <c r="G76" i="2"/>
  <c r="F76" i="2"/>
  <c r="E76" i="2"/>
  <c r="D76" i="2"/>
  <c r="C76" i="2"/>
  <c r="I75" i="2"/>
  <c r="H75" i="2"/>
  <c r="G75" i="2"/>
  <c r="F75" i="2"/>
  <c r="E75" i="2"/>
  <c r="D75" i="2"/>
  <c r="C75" i="2"/>
  <c r="AD55" i="2"/>
  <c r="AD54" i="2"/>
  <c r="O55" i="2"/>
  <c r="O54" i="2"/>
  <c r="K93" i="9"/>
  <c r="K102" i="9" s="1"/>
  <c r="AC40" i="2" l="1"/>
  <c r="AC75" i="2" s="1"/>
  <c r="AB40" i="2"/>
  <c r="AB75" i="2" s="1"/>
  <c r="AA40" i="2"/>
  <c r="AA75" i="2" s="1"/>
  <c r="Z75" i="2"/>
  <c r="X75" i="2"/>
  <c r="W75" i="2"/>
  <c r="V75" i="2"/>
  <c r="U75" i="2"/>
  <c r="T75" i="2"/>
  <c r="R75" i="2"/>
  <c r="O41" i="2"/>
  <c r="O76" i="2" s="1"/>
  <c r="O40" i="2"/>
  <c r="O75" i="2" s="1"/>
  <c r="I47" i="2"/>
  <c r="K5" i="2"/>
  <c r="AD40" i="2" l="1"/>
  <c r="AD75" i="2" s="1"/>
  <c r="J5" i="2"/>
  <c r="J8" i="2"/>
  <c r="K96" i="9" l="1"/>
  <c r="O64" i="9" l="1"/>
  <c r="I6" i="2" l="1"/>
  <c r="H98" i="2" l="1"/>
  <c r="I80" i="2" l="1"/>
  <c r="I79" i="2"/>
  <c r="I78" i="2"/>
  <c r="I77" i="2"/>
  <c r="I73" i="2"/>
  <c r="I72" i="2"/>
  <c r="H6" i="2" l="1"/>
  <c r="H7" i="2" l="1"/>
  <c r="H13" i="2" l="1"/>
  <c r="G13" i="9" l="1"/>
  <c r="G12" i="9"/>
  <c r="G11" i="9"/>
  <c r="G10" i="9"/>
  <c r="G9" i="9"/>
  <c r="G8" i="9"/>
  <c r="G7" i="9"/>
  <c r="H80" i="2" l="1"/>
  <c r="H79" i="2"/>
  <c r="H78" i="2"/>
  <c r="H77" i="2"/>
  <c r="H74" i="2"/>
  <c r="H73" i="2"/>
  <c r="H72" i="2"/>
  <c r="G28" i="2" l="1"/>
  <c r="G80" i="2" l="1"/>
  <c r="G79" i="2"/>
  <c r="G78" i="2"/>
  <c r="G77" i="2"/>
  <c r="G74" i="2"/>
  <c r="G73" i="2"/>
  <c r="G72" i="2"/>
  <c r="F8" i="2" l="1"/>
  <c r="F5" i="2" l="1"/>
  <c r="AD63" i="2" l="1"/>
  <c r="O63" i="2"/>
  <c r="C72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4" i="2"/>
  <c r="E74" i="2"/>
  <c r="D74" i="2"/>
  <c r="C74" i="2"/>
  <c r="F73" i="2"/>
  <c r="E73" i="2"/>
  <c r="D73" i="2"/>
  <c r="C73" i="2"/>
  <c r="F72" i="2"/>
  <c r="E72" i="2"/>
  <c r="D72" i="2"/>
  <c r="S68" i="2"/>
  <c r="E29" i="2" l="1"/>
  <c r="D29" i="2"/>
  <c r="C29" i="2"/>
  <c r="D68" i="2" l="1"/>
  <c r="AD57" i="9" l="1"/>
  <c r="AD56" i="9"/>
  <c r="AD55" i="9"/>
  <c r="AD54" i="9"/>
  <c r="O57" i="9"/>
  <c r="O56" i="9"/>
  <c r="O55" i="9"/>
  <c r="O54" i="9"/>
  <c r="D29" i="9" l="1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97" i="9" l="1"/>
  <c r="C96" i="9"/>
  <c r="C68" i="9"/>
  <c r="C67" i="9"/>
  <c r="C63" i="9"/>
  <c r="N29" i="9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21" i="9"/>
  <c r="L21" i="9"/>
  <c r="K21" i="9"/>
  <c r="J21" i="9"/>
  <c r="I21" i="9"/>
  <c r="H21" i="9"/>
  <c r="G21" i="9"/>
  <c r="F21" i="9"/>
  <c r="M20" i="9"/>
  <c r="L20" i="9"/>
  <c r="K20" i="9"/>
  <c r="J20" i="9"/>
  <c r="I20" i="9"/>
  <c r="H20" i="9"/>
  <c r="G20" i="9"/>
  <c r="F20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F13" i="9"/>
  <c r="M12" i="9"/>
  <c r="L12" i="9"/>
  <c r="K12" i="9"/>
  <c r="J12" i="9"/>
  <c r="I12" i="9"/>
  <c r="H12" i="9"/>
  <c r="F12" i="9"/>
  <c r="M11" i="9"/>
  <c r="L11" i="9"/>
  <c r="K11" i="9"/>
  <c r="J11" i="9"/>
  <c r="I11" i="9"/>
  <c r="H11" i="9"/>
  <c r="F11" i="9"/>
  <c r="M10" i="9"/>
  <c r="L10" i="9"/>
  <c r="K10" i="9"/>
  <c r="J10" i="9"/>
  <c r="I10" i="9"/>
  <c r="H10" i="9"/>
  <c r="F10" i="9"/>
  <c r="M9" i="9"/>
  <c r="L9" i="9"/>
  <c r="K9" i="9"/>
  <c r="J9" i="9"/>
  <c r="I9" i="9"/>
  <c r="H9" i="9"/>
  <c r="F9" i="9"/>
  <c r="M8" i="9"/>
  <c r="L8" i="9"/>
  <c r="K8" i="9"/>
  <c r="J8" i="9"/>
  <c r="I8" i="9"/>
  <c r="H8" i="9"/>
  <c r="F8" i="9"/>
  <c r="M7" i="9"/>
  <c r="L7" i="9"/>
  <c r="K7" i="9"/>
  <c r="J7" i="9"/>
  <c r="I7" i="9"/>
  <c r="H7" i="9"/>
  <c r="F7" i="9"/>
  <c r="N6" i="9"/>
  <c r="M6" i="9"/>
  <c r="L6" i="9"/>
  <c r="K6" i="9"/>
  <c r="J6" i="9"/>
  <c r="I6" i="9"/>
  <c r="H6" i="9"/>
  <c r="G6" i="9"/>
  <c r="F6" i="9"/>
  <c r="E6" i="9"/>
  <c r="N5" i="9"/>
  <c r="M5" i="9"/>
  <c r="L5" i="9"/>
  <c r="K5" i="9"/>
  <c r="J5" i="9"/>
  <c r="I5" i="9"/>
  <c r="H5" i="9"/>
  <c r="G5" i="9"/>
  <c r="F5" i="9"/>
  <c r="E5" i="9"/>
  <c r="C6" i="9"/>
  <c r="C5" i="9"/>
  <c r="C5" i="2"/>
  <c r="O38" i="2"/>
  <c r="O39" i="2"/>
  <c r="O44" i="2"/>
  <c r="O45" i="2"/>
  <c r="C103" i="2"/>
  <c r="R80" i="2"/>
  <c r="R78" i="2"/>
  <c r="K30" i="9" l="1"/>
  <c r="AC59" i="9"/>
  <c r="AB59" i="9"/>
  <c r="AA59" i="9"/>
  <c r="Z59" i="9"/>
  <c r="Y59" i="9"/>
  <c r="X59" i="9"/>
  <c r="W59" i="9"/>
  <c r="V59" i="9"/>
  <c r="U59" i="9"/>
  <c r="T59" i="9"/>
  <c r="S59" i="9"/>
  <c r="AD58" i="9"/>
  <c r="AC68" i="2"/>
  <c r="AB68" i="2"/>
  <c r="AA68" i="2"/>
  <c r="Z68" i="2"/>
  <c r="Y68" i="2"/>
  <c r="X68" i="2"/>
  <c r="W68" i="2"/>
  <c r="V68" i="2"/>
  <c r="U68" i="2"/>
  <c r="T68" i="2"/>
  <c r="R68" i="2"/>
  <c r="AD67" i="2"/>
  <c r="AD65" i="2"/>
  <c r="AD64" i="2"/>
  <c r="AD62" i="2"/>
  <c r="AD61" i="2"/>
  <c r="AD60" i="2"/>
  <c r="AD59" i="2"/>
  <c r="AD58" i="2"/>
  <c r="AD53" i="2"/>
  <c r="AD52" i="2"/>
  <c r="AD51" i="2"/>
  <c r="AD68" i="2" l="1"/>
  <c r="AD59" i="9"/>
  <c r="E103" i="2" l="1"/>
  <c r="C102" i="2"/>
  <c r="E101" i="2"/>
  <c r="C101" i="2"/>
  <c r="AC46" i="2"/>
  <c r="AC80" i="2" s="1"/>
  <c r="AB46" i="2"/>
  <c r="AB80" i="2" s="1"/>
  <c r="AA46" i="2"/>
  <c r="AA80" i="2" s="1"/>
  <c r="Z80" i="2"/>
  <c r="Y80" i="2"/>
  <c r="X80" i="2"/>
  <c r="W80" i="2"/>
  <c r="V80" i="2"/>
  <c r="U80" i="2"/>
  <c r="T80" i="2"/>
  <c r="S80" i="2"/>
  <c r="AC45" i="2"/>
  <c r="AC79" i="2" s="1"/>
  <c r="AB45" i="2"/>
  <c r="AB79" i="2" s="1"/>
  <c r="AA45" i="2"/>
  <c r="AA79" i="2" s="1"/>
  <c r="Z79" i="2"/>
  <c r="Y79" i="2"/>
  <c r="X79" i="2"/>
  <c r="W79" i="2"/>
  <c r="V79" i="2"/>
  <c r="U79" i="2"/>
  <c r="T79" i="2"/>
  <c r="S79" i="2"/>
  <c r="R79" i="2"/>
  <c r="AC44" i="2"/>
  <c r="AC78" i="2" s="1"/>
  <c r="AB44" i="2"/>
  <c r="AB78" i="2" s="1"/>
  <c r="AA44" i="2"/>
  <c r="AA78" i="2" s="1"/>
  <c r="Z78" i="2"/>
  <c r="Y78" i="2"/>
  <c r="X78" i="2"/>
  <c r="W78" i="2"/>
  <c r="V78" i="2"/>
  <c r="U78" i="2"/>
  <c r="T78" i="2"/>
  <c r="S78" i="2"/>
  <c r="AC43" i="2"/>
  <c r="AC77" i="2" s="1"/>
  <c r="AB43" i="2"/>
  <c r="AB77" i="2" s="1"/>
  <c r="AA43" i="2"/>
  <c r="Z77" i="2"/>
  <c r="Y77" i="2"/>
  <c r="X77" i="2"/>
  <c r="W77" i="2"/>
  <c r="V77" i="2"/>
  <c r="U77" i="2"/>
  <c r="T77" i="2"/>
  <c r="S77" i="2"/>
  <c r="R77" i="2"/>
  <c r="AC41" i="2"/>
  <c r="AB41" i="2"/>
  <c r="AB76" i="2" s="1"/>
  <c r="AA41" i="2"/>
  <c r="AA76" i="2" s="1"/>
  <c r="AC39" i="2"/>
  <c r="AC74" i="2" s="1"/>
  <c r="AB39" i="2"/>
  <c r="AB74" i="2" s="1"/>
  <c r="AA39" i="2"/>
  <c r="AA74" i="2" s="1"/>
  <c r="Z74" i="2"/>
  <c r="X74" i="2"/>
  <c r="W74" i="2"/>
  <c r="V74" i="2"/>
  <c r="U74" i="2"/>
  <c r="T74" i="2"/>
  <c r="R74" i="2"/>
  <c r="AC38" i="2"/>
  <c r="AC73" i="2" s="1"/>
  <c r="AC81" i="2" s="1"/>
  <c r="AB38" i="2"/>
  <c r="AB73" i="2" s="1"/>
  <c r="AA38" i="2"/>
  <c r="AA73" i="2" s="1"/>
  <c r="Z73" i="2"/>
  <c r="Y73" i="2"/>
  <c r="X73" i="2"/>
  <c r="W73" i="2"/>
  <c r="V73" i="2"/>
  <c r="U73" i="2"/>
  <c r="T73" i="2"/>
  <c r="S73" i="2"/>
  <c r="R73" i="2"/>
  <c r="AC37" i="2"/>
  <c r="AB37" i="2"/>
  <c r="AA37" i="2"/>
  <c r="Z72" i="2"/>
  <c r="Y72" i="2"/>
  <c r="X72" i="2"/>
  <c r="W72" i="2"/>
  <c r="V72" i="2"/>
  <c r="U72" i="2"/>
  <c r="T72" i="2"/>
  <c r="S72" i="2"/>
  <c r="R72" i="2"/>
  <c r="AA77" i="2" l="1"/>
  <c r="AD43" i="2"/>
  <c r="R76" i="2"/>
  <c r="AD41" i="2"/>
  <c r="AD76" i="2" s="1"/>
  <c r="E5" i="2"/>
  <c r="G5" i="2"/>
  <c r="H5" i="2"/>
  <c r="I5" i="2"/>
  <c r="L5" i="2"/>
  <c r="M5" i="2"/>
  <c r="N5" i="2"/>
  <c r="C6" i="2"/>
  <c r="D6" i="2"/>
  <c r="E6" i="2"/>
  <c r="F6" i="2"/>
  <c r="G6" i="2"/>
  <c r="J6" i="2"/>
  <c r="K6" i="2"/>
  <c r="L6" i="2"/>
  <c r="M6" i="2"/>
  <c r="N6" i="2"/>
  <c r="C7" i="2"/>
  <c r="D7" i="2"/>
  <c r="E7" i="2"/>
  <c r="F7" i="2"/>
  <c r="G7" i="2"/>
  <c r="I7" i="2"/>
  <c r="J7" i="2"/>
  <c r="K7" i="2"/>
  <c r="L7" i="2"/>
  <c r="M7" i="2"/>
  <c r="N7" i="2"/>
  <c r="C8" i="2"/>
  <c r="D8" i="2"/>
  <c r="E8" i="2"/>
  <c r="G8" i="2"/>
  <c r="H8" i="2"/>
  <c r="I8" i="2"/>
  <c r="K8" i="2"/>
  <c r="L8" i="2"/>
  <c r="M8" i="2"/>
  <c r="N8" i="2"/>
  <c r="C9" i="2"/>
  <c r="D9" i="2"/>
  <c r="E9" i="2"/>
  <c r="F9" i="2"/>
  <c r="G9" i="2"/>
  <c r="H9" i="2"/>
  <c r="I9" i="2"/>
  <c r="J9" i="2"/>
  <c r="K9" i="2"/>
  <c r="L9" i="2"/>
  <c r="M9" i="2"/>
  <c r="N9" i="2"/>
  <c r="C10" i="2"/>
  <c r="D10" i="2"/>
  <c r="F10" i="2"/>
  <c r="G10" i="2"/>
  <c r="H10" i="2"/>
  <c r="I10" i="2"/>
  <c r="J10" i="2"/>
  <c r="K10" i="2"/>
  <c r="L10" i="2"/>
  <c r="M10" i="2"/>
  <c r="N10" i="2"/>
  <c r="C11" i="2"/>
  <c r="D11" i="2"/>
  <c r="E11" i="2"/>
  <c r="F11" i="2"/>
  <c r="G11" i="2"/>
  <c r="H11" i="2"/>
  <c r="I11" i="2"/>
  <c r="J11" i="2"/>
  <c r="K11" i="2"/>
  <c r="L11" i="2"/>
  <c r="M11" i="2"/>
  <c r="N11" i="2"/>
  <c r="C12" i="2"/>
  <c r="D12" i="2"/>
  <c r="E12" i="2"/>
  <c r="F12" i="2"/>
  <c r="G12" i="2"/>
  <c r="H12" i="2"/>
  <c r="I12" i="2"/>
  <c r="J12" i="2"/>
  <c r="K12" i="2"/>
  <c r="L12" i="2"/>
  <c r="M12" i="2"/>
  <c r="N12" i="2"/>
  <c r="C13" i="2"/>
  <c r="D13" i="2"/>
  <c r="E13" i="2"/>
  <c r="F13" i="2"/>
  <c r="G13" i="2"/>
  <c r="I13" i="2"/>
  <c r="J13" i="2"/>
  <c r="K13" i="2"/>
  <c r="L13" i="2"/>
  <c r="M13" i="2"/>
  <c r="N13" i="2"/>
  <c r="C14" i="2"/>
  <c r="D14" i="2"/>
  <c r="E14" i="2"/>
  <c r="F14" i="2"/>
  <c r="G14" i="2"/>
  <c r="H14" i="2"/>
  <c r="I14" i="2"/>
  <c r="J14" i="2"/>
  <c r="K14" i="2"/>
  <c r="L14" i="2"/>
  <c r="M14" i="2"/>
  <c r="N14" i="2"/>
  <c r="C15" i="2"/>
  <c r="D15" i="2"/>
  <c r="E15" i="2"/>
  <c r="F15" i="2"/>
  <c r="G15" i="2"/>
  <c r="H15" i="2"/>
  <c r="I15" i="2"/>
  <c r="J15" i="2"/>
  <c r="K15" i="2"/>
  <c r="L15" i="2"/>
  <c r="M15" i="2"/>
  <c r="N15" i="2"/>
  <c r="C16" i="2"/>
  <c r="D16" i="2"/>
  <c r="E16" i="2"/>
  <c r="F16" i="2"/>
  <c r="G16" i="2"/>
  <c r="H16" i="2"/>
  <c r="I16" i="2"/>
  <c r="J16" i="2"/>
  <c r="K16" i="2"/>
  <c r="L16" i="2"/>
  <c r="M16" i="2"/>
  <c r="N16" i="2"/>
  <c r="C17" i="2"/>
  <c r="D17" i="2"/>
  <c r="E17" i="2"/>
  <c r="F17" i="2"/>
  <c r="G17" i="2"/>
  <c r="H17" i="2"/>
  <c r="I17" i="2"/>
  <c r="J17" i="2"/>
  <c r="K17" i="2"/>
  <c r="L17" i="2"/>
  <c r="M17" i="2"/>
  <c r="N17" i="2"/>
  <c r="C18" i="2"/>
  <c r="D18" i="2"/>
  <c r="E18" i="2"/>
  <c r="F18" i="2"/>
  <c r="G18" i="2"/>
  <c r="H18" i="2"/>
  <c r="I18" i="2"/>
  <c r="J18" i="2"/>
  <c r="K18" i="2"/>
  <c r="L18" i="2"/>
  <c r="M18" i="2"/>
  <c r="N18" i="2"/>
  <c r="C19" i="2"/>
  <c r="D19" i="2"/>
  <c r="E19" i="2"/>
  <c r="F19" i="2"/>
  <c r="G19" i="2"/>
  <c r="H19" i="2"/>
  <c r="I19" i="2"/>
  <c r="J19" i="2"/>
  <c r="K19" i="2"/>
  <c r="L19" i="2"/>
  <c r="M19" i="2"/>
  <c r="N19" i="2"/>
  <c r="C20" i="2"/>
  <c r="D20" i="2"/>
  <c r="E20" i="2"/>
  <c r="F20" i="2"/>
  <c r="G20" i="2"/>
  <c r="H20" i="2"/>
  <c r="I20" i="2"/>
  <c r="J20" i="2"/>
  <c r="K20" i="2"/>
  <c r="L20" i="2"/>
  <c r="M20" i="2"/>
  <c r="N20" i="2"/>
  <c r="C21" i="2"/>
  <c r="D21" i="2"/>
  <c r="E21" i="2"/>
  <c r="F21" i="2"/>
  <c r="G21" i="2"/>
  <c r="H21" i="2"/>
  <c r="I21" i="2"/>
  <c r="J21" i="2"/>
  <c r="K21" i="2"/>
  <c r="L21" i="2"/>
  <c r="M21" i="2"/>
  <c r="N21" i="2"/>
  <c r="C22" i="2"/>
  <c r="D22" i="2"/>
  <c r="E22" i="2"/>
  <c r="F22" i="2"/>
  <c r="G22" i="2"/>
  <c r="H22" i="2"/>
  <c r="I22" i="2"/>
  <c r="J22" i="2"/>
  <c r="K22" i="2"/>
  <c r="L22" i="2"/>
  <c r="M22" i="2"/>
  <c r="N22" i="2"/>
  <c r="C23" i="2"/>
  <c r="D23" i="2"/>
  <c r="E23" i="2"/>
  <c r="F23" i="2"/>
  <c r="G23" i="2"/>
  <c r="H23" i="2"/>
  <c r="I23" i="2"/>
  <c r="J23" i="2"/>
  <c r="K23" i="2"/>
  <c r="L23" i="2"/>
  <c r="M23" i="2"/>
  <c r="N23" i="2"/>
  <c r="C24" i="2"/>
  <c r="D24" i="2"/>
  <c r="E24" i="2"/>
  <c r="F24" i="2"/>
  <c r="G24" i="2"/>
  <c r="H24" i="2"/>
  <c r="I24" i="2"/>
  <c r="J24" i="2"/>
  <c r="K24" i="2"/>
  <c r="L24" i="2"/>
  <c r="M24" i="2"/>
  <c r="N24" i="2"/>
  <c r="C25" i="2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C27" i="2"/>
  <c r="D27" i="2"/>
  <c r="E27" i="2"/>
  <c r="F27" i="2"/>
  <c r="G27" i="2"/>
  <c r="H27" i="2"/>
  <c r="I27" i="2"/>
  <c r="J27" i="2"/>
  <c r="K27" i="2"/>
  <c r="L27" i="2"/>
  <c r="M27" i="2"/>
  <c r="N27" i="2"/>
  <c r="C28" i="2"/>
  <c r="D28" i="2"/>
  <c r="E28" i="2"/>
  <c r="F28" i="2"/>
  <c r="H28" i="2"/>
  <c r="I28" i="2"/>
  <c r="J28" i="2"/>
  <c r="K28" i="2"/>
  <c r="L28" i="2"/>
  <c r="M28" i="2"/>
  <c r="N28" i="2"/>
  <c r="C30" i="2" l="1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7" i="2"/>
  <c r="O13" i="2"/>
  <c r="O12" i="2"/>
  <c r="O11" i="2"/>
  <c r="O10" i="2"/>
  <c r="O9" i="2"/>
  <c r="O8" i="2"/>
  <c r="L30" i="2"/>
  <c r="K30" i="2"/>
  <c r="J30" i="2"/>
  <c r="I30" i="2"/>
  <c r="H30" i="2"/>
  <c r="K59" i="9" l="1"/>
  <c r="L59" i="9"/>
  <c r="O53" i="2" l="1"/>
  <c r="O74" i="2" s="1"/>
  <c r="O65" i="9" l="1"/>
  <c r="O92" i="9" l="1"/>
  <c r="P92" i="9" l="1"/>
  <c r="K91" i="2"/>
  <c r="L69" i="9" l="1"/>
  <c r="O68" i="9"/>
  <c r="O67" i="9"/>
  <c r="O63" i="9"/>
  <c r="O43" i="9" l="1"/>
  <c r="G30" i="2"/>
  <c r="F30" i="2"/>
  <c r="E30" i="2"/>
  <c r="N38" i="19" l="1"/>
  <c r="M38" i="19"/>
  <c r="L38" i="19"/>
  <c r="K38" i="19"/>
  <c r="J38" i="19"/>
  <c r="I38" i="19"/>
  <c r="H38" i="19"/>
  <c r="G38" i="19"/>
  <c r="F38" i="19"/>
  <c r="E38" i="19"/>
  <c r="D38" i="19"/>
  <c r="C38" i="19"/>
  <c r="O37" i="19"/>
  <c r="O36" i="19"/>
  <c r="O35" i="19"/>
  <c r="O34" i="19"/>
  <c r="O38" i="19" s="1"/>
  <c r="N47" i="19"/>
  <c r="M47" i="19"/>
  <c r="L47" i="19"/>
  <c r="K47" i="19"/>
  <c r="J47" i="19"/>
  <c r="I47" i="19"/>
  <c r="H47" i="19"/>
  <c r="G47" i="19"/>
  <c r="F47" i="19"/>
  <c r="E47" i="19"/>
  <c r="D47" i="19"/>
  <c r="C47" i="19"/>
  <c r="O46" i="19"/>
  <c r="O45" i="19"/>
  <c r="O44" i="19"/>
  <c r="O43" i="19"/>
  <c r="O42" i="19"/>
  <c r="O41" i="19"/>
  <c r="O47" i="19" l="1"/>
  <c r="C75" i="20" l="1"/>
  <c r="C74" i="20"/>
  <c r="C73" i="20"/>
  <c r="C72" i="20"/>
  <c r="C71" i="20"/>
  <c r="C70" i="20"/>
  <c r="C69" i="20"/>
  <c r="C68" i="20"/>
  <c r="E71" i="20"/>
  <c r="N75" i="20"/>
  <c r="M75" i="20"/>
  <c r="L75" i="20"/>
  <c r="K75" i="20"/>
  <c r="J75" i="20"/>
  <c r="I75" i="20"/>
  <c r="H75" i="20"/>
  <c r="G75" i="20"/>
  <c r="F75" i="20"/>
  <c r="E75" i="20"/>
  <c r="D75" i="20"/>
  <c r="N74" i="20"/>
  <c r="M74" i="20"/>
  <c r="L74" i="20"/>
  <c r="K74" i="20"/>
  <c r="J74" i="20"/>
  <c r="I74" i="20"/>
  <c r="H74" i="20"/>
  <c r="G74" i="20"/>
  <c r="F74" i="20"/>
  <c r="E74" i="20"/>
  <c r="D74" i="20"/>
  <c r="N73" i="20"/>
  <c r="M73" i="20"/>
  <c r="L73" i="20"/>
  <c r="K73" i="20"/>
  <c r="J73" i="20"/>
  <c r="I73" i="20"/>
  <c r="H73" i="20"/>
  <c r="G73" i="20"/>
  <c r="F73" i="20"/>
  <c r="E73" i="20"/>
  <c r="D73" i="20"/>
  <c r="N72" i="20"/>
  <c r="M72" i="20"/>
  <c r="L72" i="20"/>
  <c r="K72" i="20"/>
  <c r="J72" i="20"/>
  <c r="I72" i="20"/>
  <c r="H72" i="20"/>
  <c r="G72" i="20"/>
  <c r="F72" i="20"/>
  <c r="E72" i="20"/>
  <c r="D72" i="20"/>
  <c r="N71" i="20"/>
  <c r="M71" i="20"/>
  <c r="L71" i="20"/>
  <c r="K71" i="20"/>
  <c r="N70" i="20"/>
  <c r="M70" i="20"/>
  <c r="L70" i="20"/>
  <c r="K70" i="20"/>
  <c r="J70" i="20"/>
  <c r="I70" i="20"/>
  <c r="H70" i="20"/>
  <c r="G70" i="20"/>
  <c r="F70" i="20"/>
  <c r="E70" i="20"/>
  <c r="D70" i="20"/>
  <c r="N69" i="20"/>
  <c r="M69" i="20"/>
  <c r="L69" i="20"/>
  <c r="K69" i="20"/>
  <c r="J69" i="20"/>
  <c r="I69" i="20"/>
  <c r="H69" i="20"/>
  <c r="G69" i="20"/>
  <c r="F69" i="20"/>
  <c r="E69" i="20"/>
  <c r="D69" i="20"/>
  <c r="N68" i="20"/>
  <c r="N76" i="20" s="1"/>
  <c r="M68" i="20"/>
  <c r="M76" i="20" s="1"/>
  <c r="L68" i="20"/>
  <c r="L76" i="20" s="1"/>
  <c r="K68" i="20"/>
  <c r="K76" i="20" s="1"/>
  <c r="J68" i="20"/>
  <c r="J76" i="20" s="1"/>
  <c r="I68" i="20"/>
  <c r="I76" i="20" s="1"/>
  <c r="H68" i="20"/>
  <c r="H76" i="20" s="1"/>
  <c r="G68" i="20"/>
  <c r="G76" i="20" s="1"/>
  <c r="F68" i="20"/>
  <c r="F76" i="20" s="1"/>
  <c r="E68" i="20"/>
  <c r="D68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N45" i="20"/>
  <c r="M45" i="20"/>
  <c r="L45" i="20"/>
  <c r="K45" i="20"/>
  <c r="J45" i="20"/>
  <c r="I45" i="20"/>
  <c r="H45" i="20"/>
  <c r="G45" i="20"/>
  <c r="F45" i="20"/>
  <c r="E45" i="20"/>
  <c r="D45" i="20"/>
  <c r="D76" i="20" s="1"/>
  <c r="C45" i="20"/>
  <c r="O44" i="20"/>
  <c r="O43" i="20"/>
  <c r="O42" i="20"/>
  <c r="O41" i="20"/>
  <c r="O40" i="20"/>
  <c r="O39" i="20"/>
  <c r="O38" i="20"/>
  <c r="O37" i="20"/>
  <c r="C76" i="20" l="1"/>
  <c r="E76" i="20"/>
  <c r="O69" i="20"/>
  <c r="O71" i="20"/>
  <c r="O75" i="20"/>
  <c r="O45" i="20"/>
  <c r="O68" i="20"/>
  <c r="O70" i="20"/>
  <c r="O72" i="20"/>
  <c r="O74" i="20"/>
  <c r="O73" i="20"/>
  <c r="O64" i="20"/>
  <c r="O76" i="20" s="1"/>
  <c r="O97" i="2" l="1"/>
  <c r="C53" i="19" l="1"/>
  <c r="C52" i="19"/>
  <c r="C51" i="19"/>
  <c r="C50" i="19"/>
  <c r="N98" i="2" l="1"/>
  <c r="L98" i="2" l="1"/>
  <c r="M98" i="2"/>
  <c r="M68" i="2"/>
  <c r="N30" i="2" l="1"/>
  <c r="M30" i="2"/>
  <c r="D30" i="2"/>
  <c r="O29" i="2"/>
  <c r="R29" i="2" s="1"/>
  <c r="R20" i="2"/>
  <c r="N30" i="9"/>
  <c r="M30" i="9"/>
  <c r="L30" i="9"/>
  <c r="J30" i="9"/>
  <c r="I30" i="9"/>
  <c r="H30" i="9"/>
  <c r="G30" i="9"/>
  <c r="F30" i="9"/>
  <c r="E30" i="9"/>
  <c r="D30" i="9"/>
  <c r="C30" i="9"/>
  <c r="O29" i="9"/>
  <c r="O20" i="9"/>
  <c r="L51" i="19" l="1"/>
  <c r="L52" i="19"/>
  <c r="L53" i="19"/>
  <c r="AD45" i="20" l="1"/>
  <c r="AC45" i="20"/>
  <c r="AB45" i="20"/>
  <c r="AA45" i="20"/>
  <c r="Z45" i="20"/>
  <c r="Y45" i="20"/>
  <c r="X45" i="20"/>
  <c r="W45" i="20"/>
  <c r="V45" i="20"/>
  <c r="U45" i="20"/>
  <c r="T45" i="20"/>
  <c r="S45" i="20"/>
  <c r="AE44" i="20"/>
  <c r="AE43" i="20"/>
  <c r="AE42" i="20"/>
  <c r="AE41" i="20"/>
  <c r="AE40" i="20"/>
  <c r="AE39" i="20"/>
  <c r="AE38" i="20"/>
  <c r="AE37" i="20"/>
  <c r="N53" i="19"/>
  <c r="M53" i="19"/>
  <c r="K53" i="19"/>
  <c r="J53" i="19"/>
  <c r="I53" i="19"/>
  <c r="H53" i="19"/>
  <c r="G53" i="19"/>
  <c r="F53" i="19"/>
  <c r="E53" i="19"/>
  <c r="D53" i="19"/>
  <c r="N52" i="19"/>
  <c r="M52" i="19"/>
  <c r="K52" i="19"/>
  <c r="J52" i="19"/>
  <c r="I52" i="19"/>
  <c r="H52" i="19"/>
  <c r="G52" i="19"/>
  <c r="F52" i="19"/>
  <c r="E52" i="19"/>
  <c r="D52" i="19"/>
  <c r="N51" i="19"/>
  <c r="M51" i="19"/>
  <c r="K51" i="19"/>
  <c r="J51" i="19"/>
  <c r="I51" i="19"/>
  <c r="H51" i="19"/>
  <c r="G51" i="19"/>
  <c r="F51" i="19"/>
  <c r="E51" i="19"/>
  <c r="D51" i="19"/>
  <c r="N50" i="19"/>
  <c r="M50" i="19"/>
  <c r="L50" i="19"/>
  <c r="K50" i="19"/>
  <c r="J50" i="19"/>
  <c r="I50" i="19"/>
  <c r="H50" i="19"/>
  <c r="G50" i="19"/>
  <c r="F50" i="19"/>
  <c r="E50" i="19"/>
  <c r="D50" i="19"/>
  <c r="P44" i="20"/>
  <c r="P42" i="20"/>
  <c r="P41" i="20"/>
  <c r="P39" i="20"/>
  <c r="P37" i="20"/>
  <c r="D54" i="19" l="1"/>
  <c r="F54" i="19"/>
  <c r="H54" i="19"/>
  <c r="J54" i="19"/>
  <c r="L54" i="19"/>
  <c r="N54" i="19"/>
  <c r="C54" i="19"/>
  <c r="E54" i="19"/>
  <c r="G54" i="19"/>
  <c r="I54" i="19"/>
  <c r="K54" i="19"/>
  <c r="P38" i="20"/>
  <c r="P40" i="20"/>
  <c r="P43" i="20"/>
  <c r="M54" i="19"/>
  <c r="O51" i="19"/>
  <c r="O53" i="19"/>
  <c r="AE45" i="20"/>
  <c r="O52" i="19"/>
  <c r="O50" i="19"/>
  <c r="O54" i="19" l="1"/>
  <c r="P45" i="20"/>
  <c r="N48" i="27" l="1"/>
  <c r="M48" i="27"/>
  <c r="L48" i="27"/>
  <c r="K48" i="27"/>
  <c r="J48" i="27"/>
  <c r="I48" i="27"/>
  <c r="H48" i="27"/>
  <c r="G48" i="27"/>
  <c r="F48" i="27"/>
  <c r="E48" i="27"/>
  <c r="D48" i="27"/>
  <c r="C48" i="27"/>
  <c r="N47" i="27"/>
  <c r="M47" i="27"/>
  <c r="L47" i="27"/>
  <c r="K47" i="27"/>
  <c r="J47" i="27"/>
  <c r="I47" i="27"/>
  <c r="H47" i="27"/>
  <c r="G47" i="27"/>
  <c r="F47" i="27"/>
  <c r="E47" i="27"/>
  <c r="D47" i="27"/>
  <c r="C47" i="27"/>
  <c r="N46" i="27"/>
  <c r="M46" i="27"/>
  <c r="L46" i="27"/>
  <c r="K46" i="27"/>
  <c r="J46" i="27"/>
  <c r="I46" i="27"/>
  <c r="H46" i="27"/>
  <c r="G46" i="27"/>
  <c r="F46" i="27"/>
  <c r="E46" i="27"/>
  <c r="D46" i="27"/>
  <c r="C46" i="27"/>
  <c r="N45" i="27"/>
  <c r="M45" i="27"/>
  <c r="L45" i="27"/>
  <c r="K45" i="27"/>
  <c r="J45" i="27"/>
  <c r="I45" i="27"/>
  <c r="D45" i="27"/>
  <c r="C45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O40" i="27"/>
  <c r="O39" i="27"/>
  <c r="O38" i="27"/>
  <c r="O37" i="27"/>
  <c r="O36" i="27"/>
  <c r="O35" i="27"/>
  <c r="O34" i="27"/>
  <c r="N31" i="27"/>
  <c r="M31" i="27"/>
  <c r="M49" i="27" s="1"/>
  <c r="L31" i="27"/>
  <c r="K31" i="27"/>
  <c r="J31" i="27"/>
  <c r="I31" i="27"/>
  <c r="I49" i="27" s="1"/>
  <c r="H31" i="27"/>
  <c r="H49" i="27" s="1"/>
  <c r="G31" i="27"/>
  <c r="F31" i="27"/>
  <c r="E31" i="27"/>
  <c r="E49" i="27" s="1"/>
  <c r="D31" i="27"/>
  <c r="D49" i="27" s="1"/>
  <c r="C31" i="27"/>
  <c r="O30" i="27"/>
  <c r="O29" i="27"/>
  <c r="O47" i="27" s="1"/>
  <c r="O28" i="27"/>
  <c r="O27" i="27"/>
  <c r="O26" i="27"/>
  <c r="G49" i="27" l="1"/>
  <c r="K49" i="27"/>
  <c r="C49" i="27"/>
  <c r="F49" i="27"/>
  <c r="J49" i="27"/>
  <c r="N49" i="27"/>
  <c r="O45" i="27"/>
  <c r="O48" i="27"/>
  <c r="O46" i="27"/>
  <c r="O44" i="27"/>
  <c r="L49" i="27"/>
  <c r="O41" i="27"/>
  <c r="O31" i="27"/>
  <c r="O49" i="27" l="1"/>
  <c r="R25" i="2" l="1"/>
  <c r="K98" i="2"/>
  <c r="AD39" i="2" l="1"/>
  <c r="AD74" i="2" s="1"/>
  <c r="O52" i="2"/>
  <c r="N68" i="2" l="1"/>
  <c r="L68" i="2"/>
  <c r="K68" i="2"/>
  <c r="J68" i="2"/>
  <c r="I68" i="2"/>
  <c r="H68" i="2"/>
  <c r="G68" i="2"/>
  <c r="F68" i="2"/>
  <c r="E68" i="2"/>
  <c r="C68" i="2"/>
  <c r="O25" i="9" l="1"/>
  <c r="R26" i="2" l="1"/>
  <c r="O26" i="9"/>
  <c r="O24" i="9"/>
  <c r="O67" i="2" l="1"/>
  <c r="O65" i="2"/>
  <c r="O64" i="2"/>
  <c r="O62" i="2"/>
  <c r="O61" i="2"/>
  <c r="O60" i="2"/>
  <c r="O59" i="2"/>
  <c r="O79" i="2" s="1"/>
  <c r="O58" i="2"/>
  <c r="O78" i="2" s="1"/>
  <c r="O77" i="2"/>
  <c r="O51" i="2"/>
  <c r="N59" i="9"/>
  <c r="N69" i="9" s="1"/>
  <c r="M59" i="9"/>
  <c r="M69" i="9" s="1"/>
  <c r="K69" i="9"/>
  <c r="J59" i="9"/>
  <c r="J69" i="9" s="1"/>
  <c r="O58" i="9"/>
  <c r="O59" i="9" l="1"/>
  <c r="O69" i="9" s="1"/>
  <c r="O68" i="2"/>
  <c r="I59" i="9"/>
  <c r="I69" i="9" s="1"/>
  <c r="H59" i="9"/>
  <c r="H69" i="9" s="1"/>
  <c r="F59" i="9" l="1"/>
  <c r="F69" i="9" s="1"/>
  <c r="G59" i="9" l="1"/>
  <c r="G69" i="9" s="1"/>
  <c r="E59" i="9"/>
  <c r="E69" i="9" s="1"/>
  <c r="D59" i="9"/>
  <c r="D69" i="9" s="1"/>
  <c r="C59" i="9"/>
  <c r="C69" i="9" s="1"/>
  <c r="I98" i="2" l="1"/>
  <c r="G98" i="2"/>
  <c r="F98" i="2"/>
  <c r="E98" i="2"/>
  <c r="D98" i="2"/>
  <c r="C98" i="2"/>
  <c r="J98" i="2"/>
  <c r="AF44" i="20" l="1"/>
  <c r="AF43" i="20"/>
  <c r="AF42" i="20"/>
  <c r="AF41" i="20"/>
  <c r="AF40" i="20"/>
  <c r="AF39" i="20"/>
  <c r="AF38" i="20"/>
  <c r="AF37" i="20"/>
  <c r="R24" i="2" l="1"/>
  <c r="N93" i="9" l="1"/>
  <c r="N102" i="9" s="1"/>
  <c r="M93" i="9"/>
  <c r="M102" i="9" s="1"/>
  <c r="L93" i="9"/>
  <c r="L102" i="9" s="1"/>
  <c r="J93" i="9"/>
  <c r="J102" i="9" s="1"/>
  <c r="I93" i="9"/>
  <c r="I102" i="9" s="1"/>
  <c r="H93" i="9"/>
  <c r="H102" i="9" s="1"/>
  <c r="G93" i="9"/>
  <c r="G102" i="9" s="1"/>
  <c r="F93" i="9"/>
  <c r="F102" i="9" s="1"/>
  <c r="E93" i="9"/>
  <c r="E102" i="9" s="1"/>
  <c r="D93" i="9"/>
  <c r="D102" i="9" s="1"/>
  <c r="C93" i="9"/>
  <c r="AC43" i="9" l="1"/>
  <c r="AC69" i="9" s="1"/>
  <c r="AB43" i="9"/>
  <c r="AB69" i="9" s="1"/>
  <c r="AA43" i="9"/>
  <c r="AA69" i="9" s="1"/>
  <c r="Z43" i="9"/>
  <c r="Z69" i="9" s="1"/>
  <c r="Y43" i="9"/>
  <c r="Y69" i="9" s="1"/>
  <c r="X43" i="9"/>
  <c r="X69" i="9" s="1"/>
  <c r="W43" i="9"/>
  <c r="W69" i="9" s="1"/>
  <c r="V43" i="9"/>
  <c r="V69" i="9" s="1"/>
  <c r="U43" i="9"/>
  <c r="U69" i="9" s="1"/>
  <c r="T43" i="9"/>
  <c r="T69" i="9" s="1"/>
  <c r="S43" i="9"/>
  <c r="S69" i="9" s="1"/>
  <c r="R43" i="9"/>
  <c r="R69" i="9" s="1"/>
  <c r="AD68" i="9"/>
  <c r="AD67" i="9"/>
  <c r="AD43" i="9" l="1"/>
  <c r="AD69" i="9" s="1"/>
  <c r="AC47" i="2"/>
  <c r="AB47" i="2"/>
  <c r="AB81" i="2" s="1"/>
  <c r="AA47" i="2"/>
  <c r="AA81" i="2" s="1"/>
  <c r="Z47" i="2"/>
  <c r="Z81" i="2" s="1"/>
  <c r="Y47" i="2"/>
  <c r="Y81" i="2" s="1"/>
  <c r="X47" i="2"/>
  <c r="X81" i="2" s="1"/>
  <c r="W47" i="2"/>
  <c r="W81" i="2" s="1"/>
  <c r="V47" i="2"/>
  <c r="V81" i="2" s="1"/>
  <c r="U47" i="2"/>
  <c r="U81" i="2" s="1"/>
  <c r="T47" i="2"/>
  <c r="T81" i="2" s="1"/>
  <c r="S47" i="2"/>
  <c r="S81" i="2" s="1"/>
  <c r="R47" i="2"/>
  <c r="R81" i="2" s="1"/>
  <c r="AD46" i="2"/>
  <c r="AD80" i="2" s="1"/>
  <c r="AD45" i="2"/>
  <c r="AD79" i="2" s="1"/>
  <c r="AD44" i="2"/>
  <c r="AD78" i="2" s="1"/>
  <c r="AD77" i="2"/>
  <c r="AD38" i="2"/>
  <c r="AD73" i="2" s="1"/>
  <c r="AD37" i="2"/>
  <c r="AD72" i="2" s="1"/>
  <c r="AD47" i="2" l="1"/>
  <c r="AD81" i="2" s="1"/>
  <c r="O14" i="9"/>
  <c r="AE39" i="2" l="1"/>
  <c r="AE45" i="2"/>
  <c r="AE37" i="2"/>
  <c r="AE44" i="2"/>
  <c r="AE38" i="2"/>
  <c r="AE46" i="2"/>
  <c r="AE43" i="2"/>
  <c r="R13" i="2"/>
  <c r="N81" i="2" l="1"/>
  <c r="R28" i="2" l="1"/>
  <c r="R27" i="2"/>
  <c r="R23" i="2"/>
  <c r="R19" i="2"/>
  <c r="R16" i="2"/>
  <c r="R17" i="2"/>
  <c r="R22" i="2"/>
  <c r="R10" i="2"/>
  <c r="R11" i="2"/>
  <c r="R8" i="2"/>
  <c r="O5" i="2"/>
  <c r="R5" i="2" s="1"/>
  <c r="R9" i="2"/>
  <c r="R7" i="2"/>
  <c r="R14" i="2"/>
  <c r="R21" i="2"/>
  <c r="O6" i="2"/>
  <c r="R6" i="2" s="1"/>
  <c r="R18" i="2"/>
  <c r="R12" i="2"/>
  <c r="R15" i="2"/>
  <c r="O30" i="2" l="1"/>
  <c r="R30" i="2" s="1"/>
  <c r="O28" i="9"/>
  <c r="O27" i="9"/>
  <c r="O23" i="9"/>
  <c r="O19" i="9" l="1"/>
  <c r="O17" i="9"/>
  <c r="O15" i="9"/>
  <c r="O22" i="9"/>
  <c r="O12" i="9"/>
  <c r="O10" i="9"/>
  <c r="O8" i="9"/>
  <c r="O5" i="9"/>
  <c r="O9" i="9"/>
  <c r="O7" i="9"/>
  <c r="O13" i="9"/>
  <c r="O21" i="9"/>
  <c r="O6" i="9"/>
  <c r="O18" i="9"/>
  <c r="O11" i="9"/>
  <c r="O16" i="9"/>
  <c r="O30" i="9" l="1"/>
  <c r="L96" i="9"/>
  <c r="J96" i="9"/>
  <c r="I96" i="9"/>
  <c r="G96" i="9"/>
  <c r="F96" i="9"/>
  <c r="D96" i="9"/>
  <c r="O88" i="9"/>
  <c r="P88" i="9" s="1"/>
  <c r="O87" i="9"/>
  <c r="O80" i="9"/>
  <c r="O79" i="9"/>
  <c r="O84" i="9" s="1"/>
  <c r="P87" i="9" l="1"/>
  <c r="O93" i="9"/>
  <c r="O97" i="9"/>
  <c r="O98" i="9"/>
  <c r="O96" i="9"/>
  <c r="C102" i="9"/>
  <c r="P93" i="9" l="1"/>
  <c r="O102" i="9"/>
  <c r="O37" i="2"/>
  <c r="O72" i="2" s="1"/>
  <c r="N103" i="2" l="1"/>
  <c r="N102" i="2"/>
  <c r="N101" i="2"/>
  <c r="O95" i="2" l="1"/>
  <c r="O94" i="2"/>
  <c r="O96" i="2"/>
  <c r="O89" i="2"/>
  <c r="O88" i="2"/>
  <c r="O90" i="2"/>
  <c r="N91" i="2"/>
  <c r="O46" i="2"/>
  <c r="O80" i="2" s="1"/>
  <c r="O73" i="2"/>
  <c r="N47" i="2"/>
  <c r="O101" i="2" l="1"/>
  <c r="O103" i="2"/>
  <c r="O102" i="2"/>
  <c r="O98" i="2"/>
  <c r="N104" i="2"/>
  <c r="O47" i="2"/>
  <c r="O81" i="2" s="1"/>
  <c r="M103" i="2" l="1"/>
  <c r="M102" i="2"/>
  <c r="M101" i="2"/>
  <c r="M91" i="2"/>
  <c r="M47" i="2"/>
  <c r="M81" i="2" s="1"/>
  <c r="AE47" i="2" l="1"/>
  <c r="M104" i="2"/>
  <c r="L103" i="2"/>
  <c r="K103" i="2"/>
  <c r="J103" i="2"/>
  <c r="I103" i="2"/>
  <c r="H103" i="2"/>
  <c r="G103" i="2"/>
  <c r="D103" i="2"/>
  <c r="L102" i="2"/>
  <c r="K102" i="2"/>
  <c r="J102" i="2"/>
  <c r="I102" i="2"/>
  <c r="H102" i="2"/>
  <c r="G102" i="2"/>
  <c r="F102" i="2"/>
  <c r="E102" i="2"/>
  <c r="D102" i="2"/>
  <c r="L101" i="2"/>
  <c r="K101" i="2"/>
  <c r="J101" i="2"/>
  <c r="I101" i="2"/>
  <c r="H101" i="2"/>
  <c r="G101" i="2"/>
  <c r="F101" i="2"/>
  <c r="D101" i="2"/>
  <c r="O91" i="2" l="1"/>
  <c r="O104" i="2" l="1"/>
  <c r="L47" i="2" l="1"/>
  <c r="L81" i="2" s="1"/>
  <c r="K47" i="2"/>
  <c r="K81" i="2" s="1"/>
  <c r="J47" i="2"/>
  <c r="J81" i="2" s="1"/>
  <c r="I81" i="2"/>
  <c r="H47" i="2"/>
  <c r="H81" i="2" s="1"/>
  <c r="G47" i="2"/>
  <c r="G81" i="2" s="1"/>
  <c r="F47" i="2"/>
  <c r="F81" i="2" s="1"/>
  <c r="E47" i="2"/>
  <c r="E81" i="2" s="1"/>
  <c r="D47" i="2"/>
  <c r="D81" i="2" s="1"/>
  <c r="C47" i="2"/>
  <c r="C81" i="2" s="1"/>
  <c r="L91" i="2"/>
  <c r="L104" i="2" s="1"/>
  <c r="K104" i="2"/>
  <c r="J91" i="2"/>
  <c r="J104" i="2" s="1"/>
  <c r="I91" i="2"/>
  <c r="I104" i="2" s="1"/>
  <c r="H91" i="2"/>
  <c r="H104" i="2" s="1"/>
  <c r="G91" i="2"/>
  <c r="G104" i="2" s="1"/>
  <c r="F91" i="2"/>
  <c r="F104" i="2" s="1"/>
  <c r="E91" i="2"/>
  <c r="E104" i="2" s="1"/>
  <c r="D91" i="2"/>
  <c r="D104" i="2" s="1"/>
  <c r="C91" i="2"/>
  <c r="C104" i="2" s="1"/>
</calcChain>
</file>

<file path=xl/sharedStrings.xml><?xml version="1.0" encoding="utf-8"?>
<sst xmlns="http://schemas.openxmlformats.org/spreadsheetml/2006/main" count="5374" uniqueCount="1672">
  <si>
    <t>Total</t>
  </si>
  <si>
    <t>Retur</t>
  </si>
  <si>
    <t>Harga tidak cocok</t>
  </si>
  <si>
    <t>Fani</t>
  </si>
  <si>
    <t>Nia</t>
  </si>
  <si>
    <t>Nita</t>
  </si>
  <si>
    <t>Nina</t>
  </si>
  <si>
    <t>Umi</t>
  </si>
  <si>
    <t>Yuyun</t>
  </si>
  <si>
    <t>Zakia</t>
  </si>
  <si>
    <t>Elok</t>
  </si>
  <si>
    <t>Evi</t>
  </si>
  <si>
    <t>Permintaan Cust</t>
  </si>
  <si>
    <t>SC</t>
  </si>
  <si>
    <t>Klasifikasi</t>
  </si>
  <si>
    <t>Pembatalan Order Oleh Kios</t>
  </si>
  <si>
    <t>Salah Input Oleh Admin SC</t>
  </si>
  <si>
    <t>Pembagian Barang ke kios Lain</t>
  </si>
  <si>
    <t>Grand Total</t>
  </si>
  <si>
    <t>Jan</t>
  </si>
  <si>
    <t>Feb</t>
  </si>
  <si>
    <t>Mar</t>
  </si>
  <si>
    <t>Apr</t>
  </si>
  <si>
    <t>Mei</t>
  </si>
  <si>
    <t>Jun</t>
  </si>
  <si>
    <t>Jul</t>
  </si>
  <si>
    <t>Agst</t>
  </si>
  <si>
    <t>Sept</t>
  </si>
  <si>
    <t>Okt</t>
  </si>
  <si>
    <t>Naily</t>
  </si>
  <si>
    <t>Grand</t>
  </si>
  <si>
    <t>REVISI FAKTUR BERDASARKAN ALASANNYA</t>
  </si>
  <si>
    <t>REVISI FAKTUR BERDASARKAN ADMIN SC</t>
  </si>
  <si>
    <t>Adm. SC</t>
  </si>
  <si>
    <t xml:space="preserve">Adm. SC </t>
  </si>
  <si>
    <t>Nov</t>
  </si>
  <si>
    <t>Des</t>
  </si>
  <si>
    <t>%</t>
  </si>
  <si>
    <t>JUMLAH PRODUKSI FAKTUR</t>
  </si>
  <si>
    <t>% REVISI FAKTUR TERHADAP TOTAL FAKTUR</t>
  </si>
  <si>
    <t>Tanggal Revisi</t>
  </si>
  <si>
    <t>Tanggal Faktur</t>
  </si>
  <si>
    <t>No. Faktur</t>
  </si>
  <si>
    <t>Cust</t>
  </si>
  <si>
    <t>Keterangan</t>
  </si>
  <si>
    <t>√</t>
  </si>
  <si>
    <t>Alasan</t>
  </si>
  <si>
    <t>Admin salah input</t>
  </si>
  <si>
    <t>Admin SC</t>
  </si>
  <si>
    <t>Dannis</t>
  </si>
  <si>
    <t>Kurang naikkan Barang</t>
  </si>
  <si>
    <t>Riyan</t>
  </si>
  <si>
    <t>Ex Naily</t>
  </si>
  <si>
    <t>Toko Double Order</t>
  </si>
  <si>
    <t>Pengiriman Terlalu lama</t>
  </si>
  <si>
    <t>Kios Salah Order</t>
  </si>
  <si>
    <t>Salah naikkan barang</t>
  </si>
  <si>
    <t>JUMLAH INPUT BARANG</t>
  </si>
  <si>
    <t>% REVISI FAKTUR TERHADAP TOTAL INPUT BARANG</t>
  </si>
  <si>
    <t>Mecah Faktur krn mobil tidak muat</t>
  </si>
  <si>
    <t>No</t>
  </si>
  <si>
    <t>KIU Cabang</t>
  </si>
  <si>
    <t>Barang tidak dibawakan oleh Gudang</t>
  </si>
  <si>
    <t>Ketinggalan Kiriman</t>
  </si>
  <si>
    <t>Wira</t>
  </si>
  <si>
    <t>Ifa</t>
  </si>
  <si>
    <t>Abd Muhid</t>
  </si>
  <si>
    <t>Nugroho</t>
  </si>
  <si>
    <t>Diana</t>
  </si>
  <si>
    <t>% REVISI FAKTUR TERHADAP TOTAL  BARANG</t>
  </si>
  <si>
    <t>JUMLAH Per Barang yang Tertera di SO</t>
  </si>
  <si>
    <t>JUMLAH SO (Per Faktur)</t>
  </si>
  <si>
    <t>Salah SO oleh SC</t>
  </si>
  <si>
    <t>Salah harga Oleh SC</t>
  </si>
  <si>
    <t>REVISI FAKTUR BERDASARKAN SC (Salah Harga)</t>
  </si>
  <si>
    <t>REVISI FAKTUR BERDASARKAN SC (Salah SO)</t>
  </si>
  <si>
    <t>Others</t>
  </si>
  <si>
    <t>Gudang salah nurunkan barang</t>
  </si>
  <si>
    <t>Jumlah</t>
  </si>
  <si>
    <t>Admin salah Input</t>
  </si>
  <si>
    <t>Alpha</t>
  </si>
  <si>
    <t>Ibnu</t>
  </si>
  <si>
    <t>Sopir Salah Kirim</t>
  </si>
  <si>
    <t>Faisal</t>
  </si>
  <si>
    <t>REKAP REVISI FAKTUR (Logistik)</t>
  </si>
  <si>
    <t>Ket P. Bayu/P.Alif</t>
  </si>
  <si>
    <t>Driver</t>
  </si>
  <si>
    <t>Helper</t>
  </si>
  <si>
    <t>Bimo Rukun Tani II</t>
  </si>
  <si>
    <t>No. Urut</t>
  </si>
  <si>
    <t>Salah Naik Barang</t>
  </si>
  <si>
    <t>Case</t>
  </si>
  <si>
    <t>Next Step</t>
  </si>
  <si>
    <t>B22007412</t>
  </si>
  <si>
    <t>M. Tajudin Al Fajri/Indotani</t>
  </si>
  <si>
    <t>Monkey 40 SP 100 X 100 gr (EDIT HARGA JADI 18.500) harga sebelumnya 18.000</t>
  </si>
  <si>
    <t>BATAL</t>
  </si>
  <si>
    <t>D22007033</t>
  </si>
  <si>
    <t>Sadar Sari/Farid Firdaus</t>
  </si>
  <si>
    <t>Sprayer 5 lt ganti yg 10 ltr</t>
  </si>
  <si>
    <t xml:space="preserve">Salah input barang, </t>
  </si>
  <si>
    <t>Konfirmasi kepada Adm SC ybc, salah input seharusnya yg 10ltr, memberitahukan progres revisi faktur per 15/10/2022</t>
  </si>
  <si>
    <t>Per Oktober 2022</t>
  </si>
  <si>
    <t>Admin konfrimasi via telp, salah input harga</t>
  </si>
  <si>
    <t>D22007471</t>
  </si>
  <si>
    <t>Biggrow 20 WP 4 X 75 X 5 gr (edit harga 17.597.61)</t>
  </si>
  <si>
    <t>Bactocyn 150 AL 50 X 200 ml (edit harga 27.654.04)</t>
  </si>
  <si>
    <t>Lem Ajaib 50 X 100 ml (edit harga 41.418.21)</t>
  </si>
  <si>
    <t>Karissnail 6 PL 20 X 500 gr (M2U) (edit harga 26.363.64)</t>
  </si>
  <si>
    <t>Admin salah input VAT</t>
  </si>
  <si>
    <t>Admin Salah Input nota KIU Cabang Inc PPN, KIU Cabang seharusnya diinput tanpa pajak</t>
  </si>
  <si>
    <t>REKAP REVISI FAKTUR (Admin SC) Berdasarkan Jumlah Faktur</t>
  </si>
  <si>
    <t>REKAP REVISI FAKTUR (Admin SC) Berdasarkan Jumlah Barang</t>
  </si>
  <si>
    <t>REKAP REVISI FAKTUR (SC) Per Barang</t>
  </si>
  <si>
    <t>B22007566</t>
  </si>
  <si>
    <t>Maju Mandiri/Sunardi</t>
  </si>
  <si>
    <t>Admin salah input nama cust</t>
  </si>
  <si>
    <t>Salah Input nama toko seharusnya Sukses Makmur Sunardi, tapi diinput Maju Mandiri/Sunardi</t>
  </si>
  <si>
    <t>Batal</t>
  </si>
  <si>
    <t>O22000085</t>
  </si>
  <si>
    <t>Trubus Jaya/Deni</t>
  </si>
  <si>
    <t>Periode Januari - 29 Oktober 2022</t>
  </si>
  <si>
    <t>B22007577</t>
  </si>
  <si>
    <t>C22007261</t>
  </si>
  <si>
    <t>Febri Catur Nugroho</t>
  </si>
  <si>
    <t>Timun Renes F1 12 X 15 X 10 gr (edit yg Qty 15 di diskon)</t>
  </si>
  <si>
    <t>Barang diretur, karena admin salah input</t>
  </si>
  <si>
    <t>Admin salah input, harusnya Cal. D.diana, 0,01/09/2027</t>
  </si>
  <si>
    <t>Nota awal Bonus tidak diberi diskon</t>
  </si>
  <si>
    <t>Rizki Tani/Ratna</t>
  </si>
  <si>
    <t>Alam Tani</t>
  </si>
  <si>
    <t>Double SO</t>
  </si>
  <si>
    <t>Adm SC</t>
  </si>
  <si>
    <t>Next Step (Saran)</t>
  </si>
  <si>
    <t xml:space="preserve">Next Step </t>
  </si>
  <si>
    <t>Permintaan cust</t>
  </si>
  <si>
    <t>Harry Santoso</t>
  </si>
  <si>
    <t>Salah Harga</t>
  </si>
  <si>
    <t>Supriyanto/Nadia</t>
  </si>
  <si>
    <t>Supriyanto/nadia</t>
  </si>
  <si>
    <t>Mitra</t>
  </si>
  <si>
    <t>Eka Jaya/David</t>
  </si>
  <si>
    <t>Barokah Jaya Tani/Sabri</t>
  </si>
  <si>
    <t>B23000167</t>
  </si>
  <si>
    <t>Barokah Tani, Toko/Sukardi</t>
  </si>
  <si>
    <t>Padi Janger Ciherang 4 X 5 kg (edit jadi 75 box, tambah barang Padi Janger Inpari-32 4 X 5 kg 25 box)</t>
  </si>
  <si>
    <t>B22009209</t>
  </si>
  <si>
    <t>Mitra Tani, UD/Gunawan</t>
  </si>
  <si>
    <t xml:space="preserve">batal </t>
  </si>
  <si>
    <t>D22009507</t>
  </si>
  <si>
    <t>Dianta Tani</t>
  </si>
  <si>
    <t>Piraklo 250 EC 40 X 250 ml (coret)</t>
  </si>
  <si>
    <t>C23000119</t>
  </si>
  <si>
    <t>Barokah Tani/Syaikur</t>
  </si>
  <si>
    <t>D23000279</t>
  </si>
  <si>
    <t>Bionik 400 EC 20 X 500 ml (hapus VAT)</t>
  </si>
  <si>
    <t>B23000320</t>
  </si>
  <si>
    <t>Santani, UD</t>
  </si>
  <si>
    <t>Kresnadan 3G 10 X 2 kg (edit harga jadi 27.500)</t>
  </si>
  <si>
    <t>SC salah harga (harga awal 29.500)</t>
  </si>
  <si>
    <t>Periode Januari 2023</t>
  </si>
  <si>
    <t>Salah Input VAT, seharusnya KIU Cabang tanpa VAT</t>
  </si>
  <si>
    <t>D23000300</t>
  </si>
  <si>
    <t>Sampurna/Heri (Kemuning)</t>
  </si>
  <si>
    <t>Ammate 150 EC 20 X 100 ml (FMC) (edit harga jadi 102.000)</t>
  </si>
  <si>
    <t>SC salah harga (harga awal 99.000)</t>
  </si>
  <si>
    <t>E23000478</t>
  </si>
  <si>
    <t>Sahabat Tani, UD/Edy</t>
  </si>
  <si>
    <t xml:space="preserve">Amolin </t>
  </si>
  <si>
    <t>B23000256</t>
  </si>
  <si>
    <t>Sumber Makmur/Mahrus</t>
  </si>
  <si>
    <t>Manzate 82 WP 20 X 500 gr (edit harga jadi 47.000)</t>
  </si>
  <si>
    <t>C23000237</t>
  </si>
  <si>
    <t>Kumpul Tani/Hendro</t>
  </si>
  <si>
    <t>Android 72 EC 50 X 80 ml (edit harga jadi 55.000)</t>
  </si>
  <si>
    <t>E22009596</t>
  </si>
  <si>
    <t>Sinar Mandiri/Mahardika</t>
  </si>
  <si>
    <t>Plenum 50 WG 12 X 10 X 25 gr (edit harga jadi 44.550)</t>
  </si>
  <si>
    <t>D23000376</t>
  </si>
  <si>
    <t>Suwadi BCA</t>
  </si>
  <si>
    <t>Kac. Panj. Katrina 90 X 100 gr (edit harga jadi 20.000)</t>
  </si>
  <si>
    <t>B23000435</t>
  </si>
  <si>
    <t>E23000487</t>
  </si>
  <si>
    <t>ACC Bu Anne (harga awal 48.000)</t>
  </si>
  <si>
    <t>ACC Pak Agoes (harga awal 59.000)</t>
  </si>
  <si>
    <t>Permintaan cust (harga awal 45.550) Cust tidak mau ph, ganti faktur pajak (info mbak dewi)</t>
  </si>
  <si>
    <t>hpp berubah</t>
  </si>
  <si>
    <t>SO 1 dibuat tanggal 16 (input tgl 16/01/23 jam 15.54, dan SO 2 dibuat tgl 17/01/2022 (input 17/01/2022, jam 9.06). Setiap tutup tanggal SC cek penjualannya, Double SO tersebut diketahui saat SC cek penjualannya, jadi pada saat itu juga 1 nota di Batal, sebelum nota diambil oleh gudang.</t>
  </si>
  <si>
    <t>Saat SC akan TTD Nota, SC juga cek antara nota dan SO, dan SC Umi sudah melakukannya, sehingga kesalahan bisa terdeteksi sebelum Nota diserahkan ke Gudang</t>
  </si>
  <si>
    <t>Nama Barang</t>
  </si>
  <si>
    <t xml:space="preserve">Nama Barang </t>
  </si>
  <si>
    <t>C23000519</t>
  </si>
  <si>
    <t>B23000779</t>
  </si>
  <si>
    <t>Tali Gawar 989 40 X 600 gr (edit harga jadi 28.500)</t>
  </si>
  <si>
    <t>Decis 2.5 EC 20 X 500 ml (edit harga jadi 121.500)</t>
  </si>
  <si>
    <t>SC salah harga (harga awal 38.500)</t>
  </si>
  <si>
    <t>SC salah harga (harga awal 112.500)</t>
  </si>
  <si>
    <t>Salah tulis harga di SO, seharusnya 28.500</t>
  </si>
  <si>
    <t>Salah tulis harga di SO, seharusnya 121.500</t>
  </si>
  <si>
    <t>Filter dari Acc lebih ditingkatkan, apabila harga terlalu mahal, tanyakan juga kepada SC</t>
  </si>
  <si>
    <t>Adm PL menanyakan kepada SC ybs apabila ada acc harga yang meragukan, Revisi SOP</t>
  </si>
  <si>
    <t>E23000777</t>
  </si>
  <si>
    <t>Al Mubarok/Lutfi</t>
  </si>
  <si>
    <t>Karimazu 590 EC 20 X 800 ml (edit harga jadi 138.500)</t>
  </si>
  <si>
    <t>SC salah harga (harga awal 135.000)</t>
  </si>
  <si>
    <t>PL digital</t>
  </si>
  <si>
    <t>Salah liat harga, di PL 138.500</t>
  </si>
  <si>
    <t>D23000406</t>
  </si>
  <si>
    <t>Hasil Usaha, UD</t>
  </si>
  <si>
    <t>Jagung NK 7328 20 X 1 kg (edit harga jadi 104.000)</t>
  </si>
  <si>
    <t>harga di up (harga awal 103.500)</t>
  </si>
  <si>
    <t>E23000405</t>
  </si>
  <si>
    <t>Sumber Rahayu, UD</t>
  </si>
  <si>
    <t>Kaliandra 482 EC 20 X 400 ml (AGM) (edit qty jadi 13 box)</t>
  </si>
  <si>
    <t>permintaan cust</t>
  </si>
  <si>
    <t>B23000441</t>
  </si>
  <si>
    <t>Round Up 486 SL 12 X 1 ltr (edit qty jadi 150 box)</t>
  </si>
  <si>
    <t>D23000505</t>
  </si>
  <si>
    <t>Toko Baariklanaa</t>
  </si>
  <si>
    <t>MKP 20 X 1 kg (edit barang jadi Pointer 276 SL 20 X 1 ltr New, harga 65.000)</t>
  </si>
  <si>
    <t>B23000357</t>
  </si>
  <si>
    <t>Rejeki Tani/Sulantrini</t>
  </si>
  <si>
    <t>Jagung Bisi 2 20 X 1 kg (edit harga jadi 78.000)</t>
  </si>
  <si>
    <t>nego harga dengan cust (harga awal 80.000), Harga PL 78.000-80.000</t>
  </si>
  <si>
    <t>D23000391</t>
  </si>
  <si>
    <t>Erfan SK</t>
  </si>
  <si>
    <t>Amabas 500 EC 16 X 1 ltr (edit harga jadi 67.600)</t>
  </si>
  <si>
    <t>barang bocor, petugas minta harga HPP, ACC Pak Supri (harga awal 74.000)</t>
  </si>
  <si>
    <t>B23000753</t>
  </si>
  <si>
    <t>Rekan Tani Indonesia, CV</t>
  </si>
  <si>
    <t>Kuproxat 345 F 20 X 500 ml (edit qty jadi 10 b0x)</t>
  </si>
  <si>
    <t xml:space="preserve">Salah SO </t>
  </si>
  <si>
    <t>C23000505</t>
  </si>
  <si>
    <t>Subur/Liang Han</t>
  </si>
  <si>
    <t>Abacell 18 EC 20 X 500 ml (edit barang jadi Abacell 18 EC 10 X 1 ltr harga 192.000, qty 1 box)</t>
  </si>
  <si>
    <t>D23000629</t>
  </si>
  <si>
    <t>Kangkung Bisi 20 X 1 kg (coret)</t>
  </si>
  <si>
    <t>Permintaan cust (exp terlalu pendek, no lot exp maret 2023)</t>
  </si>
  <si>
    <t>C23000595</t>
  </si>
  <si>
    <t>Nurkholil, UD</t>
  </si>
  <si>
    <t>ganti kontak person jadi Taufan Firmansyah</t>
  </si>
  <si>
    <t>cust lama tanpa ID, kirim KTP berbeda dgn nama kontak person sebelumnya</t>
  </si>
  <si>
    <t>terlalu lama kirim</t>
  </si>
  <si>
    <t>Lain-lain</t>
  </si>
  <si>
    <t>Gudang</t>
  </si>
  <si>
    <t>Decis 2.5 EC 20 X 500 ml (edit harga jadi 121.500) dan di revisi lagi jadi 121.000 sesuai PL (Nego harga )</t>
  </si>
  <si>
    <t>C23000675</t>
  </si>
  <si>
    <t>Setia Hati, Toko</t>
  </si>
  <si>
    <t>Alfatox 50 EC 50 X 80 ml (AGM) (edit harga jadi 13.500)</t>
  </si>
  <si>
    <t>SC salah harga (harga awal 18.500)</t>
  </si>
  <si>
    <t>D23000719</t>
  </si>
  <si>
    <t>Sukses Makmur</t>
  </si>
  <si>
    <t>Melon Leoni F1 12 X 10 X 20 gr (edit harga jadi 162.500)</t>
  </si>
  <si>
    <t>nego harga dengan cust (harga awal 165.000), Harga PL 160.000</t>
  </si>
  <si>
    <t>B23000960</t>
  </si>
  <si>
    <t>Agro Tani Sejahtera/Ni Putu Esthi</t>
  </si>
  <si>
    <t>Regent Red 80 X 50 ml (edit harga jadi 19.000)</t>
  </si>
  <si>
    <t>kenaikan harga PL (harga awal 18.500)</t>
  </si>
  <si>
    <t>Regent Red 48 X 100 ml (edit harga jadi 36.350)</t>
  </si>
  <si>
    <t>kenaikan harga PL (harga awal 35.500)</t>
  </si>
  <si>
    <t>E23000835</t>
  </si>
  <si>
    <t>Qiuvita Biru 16.32.16 20 X 500 gr (edit qty jadi 30 box)</t>
  </si>
  <si>
    <t>Qiuvita Hijau 32.11.11 20 X 500 gr (edit qty jadi 10 box)</t>
  </si>
  <si>
    <t>tambah barang Qiuvita Merah 16.11.32 20 X 500 gr, qty 10 box</t>
  </si>
  <si>
    <t>E23000530</t>
  </si>
  <si>
    <t>Karya Tani, UD/Raniasa</t>
  </si>
  <si>
    <t>Sinergy 300 EC 40 X 250 ml (edit qty jadi 20 box)</t>
  </si>
  <si>
    <t>D23000792</t>
  </si>
  <si>
    <t>Tempurejo, PT</t>
  </si>
  <si>
    <t>Antracol 70 WP 12 X 1 kg (coret)</t>
  </si>
  <si>
    <t>Decis 2.5 EC 20 X 500 ml (coret)</t>
  </si>
  <si>
    <t>TOTAL</t>
  </si>
  <si>
    <t>D23001098</t>
  </si>
  <si>
    <t>Puma Tani</t>
  </si>
  <si>
    <t>Sprayer Elektrik Joeragan 16 L Battery (edit harga jadi 410.000)</t>
  </si>
  <si>
    <t>SC Salah Harga</t>
  </si>
  <si>
    <t>SC salah Harga, harga awal 395.000, Hasil konfirmasi dengan SC : SC tidak lihat Data Price List, saat cek harga pertama sudah diingatkan kalau harga terlalu murah, tapi sampai tutup penjualan harga tetap 395.000</t>
  </si>
  <si>
    <t>D23001115</t>
  </si>
  <si>
    <t>Alam Tani/Wayan</t>
  </si>
  <si>
    <t>Trisula 450 SL 20 X 500 ml (edit harga jadi 32.500)</t>
  </si>
  <si>
    <t>SC Salah Harga, harga awal 54.500 (harga untuk Trisula 1ltr) saat cek harga 1 sudah dikonfirmasi, hasil konfirmasi menurut SC tidak masalah, saat tutup penjualan dikonfirmasi lagi dan ternyata salah harga</t>
  </si>
  <si>
    <t>T23000084</t>
  </si>
  <si>
    <t>D23000840</t>
  </si>
  <si>
    <t>D23000877</t>
  </si>
  <si>
    <t>D23000751</t>
  </si>
  <si>
    <t>E23000996</t>
  </si>
  <si>
    <t>B23001130</t>
  </si>
  <si>
    <t>Lestari Jaya</t>
  </si>
  <si>
    <t>Graha Agro Makmur, PT/Darwin</t>
  </si>
  <si>
    <t>Paket Convey 336 SC 10 X 40 ml (edit qty jadi 130 box)</t>
  </si>
  <si>
    <t>Hadi Putra, UD</t>
  </si>
  <si>
    <t>Benang Pe mlg (edit harga jadi 39.500)</t>
  </si>
  <si>
    <t>Dakon Permai</t>
  </si>
  <si>
    <t>Nostro 440 EC 50 X 100 ml (edit qty jadi 1 box)</t>
  </si>
  <si>
    <t>Nostro 440 EC 20 X 500 ml (edit qty jadi 3 box)</t>
  </si>
  <si>
    <t>Jagung Manis Master Sweet 45 40 X 250 gr (coret)</t>
  </si>
  <si>
    <t>Kontainer tidak muat</t>
  </si>
  <si>
    <t>Kios Double order</t>
  </si>
  <si>
    <t>Permintaan Cust (barang mendekati expired)</t>
  </si>
  <si>
    <t>C23001163</t>
  </si>
  <si>
    <t>C23001070</t>
  </si>
  <si>
    <t>D23001400</t>
  </si>
  <si>
    <t>C23000897</t>
  </si>
  <si>
    <t>B23001299</t>
  </si>
  <si>
    <t>C23001154</t>
  </si>
  <si>
    <t>E23001126</t>
  </si>
  <si>
    <t>E23001074</t>
  </si>
  <si>
    <t>E23001083</t>
  </si>
  <si>
    <t>C23000989</t>
  </si>
  <si>
    <t>C23001099</t>
  </si>
  <si>
    <t>L23000015</t>
  </si>
  <si>
    <t>D23001099</t>
  </si>
  <si>
    <t>D23001720</t>
  </si>
  <si>
    <t>D23001065</t>
  </si>
  <si>
    <t>D23001274</t>
  </si>
  <si>
    <t>E23001004</t>
  </si>
  <si>
    <t>E23001237</t>
  </si>
  <si>
    <t>D23001341</t>
  </si>
  <si>
    <t>B23001403</t>
  </si>
  <si>
    <t>D23001534</t>
  </si>
  <si>
    <t>C23001220</t>
  </si>
  <si>
    <t>E23000965</t>
  </si>
  <si>
    <t>B23000805</t>
  </si>
  <si>
    <t>E23001042</t>
  </si>
  <si>
    <t>D23001241</t>
  </si>
  <si>
    <t>D23001013</t>
  </si>
  <si>
    <t>C23001103</t>
  </si>
  <si>
    <t>C23001323</t>
  </si>
  <si>
    <t>E23000896</t>
  </si>
  <si>
    <t>Agro Lestari/Eko</t>
  </si>
  <si>
    <t>Sahala/Syaiful</t>
  </si>
  <si>
    <t>Ratu Tani/Yusuf</t>
  </si>
  <si>
    <t>Curacron 500 EC 40 X 250 ml (edit qty jadi 34 box)</t>
  </si>
  <si>
    <t>Mona Tani</t>
  </si>
  <si>
    <t>Ratol 80 P* 10 X 100 X 10 gr (edit qty jadi 47 pack)</t>
  </si>
  <si>
    <t>Topo Yono</t>
  </si>
  <si>
    <t>Gudang Sumber Waras/Ogy</t>
  </si>
  <si>
    <t>Yayuk Muzayanah</t>
  </si>
  <si>
    <t>Pointer 276 SL 20 X 1 ltr New (coret)</t>
  </si>
  <si>
    <t>ganti barang jadi Pupuk Fosfat 50 kg MPS qty 5 zak, harga 150.000</t>
  </si>
  <si>
    <t>ganti barang jadi Passxone 276 SL 20 X 1 ltr qty 1 box, harga 60.000</t>
  </si>
  <si>
    <t>Subur Makmur, UD</t>
  </si>
  <si>
    <t>Sumber Makmur/Henry (Benih)</t>
  </si>
  <si>
    <t>KSU CU Sang Timur/CU Agro</t>
  </si>
  <si>
    <t>Amora 150 SL 15 X 1 ltr (edit harga jadi 160.000)</t>
  </si>
  <si>
    <t>Pare Hokian 12 X 15 X 10 gr (edit qty jadi 45 pack)</t>
  </si>
  <si>
    <t>Sumber Pangan/Jainuri</t>
  </si>
  <si>
    <t>Gallery 403 SL 50 X 200 ml (M2U) (edit harga jadi 22.500)</t>
  </si>
  <si>
    <t>Gallery 403 SL 30 X 500 ml + SG.02 100 gr (M2U) (edit harga jadi 45.750)</t>
  </si>
  <si>
    <t>Kawan Tani/Fathor</t>
  </si>
  <si>
    <t>Virtako 300 SC 100 X 50 ml (coret)</t>
  </si>
  <si>
    <t>Sentra Agronusa Bhakti, PT</t>
  </si>
  <si>
    <t>Usaha Tani/Arbai</t>
  </si>
  <si>
    <t>batal</t>
  </si>
  <si>
    <t>Sumber Tani/Agus Widjaja</t>
  </si>
  <si>
    <t>Insure Max 510 FS 100 X 25 ml (edit qty jadi 25 box)</t>
  </si>
  <si>
    <t>Sahabat Tani/Nyoman Suirka</t>
  </si>
  <si>
    <t>Amuron 70 EC 100 X 100 ml (edit qty jadi 2 box)</t>
  </si>
  <si>
    <t>tambah barang Amuron 70 EC 40 X 250 ml, qty 1 box, harga 165.000</t>
  </si>
  <si>
    <t>Moga Berkah/Robid</t>
  </si>
  <si>
    <t>Kubis Green Nova 100 X 10 X 20 ml (edit qty jadi 20pack)</t>
  </si>
  <si>
    <t>Unggul Jaya/Sholekun</t>
  </si>
  <si>
    <t>edit nama cust jadi Barokah Tani, UD/Sutrisno</t>
  </si>
  <si>
    <t>Sumber Makmur/Masrokib</t>
  </si>
  <si>
    <t>Herry Djuwarsa/Deka Agro</t>
  </si>
  <si>
    <t>edit nama cust jadi Herry Djuwarsa</t>
  </si>
  <si>
    <t>Bintang Mulia, UD/Heri</t>
  </si>
  <si>
    <t>Sprayer Elektrik Quda Karisma 10 L 1 X 6 pcs (edit qty jadi 4 pcs)</t>
  </si>
  <si>
    <t>Koko Tani</t>
  </si>
  <si>
    <t>Dellacid 525 EC 20 x 1 ltr (edit jadi Dellacid 525 EC 40 x 200 ml, qty 2 box, harga 35.500)</t>
  </si>
  <si>
    <t>Mulai Tani</t>
  </si>
  <si>
    <t>Subur Makmur/Kasim</t>
  </si>
  <si>
    <t>Dino Vita, Toko</t>
  </si>
  <si>
    <t>Karissnail 6 PL 20 X 500 gr (M2U) (edit harga jadi 57.000)</t>
  </si>
  <si>
    <t>Barokah Tani/Achmad Rofi'i</t>
  </si>
  <si>
    <t>NPK 16.16.16+2 MPS 6 X 5 kg (coret)</t>
  </si>
  <si>
    <t>NPK 16.16.16+2 MPS 50 kg (coret)</t>
  </si>
  <si>
    <t>Pointer 276 SL 20 X 1 ltr New (edit qty 2 box, edit harga jadi 61.000)</t>
  </si>
  <si>
    <t>ada perubahan program, kios membatalkan orderan.</t>
  </si>
  <si>
    <t>admin salah input, Cust TL Pajak</t>
  </si>
  <si>
    <t>barang atau kemasan bocor (yg dikirim tgl 20 hanya 34 box)</t>
  </si>
  <si>
    <t xml:space="preserve">barang robek, yg dikirim tgl 7 hanya 47pack </t>
  </si>
  <si>
    <t>Cust masuk RS dan barang tidak diambil.</t>
  </si>
  <si>
    <t>Cust tidak bisa jual pointer, order ganti passoxone dan fosfat.</t>
  </si>
  <si>
    <t>cust tidak trf (barang dioper dulu untuk cust yang sudah trf lebih awal)</t>
  </si>
  <si>
    <t>harga naik, barang digudang sdh hpp baru, sesuai instruksi Pak Agoes(harga awal 110.000)</t>
  </si>
  <si>
    <t>Harga naik, cust tidak cocok harganya, by tlp-</t>
  </si>
  <si>
    <t>HPP naik  (harga awal 16.500)</t>
  </si>
  <si>
    <t>hpp naik, SC minta Acc Pak Agoes, Pak Agoes ACC harga 22.500 (harga awal 20.000)</t>
  </si>
  <si>
    <t>hpp naik, SC minta acc Pak Agoes, Pak Agoes ACC harga 45.750 (harga awal 40.000)</t>
  </si>
  <si>
    <t>kios membatalkan orderan.</t>
  </si>
  <si>
    <t>kios salah order (kios takut turun harga)-</t>
  </si>
  <si>
    <t>kios salah order.</t>
  </si>
  <si>
    <t>kios tidak cocok harganya (harga dibawah/R2-238.000).</t>
  </si>
  <si>
    <t>nego harga, cust minta batal order kalau tidak bisa nego (harga awal 40.500) PL 39.500</t>
  </si>
  <si>
    <t>pembagian barang ke Barokah Tani, UD/Sutrisno</t>
  </si>
  <si>
    <t>Permintaan cust (habis musim).</t>
  </si>
  <si>
    <t>Permintaan Cust .</t>
  </si>
  <si>
    <t>Permintaan cust untuk ubah faktur pajak</t>
  </si>
  <si>
    <t>Permintaan cust.</t>
  </si>
  <si>
    <t>Salah SO.</t>
  </si>
  <si>
    <t>SC salah harga (harga awal 25.000)</t>
  </si>
  <si>
    <t>SC salah harga (harga awal 395.00) SC tidak liat PL</t>
  </si>
  <si>
    <t>SC salah harga (harga awal 52.000)</t>
  </si>
  <si>
    <t>terlalu lama kirim (info mas feri jg blm kirim).</t>
  </si>
  <si>
    <t>Salah input cust Tidak Lapor Pajak seharusnya di nota Z tapi dibukakan nota komersil</t>
  </si>
  <si>
    <t>Periode Januari-Februari 2023</t>
  </si>
  <si>
    <t>Kios Batal Order</t>
  </si>
  <si>
    <t>Barang Rusak</t>
  </si>
  <si>
    <t>Ganti Barang</t>
  </si>
  <si>
    <t>Barang mendekati exp</t>
  </si>
  <si>
    <t>Habis musim</t>
  </si>
  <si>
    <t>ganti kemasan</t>
  </si>
  <si>
    <t>Karna Pasar sepi</t>
  </si>
  <si>
    <t>Pembeli toko keberatan jadi direvisi jadi 20 pack</t>
  </si>
  <si>
    <t>Salah Kemasan</t>
  </si>
  <si>
    <t>Karna tidak dikirim dengan barang Loyant</t>
  </si>
  <si>
    <t>sudah dapat dari toko lain</t>
  </si>
  <si>
    <t xml:space="preserve">Dibatalkan dari toko, </t>
  </si>
  <si>
    <t>Toko tidak mau karna ada perubahan program</t>
  </si>
  <si>
    <t>Ganti Nama sesuai permintaan toko</t>
  </si>
  <si>
    <t>ada bukti chat Riyan, belum ada konfirmasi dari distribusi</t>
  </si>
  <si>
    <t>Cust minta ganti kemasan</t>
  </si>
  <si>
    <t>salah order, petani meminta yang 5L, ganti barang</t>
  </si>
  <si>
    <t>salah order kemasan, harusnya yg 8kg</t>
  </si>
  <si>
    <t>Cust sudah dapat dari kios lain, tidak cocok harga</t>
  </si>
  <si>
    <t>Salah kasih harga yang 200 gr</t>
  </si>
  <si>
    <t>C23001417</t>
  </si>
  <si>
    <t>C23001257</t>
  </si>
  <si>
    <t>D23001613</t>
  </si>
  <si>
    <t>D23001611</t>
  </si>
  <si>
    <t>D23001614</t>
  </si>
  <si>
    <t>Fortuna Tani/Arif Al Farisi</t>
  </si>
  <si>
    <t>Manohara 20 X 1 kg (coret)</t>
  </si>
  <si>
    <t xml:space="preserve">cust tidak trf </t>
  </si>
  <si>
    <t>kios membatalkan orderan manohara.</t>
  </si>
  <si>
    <t>Kios tidak komit</t>
  </si>
  <si>
    <t>Kios tidak membayar sesuai kesepakatan</t>
  </si>
  <si>
    <t>kios membatalkan orderan (cust dapat harga lebih murah, info Gudang nota blm kirim, lgsg ganti cust Mitra Tani/Rudiyanto</t>
  </si>
  <si>
    <t>Berdasarkan Bukti</t>
  </si>
  <si>
    <t>Harga Tidak Cocok</t>
  </si>
  <si>
    <t>Kios Double Order</t>
  </si>
  <si>
    <t>SC salah harga</t>
  </si>
  <si>
    <t>Admin Salah Input</t>
  </si>
  <si>
    <t>Salah SO</t>
  </si>
  <si>
    <t>Barang rusak/cacat/bocor</t>
  </si>
  <si>
    <t>Bumi Asih, UD/Hasan</t>
  </si>
  <si>
    <t xml:space="preserve">Batal </t>
  </si>
  <si>
    <t>Cust tidak komit</t>
  </si>
  <si>
    <t>Tani Sejati/Meggie</t>
  </si>
  <si>
    <t>retur</t>
  </si>
  <si>
    <t>Permintaan Cust (Ganti Kemasan, Ganti Identitas Pajak, Habis Musim, Ganti Qty)</t>
  </si>
  <si>
    <t>ADMIN SALAH INPUT</t>
  </si>
  <si>
    <t>SC SALAH HARGA</t>
  </si>
  <si>
    <t>Pembatalan Order</t>
  </si>
  <si>
    <t>D23002023</t>
  </si>
  <si>
    <t>Nuansa Tani</t>
  </si>
  <si>
    <t>Termikon 15 EC 50 X 100 ml (edit qty jadi 16 box)</t>
  </si>
  <si>
    <t>Barang/kemasan rusak (ada bukti foto barang bocor sblm kirim).</t>
  </si>
  <si>
    <t>A23000344</t>
  </si>
  <si>
    <t>Mutawi</t>
  </si>
  <si>
    <t>Pembatalan Order oleh Kios</t>
  </si>
  <si>
    <t>Kios membatalkan orderan (cust tokped mengajukan pembatalan order).</t>
  </si>
  <si>
    <t>N23000033</t>
  </si>
  <si>
    <t>Kios membatalkan orderan(batal karena madura mulai banyak ulat).</t>
  </si>
  <si>
    <t>N23000030</t>
  </si>
  <si>
    <t>B23001712</t>
  </si>
  <si>
    <t>Sahabat Tani Timur, CV</t>
  </si>
  <si>
    <t>Kios tidak komit (kios tidak dapat dihubungi dan tidak komit BG)</t>
  </si>
  <si>
    <t>D23002477</t>
  </si>
  <si>
    <t>Mahira Tani Jaya/Sri</t>
  </si>
  <si>
    <t>Megaxone 135 SL 20 X 1 ltr (coret) ganti Asia Top 288 SL 20 X 1 ltr, qty 1 box, harga 61.000</t>
  </si>
  <si>
    <t>B23001931</t>
  </si>
  <si>
    <t>Mitra Tani/Eko Susanto</t>
  </si>
  <si>
    <t>Previcur N 722SL 20 X 500 ml (coret)</t>
  </si>
  <si>
    <t>permintaaan cust.</t>
  </si>
  <si>
    <t>C23001499</t>
  </si>
  <si>
    <t>Sumber Tani Makmur, CV/Muslim</t>
  </si>
  <si>
    <t>D23001347</t>
  </si>
  <si>
    <t>Sarana Jiva Nusantara, PT</t>
  </si>
  <si>
    <t>edit nama toko dan kontak person jadi Jiva Agriculture Indonesia, PT</t>
  </si>
  <si>
    <t>permintaan cust, info mbak Dewi karena Sarana Jiva per 2023 pindah JAI</t>
  </si>
  <si>
    <t>D23002239</t>
  </si>
  <si>
    <t>Fais Tani/Sutiyono</t>
  </si>
  <si>
    <t>Castora 40 SP 10 X 10 X 100 gr (coret)</t>
  </si>
  <si>
    <t>tambah Castora 40 SP 50 X 200 gr 3box harga 39.500</t>
  </si>
  <si>
    <t>tambah Castora 40 SP 24 X 400 gr 3box harga 74.000</t>
  </si>
  <si>
    <t>A23000231</t>
  </si>
  <si>
    <t>Aditya Kaharisma Wijaya</t>
  </si>
  <si>
    <t>Retur, cust tidak mau membayar</t>
  </si>
  <si>
    <t>B23001612</t>
  </si>
  <si>
    <t>Bima Tani Jaya/Kevin Pratama</t>
  </si>
  <si>
    <t>Score 250 EC 50 X 80 ml (coret)</t>
  </si>
  <si>
    <t>retur, harga barang tidak sesuai atau kemahalan</t>
  </si>
  <si>
    <t>Score 250 EC 40 X 250 ml (coret)</t>
  </si>
  <si>
    <t>A23000331</t>
  </si>
  <si>
    <t>Anindita/Surya</t>
  </si>
  <si>
    <t>Alexis 70 WP 30 X 400 gr (edit qty jadi 15 btl)</t>
  </si>
  <si>
    <t>Per Maret 2023</t>
  </si>
  <si>
    <t>Periode Januari - Maret 2023</t>
  </si>
  <si>
    <t>C23002074</t>
  </si>
  <si>
    <t>Jagung Pulut Lilac 22 F1 15 X 250 gr (edit harga jadi 93.000)</t>
  </si>
  <si>
    <t>ACC Pak Agoes</t>
  </si>
  <si>
    <t>D23002845</t>
  </si>
  <si>
    <t>C23001873</t>
  </si>
  <si>
    <t>B23002027</t>
  </si>
  <si>
    <t>D23002449</t>
  </si>
  <si>
    <t>D23002540</t>
  </si>
  <si>
    <t>B23002204</t>
  </si>
  <si>
    <t>Surya, UD/Suryawan</t>
  </si>
  <si>
    <t>Tani Sejati/Eni</t>
  </si>
  <si>
    <t>Putra Tani/Bayu</t>
  </si>
  <si>
    <t>Herry Djuwarsa</t>
  </si>
  <si>
    <t>Sukma Tani</t>
  </si>
  <si>
    <t>Agil 100 EC 40 X 250 ml (coret bonus 1box)</t>
  </si>
  <si>
    <t>tambah Agil 100 EC 100 X 100 ml, harga 35.000, 1 box, di disc 100% (bonus)</t>
  </si>
  <si>
    <t>Agil 100 EC 100 X 100 ml (edit harga jadi 35.000)</t>
  </si>
  <si>
    <t>Agil 100 EC 40 X 250 ml (edit harga jadi 35.000)</t>
  </si>
  <si>
    <t>Terong Hijo 12 X 15 X 10 gr (coret)</t>
  </si>
  <si>
    <t>Metindo 40 SP 40 X 200 gr (coret)</t>
  </si>
  <si>
    <t>tambah barang Metindo 40 SP 40 X 400 gr, qty 1 box, harga 86.000</t>
  </si>
  <si>
    <t>Luna Smart 250/250 SC 100 X 100 ml (edit qty jadi 3 box)</t>
  </si>
  <si>
    <t>EM-4 Pertanian (LK) 15 X 1 ltr (edit qty jadi 300box)</t>
  </si>
  <si>
    <t>tambah barang EM-4 Ternak (LC) 15 X 1 ltr, harga 18.500, qty 50 box</t>
  </si>
  <si>
    <t>tambah barang EM-4 Tambak (LM) 15 X 1 ltr, harga 18.500, qty 50 box</t>
  </si>
  <si>
    <t>Mulsa Ori Universal 0.25 60 cm X 18 kg (Roll) (edit harga jadi 567.000)</t>
  </si>
  <si>
    <t>atas perintah Bu Anne</t>
  </si>
  <si>
    <t>atas perintah Bu Anne (harga awal 34.500)</t>
  </si>
  <si>
    <t>atas perintah Bu Anne (harga awal 75.000)</t>
  </si>
  <si>
    <t>barang akan di retur ke pabrik (mendekati exp 1/5/23)</t>
  </si>
  <si>
    <t>Kios salah order.</t>
  </si>
  <si>
    <t>permintaan cust (bukti dilampirkan di nota batal).</t>
  </si>
  <si>
    <t>Permintaan cust (expired terlalu mepet 01/09/23).</t>
  </si>
  <si>
    <t>permintaan cust.</t>
  </si>
  <si>
    <t>SC salah harga (harga awal 603.000)</t>
  </si>
  <si>
    <t>Pembayaran Tidak sesuai</t>
  </si>
  <si>
    <t>Salah Harga oleh SC</t>
  </si>
  <si>
    <t>SC Salah beri harga sama dengan Mulsa Karisma</t>
  </si>
  <si>
    <t>D23002998</t>
  </si>
  <si>
    <t>D23002869</t>
  </si>
  <si>
    <t>B23002392</t>
  </si>
  <si>
    <t>B23002401</t>
  </si>
  <si>
    <t>B23002402</t>
  </si>
  <si>
    <t>B23002390</t>
  </si>
  <si>
    <t>D23002798</t>
  </si>
  <si>
    <t>C23002208</t>
  </si>
  <si>
    <t>Hermada Tangguh Agro Lestari, PT</t>
  </si>
  <si>
    <t>Podo Tani/Supri</t>
  </si>
  <si>
    <t>Kawan Tani/Bahrul, H</t>
  </si>
  <si>
    <t>Tani Sukses/Muklis, H</t>
  </si>
  <si>
    <t>Sedulur Tani/Eko Galih</t>
  </si>
  <si>
    <t>Rudi Tani/Rudi</t>
  </si>
  <si>
    <t>Al Hikmah</t>
  </si>
  <si>
    <t>Rizki, UD/Kusnyoto</t>
  </si>
  <si>
    <t>Agridex 715 EC 12 X 1 ltr (edit qty jadi 50 box)</t>
  </si>
  <si>
    <t>Jagung Bisi 220 20 X 1 kg (edit qty jadi 4 box, 5 pack)</t>
  </si>
  <si>
    <t>Jagung Bisi 220 20 X 1 kg (edit qty jad 4 box)</t>
  </si>
  <si>
    <t>Jagung Bisi 220 20 X 1 kg (edit qty jadi 2 box)</t>
  </si>
  <si>
    <t>Jagung Pertiwi 3 20 X 1 kg (edit qty jadi 5 box)</t>
  </si>
  <si>
    <t>ACC Bu Anne setelah tutupan</t>
  </si>
  <si>
    <t>Kios Minta cepat kirim, tapi belum ada jadwal kirim ke madura.</t>
  </si>
  <si>
    <t>Kios dapat dari tempat lain</t>
  </si>
  <si>
    <t>ketentuan dari pabrik (BISI). Petugas terlambat memberi info</t>
  </si>
  <si>
    <t>Delima, Toko/Nurhasan</t>
  </si>
  <si>
    <t>Hikmah Agung Tuban, CV</t>
  </si>
  <si>
    <t>Amistartop 325 SC 50 X 100 ml (coret)</t>
  </si>
  <si>
    <t>Gangsar Tani/Noto, H</t>
  </si>
  <si>
    <t>Batal krn retur</t>
  </si>
  <si>
    <t>Lain - Lain (Acc oleh Direktur, Hpp berubah)</t>
  </si>
  <si>
    <t>C23002485</t>
  </si>
  <si>
    <t>Tani Makmur 2</t>
  </si>
  <si>
    <t>Ti-Gold 10 WP 10 X 20 X 25 gr (edit harga jadi 15.500)</t>
  </si>
  <si>
    <t>ACC bu Anne</t>
  </si>
  <si>
    <t>B23002854</t>
  </si>
  <si>
    <t>Dewi Tani/Gunasri</t>
  </si>
  <si>
    <t>Tali Gawar 989 40 X 600 gr (EDIT QTY JADI 1 BOX)</t>
  </si>
  <si>
    <t>C23002514</t>
  </si>
  <si>
    <t>Helmi Sarwoko</t>
  </si>
  <si>
    <t xml:space="preserve">Previcur N 722SL 100 X 100 ml dan score 80 coret </t>
  </si>
  <si>
    <t>C23002248</t>
  </si>
  <si>
    <t>Rahma Tani, CV</t>
  </si>
  <si>
    <t>Batal permintaan Cust</t>
  </si>
  <si>
    <t>B23002800</t>
  </si>
  <si>
    <t>Surya Tani, UD</t>
  </si>
  <si>
    <t>batal krn salah input</t>
  </si>
  <si>
    <t>B23002878</t>
  </si>
  <si>
    <t>Restu Tani/Yasa</t>
  </si>
  <si>
    <t>Batal double order</t>
  </si>
  <si>
    <t>B23002971</t>
  </si>
  <si>
    <t>Batal krn kemahalan</t>
  </si>
  <si>
    <t>C23002313</t>
  </si>
  <si>
    <t>Rajawali/Arif</t>
  </si>
  <si>
    <t>Batal krn bermasalah</t>
  </si>
  <si>
    <t>D23003430</t>
  </si>
  <si>
    <t>Tani Harapan, UD/Darwis</t>
  </si>
  <si>
    <t>Batal Orangnya tdk komitmen</t>
  </si>
  <si>
    <t>B23002591</t>
  </si>
  <si>
    <t>Alvin Tani/Toha</t>
  </si>
  <si>
    <t>Batal minta dikirim setelah hari raya</t>
  </si>
  <si>
    <t>C23002649</t>
  </si>
  <si>
    <t>B23003124</t>
  </si>
  <si>
    <t>D23003632</t>
  </si>
  <si>
    <t>B23003387</t>
  </si>
  <si>
    <t>D23003767</t>
  </si>
  <si>
    <t>D23003862</t>
  </si>
  <si>
    <t>D23003717</t>
  </si>
  <si>
    <t>B23003277</t>
  </si>
  <si>
    <t>Z23000767</t>
  </si>
  <si>
    <t>B23003099</t>
  </si>
  <si>
    <t>D23003688</t>
  </si>
  <si>
    <t>C23002501</t>
  </si>
  <si>
    <t>B23002206</t>
  </si>
  <si>
    <t>C23002612</t>
  </si>
  <si>
    <t>B23003205</t>
  </si>
  <si>
    <t>Dodik/Asiana</t>
  </si>
  <si>
    <t>Setia Agro Jaya</t>
  </si>
  <si>
    <t>Djero Bonsai</t>
  </si>
  <si>
    <t>Hasil Tani/Supriyadi</t>
  </si>
  <si>
    <t>Sari Pertiwi, UD</t>
  </si>
  <si>
    <t>Mohan Putra Mandiri</t>
  </si>
  <si>
    <t>Sumber Rejeki/Iwan</t>
  </si>
  <si>
    <t>Sumber Tani/Widi, H</t>
  </si>
  <si>
    <t>Albab Tani/Erwin</t>
  </si>
  <si>
    <t>Tani Sejahtera/Siyaman</t>
  </si>
  <si>
    <t>Megaxone 135 SL 20 X 1 ltr (edit harga jadi 32.000)</t>
  </si>
  <si>
    <t>Batal permintaan cust</t>
  </si>
  <si>
    <t>Jagung NK 7328 10 X 2 kg (edit qty jadi 100 box)</t>
  </si>
  <si>
    <t>Petrogenol 800 L 20 X 20 X 5 ml (coret)</t>
  </si>
  <si>
    <t>Jagung P40 Famili 20 X 1 kg (edit qty jadi 10 box)</t>
  </si>
  <si>
    <t>Tomat Comodor 20 X 20 X 5 gr (edit qty jadi 160 pack)</t>
  </si>
  <si>
    <t>Jagung NK 212 10 X 2 kg (EDIT QTY JADI 50 BOX)</t>
  </si>
  <si>
    <t>Bactocyn 150 AL 50 X 200 ml (coret)</t>
  </si>
  <si>
    <t>Jagung NK 212 20 X 1 kg (coret krn dapat harga lebih murah)</t>
  </si>
  <si>
    <t>Sofia 200/70/30 OD 32 X 250 ml (edit qty jadi 10 btl</t>
  </si>
  <si>
    <t xml:space="preserve">Batal krn kios tau kalau tempat lain dikasih barang yg sama dan sementara tidak mau ambil </t>
  </si>
  <si>
    <t>Jagung Manis Master Sweet 45 40 X 250 gr (edit VAT)</t>
  </si>
  <si>
    <t xml:space="preserve">Batal krn tidak TRF </t>
  </si>
  <si>
    <t>Muatan tdk cukup awalnya 150 box</t>
  </si>
  <si>
    <t>permintaan cust bukti chat di mb zakia</t>
  </si>
  <si>
    <t>Permintaan cust bukti chat di mb zakia</t>
  </si>
  <si>
    <t>Permintaan cust buti wa mb zakia</t>
  </si>
  <si>
    <t>Permintaan kios bukti chat wa mb nina</t>
  </si>
  <si>
    <t>Retur permintaan cust bukti wa mb yuyun</t>
  </si>
  <si>
    <t>C23002411</t>
  </si>
  <si>
    <t>pindah ke tgl 31/3/23 krn barang akan dimasukkan program maret acc pak agoes)</t>
  </si>
  <si>
    <t>C23002412</t>
  </si>
  <si>
    <t>Jagung Bisi 220 20 X 1 kg (edit harga jadi 65.000)</t>
  </si>
  <si>
    <t>krn ketentuan dari bisi qty di kurangi, jadi harga diubah sesuai qty</t>
  </si>
  <si>
    <t>tidak jadi batal tapi di ganti qty jadi 100 box</t>
  </si>
  <si>
    <t>permintaan cust bukti di wa mb nina</t>
  </si>
  <si>
    <t>D23003798</t>
  </si>
  <si>
    <t>Nugroho Kradenan, UD</t>
  </si>
  <si>
    <t>edit cust jadi barokah tani/sukardi</t>
  </si>
  <si>
    <t>Sofia 200/70/30 OD 16 X 500 ml (edit qty jadi 10 btl</t>
  </si>
  <si>
    <t>(harga awal 35.000) PL berubah</t>
  </si>
  <si>
    <t>Mecah Faktur Krn Mobil Tidak Muat</t>
  </si>
  <si>
    <t>Permintaan Cust bukti di wa mb umi kantor</t>
  </si>
  <si>
    <t>B23003321</t>
  </si>
  <si>
    <t>edit cust jadi abi tani/soleudin</t>
  </si>
  <si>
    <t>delima batal belum kirim bukti chat mb zakia</t>
  </si>
  <si>
    <t>Lain-Lain</t>
  </si>
  <si>
    <t>Kios Batal TRF/ Tidak Tepat Janji</t>
  </si>
  <si>
    <t>D23004017</t>
  </si>
  <si>
    <t>Sumber Berkat/Agus</t>
  </si>
  <si>
    <t>Batal krn admin salah input nama toko</t>
  </si>
  <si>
    <t>D23004227</t>
  </si>
  <si>
    <t>Cipta Jaya Multifarm</t>
  </si>
  <si>
    <t>B23003509</t>
  </si>
  <si>
    <t>Tani Jaya/Irawan</t>
  </si>
  <si>
    <t>Batal Order Permintaan Cust</t>
  </si>
  <si>
    <t>D23004506</t>
  </si>
  <si>
    <t>B23003670</t>
  </si>
  <si>
    <t>D23004545</t>
  </si>
  <si>
    <t>B23003954</t>
  </si>
  <si>
    <t>C23002952</t>
  </si>
  <si>
    <t>C23002941</t>
  </si>
  <si>
    <t>C23002917</t>
  </si>
  <si>
    <t>C23002985</t>
  </si>
  <si>
    <t>D23004601</t>
  </si>
  <si>
    <t>D23004152</t>
  </si>
  <si>
    <t>C23003008</t>
  </si>
  <si>
    <t>B23004052</t>
  </si>
  <si>
    <t>C23003091</t>
  </si>
  <si>
    <t>B23003918</t>
  </si>
  <si>
    <t>B23004176</t>
  </si>
  <si>
    <t>D23004694</t>
  </si>
  <si>
    <t>C23003109</t>
  </si>
  <si>
    <t>D23003960</t>
  </si>
  <si>
    <t>C23003204</t>
  </si>
  <si>
    <t>C23002932</t>
  </si>
  <si>
    <t>D23004862</t>
  </si>
  <si>
    <t>Z23000913</t>
  </si>
  <si>
    <t>C23003319</t>
  </si>
  <si>
    <t>Z23000934</t>
  </si>
  <si>
    <t>D23005077</t>
  </si>
  <si>
    <t>Ingatan, UD/Fathurrahman</t>
  </si>
  <si>
    <t>Kumpul Tani 2/Heru</t>
  </si>
  <si>
    <t>Biggrow 20 WP 4 X 75 X 5 gr (coret orangnya salah order maunya yg forte dan akhirnya barang di oper ke kumpul tani/hendro) orangnya tlp</t>
  </si>
  <si>
    <t>Gamectin 30 EC 100 X 100 ml (coret retur)</t>
  </si>
  <si>
    <t>NN Ali Moertopo</t>
  </si>
  <si>
    <t>Ricestar Xtra 89 OD 40 X 250 ml (edit qty jadi 3 box)</t>
  </si>
  <si>
    <t>EM-4 Ternak (LC) 15 X 1 ltr (EDIT BARANG JADI EM TANI</t>
  </si>
  <si>
    <t>Sari Bumi/Alvin</t>
  </si>
  <si>
    <t>Gandasil B/K 24 X 500 gr (coret yg harga 35.250) awalnya admin salah input, dan mau di ganti tapi barangnya tinggal 18 pack, cust minta 1 box)</t>
  </si>
  <si>
    <t>Atonik 6.0 L 50 X 100 ml (edit harga jadi 12.500)</t>
  </si>
  <si>
    <t>Sumber Maju/Agus</t>
  </si>
  <si>
    <t>Terong Hijo 12 X 15 X 10 gr (Kode Barang A, CORET pindah ke nota M22 ) (sebelum Tutupan)</t>
  </si>
  <si>
    <t>Barokah Tani/Nur Hisan</t>
  </si>
  <si>
    <t>Batal krn pengajuan plafon tidak ACC</t>
  </si>
  <si>
    <t>Baycarb 500 EC 20 X 500 ml (CORET)</t>
  </si>
  <si>
    <t>Konco Tani, UD/Dian</t>
  </si>
  <si>
    <t>Jagung NK 7328 10 X 2 kg (edit qty jadi 40 box)</t>
  </si>
  <si>
    <t>Sumber Tani, UD/Basuni</t>
  </si>
  <si>
    <t>Throne 250 EC 20 X 500 ml (edit kms yg 250 qty 32 box @114.500 + kms 100 ml qty 11 box @50.000</t>
  </si>
  <si>
    <t>Makmur Tani/ Ni Made Muliati</t>
  </si>
  <si>
    <t>KNO3 Merah P Tani 15 X 2 kg (EDIT QTY JADI 4 BOX)</t>
  </si>
  <si>
    <t>Mira Tani 3/Tri</t>
  </si>
  <si>
    <t>Paratop 276 SL 20 X 1 ltr (CORET)</t>
  </si>
  <si>
    <t>Mulyo Tani/Danang</t>
  </si>
  <si>
    <t>Batal tdk ACC PENGAJUAN PLAFON</t>
  </si>
  <si>
    <t>Sandi/Tanindo</t>
  </si>
  <si>
    <t>Batal orangnya tdk TRF</t>
  </si>
  <si>
    <t>Andalas Farm, UD</t>
  </si>
  <si>
    <t xml:space="preserve">Batal Tdk cocok harga </t>
  </si>
  <si>
    <t>Paratop 276 SL 20 X 1 ltr (CORET KRN RETUR)</t>
  </si>
  <si>
    <t>Wes Joyo/Hermas</t>
  </si>
  <si>
    <t>tambah barang Bravoxone 276 SL 20 X 1 ltr (Label Kuda) qty 1 box harga 55.000</t>
  </si>
  <si>
    <t>Kadhang Tani/Suwarno</t>
  </si>
  <si>
    <t>Tunggal Sumber Rejeki</t>
  </si>
  <si>
    <t>Abojo 60 WP 100 X 100 gr (edit kms 50 gr )</t>
  </si>
  <si>
    <t>Batal pembagian Barang</t>
  </si>
  <si>
    <t>Sumber Tani Makmur, UD/Suyitno, H</t>
  </si>
  <si>
    <t>EM-4 Pertanian (LK) 15 X 1 ltr (coret)</t>
  </si>
  <si>
    <t>Maestro 200 EC 20 X 500 ml (edit harga jadi 79.000)</t>
  </si>
  <si>
    <t>nyukupkan ACC Plafon 10 JT</t>
  </si>
  <si>
    <t>Permintaan Cust menyesuaikan uange</t>
  </si>
  <si>
    <t>Permintaan Cust minta kms baru dan lama, bukti di wa mb elok</t>
  </si>
  <si>
    <t xml:space="preserve">Zak bocor </t>
  </si>
  <si>
    <t>Toko tidak cocok harga</t>
  </si>
  <si>
    <t>Cust Minta Ganti barang</t>
  </si>
  <si>
    <t>Tidak Cocok Harga</t>
  </si>
  <si>
    <t>Pembagian Barang</t>
  </si>
  <si>
    <t>Toko tidak TF</t>
  </si>
  <si>
    <t>Tidak cukup uang</t>
  </si>
  <si>
    <t>Tidak cocok harga</t>
  </si>
  <si>
    <t>B23004524</t>
  </si>
  <si>
    <t>Pemuda Tani/Abdullah</t>
  </si>
  <si>
    <t>Score 250 EC 40 X 250 ml (edit harga jadi 174.000)</t>
  </si>
  <si>
    <t xml:space="preserve"> (harga awal 78.000)</t>
  </si>
  <si>
    <t>(harga awal 173.500) ada perubahan harga tgl 13/05/2023</t>
  </si>
  <si>
    <t>E23001572</t>
  </si>
  <si>
    <t>B23004709</t>
  </si>
  <si>
    <t>B23004181</t>
  </si>
  <si>
    <t>C23003379</t>
  </si>
  <si>
    <t>D23003018</t>
  </si>
  <si>
    <t>E23001506</t>
  </si>
  <si>
    <t>C23003409</t>
  </si>
  <si>
    <t>T22000742</t>
  </si>
  <si>
    <t>B23004536</t>
  </si>
  <si>
    <t>D23005224</t>
  </si>
  <si>
    <t>Berkah Abadi Tani/Widodo (Benih+Pupuk)</t>
  </si>
  <si>
    <t>Salam Group/Abdul</t>
  </si>
  <si>
    <t>Margo Joyo/Iksan</t>
  </si>
  <si>
    <t>Bintang Sejahtera/Aprianto</t>
  </si>
  <si>
    <t>Sumber Agung Tani/Atik</t>
  </si>
  <si>
    <t>Jagung NK 212 20 X 1 kg (edit qty jadi 23 box)</t>
  </si>
  <si>
    <t>edit nama cust jadi Pelita Tani, CV/Budi</t>
  </si>
  <si>
    <t>EM-4 Tambak (LM) 15 X 1 ltr (coret)</t>
  </si>
  <si>
    <t>Atonik 6.0 L 15 X 500 ml (edit qty jadi 25 box)</t>
  </si>
  <si>
    <t>Cabe Balebat F1 12 X 15 X 10 gr (coret)</t>
  </si>
  <si>
    <t>Score 250 EC 50 X 80 ml (edit harga 58.500)</t>
  </si>
  <si>
    <t>Barang yang dibawakan kurang 2 box</t>
  </si>
  <si>
    <t>Kios awal tidak komit (menunggu petani ngambil, tapi belum ambil smpe skrg, nota blm kirim info mas feri)</t>
  </si>
  <si>
    <t>oper toko ke toko Mitra Tani/Riska, kios salah order</t>
  </si>
  <si>
    <t>retur, barang tidak laku dan masuk OD</t>
  </si>
  <si>
    <t>retur, kios salah order</t>
  </si>
  <si>
    <t>Gudang kurang bawakan barang</t>
  </si>
  <si>
    <t>kios batal transfer/tidak tepat janji</t>
  </si>
  <si>
    <t>Berkah Tani Mukti, PT</t>
  </si>
  <si>
    <t>Pembayaran kios tidak cukup</t>
  </si>
  <si>
    <t>Salah input oleh Admin SC</t>
  </si>
  <si>
    <t>Salah input oleh Admin Keuangan</t>
  </si>
  <si>
    <t>Karisma Indoagro Universal, PT</t>
  </si>
  <si>
    <t>D23005832</t>
  </si>
  <si>
    <t>edit nama cust jadi Nuansa tani, edit barang jadi KNO3 Merah P Tani 15 X 2 kg, qty 35 box, harga 54.000</t>
  </si>
  <si>
    <t>kios awal tidak komit</t>
  </si>
  <si>
    <t>E23001871</t>
  </si>
  <si>
    <t>Reactive 490 SL 20 X 1 ltr (edit qty jadi 2 box)</t>
  </si>
  <si>
    <t>kios tidak cocok harganya, terlalu mahal, info kios by tlp-</t>
  </si>
  <si>
    <t>B23004547</t>
  </si>
  <si>
    <t>Agriborneo Makmur</t>
  </si>
  <si>
    <t>kios tidak transfer</t>
  </si>
  <si>
    <t>C23003679</t>
  </si>
  <si>
    <t>Jaya Utama, CV</t>
  </si>
  <si>
    <t>Kios tidak trf</t>
  </si>
  <si>
    <t>C23003812</t>
  </si>
  <si>
    <t>Harapan Jaya/Hadi Maruf</t>
  </si>
  <si>
    <t>masih nunggu pengajuan plafon, saat acc barang sdh habis</t>
  </si>
  <si>
    <t>D23005702</t>
  </si>
  <si>
    <t>D23005802</t>
  </si>
  <si>
    <t>Agri Bina Cipta, CV</t>
  </si>
  <si>
    <t>C23003588</t>
  </si>
  <si>
    <t>Maju Tani, UD/Rohmad Saiful</t>
  </si>
  <si>
    <t>Starkuat 135 SL 20 ltr (edit qty jadi 2 gal)</t>
  </si>
  <si>
    <t>B23004857</t>
  </si>
  <si>
    <t>Smk. Bali Flower 20 X 6 X 20 gr (Edit harga jadi 51.000)</t>
  </si>
  <si>
    <t>B23004980</t>
  </si>
  <si>
    <t>Rindi Tani</t>
  </si>
  <si>
    <t>Jagung Bisi 2 20 X 1 kg (edit harga jadi 81.000)</t>
  </si>
  <si>
    <t>Perubahan harga</t>
  </si>
  <si>
    <t>D23005676</t>
  </si>
  <si>
    <t>Sinar Tani/Nuruddin</t>
  </si>
  <si>
    <t>Dektin 30 WG 20 X 200 gr (edit harga jadi 285.000)</t>
  </si>
  <si>
    <t>Harga di PL dengan di promo adv beda</t>
  </si>
  <si>
    <t>E23002175</t>
  </si>
  <si>
    <t>D23006025</t>
  </si>
  <si>
    <t>D23005997</t>
  </si>
  <si>
    <t>D23005824</t>
  </si>
  <si>
    <t>C23003951</t>
  </si>
  <si>
    <t>Botani, UD</t>
  </si>
  <si>
    <t>EM-4 Pertanian (LK) 15 X 1 ltr (edit qty jadi 179box)</t>
  </si>
  <si>
    <t>Agil 100 EC 100 X 100 ml (edit qty 10 btl)</t>
  </si>
  <si>
    <t>Orondis Opti 6/400 SC 20 X 500 ml (edit qty jadi 10box)</t>
  </si>
  <si>
    <t>Admin salah input (nota replacement harusnya di Z)</t>
  </si>
  <si>
    <t>kios double order</t>
  </si>
  <si>
    <t>D23006328</t>
  </si>
  <si>
    <t>D23006289</t>
  </si>
  <si>
    <t>T23000461</t>
  </si>
  <si>
    <t>Z23001137</t>
  </si>
  <si>
    <t>E23002200</t>
  </si>
  <si>
    <t>D23006270</t>
  </si>
  <si>
    <t>D23006150</t>
  </si>
  <si>
    <t>E23002174</t>
  </si>
  <si>
    <t>C23004170</t>
  </si>
  <si>
    <t>Alya Tani/Jony</t>
  </si>
  <si>
    <t>Melentha Jaya, UD</t>
  </si>
  <si>
    <t>Mahkota/Cik Cuan</t>
  </si>
  <si>
    <t>Merdeka Tani/Sugiono</t>
  </si>
  <si>
    <t>Lanta Bura</t>
  </si>
  <si>
    <t>Ikhlas Tani, UD</t>
  </si>
  <si>
    <t>Ibu Tani</t>
  </si>
  <si>
    <t>Tani Mulyo, UD/Bastian</t>
  </si>
  <si>
    <t>Mastercall Putih 20 X 1 kg (edit harga jadi 21.000)</t>
  </si>
  <si>
    <t>Metindo 80 SL 20 X 500 ml (coret)</t>
  </si>
  <si>
    <t>Jagung Manis Madu-59 F1 15 X 250 gr (edit qty jadi 4 box), tambah barang Jagung Manis Madu-59 F1 20 X 250 gr, qty 1 box, harga 104.000)</t>
  </si>
  <si>
    <t>Desanto 200 SL 40 X 250 ml (edit qty jadi 3 box), tambah barang Desanto 200 SL 100 X 100 ml, qty 5box, harga 48.500</t>
  </si>
  <si>
    <t>Gamectin 30 EC 100 X 100 ml (coret) ganti barang jadi Round Up 486 SL 12 X 1 ltr 10box, harga 90.000</t>
  </si>
  <si>
    <t>Bamex 18 EC 50 X 100 ml (M2U) (edit barang jadi Bamex 18 EC 20 X 200 ml (M2U), qty 1 box, harga 141.000)</t>
  </si>
  <si>
    <t>Ethrel 480 SL 100 X 100 ml (coret)</t>
  </si>
  <si>
    <t>ACC Pak Agoes (harga awal 32.500)</t>
  </si>
  <si>
    <t>Exp fisik pendek (di box luar tulisannya exp 1/9/26, di kemasan dalam 1/9/23, info mas kurniawan)</t>
  </si>
  <si>
    <t>Permintaan cust by tlp, ada chat waktu order.</t>
  </si>
  <si>
    <t>Permintaan cust by tlp info SC</t>
  </si>
  <si>
    <t>permintaan cust, by tlp info SC,</t>
  </si>
  <si>
    <t>Permintaan cust, krna program gamectin berakhir smt ini, jadi ganti barang.</t>
  </si>
  <si>
    <t>retur, Kios batal sepihak ketika barang sudah dikirim</t>
  </si>
  <si>
    <t>oper toko ke toko Setia Jaya/Saiful, Salah SO</t>
  </si>
  <si>
    <t>admin salah input</t>
  </si>
  <si>
    <t>C23004632</t>
  </si>
  <si>
    <t>Mulsa Hanoman 60 cm X 9 kg (Roll) (edit harga jadi 310.500)</t>
  </si>
  <si>
    <t>C23004390</t>
  </si>
  <si>
    <t>Margo Mulyo, UD/Eka</t>
  </si>
  <si>
    <t>E23002565</t>
  </si>
  <si>
    <t>Surya Tani/Pujiono</t>
  </si>
  <si>
    <t>Round Up 486 SL 12 X 1 ltr (edit harga jadi 78.000)</t>
  </si>
  <si>
    <t>C23004482</t>
  </si>
  <si>
    <t>Kampung Tani/Aguk</t>
  </si>
  <si>
    <t>NPK Multidaya 10-10-10 20 kg (edit harga jadi 150.000)</t>
  </si>
  <si>
    <t>D23006464</t>
  </si>
  <si>
    <t>edit nama kios jadi Sumber Pangan/Jainuri, edit barang Jagung NK 212 20 X 1 kg, qty 50 box, harga 82.000</t>
  </si>
  <si>
    <t>C23004645</t>
  </si>
  <si>
    <t>Ladang Subur/Lani</t>
  </si>
  <si>
    <t>D23006581</t>
  </si>
  <si>
    <t>Mitra Jaya, UD/Rudiyanto</t>
  </si>
  <si>
    <t>Curacron 500 EC 50 X 100 ml (edit harga jadi 28.500)</t>
  </si>
  <si>
    <t>Admin salah input (harga awal 310.000)</t>
  </si>
  <si>
    <t>ACC Bu Ita (harga awal 90.000)</t>
  </si>
  <si>
    <t>ACC Pak Agoes (harga awal 125.000)</t>
  </si>
  <si>
    <t>Pembatalan order oleh kios</t>
  </si>
  <si>
    <t>Permintaan Cust,</t>
  </si>
  <si>
    <t>Kios Batal Tf</t>
  </si>
  <si>
    <t>Lain</t>
  </si>
  <si>
    <t>E23002960</t>
  </si>
  <si>
    <t>D23006819</t>
  </si>
  <si>
    <t>A23000900</t>
  </si>
  <si>
    <t>E23002936</t>
  </si>
  <si>
    <t>B23005708</t>
  </si>
  <si>
    <t>D23006799</t>
  </si>
  <si>
    <t>D23006686</t>
  </si>
  <si>
    <t>B23005788</t>
  </si>
  <si>
    <t>B23005906</t>
  </si>
  <si>
    <t>Nara Tani/Santi</t>
  </si>
  <si>
    <t>Marbofid 2 WP 40 X 100 gr (edit qty jadi 30 btl)</t>
  </si>
  <si>
    <t>Tani Sejati/Ivan</t>
  </si>
  <si>
    <t>ganti nama kios jadi Tani Sejati/Johny</t>
  </si>
  <si>
    <t>Hanafi</t>
  </si>
  <si>
    <t>Bumi Jaya, UD/Farida</t>
  </si>
  <si>
    <t>Decis 2.5 EC 100 X 50 ml (coret)</t>
  </si>
  <si>
    <t>Sriwijaya, UD/Rakhmad Zainuri</t>
  </si>
  <si>
    <t>edit kios jadi Herry Djuwarsa/Deka Agro</t>
  </si>
  <si>
    <t>Acapela System 280 SC 50 X 100 ml (edit jadi 18 box, harga 81.500, yg baris bonus dihapus)</t>
  </si>
  <si>
    <t>Sari Raya/Mr. Sastra</t>
  </si>
  <si>
    <t>Fenval 200 EC 20 X 500 ml (edit qty jadi 6box)</t>
  </si>
  <si>
    <t>4btl barang rusak, stok habis (qty awal 34)\</t>
  </si>
  <si>
    <t>ditolak bandara</t>
  </si>
  <si>
    <t>Kios tidak cocok harga.</t>
  </si>
  <si>
    <t>kiost tidak dapat dihubungi</t>
  </si>
  <si>
    <t>Perminataan Cust.</t>
  </si>
  <si>
    <t>Permintaan cust,</t>
  </si>
  <si>
    <t>Ditolak Bandara</t>
  </si>
  <si>
    <t>E23003106</t>
  </si>
  <si>
    <t>B23006174</t>
  </si>
  <si>
    <t>T22000729</t>
  </si>
  <si>
    <t>C23005152</t>
  </si>
  <si>
    <t>C23004805</t>
  </si>
  <si>
    <t>D23007068</t>
  </si>
  <si>
    <t>D23007049</t>
  </si>
  <si>
    <t>Tani Agung/Robert</t>
  </si>
  <si>
    <t>Tani Maju Jaya/Ivan</t>
  </si>
  <si>
    <t>Fajar Tani/Aman</t>
  </si>
  <si>
    <t>Pasta Graha/Agus</t>
  </si>
  <si>
    <t>Pesona Tani/Supardi</t>
  </si>
  <si>
    <t>Tani Maju/Syaiful</t>
  </si>
  <si>
    <t>MKP 20 X 1 kg (edit harga jadi 48.500)</t>
  </si>
  <si>
    <t>Biggrow Forte 6 X 200 X 1 gr (edit qty jadi 400 pcs)</t>
  </si>
  <si>
    <t>ZA Pak Tani 50 kg (edit harga jadi 205.000)</t>
  </si>
  <si>
    <t>Emacel 30 EC 40 X 250 ml (edit qty jadi 20 btl)</t>
  </si>
  <si>
    <t>Round Up 486 SL 50 X 200 ml (edit harga jadi 20.000 qty jadi 30box)</t>
  </si>
  <si>
    <t>Atonik 6.0 L 15 X 500 ml (edit harga jadi 54.000)</t>
  </si>
  <si>
    <t>harga qty 26box</t>
  </si>
  <si>
    <t>awalnya kios mau ambil sendiri, hari ini konfirmasi lagi minta kirim(harga awal 200.000)</t>
  </si>
  <si>
    <t>Permintaan kios (via tlp)</t>
  </si>
  <si>
    <t>ACC BU Anne</t>
  </si>
  <si>
    <t>?</t>
  </si>
  <si>
    <t>Rata" Produksi Faktur per bulan</t>
  </si>
  <si>
    <t>Barokah Tani, UD/Sutrisno</t>
  </si>
  <si>
    <t>Setia Jaya, UD/Saiful</t>
  </si>
  <si>
    <t>C23005406</t>
  </si>
  <si>
    <t>Trisna Jaya/Mimin</t>
  </si>
  <si>
    <t>Permintaan cust, kios tidak cocok harga.</t>
  </si>
  <si>
    <t>D23007205</t>
  </si>
  <si>
    <t>Mitra Kreasidharma, PT</t>
  </si>
  <si>
    <t>Tangki Dragon Star 16 ltr baterai (Hijau) (edit qty jadi 7 pcs)</t>
  </si>
  <si>
    <t>D23007112</t>
  </si>
  <si>
    <t>Rizal Tjowasi</t>
  </si>
  <si>
    <t>D23007010</t>
  </si>
  <si>
    <t>B23006468</t>
  </si>
  <si>
    <t>Rizal Tjowasi/Tobelo</t>
  </si>
  <si>
    <t>edit kios jadi Rizal Tjowasi</t>
  </si>
  <si>
    <t>B23006279</t>
  </si>
  <si>
    <t>Labak Tani</t>
  </si>
  <si>
    <t>Boom Padi @30 Pk (edit jadi 5 box)</t>
  </si>
  <si>
    <t>B23006402</t>
  </si>
  <si>
    <t>B23006246</t>
  </si>
  <si>
    <t>Acapela System 280 SC 50 X 100 ml (edit harga jadi 91.000)</t>
  </si>
  <si>
    <t>D23007447</t>
  </si>
  <si>
    <t>Prima Tani/Candra Sanjaya</t>
  </si>
  <si>
    <t>Bamex 18 EC 100 X 50 ml (M2U) (edit harga jadi 43.000)</t>
  </si>
  <si>
    <t>SC salah harga (harga awal 53.500)</t>
  </si>
  <si>
    <t>T23000633</t>
  </si>
  <si>
    <t>ganti barang jadi Power Grow 20 X 1 ltr harga 30.000 2box</t>
  </si>
  <si>
    <t>E23003792</t>
  </si>
  <si>
    <t>Sahabat Tani/Indra</t>
  </si>
  <si>
    <t>Jagung Manis Madu-59 F1 20 X 250 gr (hapus bonus, ganti harga jadi 105.000)</t>
  </si>
  <si>
    <t>SC Salah SO (harga awal 110.000)</t>
  </si>
  <si>
    <t>Kios tidak cocok harga</t>
  </si>
  <si>
    <t>Kios batal order</t>
  </si>
  <si>
    <t>SC salah harga (harga awal 91.500)</t>
  </si>
  <si>
    <t>Salah harga oleh SC</t>
  </si>
  <si>
    <t>Kios salah order</t>
  </si>
  <si>
    <t>SC Salah harga (harga awal 25.000)</t>
  </si>
  <si>
    <t>Salah harga oleh Sc</t>
  </si>
  <si>
    <t>C23005673</t>
  </si>
  <si>
    <t>Junaidi/Advanta</t>
  </si>
  <si>
    <t>Jagung Manis Madu-59 F1 20 X 250 gr (edit harga jadi 105.000)</t>
  </si>
  <si>
    <t>Admin salah input (harga awal 110.000)</t>
  </si>
  <si>
    <t>B23006453</t>
  </si>
  <si>
    <t>Fiul Agro/Firmansyah</t>
  </si>
  <si>
    <t>Kios tidak komit, sampai hari ini blm trf</t>
  </si>
  <si>
    <t>Kios batal transfer</t>
  </si>
  <si>
    <t>E23004062</t>
  </si>
  <si>
    <t>Agro Tani, UD</t>
  </si>
  <si>
    <t>kios tidak cocok harga, pak agus tidak acc</t>
  </si>
  <si>
    <t>C23005636</t>
  </si>
  <si>
    <t>Sumber Rejeki/Suyadi</t>
  </si>
  <si>
    <t>Jagung Bisi 18 20 X 1 kg (coret) Jagung Bisi 959 20 X 1 kg (edit qty jadi 4box)</t>
  </si>
  <si>
    <t>Permintaan cust di lobby</t>
  </si>
  <si>
    <t>B23006426</t>
  </si>
  <si>
    <t>Dwi Putra, UD</t>
  </si>
  <si>
    <t>retur, kios batal order</t>
  </si>
  <si>
    <t>E23003800</t>
  </si>
  <si>
    <t>Kaliandra 482 EC 20 X 400 ml (AGM) (coret)</t>
  </si>
  <si>
    <t>Mipcinta 50 WP 20 X 500 gr (coret)</t>
  </si>
  <si>
    <t>Gold Star 250 EC 40 X 250 ml (coret)</t>
  </si>
  <si>
    <t>Fenval 200 EC 15 X 1 ltr (coret)</t>
  </si>
  <si>
    <t>Fenval 200 EC 20 X 500 ml (edit qty jadi 4box)</t>
  </si>
  <si>
    <t>D23007556</t>
  </si>
  <si>
    <t>Nusa Agro Makmur, CV</t>
  </si>
  <si>
    <t>Petrokum 0.005 BB 20 X 10 X 100 gr (edit harga jadi 3.750)</t>
  </si>
  <si>
    <t>Admin salh input (harga awal 4.162.5)</t>
  </si>
  <si>
    <t>E23004185</t>
  </si>
  <si>
    <t>Permintaan kios,</t>
  </si>
  <si>
    <t>C23005805</t>
  </si>
  <si>
    <t>Ira Tani/Dani, H</t>
  </si>
  <si>
    <t>edit cust jadi Ika Jaya</t>
  </si>
  <si>
    <t>E23003997</t>
  </si>
  <si>
    <t>Restu Rahayu/Yunita</t>
  </si>
  <si>
    <t>Abacell 18 EC 20 X 500 ml (coret)</t>
  </si>
  <si>
    <t>Mutiara Tani/Susilo</t>
  </si>
  <si>
    <t>Deden Achmad/TMM</t>
  </si>
  <si>
    <t>Makmur Abadi</t>
  </si>
  <si>
    <t>Diff</t>
  </si>
  <si>
    <t>C23005958</t>
  </si>
  <si>
    <t>D23007809</t>
  </si>
  <si>
    <t>E23004640</t>
  </si>
  <si>
    <t>A23001309</t>
  </si>
  <si>
    <t>D23008226</t>
  </si>
  <si>
    <t>D23008168</t>
  </si>
  <si>
    <t>C23006296</t>
  </si>
  <si>
    <t>E23004383</t>
  </si>
  <si>
    <t>T23000281</t>
  </si>
  <si>
    <t>D23008208</t>
  </si>
  <si>
    <t>A23001229</t>
  </si>
  <si>
    <t>T23000759</t>
  </si>
  <si>
    <t>B23007292</t>
  </si>
  <si>
    <t>Z23001664</t>
  </si>
  <si>
    <t>B23007284</t>
  </si>
  <si>
    <t>E23005016</t>
  </si>
  <si>
    <t>B23007151</t>
  </si>
  <si>
    <t>Lestari, UD/Slamet</t>
  </si>
  <si>
    <t>Barokah Utama Batam/Nur Umala</t>
  </si>
  <si>
    <t>Panji Agro Mandiri/Rosa</t>
  </si>
  <si>
    <t>Sekar Tani/Matori</t>
  </si>
  <si>
    <t>Nuramalia</t>
  </si>
  <si>
    <t>Hikmah 2, UD/Ahmadin</t>
  </si>
  <si>
    <t>Widya Parta, UD</t>
  </si>
  <si>
    <t>Raska, UD</t>
  </si>
  <si>
    <t>Bakti/Soekamto</t>
  </si>
  <si>
    <t>Insan Tani, UD/Yohan</t>
  </si>
  <si>
    <t>Sumber Rejeki/Sudarto</t>
  </si>
  <si>
    <t>Ammate 150 EC 20 X 100 ml (FMC) (edit qty jadi 1 box)</t>
  </si>
  <si>
    <t>Nativo 75 WG 50 X 2 X 50 gr (coret)</t>
  </si>
  <si>
    <t>Round Up 486 SL 4 X 4 ltr (edit qty jadi 25box)</t>
  </si>
  <si>
    <t>qiudor 100gr edit barang jadi Qiudor 40 X 250 gr harga 57.000 qty 1 box</t>
  </si>
  <si>
    <t>Bravoxone 276 SL 20 X 1 ltr (Label Kuda) (coret)</t>
  </si>
  <si>
    <t>Tangki Dragon Star 16 ltr baterai (Biru) (edit qty jadi 3 pack)</t>
  </si>
  <si>
    <t>Jagung Bisi 2 20 X 1 kg (edit qty jadi 5 box)</t>
  </si>
  <si>
    <t>EM-4 Ternak (LC) 15 X 1 ltr (edit qty jadi 2box)</t>
  </si>
  <si>
    <t>ganti barang jadi Round Up 486 SL 4 X 4 ltr, qty 16 box, harga 300.000</t>
  </si>
  <si>
    <t>Gandasil B/K 24 X 500 gr (edit harga jadi 39.600)</t>
  </si>
  <si>
    <t>ganti nama toko jadi Sumber Rejeki/Sunoto</t>
  </si>
  <si>
    <t>kios kurang komit, dihubungi berulang2 tidak ada respon.</t>
  </si>
  <si>
    <t>kios tidak trf, di ubah ke lanta bura tgl besok</t>
  </si>
  <si>
    <t xml:space="preserve">kios dapat dr yg lain harga 61.000. </t>
  </si>
  <si>
    <t>Pembagian barang dengan kios mbak zakia</t>
  </si>
  <si>
    <t>kios minta ganti barang kemasan 250gr, nota blm kirim info mas feri.</t>
  </si>
  <si>
    <t>dibuatkan nota baru krna minta kirim akhir september, nota blm kirim (gudang kios tidak cukup)</t>
  </si>
  <si>
    <t>Retur, Barang Test Market</t>
  </si>
  <si>
    <t>Retur, Tidak laku saat acara, sudah ACC P. Agoes</t>
  </si>
  <si>
    <t>Retur, Toko batal order (Kurir tdk amanah)3</t>
  </si>
  <si>
    <t>Retur, Expedisi tidak bisa mengantarkan sampai tujuan, kios tidak mau ambil, musim sudah lewat</t>
  </si>
  <si>
    <t>Retur, kios hanya ambil 5 box</t>
  </si>
  <si>
    <t>Retur, Admin salh input, minta 2 diinput 20</t>
  </si>
  <si>
    <t>harga awal 39.500, admin salah input, SO benar, barang sdh kirim td pagi info mas feri (tidak info krna revisi sblm tutupan)</t>
  </si>
  <si>
    <t>SC salah SO</t>
  </si>
  <si>
    <t>Kios batal trf</t>
  </si>
  <si>
    <t>Retur, Pembatalan order oleh kios</t>
  </si>
  <si>
    <t>Retur, Permintaan kios</t>
  </si>
  <si>
    <t xml:space="preserve">Salah SO oleh SC </t>
  </si>
  <si>
    <t>E23004996</t>
  </si>
  <si>
    <t>Emacel 30 EC 50 X 100 ml (edit harga jadi 32.000)</t>
  </si>
  <si>
    <t>C23006494</t>
  </si>
  <si>
    <t>Hidayah Tani/Cholis</t>
  </si>
  <si>
    <t>Mutual 25/25 WP 50 X 100 gr ganti barang jadi Mutual 25/25 WP 40 X 250 gr qty 38 pack</t>
  </si>
  <si>
    <t>B23007604</t>
  </si>
  <si>
    <t>Jaya Bersama/Samad</t>
  </si>
  <si>
    <t>Qiumex 36 EC 10 X 1 ltr (edit qty jadi 1box)</t>
  </si>
  <si>
    <t>E23005128</t>
  </si>
  <si>
    <t>Sedulur Tani/Ruswantoro</t>
  </si>
  <si>
    <t>Symbisect 2/30 WG 50 X 100 gr (edit harga jadi 77.500)</t>
  </si>
  <si>
    <t>nego harga acc Pak Agoes. (harga awal 33.000)</t>
  </si>
  <si>
    <t>SC salah nulis harga di SO (harga sebelumnya 47.500) (revisi sblm tutupan, diinfo mbak nita dan gudang barang sdh kirim)</t>
  </si>
  <si>
    <t>Terlewat saat cek</t>
  </si>
  <si>
    <t>Sahabat Tani, Toko/Purwono</t>
  </si>
  <si>
    <t>Prima Sanggar/Rustam</t>
  </si>
  <si>
    <t>Barang rusak</t>
  </si>
  <si>
    <t>M1S Agro/sahrawi</t>
  </si>
  <si>
    <t>September</t>
  </si>
  <si>
    <t>B23007779</t>
  </si>
  <si>
    <t>Goza Tani/Juwadi</t>
  </si>
  <si>
    <t>B23007810</t>
  </si>
  <si>
    <t>Berkah Tani/Luluk</t>
  </si>
  <si>
    <t>Timun Semi F1 12 X 10 X 20 gr (edit qty jadi 30pack)</t>
  </si>
  <si>
    <t>E23005478</t>
  </si>
  <si>
    <t>D23009153</t>
  </si>
  <si>
    <t>Jagung Bisi 2 20 X 1 kg (edit qty jadi 1 Box)</t>
  </si>
  <si>
    <t>E23005005</t>
  </si>
  <si>
    <t>Windu Kamukten, PT</t>
  </si>
  <si>
    <t>ganti kios jadi Windu Kencana Mukti, PT</t>
  </si>
  <si>
    <t>E23005137</t>
  </si>
  <si>
    <t>Jagung Manis Golden Boy 20 X 500 gr (coret)</t>
  </si>
  <si>
    <t>E23005503</t>
  </si>
  <si>
    <t>Bukit Subur, UD</t>
  </si>
  <si>
    <t>Curacron 500 EC 40 X 250 ml (edit harga jadi 68.000)</t>
  </si>
  <si>
    <t>E23005509</t>
  </si>
  <si>
    <t>Mitra Tani/Riska</t>
  </si>
  <si>
    <t>Cabrio 250 EC 48 X 100 ml (edit harga jadi 81.000)</t>
  </si>
  <si>
    <t>B23007882</t>
  </si>
  <si>
    <t>Intani, UD/Yayak</t>
  </si>
  <si>
    <t>Kios tidak tepat janji</t>
  </si>
  <si>
    <t>Retur, Pengiriman terlalu lama</t>
  </si>
  <si>
    <t>kios tidak bisa bayar, barang blm kirim di dataku</t>
  </si>
  <si>
    <t>Retur, Nota lama tidak dilunasi, Barang ditarik (ACC P. Agoes)</t>
  </si>
  <si>
    <t>edit qty krna uang kios tidak cukup, oper ke Toko Sinar Jaya/Hanis 1 box nya</t>
  </si>
  <si>
    <t>Retur, Kios Batal, Pengiriman barang terlalu lama (Order 20/09 terkirim 27/09)(nunggu muatan lain)</t>
  </si>
  <si>
    <t>SC salah harga (harga awal 60.000)</t>
  </si>
  <si>
    <t>SC salah harga (harga awal 79.500), barang sdh kirim</t>
  </si>
  <si>
    <t>Retur, SC Salah SO, Salah Toko (Harusnya Intani, Toko)</t>
  </si>
  <si>
    <t>Ganti nama pajak</t>
  </si>
  <si>
    <t>B23008051</t>
  </si>
  <si>
    <t>C23006933</t>
  </si>
  <si>
    <t>C23006964</t>
  </si>
  <si>
    <t>C23006975</t>
  </si>
  <si>
    <t>C23006978</t>
  </si>
  <si>
    <t>D23008712</t>
  </si>
  <si>
    <t>D23009432</t>
  </si>
  <si>
    <t>E23005595</t>
  </si>
  <si>
    <t>E23005630</t>
  </si>
  <si>
    <t>Tawaf, Toko</t>
  </si>
  <si>
    <t>Giri Putri, UD</t>
  </si>
  <si>
    <t>Mujahidin Delapan, UD</t>
  </si>
  <si>
    <t>Akar Tani</t>
  </si>
  <si>
    <t>Karya Tani/Agus</t>
  </si>
  <si>
    <t>Abado 50 WP 20 X 6 X 40 gr (edit qty jadi 36 pack)</t>
  </si>
  <si>
    <t>Jagung Pertiwi 6 20 X 1 kg (edit harga jadi 84.000)</t>
  </si>
  <si>
    <t>Tali Kapas Cap Kelud 15 X 900 gr (Putih)* (edit qty jadi 5 zak)</t>
  </si>
  <si>
    <t>ganti nama toko jadi Akbar Tani, UD</t>
  </si>
  <si>
    <t>Dumil 40 SP 25 X 400 gr (edit qty jadi 1 box 9 btl)</t>
  </si>
  <si>
    <t>ganti nama toko jadi Cipta Jaya Tani, Toko</t>
  </si>
  <si>
    <t>Retur, Toko salah order quantity (kebanyakan, diambil separuh)</t>
  </si>
  <si>
    <t>SC salah harga, barang sdh kirim, orangnya sdh bayar(harga awal 83.000)</t>
  </si>
  <si>
    <t>kios batal order, oper lgsg ke mutiara tani/abdura rahman masuk nota bsk.</t>
  </si>
  <si>
    <t>admin salah input(blm kirim di dataku)</t>
  </si>
  <si>
    <t>SC salah SO, di SO tertulis Akar Tani</t>
  </si>
  <si>
    <t>Kios tidak trf, di dataku tunggu trf</t>
  </si>
  <si>
    <t>Batal order, karena toko/R2 y sdh dapat, dioper ke Bumi Asih</t>
  </si>
  <si>
    <t>Barang rusak (didataku note sdh terkirim), sisa barang 3 btl dibuatkan tgl 18/10/23 E5680</t>
  </si>
  <si>
    <t>Admin salah input (nota blm kirim)</t>
  </si>
  <si>
    <t>Salah input oleh admin SC</t>
  </si>
  <si>
    <t>Hendra</t>
  </si>
  <si>
    <t>B23008246</t>
  </si>
  <si>
    <t>Z23001966</t>
  </si>
  <si>
    <t>D23009649</t>
  </si>
  <si>
    <t>D23009653</t>
  </si>
  <si>
    <t>D23009670</t>
  </si>
  <si>
    <t>D23009710</t>
  </si>
  <si>
    <t>D23009584</t>
  </si>
  <si>
    <t>B23008273</t>
  </si>
  <si>
    <t>Polybag Alpen 25/45 X 45 cm - 25 X 1 kg* (coret)</t>
  </si>
  <si>
    <t>Mutiara Tani, UD/Abdur Rahman</t>
  </si>
  <si>
    <t>Jagung Bisi 18 20 X 1 kg (di kasi diskon 100%)</t>
  </si>
  <si>
    <t>Amanah, Toko/Sabariah</t>
  </si>
  <si>
    <t>Alat Tanam Roll MTB-008 SS (edit harga jadi 950.000)</t>
  </si>
  <si>
    <t>ganti nama kios jadi Sumber Tani Makmur, UD/Suyitno, H</t>
  </si>
  <si>
    <t>Vayego (coret semua) edit barang jadi Ricestar Xtra 89 OD 40 X 250 ml, 5box, harga 134.000</t>
  </si>
  <si>
    <t>Gibgro 20 T 10 X 10 X 5 gr (edit qty jadi 50box)</t>
  </si>
  <si>
    <t>Indra, Toko</t>
  </si>
  <si>
    <t>Metindo 25 WP 40 X 250 gr* 9edit qty jadi 2box)</t>
  </si>
  <si>
    <t>Amistartop 325 SC 100 X 50 ml (harga awal 59.500, harga tutupan 54.000)</t>
  </si>
  <si>
    <t>Retur, kios salah order  (PO Lagi ukuran 12.5/25*30 &amp;15/30 *40)</t>
  </si>
  <si>
    <t>jagung di diskon, note rancu menurut admin, baru diinfo sales stlh tutupan pas cocokan faktur n SO (belum kirim, info mas feri)</t>
  </si>
  <si>
    <t>Revisi harga dari P. Agoes</t>
  </si>
  <si>
    <t>kios awal tidak jadi order, difu jam 11 oleh SC, baru dibls stlh tutup penjualan.</t>
  </si>
  <si>
    <t>kios menambah orderan.</t>
  </si>
  <si>
    <t>Retur, Batal sepihak oleh toko, order 5 box, diambil 2 box karena stok masih banyak</t>
  </si>
  <si>
    <t>SC salah harga, barang sdh kirim, adin terima nota lunas yg 59.500, kios cash2an</t>
  </si>
  <si>
    <t>-</t>
  </si>
  <si>
    <t>Zaqia</t>
  </si>
  <si>
    <t>Pembagian barang</t>
  </si>
  <si>
    <t>Oktober</t>
  </si>
  <si>
    <t xml:space="preserve">JUMLAH INPUT BARANG </t>
  </si>
  <si>
    <t>Salah Input Oleh Admin Keuangan</t>
  </si>
  <si>
    <t>D23009824</t>
  </si>
  <si>
    <t>Petrus Mulianto</t>
  </si>
  <si>
    <t>Kios tidak komit, batal transfer, susah dihubungi.</t>
  </si>
  <si>
    <t>E23006017</t>
  </si>
  <si>
    <t>Permata, UD/Badar</t>
  </si>
  <si>
    <t>kios double order ke SC n ke SE, sdh order ke SC tgl 30.</t>
  </si>
  <si>
    <t>D23009942</t>
  </si>
  <si>
    <t>Abenz 22 EC 100 X 100 ml (edit harga jadi 66.000)</t>
  </si>
  <si>
    <t>E23005989</t>
  </si>
  <si>
    <t>Z230006</t>
  </si>
  <si>
    <t>Marshal 200 SC 24 X 500 ml (edit barang jadi Marshal 200 EC 24 X 500 ml)</t>
  </si>
  <si>
    <t>Admin pajak salah input</t>
  </si>
  <si>
    <t>Ahmad</t>
  </si>
  <si>
    <t>Z23002045</t>
  </si>
  <si>
    <t>Jagung NK 7328 20 X 1 kg (edit qty jadi 40box)</t>
  </si>
  <si>
    <t>Pembagian barang ke Kumpul Tani/hendro</t>
  </si>
  <si>
    <t>C23007391</t>
  </si>
  <si>
    <t>C23007513</t>
  </si>
  <si>
    <t>D23010221</t>
  </si>
  <si>
    <t>C23007658</t>
  </si>
  <si>
    <t>C23007481</t>
  </si>
  <si>
    <t>D23010039</t>
  </si>
  <si>
    <t>C23007067</t>
  </si>
  <si>
    <t>D23009260</t>
  </si>
  <si>
    <t>E23005823</t>
  </si>
  <si>
    <t>C23007457</t>
  </si>
  <si>
    <t>C23007504</t>
  </si>
  <si>
    <t>C23007539</t>
  </si>
  <si>
    <t>C23007538</t>
  </si>
  <si>
    <t>E23006043</t>
  </si>
  <si>
    <t>C23007602</t>
  </si>
  <si>
    <t>T23000954</t>
  </si>
  <si>
    <t>C23007734</t>
  </si>
  <si>
    <t>C23007704</t>
  </si>
  <si>
    <t>E23006282</t>
  </si>
  <si>
    <t>Padi Q-989 Ciherang 4 X 5 kg* (edit qty jadi 2 box)</t>
  </si>
  <si>
    <t>Sari Puja/Wayan Deresta</t>
  </si>
  <si>
    <t>Powercall Cair 20 X 1 ltr* (edit harga sblm tutupan 36.500)</t>
  </si>
  <si>
    <t>Kharisma Eka Putra, CV</t>
  </si>
  <si>
    <t>Amco Up 486 SL 20 X 1 ltr (edit harga jadi 43.000)</t>
  </si>
  <si>
    <t>Nara Kisma/Satrio</t>
  </si>
  <si>
    <t>Murah Jaya Wardani, CV</t>
  </si>
  <si>
    <t>Jagung NK 7328 20 X 1 kg (edit barang jadi Jagung NK 212 20 X 1 kg, qty 25box, harga 82.000)</t>
  </si>
  <si>
    <t>Andri Eka Ardika (edit kontak person jadi Cindo Agro, CV)</t>
  </si>
  <si>
    <t>Karya Tani Makmur/Irwanto</t>
  </si>
  <si>
    <t>Padi Pahisa 01 20 X 1 kg (edit qty jadi 2box)</t>
  </si>
  <si>
    <t>GG Akar 50 X 100 ml (M2U)* (coret)</t>
  </si>
  <si>
    <t>Abacell 18 EC 10 X 1 ltr (coret)</t>
  </si>
  <si>
    <t>Perdana Jaya/Zainud</t>
  </si>
  <si>
    <t>H Bahri</t>
  </si>
  <si>
    <t>Jagung ADV 132 20 X 1 kg (coret)</t>
  </si>
  <si>
    <t>Akrostar 40 WP 60 X 40 gr (edit harga jadi 36.500)</t>
  </si>
  <si>
    <t>Setia Tani/Hendrayani</t>
  </si>
  <si>
    <t>edit nama toko jadi Setia Hati, Toko</t>
  </si>
  <si>
    <t>Sumber Tani/Sandra</t>
  </si>
  <si>
    <t>Bayam Belang 2 kg (edit barang jadi Bayam Belang 35 X 500 gr)</t>
  </si>
  <si>
    <t>Manggala</t>
  </si>
  <si>
    <t>Tali Kapas Cap Kelud 15 X 900 gr (Putih)* (edit qty jadi 1 zak)</t>
  </si>
  <si>
    <t>Berkah Kayra/Nuyun</t>
  </si>
  <si>
    <t>Qiuvita Hijau 32.11.11 100 X 100 gr* (edit harga 13.500, harga awal 13.000)</t>
  </si>
  <si>
    <t>Sukma</t>
  </si>
  <si>
    <t>kios nego harga, barang sudah kirim (harga awal 37.500)</t>
  </si>
  <si>
    <t>ACC Pak Agoes, harga KEP diturunkan (harga awal 50.000)</t>
  </si>
  <si>
    <t>SE double order, Oper ke toko Dino Vita, nota tgl 18/11/23 C23007804</t>
  </si>
  <si>
    <t>Cust ganti order barang lain</t>
  </si>
  <si>
    <t>kios awal ganti order barang Neocron, paket convey lgsg dioper ke rizki tani/ratna nota tgl 9</t>
  </si>
  <si>
    <t>ganti kontak person info tgl 26/5/23, 2nota sebelumnya di okt diganti ke nama kontak person baru</t>
  </si>
  <si>
    <t>Retur, Daya tumbuh bermasalah, retur ke pabrik</t>
  </si>
  <si>
    <t>Retur, kios &amp; SE salah PO</t>
  </si>
  <si>
    <t>Retur, kios tidak cocok harga, harga kemahalan (ACC P. Agoes)</t>
  </si>
  <si>
    <t>Retur, kios tidak order</t>
  </si>
  <si>
    <t>Retur, kios batal sepihak</t>
  </si>
  <si>
    <t>Master barang di zahir awalnya terisi 50 pack 1 box, jd saat print preview munculnya 43.800 krna total nota 10.950.000 dibagi 50pack x 5box, admin penj ikuti print preview tidak liat SO, barang belum kirim</t>
  </si>
  <si>
    <t>Admin SC salah input</t>
  </si>
  <si>
    <t>Slah harga oleh SC</t>
  </si>
  <si>
    <t>Double Order</t>
  </si>
  <si>
    <t>B23008695</t>
  </si>
  <si>
    <t>B23008732</t>
  </si>
  <si>
    <t>B23008868</t>
  </si>
  <si>
    <t>B23008896</t>
  </si>
  <si>
    <t>B23008904</t>
  </si>
  <si>
    <t>B23008915</t>
  </si>
  <si>
    <t>C23007906</t>
  </si>
  <si>
    <t>C23007919</t>
  </si>
  <si>
    <t>C23007941</t>
  </si>
  <si>
    <t>C23007977</t>
  </si>
  <si>
    <t>C23008096</t>
  </si>
  <si>
    <t>D23010156</t>
  </si>
  <si>
    <t>E23006419</t>
  </si>
  <si>
    <t>E23006442</t>
  </si>
  <si>
    <t>E23006444</t>
  </si>
  <si>
    <t>Asia Top 288 SL 4 X 5 ltr* (edit harga jadi 220.000)</t>
  </si>
  <si>
    <t>Neocron 80 OL 20 X 500 ml* (edit harga jadi 160.000)</t>
  </si>
  <si>
    <t>Sampurna Tani</t>
  </si>
  <si>
    <t>Metsulindo Plus 80 WP 8 X 25 X 40 gr* (edit qty jadi 1 box)</t>
  </si>
  <si>
    <t>D Live Tani</t>
  </si>
  <si>
    <t>Damazeb 80 WP Blue 20 X 800 gr* (edit harga jadi 65.000)</t>
  </si>
  <si>
    <t>Inti Tani/Hermin</t>
  </si>
  <si>
    <t>Anugrah Tani/Agung</t>
  </si>
  <si>
    <t>Neocron 80 OL 20 X 250 ml* (edit harga jadi 86.500 harga awal 85.500)</t>
  </si>
  <si>
    <t>Tani Makmur/Ashuri</t>
  </si>
  <si>
    <t>Tangki TOP AGRI Single Fungsi 16 ltr baterai* (edit qty jadi 10 pack)</t>
  </si>
  <si>
    <t>Lem Ajaib 50 X 50 ml* (coret)</t>
  </si>
  <si>
    <t>Sumber Rejeki, UD/Sigit</t>
  </si>
  <si>
    <t>Benih Jaya</t>
  </si>
  <si>
    <t>Atonik 6.0 L 30 X 250 ml (coret)</t>
  </si>
  <si>
    <t>Tretan Tani/Anam</t>
  </si>
  <si>
    <t>Mulsa Hanoman 60 cm X 18 kg (Roll)* (edit harga jadi 621.000, harga awal 34.500)</t>
  </si>
  <si>
    <t>Dulur Tani/Miftahur</t>
  </si>
  <si>
    <t>Makmur/Heru</t>
  </si>
  <si>
    <t>Decis 2.5 EC 100 X 100 ml (edit harga jadi 27.250, harga awal 22.500)</t>
  </si>
  <si>
    <t>ACC Pak Agoes (harga awal 225.000)</t>
  </si>
  <si>
    <t>kios tidak jadi ikut program, minta kembali harga net (harga awal 165.000).</t>
  </si>
  <si>
    <t>kios mengurangi qty yg di order.</t>
  </si>
  <si>
    <t>harga nett tidak ikut program, kios tidak jadi ikut program(harga awal 72.000)</t>
  </si>
  <si>
    <t>Pembagian barang ke Karya tani/Agus</t>
  </si>
  <si>
    <t>SC salah harga (barang sdh kirim)</t>
  </si>
  <si>
    <t>Permintaan cust (belum kirim di dataku)</t>
  </si>
  <si>
    <t>stok dikios ternyata masih ada.</t>
  </si>
  <si>
    <t>Pembagian barang, di oper ke Mutiara Tani, UD/Abdurrahman krna tidak mau PO barang laintgl besok 22/11/23</t>
  </si>
  <si>
    <t>Permintaan toko, kirim tgl 15/12 mendekati gathering</t>
  </si>
  <si>
    <t>Retur, SC salah tulis kemasan (kios minta kemasan 100ml)</t>
  </si>
  <si>
    <t>Admin salah input, barang sdh kirim</t>
  </si>
  <si>
    <t>Retur, kios batal order saat dikirim. (ada bukti orderannya)</t>
  </si>
  <si>
    <t>kios membatalkan orderan karna harga tidak cocok</t>
  </si>
  <si>
    <t>Admin Keuangan salah Input</t>
  </si>
  <si>
    <t>Membuat SOP terkait Revisi Faktur Penjualan</t>
  </si>
  <si>
    <t>Membuat SOP terkait Input Penjualan BPK, tgl 30/11/2023 draft SOP Selesai, Minggu pertama Desember pengajuan ke Bu Diana</t>
  </si>
  <si>
    <t>kios membatalkan orderan</t>
  </si>
  <si>
    <t>November</t>
  </si>
  <si>
    <t>A23001730</t>
  </si>
  <si>
    <t>Novi Kumalasari</t>
  </si>
  <si>
    <t>Emaplus 50 EC 50 X 80 ml* (edit harga jadi 54.500, harga awal 53.000)</t>
  </si>
  <si>
    <t>SC salah harga, barang sdh kirim</t>
  </si>
  <si>
    <t>B23008902</t>
  </si>
  <si>
    <t>Kios tidak transfer</t>
  </si>
  <si>
    <t>B23008903</t>
  </si>
  <si>
    <t>B23009042</t>
  </si>
  <si>
    <t>Cahaya Tani, UD/Muizzi</t>
  </si>
  <si>
    <t>Kios mengganti dengan orderan barang lain (Padi Q989 ganti jagung DK9209C)</t>
  </si>
  <si>
    <t>Permintaan Cust.</t>
  </si>
  <si>
    <t>B23009114</t>
  </si>
  <si>
    <t>Abacell 18 EC 10 X 1 ltr (edit harga jadi 175.000, qty 20 box)</t>
  </si>
  <si>
    <t>SC salah harga (harga awal 173.000)</t>
  </si>
  <si>
    <t>B23009224</t>
  </si>
  <si>
    <t>Sinar Jaya/Hanis</t>
  </si>
  <si>
    <t xml:space="preserve">edit nama toko jadi Bumi Asih, UD/Hasan </t>
  </si>
  <si>
    <t>kios awal tidak jadi order, uang tidak cukup.</t>
  </si>
  <si>
    <t>B23009246</t>
  </si>
  <si>
    <t>Adam Jaya/Indah</t>
  </si>
  <si>
    <t>Mutual 25/25 WP 50 X 100 gr* (edit harga jadi 60.000)</t>
  </si>
  <si>
    <t>kios tidak jadi ikut program, pengambilan sebelumnya harga 65.000 (harga awal 65.000)</t>
  </si>
  <si>
    <t>B23009356</t>
  </si>
  <si>
    <t>Gandasil D/H 24 X 500 gr (edit qty jadi 3box, harga 35.600)</t>
  </si>
  <si>
    <t>Kios nego harga (harga awal 35.950)</t>
  </si>
  <si>
    <t>harga tidak cocok</t>
  </si>
  <si>
    <t>B23009408</t>
  </si>
  <si>
    <t>Ricestar Xtra 89 OD 100 X 100 ml (coret)</t>
  </si>
  <si>
    <t>Retur, SC salah SO (kios order Ricestar EC)</t>
  </si>
  <si>
    <t>C23008481</t>
  </si>
  <si>
    <t>Restu Tani/Didik</t>
  </si>
  <si>
    <t>Lem Ajaib 50 X 50 ml* (edit harga jadi 42.500)</t>
  </si>
  <si>
    <t>SC salah harga(harga awal 49.500)</t>
  </si>
  <si>
    <t>C23008511</t>
  </si>
  <si>
    <t>Taufiq Hidayat</t>
  </si>
  <si>
    <t>Pupuk Fosfat 50 kg MPS* (garnti barang jadi Phosgrow 50 kg, 2 zak, harga 155.000)</t>
  </si>
  <si>
    <t>C23008552</t>
  </si>
  <si>
    <t>Qiumex 36 EC 40 X 250 ml* (edit harga awal 58.500harga awal 23.500)</t>
  </si>
  <si>
    <t xml:space="preserve">SC salah harga </t>
  </si>
  <si>
    <t>C23008555</t>
  </si>
  <si>
    <t>Alexis 70 WP 15 X 800 gr* (edit qty jadi 3 pack)</t>
  </si>
  <si>
    <t>2 pack kemasan rusak, tidak ikut kirim</t>
  </si>
  <si>
    <t>C23008696</t>
  </si>
  <si>
    <t>Mubarok, Toko</t>
  </si>
  <si>
    <t>Mulsa Karisma Q989 70 cm X 16 kg (Roll) Merah* (edit harga jadi 560.000)</t>
  </si>
  <si>
    <t>SC salah harga (harga awal 552.000)</t>
  </si>
  <si>
    <t>D23010775</t>
  </si>
  <si>
    <t>Karya Tani/Ana</t>
  </si>
  <si>
    <t>Retur, Batal double order, sesuai note yg ada digrup 0 barang kembali ACC Bu Ita</t>
  </si>
  <si>
    <t>D23010954</t>
  </si>
  <si>
    <t>GW Magicgro G6 48 X 248 ml* (edit harga jadi 8.000)</t>
  </si>
  <si>
    <t>E23006805</t>
  </si>
  <si>
    <t>Mega Tani/Gusti Kade Suastika</t>
  </si>
  <si>
    <t>salah nama toko, Oper ke bukit subur</t>
  </si>
  <si>
    <t>E23006832</t>
  </si>
  <si>
    <t>Bintang Tani/Kabul</t>
  </si>
  <si>
    <t>Atonik 6.0 L 15 X 500 ml (edit harga jadi 55.000)</t>
  </si>
  <si>
    <t>SC salah harga (harga awal 50.500)</t>
  </si>
  <si>
    <t>E23007074</t>
  </si>
  <si>
    <t>KNO3 Merah P Tani 15 X 2 kg (coret)</t>
  </si>
  <si>
    <t>Ada revisi harga dr P. Agoes, info SC coret</t>
  </si>
  <si>
    <t>E23007176</t>
  </si>
  <si>
    <t>Suci Murni/Tony</t>
  </si>
  <si>
    <t>D23011150</t>
  </si>
  <si>
    <t>B23009632</t>
  </si>
  <si>
    <t>B23009697</t>
  </si>
  <si>
    <t>B23009381</t>
  </si>
  <si>
    <t>B23009660</t>
  </si>
  <si>
    <t>E23007451</t>
  </si>
  <si>
    <t>E23007480</t>
  </si>
  <si>
    <t>E23007325</t>
  </si>
  <si>
    <t>B23009571</t>
  </si>
  <si>
    <t>D23011147</t>
  </si>
  <si>
    <t>E23007299</t>
  </si>
  <si>
    <t>Gota, Toko/Pujiono</t>
  </si>
  <si>
    <t>Dekapirim 400 SC 20 X 500 ml (edit qty jadi 5btl)</t>
  </si>
  <si>
    <t>Ricestar Xtra 89 OD 100 X 100 ml (edit qty jadi 25 box, bonus 1 box di coret)</t>
  </si>
  <si>
    <t>Legowo Sugianto</t>
  </si>
  <si>
    <t>Sumber Rejeki/Febi</t>
  </si>
  <si>
    <t>Parnadi, UD</t>
  </si>
  <si>
    <t>Tani Maju, UD/Afif Zarkasyi</t>
  </si>
  <si>
    <t>Gibgro 10 SP 25 X 40 X 1 gr (coret)</t>
  </si>
  <si>
    <t>Cauli Flower Kiran F1 50 X 10 X 10 gr (edit harga jadi 114.000)</t>
  </si>
  <si>
    <t>Bagus Rizki, UD</t>
  </si>
  <si>
    <t>Metindo 40 SP 10 X 10 X 100 gr (edit harga jadi 23.000)</t>
  </si>
  <si>
    <t>Sinar Tani/Wirami</t>
  </si>
  <si>
    <t>Gandasil B/K 24 X 500 gr (edit harga jadi 40.000)</t>
  </si>
  <si>
    <t>kios merubah rincian pesanan.</t>
  </si>
  <si>
    <t>uang kios tidak cukup, kios CBD by tlp</t>
  </si>
  <si>
    <t>Admin salah input (harga awal 43.500)</t>
  </si>
  <si>
    <t>Admin salah input (harga awal 44.625)</t>
  </si>
  <si>
    <t>Desember</t>
  </si>
  <si>
    <t>Januari</t>
  </si>
  <si>
    <t>Juni</t>
  </si>
  <si>
    <t>Februari</t>
  </si>
  <si>
    <t>Maret</t>
  </si>
  <si>
    <t>April</t>
  </si>
  <si>
    <t>Juli</t>
  </si>
  <si>
    <t>Agustus</t>
  </si>
  <si>
    <t>Bulan</t>
  </si>
  <si>
    <t>Anisa</t>
  </si>
  <si>
    <t>Stock di gudang kosong</t>
  </si>
  <si>
    <t>Arasyi</t>
  </si>
  <si>
    <t>Keuangan</t>
  </si>
  <si>
    <t>Barang Rusak/Cacat/Bocor/Exp</t>
  </si>
  <si>
    <t>Heru</t>
  </si>
  <si>
    <t>Faris</t>
  </si>
  <si>
    <t>Periode Januari 2025</t>
  </si>
  <si>
    <t>Reni</t>
  </si>
  <si>
    <t>Nanda</t>
  </si>
  <si>
    <t>Ariyani</t>
  </si>
  <si>
    <t>Ditolak Bandara/ Ekspedisi</t>
  </si>
  <si>
    <t>KET</t>
  </si>
  <si>
    <t>JAN S/D JULI</t>
  </si>
  <si>
    <t>RETUR</t>
  </si>
  <si>
    <t>Akm Ret</t>
  </si>
  <si>
    <t>OMSET</t>
  </si>
  <si>
    <t>Akm Oms</t>
  </si>
  <si>
    <t>Target Retur 0.03%</t>
  </si>
  <si>
    <t>Akm Salah Harga</t>
  </si>
  <si>
    <t>Jumlah Faktur</t>
  </si>
  <si>
    <t>Akm Jumlah Fak</t>
  </si>
  <si>
    <t>Salah SO (%)</t>
  </si>
  <si>
    <t>Salah Harga (%)</t>
  </si>
  <si>
    <t>Target Salah Harga 0.02%</t>
  </si>
  <si>
    <t>Target SO 0.01%</t>
  </si>
  <si>
    <t>ACTUAL AGU</t>
  </si>
  <si>
    <t>TARGET SEP</t>
  </si>
  <si>
    <t>TARGET OKT</t>
  </si>
  <si>
    <t>TARGET NOV</t>
  </si>
  <si>
    <t>TARGET DES</t>
  </si>
  <si>
    <t>Online</t>
  </si>
  <si>
    <t>Periode Januari - Desember 2026</t>
  </si>
  <si>
    <t>MIA</t>
  </si>
  <si>
    <t>Purchasing</t>
  </si>
  <si>
    <t>Non SC</t>
  </si>
  <si>
    <t>TARGET : 200 Revisi Faktur sd Desember 2026, Per bulan maksimal 16 Revisi Faktur</t>
  </si>
  <si>
    <t>B25016568</t>
  </si>
  <si>
    <t>B25016590</t>
  </si>
  <si>
    <t>D26000208</t>
  </si>
  <si>
    <t>A25002336</t>
  </si>
  <si>
    <t>D26000505</t>
  </si>
  <si>
    <t>A26000002</t>
  </si>
  <si>
    <t>D26000595</t>
  </si>
  <si>
    <t>A26000059</t>
  </si>
  <si>
    <t>B26000321</t>
  </si>
  <si>
    <t>A26000086</t>
  </si>
  <si>
    <t>Sheila</t>
  </si>
  <si>
    <t>Nurhanifah</t>
  </si>
  <si>
    <t>Akbar Tani, UD</t>
  </si>
  <si>
    <t>Karissnail 6 PL 20 X 500 gr (M2U)* (edit qty jadi 5 box 17 pack)</t>
  </si>
  <si>
    <t>Online Shop Shopee</t>
  </si>
  <si>
    <t>Tenggulun Tani</t>
  </si>
  <si>
    <t>Antracol 70 WP 20 X 500 gr (edit harga 79.000)</t>
  </si>
  <si>
    <t>Curacron 500 EC 40 X 250 ml (edit qty jadi 50box)</t>
  </si>
  <si>
    <t>Online Shop Tik tok</t>
  </si>
  <si>
    <t>Ahmad Mahsun Fuadi</t>
  </si>
  <si>
    <t>Kios tidak transfer.</t>
  </si>
  <si>
    <t>Retur, barang bocor</t>
  </si>
  <si>
    <t>Retur, Alasan pembeli yg dikirim salah, padahal barang sudah sesuai pesanan</t>
  </si>
  <si>
    <t xml:space="preserve"> SC salah harga (harga awal 78.000)</t>
  </si>
  <si>
    <t>Shopee tidak dapat memproses krna alamat kirim terdampak banjir, info gudang belum kirim</t>
  </si>
  <si>
    <t>Kios merevisi qty order, karena expired pendek.</t>
  </si>
  <si>
    <t>Retur, Pembeli membatalkan pesanan sebelum barang dikirim oleh ekspedisi.</t>
  </si>
  <si>
    <t>Kios batal order karena barang belum dikirim, sedangkan hari ini rencana dibawa ke luar pulau.</t>
  </si>
  <si>
    <t>Pembatalan otomatis dari shopee karena customer tidak melakukan pembayaran non COD.</t>
  </si>
  <si>
    <t>Target 0 Salah Harga</t>
  </si>
  <si>
    <t>Target 0 Salah SO</t>
  </si>
  <si>
    <t>Target 0 Salah Input Admin</t>
  </si>
  <si>
    <t>A26000028</t>
  </si>
  <si>
    <t>D26001232</t>
  </si>
  <si>
    <t>Tani Maju/Aris</t>
  </si>
  <si>
    <t>edit transaksi (ganti ke cust Bumi Asih, UD/Hasan, Manohara 10Box bonus 1 Box harga 17.500)</t>
  </si>
  <si>
    <t>kios awal merevisi orderan.</t>
  </si>
  <si>
    <t>A26000147</t>
  </si>
  <si>
    <t>A26000155</t>
  </si>
  <si>
    <t>B26000088</t>
  </si>
  <si>
    <t>Sri Sindu/I Gede Sukaraditia</t>
  </si>
  <si>
    <t>Wendry 75 WP 20 X 500 gr (M2U) (edit 28box harga 90.000, 2box 3pack bonus)</t>
  </si>
  <si>
    <t>Retur, Pihak shopee membatalkan pesanan karena tidak lolos sortir</t>
  </si>
  <si>
    <t>Retur, Barang mengalami kebocoran saat pengiriman (di gudang ekspedisi)</t>
  </si>
  <si>
    <t xml:space="preserve">SC salah menghitung bonus </t>
  </si>
  <si>
    <t>Salah SO Oleh SC</t>
  </si>
  <si>
    <t>B26001039</t>
  </si>
  <si>
    <t>Karisma Bumi Indah/Fedo</t>
  </si>
  <si>
    <t>Piraklo 250 EC 40 X 250 ml* (coret)</t>
  </si>
  <si>
    <t>retur, SC Double SO</t>
  </si>
  <si>
    <t>A26000169</t>
  </si>
  <si>
    <t>B26001864</t>
  </si>
  <si>
    <t>B26002147</t>
  </si>
  <si>
    <t>B26002129</t>
  </si>
  <si>
    <t>T26000158</t>
  </si>
  <si>
    <t>A26000257</t>
  </si>
  <si>
    <t>Safirah</t>
  </si>
  <si>
    <t>Kembar Sukses, UD</t>
  </si>
  <si>
    <t>Gibgro 10 SP 25 X 40 X 1 gr (edit qty jadi 1box)</t>
  </si>
  <si>
    <t>Lannate 40 SP 10 X 10 X 100 gr (edit qty jadi 1box)</t>
  </si>
  <si>
    <t>Mandiri Tani/Mulyani-Faisal</t>
  </si>
  <si>
    <t>Popzole 525 SE 48 X 240 ml* (edit qty jadi 4box)</t>
  </si>
  <si>
    <t>Berkah Tani/Agnes</t>
  </si>
  <si>
    <t>Prima-Zol 250 EC 20 X 1 ltr* (edit qty jadi 5box bonus 10btl)</t>
  </si>
  <si>
    <t>Retur, Pihak shopee membatalkan pesanan karena tidak lolos sortir di Balikpapan</t>
  </si>
  <si>
    <t>Customer mervisi qty order.</t>
  </si>
  <si>
    <t>Cust merevisi qty order, krna Uang tidak cukup.</t>
  </si>
  <si>
    <t>Kios salah order, seharusnya jagung P27 Lumigen, P27 masih ada stok di gd kios.</t>
  </si>
  <si>
    <t>kios merevisi qty order.</t>
  </si>
  <si>
    <t>cust membatalkan order.</t>
  </si>
  <si>
    <t>A26000183</t>
  </si>
  <si>
    <t>A26000198</t>
  </si>
  <si>
    <t>Retur, Paket dibatalkan otomatis oleh ekspedisi setelah dilakukan 3x pengiriman tapi tidak ada kejelasan dari customer</t>
  </si>
  <si>
    <t>D26002866</t>
  </si>
  <si>
    <t>A26000279</t>
  </si>
  <si>
    <t>D26000785</t>
  </si>
  <si>
    <t>D26002464</t>
  </si>
  <si>
    <t>Evi (Safira)</t>
  </si>
  <si>
    <t>oper ke cust Sumber Tani/Widi, H II (data lain sama)</t>
  </si>
  <si>
    <t>Tani Illahi 2/Imam</t>
  </si>
  <si>
    <t>Cust awal merevisi orderan.</t>
  </si>
  <si>
    <t>Retur, Pesanan Tidak dapat dilanjutkan pengirimannya karena pihak bandara (alasn bahan kimia)</t>
  </si>
  <si>
    <t>Kios batal order sebagian barang karena gudang kios tidak muat.</t>
  </si>
  <si>
    <t>Syahra</t>
  </si>
  <si>
    <t>B26002839</t>
  </si>
  <si>
    <t>B26002928</t>
  </si>
  <si>
    <t>Karunia Jaya/Sujud Abdillah</t>
  </si>
  <si>
    <t>Mulsa Ori Gajah 0.3 60 cm X 18 kg (Roll) + Kaos* (edit qty jadi 14roll)</t>
  </si>
  <si>
    <t>Riski Tani/Hadi</t>
  </si>
  <si>
    <t>Sarung Tanwin (coret)</t>
  </si>
  <si>
    <t>Retur, Kios tidak mau terima karena barang sobek (info gudang ke mb dewi, kerusakan kecil, jd nanti bisa diakali untuk dijual kembali)</t>
  </si>
  <si>
    <t>Retur, Kios minta ganti sarung atlas (bonus pembelian bamex 5box)</t>
  </si>
  <si>
    <t>B26003128</t>
  </si>
  <si>
    <t>Dwi</t>
  </si>
  <si>
    <t>Retur, Barang tidak sesuai pesanan, SO nya Mulsa Ori Gajah 60 x 18kg, Admin SC salah input.</t>
  </si>
  <si>
    <t>Salah input Oleh Admin SC</t>
  </si>
  <si>
    <t>B26003342</t>
  </si>
  <si>
    <t>B26003293</t>
  </si>
  <si>
    <t>B26003279</t>
  </si>
  <si>
    <t>D26003820</t>
  </si>
  <si>
    <t>B26003284</t>
  </si>
  <si>
    <t>T26000180</t>
  </si>
  <si>
    <t>Sumber Rejeki/Ali</t>
  </si>
  <si>
    <t>Jagung NK 212 BTGT 20 X 1 kg (edit qty jadi 110box)</t>
  </si>
  <si>
    <t>Tani Barokah/Salim</t>
  </si>
  <si>
    <t>Sprayer Quda Karisma 5 L 1 x 6 pcs (Kuning) (hapus diskon 100%nya, tidak jadi bonus)</t>
  </si>
  <si>
    <t>Konco Tani/Sukari, H</t>
  </si>
  <si>
    <t>Asia Top 288 SL 20 X 1 ltr* (edit jadi 3Box dibonus 100%, 25Box dijual normal)</t>
  </si>
  <si>
    <t>Timbol Jaya/Gischa</t>
  </si>
  <si>
    <t>Jagung Bisi 234 20 X 1 kg (edit qty jd 5box)</t>
  </si>
  <si>
    <t>Abado 50 WP 20 X 6 X 40 gr* (coret)</t>
  </si>
  <si>
    <t>Tani Sentosa</t>
  </si>
  <si>
    <t>Ever Green Asam Humat 30 X 500 ml* (coret)</t>
  </si>
  <si>
    <t>Pecah faktur tgl besok</t>
  </si>
  <si>
    <t>admin salah input barang, kios mau membeli bonusnya, seharusnya sprayer 16ltr</t>
  </si>
  <si>
    <t>Admin salah input, bonus 3box tidak didiskon 100%</t>
  </si>
  <si>
    <t>Retur, Barang tidak sesuai pesanan, SO nya Abojo 50gr, Admin SC salah input.</t>
  </si>
  <si>
    <t>Retur, barang tidak sesuai pesanan, SE salah info, tarik tukar Evergreen Asam Amino 500ml (T26000279 5/3/26)</t>
  </si>
  <si>
    <t>A26000418</t>
  </si>
  <si>
    <t>A26000419</t>
  </si>
  <si>
    <t>D26004486</t>
  </si>
  <si>
    <t>Mulsa Hanoman 60 cm X 8 kg (Roll)* (edit qty jadi 202roll)</t>
  </si>
  <si>
    <t>Mulsa Hanoman 60 cm X 17 kg (Roll)* (coret)</t>
  </si>
  <si>
    <t>Retur, Barang yang dikirim tidak sesuai Resi (Gudang salah tempel Resi)</t>
  </si>
  <si>
    <t>kios revisi qty order.</t>
  </si>
  <si>
    <t>B26003764</t>
  </si>
  <si>
    <t>D26003762</t>
  </si>
  <si>
    <t>Gibgro 20 T 25 X 10 X 5 gr (coret)</t>
  </si>
  <si>
    <t>Cabrio 250 EC 24 X 250 ml (edit qty jadi 19 box 5 btl)</t>
  </si>
  <si>
    <t>Retur, Info Sales, Cust minta Gibgro 20 jadi dinotakan Gibgro 5gr, Ternyata cust minta Gibgro 1gr Panen</t>
  </si>
  <si>
    <t>Retur, barang dikembalikan ke KIU karena kelebihan kirim (tidak sesuai PO)</t>
  </si>
  <si>
    <t>Nonik</t>
  </si>
  <si>
    <t>A26000431</t>
  </si>
  <si>
    <t>D26005081</t>
  </si>
  <si>
    <t>D26005361</t>
  </si>
  <si>
    <t>Pos Tani/Hendro</t>
  </si>
  <si>
    <t>Decis 25 EC 100 X 100 ml (edit harga jadi 29.500)</t>
  </si>
  <si>
    <t>Retur, Pelanggan membatalkan pesanan saat barang sudah sampai dilokasi (pesanan ditolak)</t>
  </si>
  <si>
    <t>kios batal order.</t>
  </si>
  <si>
    <t>Bu Anne tidak ACC, SC salah harga (harga awal 28.000)</t>
  </si>
  <si>
    <t>A26000519</t>
  </si>
  <si>
    <t>D26005685</t>
  </si>
  <si>
    <t>B26004600</t>
  </si>
  <si>
    <t>B26004630</t>
  </si>
  <si>
    <t>D26005907</t>
  </si>
  <si>
    <t>D26005797</t>
  </si>
  <si>
    <t>D26005809</t>
  </si>
  <si>
    <t>D26006055</t>
  </si>
  <si>
    <t>D26006078</t>
  </si>
  <si>
    <t>A26000573</t>
  </si>
  <si>
    <t>Sumber Rejeki/Imam</t>
  </si>
  <si>
    <t>Arcanate 40/160 SC 40 X 250 ml* (edit qty jd 2 box)</t>
  </si>
  <si>
    <t>Agro Lestari, UD/Puguh</t>
  </si>
  <si>
    <t>Jagung P27 Lumigen 20 X 1 kg (edit harga jadi 115.000)</t>
  </si>
  <si>
    <t>Jaya Ponti/Johanes</t>
  </si>
  <si>
    <t>Atonik 6.0 L 50 X 100 ml (coret), ganti Atonik 6.0 L 15 X 500 ml 70 box harga 55.000</t>
  </si>
  <si>
    <t>Basrata 150 SL 20 X 1 ltr* (coret)</t>
  </si>
  <si>
    <t>Mulur, UD</t>
  </si>
  <si>
    <t>Prima-Kuat 276 SL 4 X 5 ltr* (coret)</t>
  </si>
  <si>
    <t>Tani Harapan</t>
  </si>
  <si>
    <t>Unihit 100/20 SC 100 X 100 ml* (edit qty 50btl)</t>
  </si>
  <si>
    <t>Mapan Agro Sentosa, UD</t>
  </si>
  <si>
    <t>Jagung Bisi 235 20 X 1 kg (coret)</t>
  </si>
  <si>
    <t>Retur, Barang tidak lolos sortir saat pengiriman via udara</t>
  </si>
  <si>
    <t>pembagian barang krna stok tinggal sedikit</t>
  </si>
  <si>
    <t>kios awalnya minta cash, kemudian revisi minta tempo. (harga awal 114.000)</t>
  </si>
  <si>
    <t>kios tidak cocok harga, padahal sudah deal sblmnya dengan harga yg dikirim SC.</t>
  </si>
  <si>
    <t>kios merevisi pesanan.</t>
  </si>
  <si>
    <t>Cust merevisi barang yg diorder.</t>
  </si>
  <si>
    <t>Retur, Salah input nama barang (harusnya Prima Lima 5ltr) &amp; Kurang teliti saat cek terakhir, (38 Box Retur, 7box belum kirim)</t>
  </si>
  <si>
    <t>Kios merevisi qty order.</t>
  </si>
  <si>
    <t>kios merevisi pesanan, stok di kios ternyata masih ada.</t>
  </si>
  <si>
    <t>Retur, Pelanggan melakukan pengembalia barang karena pompa tidak berfungsi (info gudang sblm kirim sudah dicoba dan bisa), saat barang retur datang dilakukan uji coba kembali dan barang bisa</t>
  </si>
  <si>
    <t>Barang tidak diambil, kios sedang berduka</t>
  </si>
  <si>
    <t>A26000614</t>
  </si>
  <si>
    <t>D26006737</t>
  </si>
  <si>
    <t>D26006795</t>
  </si>
  <si>
    <t>A26000638</t>
  </si>
  <si>
    <t>A26000674</t>
  </si>
  <si>
    <t>Score 250 EC 40 X 250 ml (edit qty jadi 30box)</t>
  </si>
  <si>
    <t>Sumber Tani/Widi, H II</t>
  </si>
  <si>
    <t>Cust tidak dapat dihubungi (sampai 3 hari)</t>
  </si>
  <si>
    <t>kios double order.</t>
  </si>
  <si>
    <t>Retur, barang tidak sampai tujuan karena tidak lolos sortir</t>
  </si>
  <si>
    <t>Retur, menurut pelanggan barang yg dikirim tidak lengkap/kosong, padahal barangnya ada dan sesuai pesanan</t>
  </si>
  <si>
    <t>B26005768</t>
  </si>
  <si>
    <t>B26004685</t>
  </si>
  <si>
    <t>B26005747</t>
  </si>
  <si>
    <t>Ar Royan, UD</t>
  </si>
  <si>
    <t>Sederhana, UD</t>
  </si>
  <si>
    <t>Padi Janger Inpari-32 4 X 5 kg* (edit qty jadi 7 pack)</t>
  </si>
  <si>
    <t>Akbar Tani/Sutrisno</t>
  </si>
  <si>
    <t>Pembino 20 X 500 ml* (coret)</t>
  </si>
  <si>
    <t>kios batal order krna yg dicari Jagung DK 955R, bukan 95R ternyata.</t>
  </si>
  <si>
    <t>Retur, Barang Expired, Daya Tumbuh Kurang Bagus</t>
  </si>
  <si>
    <t>kios minta pembino dibukakan nota T-K</t>
  </si>
  <si>
    <t>Z26001358</t>
  </si>
  <si>
    <t>D26007485</t>
  </si>
  <si>
    <t>D26007343</t>
  </si>
  <si>
    <t>A26000691</t>
  </si>
  <si>
    <t>A26000743</t>
  </si>
  <si>
    <t>D26007684</t>
  </si>
  <si>
    <t>D26007575</t>
  </si>
  <si>
    <t>D26007283</t>
  </si>
  <si>
    <t>D26007987</t>
  </si>
  <si>
    <t>D26008009</t>
  </si>
  <si>
    <t>Durian Merah/Dian</t>
  </si>
  <si>
    <t>Jagung Manis Master Sweet 45 F1 20 X 3600 biji (edit qty jadi 4 box)</t>
  </si>
  <si>
    <t>Jagung Manis Master Sweet 45 F1 40 X 1800 biji (coret)</t>
  </si>
  <si>
    <t>Warung Tani Indonesia. PT</t>
  </si>
  <si>
    <t>Perozin 80 WP 14 X 1 kg* (edit qty jadi 5box 10pack dgn harga, 1box bonus)</t>
  </si>
  <si>
    <t>Arta Prima Agro/Suharta</t>
  </si>
  <si>
    <t>Hariyono Sby</t>
  </si>
  <si>
    <t>gudang salah nurunkan barang, kios mau membeli barang yg diterima</t>
  </si>
  <si>
    <t>gudang salah nurunkan barang ke kios sebelumnya, kios tidak mau menerima kemasan lain</t>
  </si>
  <si>
    <t>Retur, paket COD ditolak pembeli ketika proses pengantaran dengan alasan tidak ada dirumah dan tidak bis transfer</t>
  </si>
  <si>
    <t>retur, Paket COD ditolak pembeli (pelanggan tidak ada respon)</t>
  </si>
  <si>
    <t>Customer butuh urgent jadi diberi solusi u/stok barang, tapi kios menolak</t>
  </si>
  <si>
    <t>Retur, barang bocor diambil petugas (Taufiq) Replacement (B26006469)</t>
  </si>
  <si>
    <t>Retur, gudang salah nurunkan barang ke kios sebelumnya, kios tidak mau menerima kemasan lain</t>
  </si>
  <si>
    <t>Kios tidak mau/menolak untuk melakukan pembayaran sebelum brg dierima(by tlfon)</t>
  </si>
  <si>
    <t>Kios Batal Order karena saat barang sampai disana cust bilang klo stok dia masih ada dan exp 11/26, Barang langsung dikirim ke Damai Samsuri</t>
  </si>
  <si>
    <t>Periode Januari - 30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</si>
</sst>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[$-409]dd\-mmm\-yy;@"/>
    <numFmt numFmtId="167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Khmer UI"/>
      <family val="2"/>
    </font>
    <font>
      <sz val="8"/>
      <color theme="1"/>
      <name val="Khmer U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theme="0"/>
      <name val="Khmer UI"/>
      <family val="2"/>
    </font>
    <font>
      <sz val="8"/>
      <color theme="0"/>
      <name val="Khmer UI"/>
      <family val="2"/>
    </font>
    <font>
      <sz val="10"/>
      <color theme="1"/>
      <name val="Calibri"/>
      <family val="2"/>
      <scheme val="minor"/>
    </font>
    <font>
      <b/>
      <sz val="8"/>
      <name val="Khmer UI"/>
      <family val="2"/>
    </font>
    <font>
      <sz val="8"/>
      <name val="Khmer UI"/>
      <family val="2"/>
    </font>
    <font>
      <sz val="11"/>
      <color theme="1"/>
      <name val="Calibri"/>
      <family val="2"/>
    </font>
    <font>
      <sz val="1"/>
      <color theme="1"/>
      <name val="Calibri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sz val="1"/>
      <color rgb="FF000000"/>
      <name val="Calibri"/>
      <family val="2"/>
    </font>
    <font>
      <b/>
      <sz val="14"/>
      <color rgb="FF000000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sz val="1"/>
      <color rgb="FF800000"/>
      <name val="Calibri"/>
      <family val="2"/>
    </font>
    <font>
      <b/>
      <sz val="9"/>
      <color rgb="FF800000"/>
      <name val="Arial"/>
      <family val="2"/>
    </font>
    <font>
      <b/>
      <sz val="16"/>
      <color rgb="FF1079AE"/>
      <name val="Segoe UI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Khmer UI"/>
      <family val="2"/>
    </font>
    <font>
      <b/>
      <sz val="12"/>
      <color rgb="FFFF0000"/>
      <name val="Calibri"/>
      <family val="2"/>
      <scheme val="minor"/>
    </font>
    <font>
      <sz val="9"/>
      <color theme="1"/>
      <name val="Arial"/>
      <family val="2"/>
    </font>
    <font>
      <b/>
      <sz val="7"/>
      <color theme="1"/>
      <name val="Khmer U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FF0000"/>
      <name val="Segoe UI"/>
      <family val="2"/>
    </font>
    <font>
      <b/>
      <sz val="14"/>
      <color rgb="FF000000"/>
      <name val="Segoe UI"/>
      <family val="2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Segoe UI"/>
      <family val="2"/>
    </font>
    <font>
      <sz val="9"/>
      <name val="Arial"/>
      <family val="2"/>
    </font>
    <font>
      <b/>
      <sz val="9"/>
      <color theme="1"/>
      <name val="Khmer UI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5117038483843"/>
        <bgColor theme="0"/>
      </patternFill>
    </fill>
    <fill>
      <patternFill patternType="solid">
        <fgColor rgb="FF9BBB59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theme="0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032">
    <xf numFmtId="0" fontId="0" fillId="0" borderId="0"/>
    <xf numFmtId="43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3" fillId="0" borderId="0"/>
    <xf numFmtId="0" fontId="12" fillId="14" borderId="0"/>
    <xf numFmtId="0" fontId="11" fillId="0" borderId="0"/>
    <xf numFmtId="0" fontId="1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4" fillId="0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center" vertical="top"/>
    </xf>
    <xf numFmtId="0" fontId="12" fillId="0" borderId="0">
      <alignment horizontal="center" vertical="top"/>
    </xf>
    <xf numFmtId="0" fontId="12" fillId="0" borderId="0">
      <alignment horizontal="left" vertical="top"/>
    </xf>
    <xf numFmtId="0" fontId="15" fillId="0" borderId="0">
      <alignment horizontal="left" vertical="top"/>
    </xf>
    <xf numFmtId="0" fontId="16" fillId="0" borderId="0">
      <alignment horizontal="left" vertical="top"/>
    </xf>
    <xf numFmtId="0" fontId="12" fillId="15" borderId="0">
      <alignment horizontal="center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17" fillId="0" borderId="0">
      <alignment horizontal="righ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4" borderId="0">
      <alignment horizontal="left" vertical="top"/>
    </xf>
    <xf numFmtId="0" fontId="14" fillId="0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center" vertical="top"/>
    </xf>
    <xf numFmtId="0" fontId="12" fillId="0" borderId="0">
      <alignment horizontal="center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19" fillId="0" borderId="0">
      <alignment horizontal="left" vertical="top"/>
    </xf>
    <xf numFmtId="0" fontId="12" fillId="15" borderId="0">
      <alignment horizontal="center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17" fillId="0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4" borderId="0">
      <alignment horizontal="left" vertical="top"/>
    </xf>
    <xf numFmtId="0" fontId="20" fillId="0" borderId="0">
      <alignment horizontal="left" vertical="top"/>
    </xf>
    <xf numFmtId="0" fontId="18" fillId="0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2" fillId="15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right" vertical="center"/>
    </xf>
    <xf numFmtId="0" fontId="21" fillId="0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right" vertical="top"/>
    </xf>
    <xf numFmtId="0" fontId="12" fillId="0" borderId="0">
      <alignment horizontal="left" vertical="top"/>
    </xf>
    <xf numFmtId="0" fontId="12" fillId="0" borderId="0">
      <alignment horizontal="right" vertical="top"/>
    </xf>
    <xf numFmtId="0" fontId="18" fillId="0" borderId="0">
      <alignment horizontal="right" vertical="top"/>
    </xf>
    <xf numFmtId="0" fontId="12" fillId="14" borderId="0">
      <alignment horizontal="left" vertical="top"/>
    </xf>
    <xf numFmtId="0" fontId="20" fillId="0" borderId="0">
      <alignment horizontal="left" vertical="top"/>
    </xf>
    <xf numFmtId="0" fontId="12" fillId="15" borderId="0">
      <alignment horizontal="left" vertical="top"/>
    </xf>
    <xf numFmtId="0" fontId="23" fillId="0" borderId="0">
      <alignment horizontal="left" vertical="top"/>
    </xf>
    <xf numFmtId="0" fontId="24" fillId="0" borderId="0">
      <alignment horizontal="left" vertical="top"/>
    </xf>
    <xf numFmtId="0" fontId="23" fillId="0" borderId="0">
      <alignment horizontal="right" vertical="top"/>
    </xf>
    <xf numFmtId="0" fontId="14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12" fillId="15" borderId="0">
      <alignment horizontal="left" vertical="top"/>
    </xf>
    <xf numFmtId="0" fontId="12" fillId="0" borderId="0">
      <alignment horizontal="left" vertical="top"/>
    </xf>
    <xf numFmtId="0" fontId="12" fillId="0" borderId="0">
      <alignment horizontal="righ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4" fillId="0" borderId="0">
      <alignment horizontal="right" vertical="top"/>
    </xf>
    <xf numFmtId="0" fontId="21" fillId="0" borderId="0">
      <alignment horizontal="left" vertical="top"/>
    </xf>
    <xf numFmtId="0" fontId="20" fillId="0" borderId="0">
      <alignment horizontal="righ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12" fillId="0" borderId="0">
      <alignment horizontal="right" vertical="top"/>
    </xf>
    <xf numFmtId="0" fontId="23" fillId="0" borderId="0">
      <alignment horizontal="right" vertical="top"/>
    </xf>
    <xf numFmtId="0" fontId="14" fillId="0" borderId="0">
      <alignment horizontal="righ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26" fillId="0" borderId="0">
      <alignment horizontal="left" vertical="center"/>
    </xf>
    <xf numFmtId="0" fontId="12" fillId="0" borderId="0">
      <alignment horizontal="left" vertical="top"/>
    </xf>
    <xf numFmtId="0" fontId="24" fillId="0" borderId="0">
      <alignment horizontal="left" vertical="top"/>
    </xf>
    <xf numFmtId="0" fontId="12" fillId="0" borderId="0">
      <alignment horizontal="left" vertical="top"/>
    </xf>
    <xf numFmtId="0" fontId="23" fillId="0" borderId="0">
      <alignment horizontal="right" vertical="top"/>
    </xf>
    <xf numFmtId="0" fontId="27" fillId="0" borderId="0">
      <alignment horizontal="left" vertical="top"/>
    </xf>
    <xf numFmtId="0" fontId="14" fillId="0" borderId="0">
      <alignment horizontal="right" vertical="top"/>
    </xf>
    <xf numFmtId="0" fontId="26" fillId="0" borderId="0">
      <alignment horizontal="left" vertical="center"/>
    </xf>
    <xf numFmtId="0" fontId="20" fillId="0" borderId="0">
      <alignment horizontal="right" vertical="top"/>
    </xf>
    <xf numFmtId="0" fontId="14" fillId="0" borderId="0">
      <alignment horizontal="left" vertical="top"/>
    </xf>
    <xf numFmtId="0" fontId="28" fillId="0" borderId="0">
      <alignment horizontal="left" vertical="top"/>
    </xf>
    <xf numFmtId="0" fontId="12" fillId="0" borderId="0">
      <alignment horizontal="left" vertical="top"/>
    </xf>
    <xf numFmtId="0" fontId="14" fillId="0" borderId="0">
      <alignment horizontal="left" vertical="top"/>
    </xf>
    <xf numFmtId="0" fontId="14" fillId="0" borderId="0">
      <alignment horizontal="left" vertical="top"/>
    </xf>
    <xf numFmtId="0" fontId="17" fillId="0" borderId="0">
      <alignment horizontal="left" vertical="top"/>
    </xf>
    <xf numFmtId="0" fontId="29" fillId="0" borderId="0">
      <alignment horizontal="right" vertical="top"/>
    </xf>
    <xf numFmtId="0" fontId="14" fillId="0" borderId="0">
      <alignment horizontal="right" vertical="top"/>
    </xf>
    <xf numFmtId="0" fontId="29" fillId="0" borderId="0">
      <alignment horizontal="righ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14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4" fillId="0" borderId="0">
      <alignment horizontal="righ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center" vertical="top"/>
    </xf>
    <xf numFmtId="0" fontId="12" fillId="0" borderId="0">
      <alignment horizontal="center" vertical="top"/>
    </xf>
    <xf numFmtId="0" fontId="12" fillId="0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12" fillId="15" borderId="0">
      <alignment horizontal="center" vertical="top"/>
    </xf>
    <xf numFmtId="0" fontId="14" fillId="0" borderId="0">
      <alignment horizontal="right" vertical="top"/>
    </xf>
    <xf numFmtId="0" fontId="14" fillId="0" borderId="0">
      <alignment horizontal="right" vertical="top"/>
    </xf>
    <xf numFmtId="0" fontId="17" fillId="0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4" borderId="0">
      <alignment horizontal="left" vertical="top"/>
    </xf>
    <xf numFmtId="0" fontId="32" fillId="0" borderId="0">
      <alignment horizontal="center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33" fillId="0" borderId="0">
      <alignment horizontal="left" vertical="top"/>
    </xf>
    <xf numFmtId="0" fontId="12" fillId="15" borderId="0">
      <alignment horizontal="left" vertical="top"/>
    </xf>
    <xf numFmtId="0" fontId="34" fillId="0" borderId="0">
      <alignment horizontal="center" vertical="top"/>
    </xf>
    <xf numFmtId="0" fontId="12" fillId="14" borderId="0">
      <alignment horizontal="left" vertical="top"/>
    </xf>
    <xf numFmtId="0" fontId="35" fillId="0" borderId="0">
      <alignment horizontal="center" vertical="top"/>
    </xf>
    <xf numFmtId="0" fontId="12" fillId="15" borderId="0">
      <alignment horizontal="left" vertical="top"/>
    </xf>
    <xf numFmtId="0" fontId="28" fillId="0" borderId="0">
      <alignment horizontal="left" vertical="top"/>
    </xf>
    <xf numFmtId="0" fontId="12" fillId="15" borderId="0">
      <alignment horizontal="left" vertical="top"/>
    </xf>
    <xf numFmtId="0" fontId="19" fillId="0" borderId="0">
      <alignment horizontal="center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0" borderId="0">
      <alignment horizontal="lef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22" fillId="0" borderId="0">
      <alignment horizontal="left" vertical="top"/>
    </xf>
    <xf numFmtId="0" fontId="12" fillId="14" borderId="0">
      <alignment horizontal="left" vertical="top"/>
    </xf>
    <xf numFmtId="0" fontId="36" fillId="0" borderId="0">
      <alignment horizontal="center" vertical="top"/>
    </xf>
    <xf numFmtId="0" fontId="12" fillId="15" borderId="0">
      <alignment horizontal="left" vertical="top"/>
    </xf>
    <xf numFmtId="0" fontId="31" fillId="0" borderId="0">
      <alignment horizontal="center" vertical="top"/>
    </xf>
    <xf numFmtId="0" fontId="22" fillId="15" borderId="0">
      <alignment horizontal="left" vertical="top"/>
    </xf>
    <xf numFmtId="0" fontId="22" fillId="0" borderId="0">
      <alignment horizontal="left" vertical="top"/>
    </xf>
    <xf numFmtId="0" fontId="36" fillId="0" borderId="0">
      <alignment horizontal="center" vertical="top"/>
    </xf>
    <xf numFmtId="0" fontId="12" fillId="15" borderId="0">
      <alignment horizontal="left" vertical="top"/>
    </xf>
    <xf numFmtId="0" fontId="12" fillId="15" borderId="0">
      <alignment horizontal="righ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11" fillId="0" borderId="0">
      <alignment horizontal="left" vertical="top"/>
    </xf>
    <xf numFmtId="0" fontId="22" fillId="0" borderId="0">
      <alignment horizontal="left" vertical="top"/>
    </xf>
    <xf numFmtId="0" fontId="12" fillId="14" borderId="0">
      <alignment horizontal="left" vertical="top"/>
    </xf>
    <xf numFmtId="0" fontId="29" fillId="0" borderId="0">
      <alignment horizontal="left" vertical="center"/>
    </xf>
    <xf numFmtId="0" fontId="18" fillId="0" borderId="0">
      <alignment horizontal="right" vertical="top"/>
    </xf>
    <xf numFmtId="0" fontId="11" fillId="0" borderId="0">
      <alignment horizontal="right" vertical="top"/>
    </xf>
    <xf numFmtId="0" fontId="22" fillId="0" borderId="0">
      <alignment horizontal="right" vertical="top"/>
    </xf>
    <xf numFmtId="0" fontId="22" fillId="0" borderId="0">
      <alignment horizontal="left" vertical="top"/>
    </xf>
    <xf numFmtId="0" fontId="12" fillId="15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center" vertical="center"/>
    </xf>
    <xf numFmtId="0" fontId="29" fillId="0" borderId="0">
      <alignment horizontal="left" vertical="center"/>
    </xf>
    <xf numFmtId="0" fontId="37" fillId="0" borderId="0">
      <alignment horizontal="center" vertical="top"/>
    </xf>
    <xf numFmtId="0" fontId="22" fillId="0" borderId="0">
      <alignment horizontal="right" vertical="top"/>
    </xf>
    <xf numFmtId="0" fontId="12" fillId="15" borderId="0">
      <alignment horizontal="righ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right" vertical="top"/>
    </xf>
    <xf numFmtId="0" fontId="12" fillId="15" borderId="0">
      <alignment horizontal="right" vertical="top"/>
    </xf>
    <xf numFmtId="0" fontId="12" fillId="15" borderId="0">
      <alignment horizontal="right" vertical="top"/>
    </xf>
    <xf numFmtId="0" fontId="12" fillId="0" borderId="0">
      <alignment horizontal="left" vertical="top"/>
    </xf>
    <xf numFmtId="0" fontId="12" fillId="0" borderId="0">
      <alignment horizontal="right" vertical="top"/>
    </xf>
    <xf numFmtId="0" fontId="12" fillId="14" borderId="0">
      <alignment horizontal="right" vertical="top"/>
    </xf>
    <xf numFmtId="0" fontId="29" fillId="0" borderId="0">
      <alignment horizontal="left" vertical="center"/>
    </xf>
    <xf numFmtId="0" fontId="22" fillId="0" borderId="0">
      <alignment horizontal="left" vertical="top"/>
    </xf>
    <xf numFmtId="0" fontId="22" fillId="0" borderId="0">
      <alignment horizontal="left" vertical="top"/>
    </xf>
    <xf numFmtId="0" fontId="22" fillId="0" borderId="0">
      <alignment horizontal="right" vertical="top"/>
    </xf>
    <xf numFmtId="0" fontId="12" fillId="15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center"/>
    </xf>
    <xf numFmtId="0" fontId="29" fillId="0" borderId="0">
      <alignment horizontal="left" vertical="center"/>
    </xf>
    <xf numFmtId="0" fontId="38" fillId="0" borderId="0">
      <alignment horizontal="left" vertical="top"/>
    </xf>
    <xf numFmtId="0" fontId="39" fillId="0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righ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0" borderId="0">
      <alignment horizontal="righ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12" fillId="14" borderId="0">
      <alignment horizontal="left" vertical="top"/>
    </xf>
    <xf numFmtId="0" fontId="29" fillId="0" borderId="0">
      <alignment horizontal="right" vertical="center"/>
    </xf>
    <xf numFmtId="0" fontId="25" fillId="0" borderId="0">
      <alignment horizontal="left" vertical="center"/>
    </xf>
    <xf numFmtId="0" fontId="29" fillId="0" borderId="0">
      <alignment horizontal="right" vertical="center"/>
    </xf>
    <xf numFmtId="0" fontId="29" fillId="0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15" borderId="0">
      <alignment horizontal="lef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22" fillId="0" borderId="0">
      <alignment horizontal="left" vertical="top"/>
    </xf>
    <xf numFmtId="0" fontId="12" fillId="15" borderId="0">
      <alignment horizontal="left" vertical="top"/>
    </xf>
    <xf numFmtId="0" fontId="24" fillId="0" borderId="0">
      <alignment horizontal="right" vertical="top"/>
    </xf>
    <xf numFmtId="0" fontId="12" fillId="14" borderId="0">
      <alignment horizontal="left" vertical="top"/>
    </xf>
    <xf numFmtId="0" fontId="20" fillId="0" borderId="0">
      <alignment horizontal="left" vertical="top"/>
    </xf>
    <xf numFmtId="0" fontId="22" fillId="0" borderId="0">
      <alignment horizontal="left" vertical="top"/>
    </xf>
    <xf numFmtId="0" fontId="12" fillId="15" borderId="0">
      <alignment horizontal="right" vertical="top"/>
    </xf>
    <xf numFmtId="0" fontId="23" fillId="0" borderId="0">
      <alignment horizontal="left" vertical="top"/>
    </xf>
    <xf numFmtId="0" fontId="14" fillId="0" borderId="0">
      <alignment horizontal="left" vertical="top"/>
    </xf>
    <xf numFmtId="0" fontId="25" fillId="0" borderId="0">
      <alignment horizontal="center" vertical="center"/>
    </xf>
    <xf numFmtId="0" fontId="20" fillId="0" borderId="0">
      <alignment horizontal="left" vertical="top"/>
    </xf>
    <xf numFmtId="0" fontId="29" fillId="0" borderId="0">
      <alignment horizontal="right" vertical="top"/>
    </xf>
    <xf numFmtId="0" fontId="12" fillId="15" borderId="0">
      <alignment horizontal="right" vertical="top"/>
    </xf>
    <xf numFmtId="0" fontId="12" fillId="15" borderId="0">
      <alignment horizontal="left" vertical="top"/>
    </xf>
    <xf numFmtId="0" fontId="12" fillId="15" borderId="0">
      <alignment horizontal="right" vertical="top"/>
    </xf>
    <xf numFmtId="0" fontId="12" fillId="15" borderId="0">
      <alignment horizontal="right" vertical="top"/>
    </xf>
    <xf numFmtId="0" fontId="12" fillId="15" borderId="0">
      <alignment horizontal="right" vertical="top"/>
    </xf>
    <xf numFmtId="0" fontId="12" fillId="15" borderId="0">
      <alignment horizontal="left" vertical="top"/>
    </xf>
    <xf numFmtId="0" fontId="12" fillId="0" borderId="0">
      <alignment horizontal="left" vertical="top"/>
    </xf>
    <xf numFmtId="0" fontId="18" fillId="0" borderId="0">
      <alignment horizontal="left" vertical="top"/>
    </xf>
    <xf numFmtId="0" fontId="12" fillId="14" borderId="0">
      <alignment horizontal="right"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5" fillId="0" borderId="0">
      <alignment horizontal="center" vertical="top"/>
    </xf>
    <xf numFmtId="0" fontId="22" fillId="0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left" vertical="top"/>
    </xf>
  </cellStyleXfs>
  <cellXfs count="5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/>
    <xf numFmtId="41" fontId="2" fillId="3" borderId="5" xfId="2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7" xfId="0" applyFont="1" applyFill="1" applyBorder="1"/>
    <xf numFmtId="41" fontId="2" fillId="4" borderId="5" xfId="2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6" fillId="5" borderId="7" xfId="0" applyFont="1" applyFill="1" applyBorder="1"/>
    <xf numFmtId="165" fontId="6" fillId="5" borderId="5" xfId="2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/>
    </xf>
    <xf numFmtId="41" fontId="3" fillId="7" borderId="11" xfId="2" applyFont="1" applyFill="1" applyBorder="1" applyAlignment="1">
      <alignment vertical="center"/>
    </xf>
    <xf numFmtId="41" fontId="7" fillId="6" borderId="11" xfId="2" applyFont="1" applyFill="1" applyBorder="1" applyAlignment="1">
      <alignment vertical="center"/>
    </xf>
    <xf numFmtId="0" fontId="3" fillId="7" borderId="11" xfId="0" applyFont="1" applyFill="1" applyBorder="1" applyAlignment="1">
      <alignment horizontal="left" vertical="center" indent="1"/>
    </xf>
    <xf numFmtId="0" fontId="6" fillId="6" borderId="11" xfId="0" applyFont="1" applyFill="1" applyBorder="1" applyAlignment="1">
      <alignment horizontal="left" vertical="center" indent="1"/>
    </xf>
    <xf numFmtId="0" fontId="5" fillId="8" borderId="0" xfId="0" applyFont="1" applyFill="1"/>
    <xf numFmtId="0" fontId="0" fillId="8" borderId="0" xfId="0" applyFill="1"/>
    <xf numFmtId="0" fontId="8" fillId="8" borderId="0" xfId="0" applyFont="1" applyFill="1"/>
    <xf numFmtId="0" fontId="3" fillId="11" borderId="9" xfId="0" applyFont="1" applyFill="1" applyBorder="1" applyAlignment="1">
      <alignment horizontal="left" indent="1"/>
    </xf>
    <xf numFmtId="41" fontId="3" fillId="11" borderId="2" xfId="2" applyFont="1" applyFill="1" applyBorder="1"/>
    <xf numFmtId="41" fontId="3" fillId="11" borderId="4" xfId="2" applyFont="1" applyFill="1" applyBorder="1"/>
    <xf numFmtId="0" fontId="3" fillId="11" borderId="10" xfId="0" applyFont="1" applyFill="1" applyBorder="1" applyAlignment="1">
      <alignment horizontal="left" indent="1"/>
    </xf>
    <xf numFmtId="41" fontId="3" fillId="11" borderId="3" xfId="2" applyFont="1" applyFill="1" applyBorder="1"/>
    <xf numFmtId="41" fontId="3" fillId="11" borderId="6" xfId="2" applyFont="1" applyFill="1" applyBorder="1"/>
    <xf numFmtId="41" fontId="2" fillId="11" borderId="4" xfId="2" applyFont="1" applyFill="1" applyBorder="1"/>
    <xf numFmtId="165" fontId="3" fillId="11" borderId="2" xfId="2" applyNumberFormat="1" applyFont="1" applyFill="1" applyBorder="1" applyAlignment="1">
      <alignment horizontal="center"/>
    </xf>
    <xf numFmtId="165" fontId="3" fillId="11" borderId="3" xfId="2" applyNumberFormat="1" applyFont="1" applyFill="1" applyBorder="1" applyAlignment="1">
      <alignment horizontal="center"/>
    </xf>
    <xf numFmtId="165" fontId="2" fillId="12" borderId="2" xfId="2" applyNumberFormat="1" applyFont="1" applyFill="1" applyBorder="1" applyAlignment="1">
      <alignment horizontal="center"/>
    </xf>
    <xf numFmtId="165" fontId="2" fillId="2" borderId="3" xfId="2" applyNumberFormat="1" applyFont="1" applyFill="1" applyBorder="1" applyAlignment="1">
      <alignment horizontal="center"/>
    </xf>
    <xf numFmtId="0" fontId="5" fillId="11" borderId="0" xfId="0" applyFont="1" applyFill="1"/>
    <xf numFmtId="0" fontId="0" fillId="11" borderId="0" xfId="0" applyFill="1"/>
    <xf numFmtId="0" fontId="8" fillId="11" borderId="0" xfId="0" applyFont="1" applyFill="1"/>
    <xf numFmtId="41" fontId="9" fillId="7" borderId="11" xfId="2" applyFont="1" applyFill="1" applyBorder="1" applyAlignment="1">
      <alignment vertical="center"/>
    </xf>
    <xf numFmtId="9" fontId="9" fillId="7" borderId="11" xfId="4" applyFont="1" applyFill="1" applyBorder="1" applyAlignment="1">
      <alignment horizontal="center" vertical="center"/>
    </xf>
    <xf numFmtId="41" fontId="6" fillId="6" borderId="11" xfId="2" applyFont="1" applyFill="1" applyBorder="1" applyAlignment="1">
      <alignment vertical="center"/>
    </xf>
    <xf numFmtId="9" fontId="6" fillId="6" borderId="11" xfId="4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41" fontId="3" fillId="11" borderId="12" xfId="2" applyFont="1" applyFill="1" applyBorder="1"/>
    <xf numFmtId="0" fontId="6" fillId="9" borderId="15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/>
    </xf>
    <xf numFmtId="0" fontId="3" fillId="10" borderId="18" xfId="0" applyFont="1" applyFill="1" applyBorder="1" applyAlignment="1">
      <alignment horizontal="left" indent="1"/>
    </xf>
    <xf numFmtId="41" fontId="3" fillId="10" borderId="18" xfId="2" applyFont="1" applyFill="1" applyBorder="1"/>
    <xf numFmtId="41" fontId="3" fillId="10" borderId="19" xfId="2" applyFont="1" applyFill="1" applyBorder="1"/>
    <xf numFmtId="0" fontId="6" fillId="9" borderId="13" xfId="0" applyFont="1" applyFill="1" applyBorder="1" applyAlignment="1">
      <alignment horizontal="left" indent="1"/>
    </xf>
    <xf numFmtId="41" fontId="6" fillId="9" borderId="13" xfId="2" applyFont="1" applyFill="1" applyBorder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6" borderId="20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 indent="1"/>
    </xf>
    <xf numFmtId="10" fontId="3" fillId="0" borderId="21" xfId="2" applyNumberFormat="1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41" fontId="7" fillId="0" borderId="0" xfId="2" applyFont="1" applyFill="1" applyBorder="1" applyAlignment="1">
      <alignment vertical="center"/>
    </xf>
    <xf numFmtId="41" fontId="6" fillId="0" borderId="0" xfId="2" applyFont="1" applyFill="1" applyBorder="1" applyAlignment="1">
      <alignment vertical="center"/>
    </xf>
    <xf numFmtId="0" fontId="3" fillId="11" borderId="21" xfId="0" applyFont="1" applyFill="1" applyBorder="1" applyAlignment="1">
      <alignment horizontal="left" vertical="center" indent="1"/>
    </xf>
    <xf numFmtId="10" fontId="3" fillId="11" borderId="21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indent="1"/>
    </xf>
    <xf numFmtId="10" fontId="9" fillId="7" borderId="11" xfId="4" applyNumberFormat="1" applyFont="1" applyFill="1" applyBorder="1" applyAlignment="1">
      <alignment horizontal="center" vertical="center"/>
    </xf>
    <xf numFmtId="0" fontId="2" fillId="13" borderId="24" xfId="5" applyFont="1" applyFill="1" applyBorder="1" applyAlignment="1">
      <alignment horizontal="center" vertical="center"/>
    </xf>
    <xf numFmtId="0" fontId="2" fillId="13" borderId="24" xfId="5" applyFont="1" applyFill="1" applyBorder="1" applyAlignment="1">
      <alignment horizontal="center" vertical="center" wrapText="1"/>
    </xf>
    <xf numFmtId="0" fontId="3" fillId="0" borderId="21" xfId="0" applyFont="1" applyBorder="1"/>
    <xf numFmtId="166" fontId="3" fillId="0" borderId="21" xfId="0" applyNumberFormat="1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43" fontId="3" fillId="0" borderId="21" xfId="9" applyFont="1" applyBorder="1" applyAlignment="1">
      <alignment vertical="center"/>
    </xf>
    <xf numFmtId="0" fontId="2" fillId="0" borderId="21" xfId="0" applyFont="1" applyBorder="1"/>
    <xf numFmtId="166" fontId="3" fillId="0" borderId="21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41" fontId="3" fillId="0" borderId="21" xfId="0" applyNumberFormat="1" applyFont="1" applyBorder="1"/>
    <xf numFmtId="0" fontId="3" fillId="0" borderId="24" xfId="5" applyFont="1" applyBorder="1" applyAlignment="1">
      <alignment horizontal="left" vertical="center"/>
    </xf>
    <xf numFmtId="0" fontId="0" fillId="0" borderId="0" xfId="0" applyAlignment="1">
      <alignment horizontal="left"/>
    </xf>
    <xf numFmtId="41" fontId="2" fillId="13" borderId="24" xfId="5" applyNumberFormat="1" applyFont="1" applyFill="1" applyBorder="1" applyAlignment="1">
      <alignment horizontal="center" vertical="center"/>
    </xf>
    <xf numFmtId="41" fontId="3" fillId="0" borderId="24" xfId="5" applyNumberFormat="1" applyFont="1" applyBorder="1" applyAlignment="1">
      <alignment horizontal="left" vertical="center"/>
    </xf>
    <xf numFmtId="41" fontId="0" fillId="0" borderId="0" xfId="0" applyNumberFormat="1"/>
    <xf numFmtId="0" fontId="3" fillId="0" borderId="24" xfId="5" applyFont="1" applyBorder="1" applyAlignment="1">
      <alignment horizontal="center" vertical="center"/>
    </xf>
    <xf numFmtId="0" fontId="3" fillId="0" borderId="24" xfId="5" applyFont="1" applyBorder="1" applyAlignment="1">
      <alignment horizontal="center" vertical="center" wrapText="1"/>
    </xf>
    <xf numFmtId="166" fontId="3" fillId="0" borderId="24" xfId="5" applyNumberFormat="1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/>
    </xf>
    <xf numFmtId="166" fontId="3" fillId="0" borderId="21" xfId="5" applyNumberFormat="1" applyFont="1" applyBorder="1" applyAlignment="1">
      <alignment horizontal="center" vertical="center" wrapText="1"/>
    </xf>
    <xf numFmtId="0" fontId="3" fillId="0" borderId="21" xfId="5" applyFont="1" applyBorder="1" applyAlignment="1">
      <alignment horizontal="center" vertical="center" wrapText="1"/>
    </xf>
    <xf numFmtId="0" fontId="3" fillId="0" borderId="21" xfId="5" applyFont="1" applyBorder="1" applyAlignment="1">
      <alignment horizontal="left" vertical="center"/>
    </xf>
    <xf numFmtId="41" fontId="3" fillId="0" borderId="21" xfId="5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10" fillId="0" borderId="21" xfId="0" applyFont="1" applyBorder="1" applyAlignment="1">
      <alignment vertical="center"/>
    </xf>
    <xf numFmtId="10" fontId="0" fillId="0" borderId="0" xfId="0" applyNumberFormat="1"/>
    <xf numFmtId="0" fontId="40" fillId="0" borderId="0" xfId="0" applyFont="1"/>
    <xf numFmtId="0" fontId="41" fillId="0" borderId="0" xfId="0" applyFont="1"/>
    <xf numFmtId="0" fontId="3" fillId="0" borderId="21" xfId="0" applyFont="1" applyBorder="1" applyAlignment="1">
      <alignment vertical="center" wrapText="1"/>
    </xf>
    <xf numFmtId="41" fontId="3" fillId="0" borderId="21" xfId="0" applyNumberFormat="1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13" borderId="21" xfId="5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/>
    </xf>
    <xf numFmtId="0" fontId="3" fillId="0" borderId="21" xfId="9" applyNumberFormat="1" applyFont="1" applyBorder="1" applyAlignment="1">
      <alignment horizontal="left" vertical="center"/>
    </xf>
    <xf numFmtId="0" fontId="2" fillId="13" borderId="21" xfId="0" applyFont="1" applyFill="1" applyBorder="1" applyAlignment="1">
      <alignment horizontal="center" vertical="center"/>
    </xf>
    <xf numFmtId="0" fontId="3" fillId="0" borderId="3" xfId="0" applyFont="1" applyBorder="1"/>
    <xf numFmtId="0" fontId="0" fillId="0" borderId="21" xfId="0" applyBorder="1" applyAlignment="1">
      <alignment horizontal="left"/>
    </xf>
    <xf numFmtId="0" fontId="0" fillId="0" borderId="21" xfId="0" applyBorder="1"/>
    <xf numFmtId="0" fontId="6" fillId="0" borderId="11" xfId="0" applyFont="1" applyBorder="1" applyAlignment="1">
      <alignment horizontal="center" vertical="center"/>
    </xf>
    <xf numFmtId="9" fontId="9" fillId="0" borderId="11" xfId="4" applyFont="1" applyFill="1" applyBorder="1" applyAlignment="1">
      <alignment horizontal="center" vertical="center"/>
    </xf>
    <xf numFmtId="9" fontId="6" fillId="0" borderId="11" xfId="4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wrapText="1"/>
    </xf>
    <xf numFmtId="41" fontId="2" fillId="0" borderId="4" xfId="2" applyFont="1" applyFill="1" applyBorder="1"/>
    <xf numFmtId="0" fontId="2" fillId="0" borderId="21" xfId="0" applyFont="1" applyBorder="1" applyAlignment="1">
      <alignment horizontal="left" wrapText="1"/>
    </xf>
    <xf numFmtId="0" fontId="3" fillId="0" borderId="21" xfId="0" applyFont="1" applyBorder="1" applyAlignment="1">
      <alignment horizontal="left" vertical="center" wrapText="1"/>
    </xf>
    <xf numFmtId="0" fontId="8" fillId="0" borderId="0" xfId="0" applyFont="1"/>
    <xf numFmtId="0" fontId="3" fillId="0" borderId="9" xfId="0" applyFont="1" applyBorder="1"/>
    <xf numFmtId="166" fontId="3" fillId="0" borderId="10" xfId="0" applyNumberFormat="1" applyFont="1" applyBorder="1"/>
    <xf numFmtId="0" fontId="2" fillId="0" borderId="9" xfId="0" applyFont="1" applyBorder="1"/>
    <xf numFmtId="166" fontId="3" fillId="0" borderId="9" xfId="0" applyNumberFormat="1" applyFont="1" applyBorder="1"/>
    <xf numFmtId="43" fontId="3" fillId="0" borderId="9" xfId="9" applyFont="1" applyBorder="1" applyAlignment="1">
      <alignment vertical="center"/>
    </xf>
    <xf numFmtId="166" fontId="3" fillId="0" borderId="9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3" fontId="3" fillId="0" borderId="9" xfId="9" applyFont="1" applyBorder="1"/>
    <xf numFmtId="0" fontId="10" fillId="0" borderId="9" xfId="9" applyNumberFormat="1" applyFont="1" applyFill="1" applyBorder="1" applyAlignment="1">
      <alignment horizontal="left" vertical="center"/>
    </xf>
    <xf numFmtId="166" fontId="3" fillId="0" borderId="26" xfId="0" applyNumberFormat="1" applyFont="1" applyBorder="1"/>
    <xf numFmtId="166" fontId="3" fillId="0" borderId="26" xfId="0" applyNumberFormat="1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/>
    <xf numFmtId="0" fontId="40" fillId="11" borderId="0" xfId="0" applyFont="1" applyFill="1"/>
    <xf numFmtId="41" fontId="0" fillId="11" borderId="0" xfId="0" applyNumberFormat="1" applyFill="1"/>
    <xf numFmtId="0" fontId="41" fillId="11" borderId="0" xfId="0" applyFont="1" applyFill="1"/>
    <xf numFmtId="0" fontId="0" fillId="0" borderId="21" xfId="0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21" xfId="0" applyFont="1" applyBorder="1" applyAlignment="1">
      <alignment horizontal="left"/>
    </xf>
    <xf numFmtId="0" fontId="2" fillId="0" borderId="0" xfId="5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0" fillId="0" borderId="21" xfId="0" applyBorder="1" applyAlignment="1">
      <alignment horizontal="left" wrapText="1"/>
    </xf>
    <xf numFmtId="0" fontId="3" fillId="0" borderId="31" xfId="0" applyFont="1" applyBorder="1" applyAlignment="1">
      <alignment vertical="center"/>
    </xf>
    <xf numFmtId="0" fontId="43" fillId="0" borderId="0" xfId="0" applyFont="1" applyAlignment="1">
      <alignment horizontal="left"/>
    </xf>
    <xf numFmtId="0" fontId="43" fillId="0" borderId="0" xfId="0" applyFont="1"/>
    <xf numFmtId="0" fontId="43" fillId="0" borderId="24" xfId="5" applyFont="1" applyBorder="1" applyAlignment="1">
      <alignment horizontal="center" vertical="center"/>
    </xf>
    <xf numFmtId="166" fontId="43" fillId="0" borderId="24" xfId="5" applyNumberFormat="1" applyFont="1" applyBorder="1" applyAlignment="1">
      <alignment horizontal="center" vertical="center" wrapText="1"/>
    </xf>
    <xf numFmtId="0" fontId="43" fillId="0" borderId="24" xfId="5" applyFont="1" applyBorder="1" applyAlignment="1">
      <alignment horizontal="center" vertical="center" wrapText="1"/>
    </xf>
    <xf numFmtId="0" fontId="43" fillId="0" borderId="24" xfId="5" applyFont="1" applyBorder="1" applyAlignment="1">
      <alignment horizontal="left" vertical="center"/>
    </xf>
    <xf numFmtId="41" fontId="43" fillId="0" borderId="24" xfId="5" applyNumberFormat="1" applyFont="1" applyBorder="1" applyAlignment="1">
      <alignment horizontal="left" vertical="center"/>
    </xf>
    <xf numFmtId="0" fontId="43" fillId="0" borderId="21" xfId="0" applyFont="1" applyBorder="1"/>
    <xf numFmtId="0" fontId="43" fillId="0" borderId="21" xfId="0" applyFont="1" applyBorder="1" applyAlignment="1">
      <alignment horizontal="left"/>
    </xf>
    <xf numFmtId="0" fontId="3" fillId="0" borderId="24" xfId="5" applyFont="1" applyBorder="1" applyAlignment="1">
      <alignment horizontal="left" vertical="center" wrapText="1"/>
    </xf>
    <xf numFmtId="0" fontId="2" fillId="13" borderId="19" xfId="0" applyFont="1" applyFill="1" applyBorder="1" applyAlignment="1">
      <alignment horizontal="center" vertical="center" wrapText="1"/>
    </xf>
    <xf numFmtId="166" fontId="3" fillId="0" borderId="3" xfId="0" applyNumberFormat="1" applyFont="1" applyBorder="1"/>
    <xf numFmtId="41" fontId="3" fillId="0" borderId="21" xfId="5" applyNumberFormat="1" applyFont="1" applyBorder="1" applyAlignment="1">
      <alignment horizontal="left" vertical="center"/>
    </xf>
    <xf numFmtId="0" fontId="0" fillId="0" borderId="12" xfId="0" applyBorder="1" applyAlignment="1">
      <alignment vertical="center" wrapText="1"/>
    </xf>
    <xf numFmtId="0" fontId="3" fillId="0" borderId="12" xfId="5" applyFont="1" applyBorder="1" applyAlignment="1">
      <alignment vertical="center" wrapText="1"/>
    </xf>
    <xf numFmtId="0" fontId="42" fillId="0" borderId="12" xfId="0" applyFont="1" applyBorder="1" applyAlignment="1">
      <alignment vertical="top" wrapText="1"/>
    </xf>
    <xf numFmtId="0" fontId="3" fillId="0" borderId="25" xfId="5" applyFont="1" applyBorder="1" applyAlignment="1">
      <alignment vertical="center" wrapText="1"/>
    </xf>
    <xf numFmtId="0" fontId="42" fillId="0" borderId="25" xfId="0" applyFont="1" applyBorder="1" applyAlignment="1">
      <alignment vertical="top" wrapText="1"/>
    </xf>
    <xf numFmtId="0" fontId="0" fillId="0" borderId="25" xfId="0" applyBorder="1" applyAlignment="1">
      <alignment vertical="center" wrapText="1"/>
    </xf>
    <xf numFmtId="0" fontId="43" fillId="0" borderId="30" xfId="0" applyFont="1" applyBorder="1" applyAlignment="1">
      <alignment wrapText="1"/>
    </xf>
    <xf numFmtId="0" fontId="3" fillId="0" borderId="21" xfId="9" applyNumberFormat="1" applyFont="1" applyFill="1" applyBorder="1" applyAlignment="1">
      <alignment vertical="center"/>
    </xf>
    <xf numFmtId="41" fontId="3" fillId="0" borderId="21" xfId="0" applyNumberFormat="1" applyFont="1" applyBorder="1" applyAlignment="1">
      <alignment vertical="center" wrapText="1"/>
    </xf>
    <xf numFmtId="0" fontId="2" fillId="0" borderId="21" xfId="0" applyFont="1" applyBorder="1" applyAlignment="1">
      <alignment vertical="center" wrapText="1"/>
    </xf>
    <xf numFmtId="43" fontId="3" fillId="0" borderId="21" xfId="9" applyFont="1" applyFill="1" applyBorder="1" applyAlignment="1">
      <alignment vertical="center"/>
    </xf>
    <xf numFmtId="0" fontId="3" fillId="0" borderId="21" xfId="9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9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166" fontId="3" fillId="0" borderId="21" xfId="0" applyNumberFormat="1" applyFont="1" applyBorder="1" applyAlignment="1">
      <alignment horizontal="left" vertical="center" wrapText="1"/>
    </xf>
    <xf numFmtId="43" fontId="3" fillId="0" borderId="21" xfId="9" applyFont="1" applyFill="1" applyBorder="1" applyAlignment="1">
      <alignment horizontal="left" vertical="center" wrapText="1"/>
    </xf>
    <xf numFmtId="41" fontId="3" fillId="0" borderId="21" xfId="0" applyNumberFormat="1" applyFont="1" applyBorder="1" applyAlignment="1">
      <alignment horizontal="left" vertical="center" wrapText="1"/>
    </xf>
    <xf numFmtId="41" fontId="2" fillId="0" borderId="21" xfId="0" applyNumberFormat="1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5" fillId="0" borderId="0" xfId="0" applyFont="1"/>
    <xf numFmtId="0" fontId="44" fillId="0" borderId="0" xfId="0" applyFont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34" xfId="5" applyFont="1" applyBorder="1" applyAlignment="1">
      <alignment horizontal="left" vertical="center"/>
    </xf>
    <xf numFmtId="0" fontId="0" fillId="0" borderId="35" xfId="0" applyBorder="1" applyAlignment="1">
      <alignment horizontal="left"/>
    </xf>
    <xf numFmtId="0" fontId="3" fillId="0" borderId="25" xfId="0" applyFont="1" applyBorder="1" applyAlignment="1">
      <alignment vertical="center" wrapText="1"/>
    </xf>
    <xf numFmtId="0" fontId="3" fillId="0" borderId="21" xfId="5" applyFont="1" applyBorder="1" applyAlignment="1">
      <alignment horizontal="left" vertical="center" wrapText="1"/>
    </xf>
    <xf numFmtId="166" fontId="3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3" fontId="3" fillId="0" borderId="6" xfId="9" applyFont="1" applyBorder="1" applyAlignment="1">
      <alignment vertical="center"/>
    </xf>
    <xf numFmtId="0" fontId="2" fillId="13" borderId="34" xfId="5" applyFont="1" applyFill="1" applyBorder="1" applyAlignment="1">
      <alignment horizontal="center" vertical="center"/>
    </xf>
    <xf numFmtId="0" fontId="0" fillId="0" borderId="34" xfId="0" applyBorder="1" applyAlignment="1">
      <alignment horizontal="left" wrapText="1"/>
    </xf>
    <xf numFmtId="0" fontId="0" fillId="0" borderId="34" xfId="0" applyBorder="1" applyAlignment="1">
      <alignment vertical="center" wrapText="1"/>
    </xf>
    <xf numFmtId="0" fontId="2" fillId="0" borderId="30" xfId="5" applyFont="1" applyBorder="1" applyAlignment="1">
      <alignment horizontal="center" vertical="center"/>
    </xf>
    <xf numFmtId="0" fontId="0" fillId="0" borderId="30" xfId="0" applyBorder="1" applyAlignment="1">
      <alignment horizontal="left" wrapText="1"/>
    </xf>
    <xf numFmtId="0" fontId="0" fillId="0" borderId="30" xfId="0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3" fillId="17" borderId="21" xfId="0" applyFont="1" applyFill="1" applyBorder="1" applyAlignment="1">
      <alignment horizontal="left" inden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/>
    </xf>
    <xf numFmtId="0" fontId="2" fillId="4" borderId="21" xfId="0" applyFont="1" applyFill="1" applyBorder="1"/>
    <xf numFmtId="165" fontId="2" fillId="4" borderId="21" xfId="2" applyNumberFormat="1" applyFont="1" applyFill="1" applyBorder="1" applyAlignment="1">
      <alignment horizontal="center"/>
    </xf>
    <xf numFmtId="165" fontId="3" fillId="17" borderId="21" xfId="2" applyNumberFormat="1" applyFont="1" applyFill="1" applyBorder="1" applyAlignment="1">
      <alignment horizontal="center"/>
    </xf>
    <xf numFmtId="165" fontId="2" fillId="17" borderId="21" xfId="2" applyNumberFormat="1" applyFont="1" applyFill="1" applyBorder="1" applyAlignment="1">
      <alignment horizontal="center"/>
    </xf>
    <xf numFmtId="10" fontId="7" fillId="6" borderId="22" xfId="2" applyNumberFormat="1" applyFont="1" applyFill="1" applyBorder="1" applyAlignment="1">
      <alignment horizontal="center" vertical="center"/>
    </xf>
    <xf numFmtId="0" fontId="3" fillId="0" borderId="29" xfId="0" applyFont="1" applyBorder="1"/>
    <xf numFmtId="10" fontId="3" fillId="17" borderId="21" xfId="2" applyNumberFormat="1" applyFont="1" applyFill="1" applyBorder="1" applyAlignment="1">
      <alignment horizontal="center"/>
    </xf>
    <xf numFmtId="10" fontId="2" fillId="4" borderId="21" xfId="2" applyNumberFormat="1" applyFont="1" applyFill="1" applyBorder="1" applyAlignment="1">
      <alignment horizontal="center"/>
    </xf>
    <xf numFmtId="0" fontId="3" fillId="18" borderId="21" xfId="5" applyFont="1" applyFill="1" applyBorder="1" applyAlignment="1">
      <alignment horizontal="center" vertical="center"/>
    </xf>
    <xf numFmtId="166" fontId="3" fillId="18" borderId="21" xfId="5" applyNumberFormat="1" applyFont="1" applyFill="1" applyBorder="1" applyAlignment="1">
      <alignment horizontal="center" vertical="center" wrapText="1"/>
    </xf>
    <xf numFmtId="0" fontId="3" fillId="18" borderId="21" xfId="0" applyFont="1" applyFill="1" applyBorder="1" applyAlignment="1">
      <alignment horizontal="center" vertical="center"/>
    </xf>
    <xf numFmtId="0" fontId="3" fillId="18" borderId="21" xfId="5" applyFont="1" applyFill="1" applyBorder="1" applyAlignment="1">
      <alignment horizontal="center" vertical="center" wrapText="1"/>
    </xf>
    <xf numFmtId="0" fontId="3" fillId="18" borderId="21" xfId="5" applyFont="1" applyFill="1" applyBorder="1" applyAlignment="1">
      <alignment horizontal="left" vertical="center"/>
    </xf>
    <xf numFmtId="41" fontId="3" fillId="18" borderId="21" xfId="5" applyNumberFormat="1" applyFont="1" applyFill="1" applyBorder="1" applyAlignment="1">
      <alignment horizontal="left" vertical="center"/>
    </xf>
    <xf numFmtId="0" fontId="3" fillId="18" borderId="21" xfId="5" applyFont="1" applyFill="1" applyBorder="1" applyAlignment="1">
      <alignment vertical="center" wrapText="1"/>
    </xf>
    <xf numFmtId="0" fontId="8" fillId="18" borderId="34" xfId="0" applyFont="1" applyFill="1" applyBorder="1" applyAlignment="1">
      <alignment vertical="center" wrapText="1"/>
    </xf>
    <xf numFmtId="166" fontId="3" fillId="0" borderId="0" xfId="0" applyNumberFormat="1" applyFont="1" applyAlignment="1">
      <alignment vertical="center"/>
    </xf>
    <xf numFmtId="43" fontId="3" fillId="0" borderId="0" xfId="9" applyFont="1" applyBorder="1" applyAlignment="1">
      <alignment vertical="center"/>
    </xf>
    <xf numFmtId="0" fontId="10" fillId="0" borderId="0" xfId="9" applyNumberFormat="1" applyFont="1" applyFill="1" applyAlignment="1">
      <alignment vertical="center"/>
    </xf>
    <xf numFmtId="0" fontId="3" fillId="0" borderId="36" xfId="0" applyFont="1" applyBorder="1"/>
    <xf numFmtId="166" fontId="3" fillId="0" borderId="37" xfId="0" applyNumberFormat="1" applyFont="1" applyBorder="1"/>
    <xf numFmtId="166" fontId="3" fillId="0" borderId="37" xfId="0" applyNumberFormat="1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10" fontId="3" fillId="11" borderId="3" xfId="2" applyNumberFormat="1" applyFont="1" applyFill="1" applyBorder="1" applyAlignment="1">
      <alignment horizontal="center"/>
    </xf>
    <xf numFmtId="10" fontId="6" fillId="5" borderId="5" xfId="2" applyNumberFormat="1" applyFont="1" applyFill="1" applyBorder="1" applyAlignment="1">
      <alignment horizontal="center"/>
    </xf>
    <xf numFmtId="10" fontId="6" fillId="6" borderId="22" xfId="2" applyNumberFormat="1" applyFont="1" applyFill="1" applyBorder="1" applyAlignment="1">
      <alignment horizontal="center" vertical="center"/>
    </xf>
    <xf numFmtId="165" fontId="3" fillId="0" borderId="21" xfId="2" applyNumberFormat="1" applyFont="1" applyFill="1" applyBorder="1" applyAlignment="1">
      <alignment horizontal="center" vertical="center"/>
    </xf>
    <xf numFmtId="165" fontId="3" fillId="12" borderId="21" xfId="2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19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0" fillId="0" borderId="19" xfId="9" applyNumberFormat="1" applyFont="1" applyFill="1" applyBorder="1" applyAlignment="1">
      <alignment vertical="center"/>
    </xf>
    <xf numFmtId="43" fontId="3" fillId="0" borderId="19" xfId="9" applyFont="1" applyBorder="1" applyAlignment="1">
      <alignment vertical="center"/>
    </xf>
    <xf numFmtId="0" fontId="10" fillId="0" borderId="21" xfId="9" applyNumberFormat="1" applyFont="1" applyFill="1" applyBorder="1" applyAlignment="1">
      <alignment vertical="center"/>
    </xf>
    <xf numFmtId="166" fontId="3" fillId="0" borderId="2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10" borderId="18" xfId="0" applyFont="1" applyFill="1" applyBorder="1" applyAlignment="1">
      <alignment horizontal="left" vertical="center" wrapText="1" indent="1"/>
    </xf>
    <xf numFmtId="41" fontId="3" fillId="10" borderId="18" xfId="2" applyFont="1" applyFill="1" applyBorder="1" applyAlignment="1">
      <alignment vertical="center"/>
    </xf>
    <xf numFmtId="41" fontId="3" fillId="10" borderId="19" xfId="2" applyFont="1" applyFill="1" applyBorder="1" applyAlignment="1">
      <alignment vertical="center"/>
    </xf>
    <xf numFmtId="0" fontId="3" fillId="10" borderId="18" xfId="0" applyFont="1" applyFill="1" applyBorder="1" applyAlignment="1">
      <alignment horizontal="left" wrapText="1" indent="1"/>
    </xf>
    <xf numFmtId="0" fontId="3" fillId="0" borderId="3" xfId="0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166" fontId="3" fillId="0" borderId="0" xfId="0" applyNumberFormat="1" applyFont="1"/>
    <xf numFmtId="0" fontId="3" fillId="0" borderId="41" xfId="0" applyFont="1" applyBorder="1"/>
    <xf numFmtId="43" fontId="3" fillId="0" borderId="0" xfId="9" applyFont="1" applyBorder="1"/>
    <xf numFmtId="0" fontId="3" fillId="0" borderId="40" xfId="0" applyFont="1" applyBorder="1"/>
    <xf numFmtId="0" fontId="3" fillId="0" borderId="6" xfId="0" applyFont="1" applyBorder="1" applyAlignment="1">
      <alignment horizontal="center" vertical="center"/>
    </xf>
    <xf numFmtId="166" fontId="3" fillId="0" borderId="6" xfId="0" applyNumberFormat="1" applyFont="1" applyBorder="1" applyAlignment="1">
      <alignment vertical="center"/>
    </xf>
    <xf numFmtId="4" fontId="3" fillId="0" borderId="9" xfId="0" applyNumberFormat="1" applyFont="1" applyBorder="1" applyAlignment="1">
      <alignment vertical="center"/>
    </xf>
    <xf numFmtId="0" fontId="3" fillId="10" borderId="16" xfId="0" applyFont="1" applyFill="1" applyBorder="1" applyAlignment="1">
      <alignment horizontal="left" wrapText="1" indent="1"/>
    </xf>
    <xf numFmtId="41" fontId="3" fillId="10" borderId="17" xfId="2" applyFont="1" applyFill="1" applyBorder="1" applyAlignment="1">
      <alignment vertical="center"/>
    </xf>
    <xf numFmtId="0" fontId="5" fillId="7" borderId="38" xfId="0" applyFont="1" applyFill="1" applyBorder="1" applyAlignment="1">
      <alignment wrapText="1"/>
    </xf>
    <xf numFmtId="166" fontId="3" fillId="0" borderId="21" xfId="0" applyNumberFormat="1" applyFont="1" applyBorder="1"/>
    <xf numFmtId="43" fontId="3" fillId="0" borderId="21" xfId="9" applyFont="1" applyBorder="1"/>
    <xf numFmtId="0" fontId="5" fillId="0" borderId="21" xfId="0" applyFont="1" applyBorder="1"/>
    <xf numFmtId="0" fontId="8" fillId="0" borderId="21" xfId="0" applyFont="1" applyBorder="1"/>
    <xf numFmtId="43" fontId="3" fillId="0" borderId="21" xfId="9" applyFont="1" applyFill="1" applyBorder="1"/>
    <xf numFmtId="0" fontId="45" fillId="0" borderId="21" xfId="9" applyNumberFormat="1" applyFont="1" applyFill="1" applyBorder="1" applyAlignment="1">
      <alignment horizontal="center" vertical="center"/>
    </xf>
    <xf numFmtId="0" fontId="10" fillId="0" borderId="21" xfId="9" applyNumberFormat="1" applyFont="1" applyFill="1" applyBorder="1" applyAlignment="1">
      <alignment horizontal="left" vertical="center"/>
    </xf>
    <xf numFmtId="43" fontId="45" fillId="0" borderId="21" xfId="9" applyFont="1" applyFill="1" applyBorder="1"/>
    <xf numFmtId="0" fontId="45" fillId="0" borderId="21" xfId="2" applyNumberFormat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45" fillId="0" borderId="21" xfId="2" applyNumberFormat="1" applyFont="1" applyFill="1" applyBorder="1" applyAlignment="1">
      <alignment horizontal="left" vertical="center"/>
    </xf>
    <xf numFmtId="0" fontId="3" fillId="0" borderId="21" xfId="9" applyNumberFormat="1" applyFont="1" applyFill="1" applyBorder="1" applyAlignment="1">
      <alignment horizontal="left"/>
    </xf>
    <xf numFmtId="0" fontId="8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3" fillId="10" borderId="18" xfId="0" applyFont="1" applyFill="1" applyBorder="1" applyAlignment="1">
      <alignment horizontal="left" vertical="center" indent="1"/>
    </xf>
    <xf numFmtId="0" fontId="3" fillId="0" borderId="2" xfId="0" applyFont="1" applyBorder="1"/>
    <xf numFmtId="166" fontId="3" fillId="0" borderId="2" xfId="0" applyNumberFormat="1" applyFont="1" applyBorder="1"/>
    <xf numFmtId="166" fontId="3" fillId="0" borderId="43" xfId="0" applyNumberFormat="1" applyFont="1" applyBorder="1"/>
    <xf numFmtId="0" fontId="3" fillId="0" borderId="43" xfId="0" applyFont="1" applyBorder="1"/>
    <xf numFmtId="0" fontId="2" fillId="13" borderId="18" xfId="0" applyFont="1" applyFill="1" applyBorder="1" applyAlignment="1">
      <alignment horizontal="center" vertical="center" wrapText="1"/>
    </xf>
    <xf numFmtId="0" fontId="3" fillId="0" borderId="42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34" xfId="0" applyFont="1" applyBorder="1"/>
    <xf numFmtId="0" fontId="3" fillId="0" borderId="34" xfId="0" applyFont="1" applyBorder="1" applyAlignment="1">
      <alignment vertical="center"/>
    </xf>
    <xf numFmtId="0" fontId="3" fillId="0" borderId="45" xfId="0" applyFont="1" applyBorder="1"/>
    <xf numFmtId="0" fontId="3" fillId="0" borderId="46" xfId="0" applyFont="1" applyBorder="1"/>
    <xf numFmtId="43" fontId="3" fillId="0" borderId="21" xfId="9" applyFont="1" applyBorder="1" applyAlignment="1">
      <alignment horizontal="left" vertical="center" wrapText="1"/>
    </xf>
    <xf numFmtId="43" fontId="3" fillId="0" borderId="21" xfId="9" applyFont="1" applyBorder="1" applyAlignment="1">
      <alignment vertical="center" wrapText="1"/>
    </xf>
    <xf numFmtId="166" fontId="3" fillId="0" borderId="47" xfId="0" applyNumberFormat="1" applyFont="1" applyBorder="1"/>
    <xf numFmtId="166" fontId="3" fillId="0" borderId="48" xfId="0" applyNumberFormat="1" applyFont="1" applyBorder="1"/>
    <xf numFmtId="0" fontId="3" fillId="0" borderId="10" xfId="0" applyFont="1" applyBorder="1"/>
    <xf numFmtId="0" fontId="3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0" fontId="2" fillId="13" borderId="12" xfId="0" applyFont="1" applyFill="1" applyBorder="1" applyAlignment="1">
      <alignment horizontal="center" vertical="center"/>
    </xf>
    <xf numFmtId="0" fontId="2" fillId="0" borderId="39" xfId="0" applyFont="1" applyBorder="1"/>
    <xf numFmtId="43" fontId="3" fillId="0" borderId="48" xfId="9" applyFont="1" applyBorder="1"/>
    <xf numFmtId="43" fontId="3" fillId="0" borderId="10" xfId="9" applyFont="1" applyBorder="1"/>
    <xf numFmtId="0" fontId="2" fillId="0" borderId="51" xfId="0" applyFont="1" applyBorder="1"/>
    <xf numFmtId="0" fontId="2" fillId="0" borderId="27" xfId="0" applyFont="1" applyBorder="1"/>
    <xf numFmtId="43" fontId="3" fillId="0" borderId="10" xfId="9" applyFont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166" fontId="3" fillId="12" borderId="47" xfId="0" applyNumberFormat="1" applyFont="1" applyFill="1" applyBorder="1"/>
    <xf numFmtId="166" fontId="3" fillId="12" borderId="48" xfId="0" applyNumberFormat="1" applyFont="1" applyFill="1" applyBorder="1"/>
    <xf numFmtId="0" fontId="3" fillId="12" borderId="48" xfId="0" applyFont="1" applyFill="1" applyBorder="1"/>
    <xf numFmtId="0" fontId="3" fillId="12" borderId="0" xfId="0" applyFont="1" applyFill="1"/>
    <xf numFmtId="43" fontId="3" fillId="12" borderId="48" xfId="9" applyFont="1" applyFill="1" applyBorder="1"/>
    <xf numFmtId="43" fontId="3" fillId="12" borderId="0" xfId="9" applyFont="1" applyFill="1" applyBorder="1"/>
    <xf numFmtId="0" fontId="3" fillId="12" borderId="50" xfId="0" applyFont="1" applyFill="1" applyBorder="1"/>
    <xf numFmtId="0" fontId="2" fillId="12" borderId="0" xfId="0" applyFont="1" applyFill="1"/>
    <xf numFmtId="0" fontId="46" fillId="4" borderId="8" xfId="0" applyFont="1" applyFill="1" applyBorder="1" applyAlignment="1">
      <alignment horizontal="center" vertical="center" wrapText="1"/>
    </xf>
    <xf numFmtId="166" fontId="3" fillId="0" borderId="19" xfId="0" applyNumberFormat="1" applyFont="1" applyBorder="1"/>
    <xf numFmtId="0" fontId="3" fillId="0" borderId="19" xfId="0" applyFont="1" applyBorder="1"/>
    <xf numFmtId="43" fontId="3" fillId="0" borderId="19" xfId="9" applyFont="1" applyBorder="1"/>
    <xf numFmtId="166" fontId="3" fillId="0" borderId="52" xfId="0" applyNumberFormat="1" applyFont="1" applyBorder="1"/>
    <xf numFmtId="0" fontId="3" fillId="0" borderId="52" xfId="0" applyFont="1" applyBorder="1"/>
    <xf numFmtId="43" fontId="3" fillId="0" borderId="52" xfId="9" applyFont="1" applyBorder="1"/>
    <xf numFmtId="0" fontId="3" fillId="0" borderId="53" xfId="0" applyFont="1" applyBorder="1"/>
    <xf numFmtId="41" fontId="3" fillId="0" borderId="10" xfId="0" applyNumberFormat="1" applyFont="1" applyBorder="1"/>
    <xf numFmtId="41" fontId="3" fillId="0" borderId="9" xfId="0" applyNumberFormat="1" applyFont="1" applyBorder="1"/>
    <xf numFmtId="41" fontId="3" fillId="0" borderId="48" xfId="0" applyNumberFormat="1" applyFont="1" applyBorder="1"/>
    <xf numFmtId="41" fontId="3" fillId="0" borderId="52" xfId="0" applyNumberFormat="1" applyFont="1" applyBorder="1"/>
    <xf numFmtId="41" fontId="3" fillId="0" borderId="0" xfId="0" applyNumberFormat="1" applyFont="1"/>
    <xf numFmtId="0" fontId="10" fillId="0" borderId="0" xfId="9" applyNumberFormat="1" applyFont="1" applyFill="1" applyBorder="1" applyAlignment="1">
      <alignment horizontal="left" vertical="center"/>
    </xf>
    <xf numFmtId="43" fontId="3" fillId="0" borderId="49" xfId="9" applyFont="1" applyBorder="1"/>
    <xf numFmtId="0" fontId="3" fillId="0" borderId="18" xfId="0" applyFont="1" applyBorder="1"/>
    <xf numFmtId="0" fontId="6" fillId="9" borderId="54" xfId="0" applyFont="1" applyFill="1" applyBorder="1" applyAlignment="1">
      <alignment horizontal="center"/>
    </xf>
    <xf numFmtId="0" fontId="3" fillId="0" borderId="47" xfId="0" applyFont="1" applyBorder="1"/>
    <xf numFmtId="0" fontId="3" fillId="0" borderId="55" xfId="0" applyFont="1" applyBorder="1"/>
    <xf numFmtId="0" fontId="3" fillId="0" borderId="51" xfId="0" applyFont="1" applyBorder="1"/>
    <xf numFmtId="0" fontId="3" fillId="0" borderId="56" xfId="0" applyFont="1" applyBorder="1"/>
    <xf numFmtId="43" fontId="3" fillId="0" borderId="55" xfId="9" applyFont="1" applyBorder="1"/>
    <xf numFmtId="43" fontId="3" fillId="0" borderId="51" xfId="9" applyFont="1" applyBorder="1"/>
    <xf numFmtId="43" fontId="3" fillId="0" borderId="27" xfId="9" applyFont="1" applyBorder="1"/>
    <xf numFmtId="0" fontId="3" fillId="2" borderId="0" xfId="0" applyFont="1" applyFill="1"/>
    <xf numFmtId="166" fontId="3" fillId="2" borderId="9" xfId="0" applyNumberFormat="1" applyFont="1" applyFill="1" applyBorder="1"/>
    <xf numFmtId="0" fontId="3" fillId="2" borderId="9" xfId="0" applyFont="1" applyFill="1" applyBorder="1"/>
    <xf numFmtId="43" fontId="3" fillId="2" borderId="9" xfId="9" applyFont="1" applyFill="1" applyBorder="1"/>
    <xf numFmtId="0" fontId="3" fillId="2" borderId="29" xfId="0" applyFont="1" applyFill="1" applyBorder="1"/>
    <xf numFmtId="0" fontId="3" fillId="2" borderId="27" xfId="0" applyFont="1" applyFill="1" applyBorder="1"/>
    <xf numFmtId="166" fontId="3" fillId="2" borderId="47" xfId="0" applyNumberFormat="1" applyFont="1" applyFill="1" applyBorder="1"/>
    <xf numFmtId="166" fontId="3" fillId="2" borderId="48" xfId="0" applyNumberFormat="1" applyFont="1" applyFill="1" applyBorder="1"/>
    <xf numFmtId="0" fontId="3" fillId="2" borderId="48" xfId="0" applyFont="1" applyFill="1" applyBorder="1"/>
    <xf numFmtId="0" fontId="3" fillId="2" borderId="56" xfId="0" applyFont="1" applyFill="1" applyBorder="1"/>
    <xf numFmtId="43" fontId="3" fillId="2" borderId="48" xfId="9" applyFont="1" applyFill="1" applyBorder="1"/>
    <xf numFmtId="0" fontId="2" fillId="2" borderId="55" xfId="0" applyFont="1" applyFill="1" applyBorder="1"/>
    <xf numFmtId="0" fontId="3" fillId="2" borderId="50" xfId="0" applyFont="1" applyFill="1" applyBorder="1"/>
    <xf numFmtId="0" fontId="3" fillId="2" borderId="55" xfId="0" applyFont="1" applyFill="1" applyBorder="1"/>
    <xf numFmtId="43" fontId="3" fillId="2" borderId="0" xfId="9" applyFont="1" applyFill="1" applyBorder="1"/>
    <xf numFmtId="0" fontId="3" fillId="2" borderId="51" xfId="0" applyFont="1" applyFill="1" applyBorder="1"/>
    <xf numFmtId="166" fontId="3" fillId="2" borderId="0" xfId="0" applyNumberFormat="1" applyFont="1" applyFill="1"/>
    <xf numFmtId="0" fontId="2" fillId="2" borderId="0" xfId="0" applyFont="1" applyFill="1"/>
    <xf numFmtId="0" fontId="48" fillId="20" borderId="21" xfId="0" applyFont="1" applyFill="1" applyBorder="1" applyAlignment="1">
      <alignment horizontal="center" vertical="center" wrapText="1"/>
    </xf>
    <xf numFmtId="0" fontId="48" fillId="20" borderId="21" xfId="0" applyFont="1" applyFill="1" applyBorder="1" applyAlignment="1">
      <alignment horizontal="center" vertical="center"/>
    </xf>
    <xf numFmtId="0" fontId="45" fillId="0" borderId="0" xfId="0" applyFont="1"/>
    <xf numFmtId="0" fontId="45" fillId="13" borderId="21" xfId="0" applyFont="1" applyFill="1" applyBorder="1" applyAlignment="1">
      <alignment horizontal="center" vertical="center"/>
    </xf>
    <xf numFmtId="166" fontId="45" fillId="13" borderId="21" xfId="0" applyNumberFormat="1" applyFont="1" applyFill="1" applyBorder="1" applyAlignment="1">
      <alignment vertical="center"/>
    </xf>
    <xf numFmtId="0" fontId="45" fillId="13" borderId="21" xfId="0" applyFont="1" applyFill="1" applyBorder="1" applyAlignment="1">
      <alignment vertical="center"/>
    </xf>
    <xf numFmtId="43" fontId="45" fillId="13" borderId="21" xfId="9" applyFont="1" applyFill="1" applyBorder="1" applyAlignment="1">
      <alignment vertical="center"/>
    </xf>
    <xf numFmtId="0" fontId="48" fillId="13" borderId="21" xfId="0" applyFont="1" applyFill="1" applyBorder="1" applyAlignment="1">
      <alignment vertical="center"/>
    </xf>
    <xf numFmtId="0" fontId="45" fillId="0" borderId="0" xfId="0" applyFont="1" applyAlignment="1">
      <alignment vertical="center"/>
    </xf>
    <xf numFmtId="166" fontId="45" fillId="0" borderId="0" xfId="0" applyNumberFormat="1" applyFont="1" applyAlignment="1">
      <alignment vertical="center"/>
    </xf>
    <xf numFmtId="166" fontId="45" fillId="0" borderId="54" xfId="0" applyNumberFormat="1" applyFont="1" applyBorder="1" applyAlignment="1">
      <alignment vertical="center"/>
    </xf>
    <xf numFmtId="0" fontId="45" fillId="0" borderId="54" xfId="0" applyFont="1" applyBorder="1" applyAlignment="1">
      <alignment vertical="center"/>
    </xf>
    <xf numFmtId="43" fontId="45" fillId="0" borderId="0" xfId="9" applyFont="1" applyFill="1" applyBorder="1" applyAlignment="1">
      <alignment vertical="center"/>
    </xf>
    <xf numFmtId="0" fontId="48" fillId="21" borderId="21" xfId="0" applyFont="1" applyFill="1" applyBorder="1" applyAlignment="1">
      <alignment horizontal="center" vertical="center" wrapText="1"/>
    </xf>
    <xf numFmtId="0" fontId="48" fillId="21" borderId="21" xfId="0" applyFont="1" applyFill="1" applyBorder="1" applyAlignment="1">
      <alignment horizontal="center" vertical="center"/>
    </xf>
    <xf numFmtId="0" fontId="45" fillId="22" borderId="21" xfId="0" applyFont="1" applyFill="1" applyBorder="1" applyAlignment="1">
      <alignment horizontal="center" vertical="center"/>
    </xf>
    <xf numFmtId="166" fontId="45" fillId="22" borderId="21" xfId="0" applyNumberFormat="1" applyFont="1" applyFill="1" applyBorder="1" applyAlignment="1">
      <alignment vertical="center"/>
    </xf>
    <xf numFmtId="0" fontId="45" fillId="22" borderId="21" xfId="0" applyFont="1" applyFill="1" applyBorder="1" applyAlignment="1">
      <alignment vertical="center"/>
    </xf>
    <xf numFmtId="43" fontId="45" fillId="22" borderId="21" xfId="9" applyFont="1" applyFill="1" applyBorder="1" applyAlignment="1">
      <alignment vertical="center"/>
    </xf>
    <xf numFmtId="43" fontId="45" fillId="0" borderId="54" xfId="9" applyFont="1" applyFill="1" applyBorder="1" applyAlignment="1">
      <alignment vertical="center"/>
    </xf>
    <xf numFmtId="0" fontId="48" fillId="23" borderId="21" xfId="0" applyFont="1" applyFill="1" applyBorder="1" applyAlignment="1">
      <alignment horizontal="center" vertical="center" wrapText="1"/>
    </xf>
    <xf numFmtId="0" fontId="48" fillId="23" borderId="21" xfId="0" applyFont="1" applyFill="1" applyBorder="1" applyAlignment="1">
      <alignment horizontal="center" vertical="center"/>
    </xf>
    <xf numFmtId="0" fontId="45" fillId="24" borderId="21" xfId="0" applyFont="1" applyFill="1" applyBorder="1" applyAlignment="1">
      <alignment horizontal="center" vertical="center"/>
    </xf>
    <xf numFmtId="166" fontId="45" fillId="24" borderId="21" xfId="0" applyNumberFormat="1" applyFont="1" applyFill="1" applyBorder="1" applyAlignment="1">
      <alignment vertical="center"/>
    </xf>
    <xf numFmtId="0" fontId="45" fillId="24" borderId="21" xfId="0" applyFont="1" applyFill="1" applyBorder="1" applyAlignment="1">
      <alignment vertical="center"/>
    </xf>
    <xf numFmtId="43" fontId="45" fillId="24" borderId="21" xfId="9" applyFont="1" applyFill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45" fillId="0" borderId="39" xfId="0" applyFont="1" applyBorder="1" applyAlignment="1">
      <alignment vertical="center"/>
    </xf>
    <xf numFmtId="0" fontId="48" fillId="3" borderId="21" xfId="0" applyFont="1" applyFill="1" applyBorder="1" applyAlignment="1">
      <alignment horizontal="center" vertical="center" wrapText="1"/>
    </xf>
    <xf numFmtId="0" fontId="48" fillId="3" borderId="21" xfId="0" applyFont="1" applyFill="1" applyBorder="1" applyAlignment="1">
      <alignment horizontal="center" vertical="center"/>
    </xf>
    <xf numFmtId="0" fontId="45" fillId="17" borderId="21" xfId="0" applyFont="1" applyFill="1" applyBorder="1" applyAlignment="1">
      <alignment horizontal="center" vertical="center"/>
    </xf>
    <xf numFmtId="166" fontId="45" fillId="17" borderId="21" xfId="0" applyNumberFormat="1" applyFont="1" applyFill="1" applyBorder="1" applyAlignment="1">
      <alignment vertical="center"/>
    </xf>
    <xf numFmtId="0" fontId="45" fillId="17" borderId="21" xfId="0" applyFont="1" applyFill="1" applyBorder="1" applyAlignment="1">
      <alignment vertical="center"/>
    </xf>
    <xf numFmtId="43" fontId="45" fillId="17" borderId="21" xfId="9" applyFont="1" applyFill="1" applyBorder="1" applyAlignment="1">
      <alignment vertical="center"/>
    </xf>
    <xf numFmtId="0" fontId="48" fillId="25" borderId="21" xfId="0" applyFont="1" applyFill="1" applyBorder="1" applyAlignment="1">
      <alignment horizontal="center" vertical="center" wrapText="1"/>
    </xf>
    <xf numFmtId="0" fontId="48" fillId="25" borderId="21" xfId="0" applyFont="1" applyFill="1" applyBorder="1" applyAlignment="1">
      <alignment horizontal="center" vertical="center"/>
    </xf>
    <xf numFmtId="0" fontId="45" fillId="7" borderId="21" xfId="0" applyFont="1" applyFill="1" applyBorder="1" applyAlignment="1">
      <alignment horizontal="center" vertical="center"/>
    </xf>
    <xf numFmtId="166" fontId="45" fillId="7" borderId="21" xfId="0" applyNumberFormat="1" applyFont="1" applyFill="1" applyBorder="1" applyAlignment="1">
      <alignment vertical="center"/>
    </xf>
    <xf numFmtId="0" fontId="45" fillId="7" borderId="21" xfId="0" applyFont="1" applyFill="1" applyBorder="1" applyAlignment="1">
      <alignment vertical="center"/>
    </xf>
    <xf numFmtId="43" fontId="45" fillId="7" borderId="21" xfId="9" applyFont="1" applyFill="1" applyBorder="1" applyAlignment="1">
      <alignment vertical="center"/>
    </xf>
    <xf numFmtId="0" fontId="48" fillId="7" borderId="21" xfId="0" applyFont="1" applyFill="1" applyBorder="1" applyAlignment="1">
      <alignment vertical="center"/>
    </xf>
    <xf numFmtId="0" fontId="48" fillId="16" borderId="21" xfId="0" applyFont="1" applyFill="1" applyBorder="1" applyAlignment="1">
      <alignment horizontal="center" vertical="center" wrapText="1"/>
    </xf>
    <xf numFmtId="0" fontId="48" fillId="16" borderId="21" xfId="0" applyFont="1" applyFill="1" applyBorder="1" applyAlignment="1">
      <alignment horizontal="center" vertical="center"/>
    </xf>
    <xf numFmtId="0" fontId="45" fillId="26" borderId="21" xfId="0" applyFont="1" applyFill="1" applyBorder="1" applyAlignment="1">
      <alignment horizontal="center" vertical="center"/>
    </xf>
    <xf numFmtId="166" fontId="45" fillId="26" borderId="21" xfId="0" applyNumberFormat="1" applyFont="1" applyFill="1" applyBorder="1" applyAlignment="1">
      <alignment vertical="center"/>
    </xf>
    <xf numFmtId="0" fontId="45" fillId="26" borderId="21" xfId="0" applyFont="1" applyFill="1" applyBorder="1" applyAlignment="1">
      <alignment vertical="center"/>
    </xf>
    <xf numFmtId="43" fontId="45" fillId="26" borderId="21" xfId="9" applyFont="1" applyFill="1" applyBorder="1" applyAlignment="1">
      <alignment vertical="center"/>
    </xf>
    <xf numFmtId="166" fontId="45" fillId="0" borderId="0" xfId="0" applyNumberFormat="1" applyFont="1"/>
    <xf numFmtId="43" fontId="45" fillId="0" borderId="0" xfId="9" applyFont="1" applyBorder="1"/>
    <xf numFmtId="0" fontId="48" fillId="0" borderId="0" xfId="0" applyFont="1"/>
    <xf numFmtId="0" fontId="45" fillId="26" borderId="21" xfId="0" applyFont="1" applyFill="1" applyBorder="1" applyAlignment="1">
      <alignment horizontal="left" vertical="center"/>
    </xf>
    <xf numFmtId="0" fontId="2" fillId="0" borderId="55" xfId="0" applyFont="1" applyBorder="1"/>
    <xf numFmtId="0" fontId="3" fillId="0" borderId="54" xfId="0" applyFont="1" applyBorder="1"/>
    <xf numFmtId="166" fontId="3" fillId="0" borderId="54" xfId="0" applyNumberFormat="1" applyFont="1" applyBorder="1"/>
    <xf numFmtId="43" fontId="3" fillId="0" borderId="54" xfId="9" applyFont="1" applyBorder="1"/>
    <xf numFmtId="0" fontId="3" fillId="0" borderId="57" xfId="0" applyFont="1" applyBorder="1"/>
    <xf numFmtId="0" fontId="3" fillId="0" borderId="39" xfId="0" applyFont="1" applyBorder="1"/>
    <xf numFmtId="0" fontId="2" fillId="0" borderId="18" xfId="0" applyFont="1" applyBorder="1"/>
    <xf numFmtId="0" fontId="3" fillId="0" borderId="58" xfId="0" applyFont="1" applyBorder="1"/>
    <xf numFmtId="0" fontId="3" fillId="0" borderId="29" xfId="0" quotePrefix="1" applyFont="1" applyBorder="1"/>
    <xf numFmtId="10" fontId="2" fillId="27" borderId="3" xfId="2" applyNumberFormat="1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 vertical="center"/>
    </xf>
    <xf numFmtId="0" fontId="7" fillId="6" borderId="11" xfId="2" applyNumberFormat="1" applyFont="1" applyFill="1" applyBorder="1" applyAlignment="1">
      <alignment horizontal="center" vertical="center"/>
    </xf>
    <xf numFmtId="0" fontId="6" fillId="6" borderId="11" xfId="2" applyNumberFormat="1" applyFont="1" applyFill="1" applyBorder="1" applyAlignment="1">
      <alignment horizontal="center" vertical="center"/>
    </xf>
    <xf numFmtId="0" fontId="49" fillId="0" borderId="0" xfId="0" applyFont="1"/>
    <xf numFmtId="0" fontId="3" fillId="11" borderId="3" xfId="2" applyNumberFormat="1" applyFont="1" applyFill="1" applyBorder="1" applyAlignment="1">
      <alignment horizontal="center" vertical="center"/>
    </xf>
    <xf numFmtId="0" fontId="3" fillId="11" borderId="4" xfId="2" applyNumberFormat="1" applyFont="1" applyFill="1" applyBorder="1" applyAlignment="1">
      <alignment horizontal="center" vertical="center"/>
    </xf>
    <xf numFmtId="0" fontId="2" fillId="11" borderId="4" xfId="2" applyNumberFormat="1" applyFont="1" applyFill="1" applyBorder="1" applyAlignment="1">
      <alignment horizontal="center" vertical="center"/>
    </xf>
    <xf numFmtId="0" fontId="2" fillId="3" borderId="5" xfId="2" applyNumberFormat="1" applyFont="1" applyFill="1" applyBorder="1" applyAlignment="1">
      <alignment horizontal="center" vertical="center"/>
    </xf>
    <xf numFmtId="0" fontId="0" fillId="12" borderId="0" xfId="0" applyFill="1"/>
    <xf numFmtId="0" fontId="2" fillId="13" borderId="24" xfId="0" applyFont="1" applyFill="1" applyBorder="1" applyAlignment="1">
      <alignment horizontal="center" vertical="center" wrapText="1"/>
    </xf>
    <xf numFmtId="0" fontId="2" fillId="13" borderId="24" xfId="0" applyFont="1" applyFill="1" applyBorder="1" applyAlignment="1">
      <alignment horizontal="center" vertical="center"/>
    </xf>
    <xf numFmtId="43" fontId="45" fillId="0" borderId="0" xfId="1025" applyFont="1" applyBorder="1" applyAlignment="1">
      <alignment vertical="center"/>
    </xf>
    <xf numFmtId="10" fontId="3" fillId="11" borderId="21" xfId="0" applyNumberFormat="1" applyFont="1" applyFill="1" applyBorder="1" applyAlignment="1">
      <alignment horizontal="left" vertical="center" indent="1"/>
    </xf>
    <xf numFmtId="41" fontId="3" fillId="28" borderId="11" xfId="2" quotePrefix="1" applyFont="1" applyFill="1" applyBorder="1" applyAlignment="1" applyProtection="1">
      <alignment vertical="center"/>
      <protection locked="0"/>
    </xf>
    <xf numFmtId="41" fontId="3" fillId="28" borderId="11" xfId="2" applyFont="1" applyFill="1" applyBorder="1" applyAlignment="1" applyProtection="1">
      <alignment vertical="center"/>
      <protection locked="0"/>
    </xf>
    <xf numFmtId="41" fontId="3" fillId="11" borderId="3" xfId="2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left" vertical="center"/>
    </xf>
    <xf numFmtId="10" fontId="3" fillId="11" borderId="3" xfId="2" applyNumberFormat="1" applyFont="1" applyFill="1" applyBorder="1" applyAlignment="1">
      <alignment horizontal="center" vertical="center"/>
    </xf>
    <xf numFmtId="10" fontId="2" fillId="0" borderId="3" xfId="2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left" vertical="center"/>
    </xf>
    <xf numFmtId="41" fontId="3" fillId="10" borderId="16" xfId="2" applyFont="1" applyFill="1" applyBorder="1" applyAlignment="1">
      <alignment horizontal="center" vertical="center"/>
    </xf>
    <xf numFmtId="41" fontId="3" fillId="10" borderId="17" xfId="2" applyFont="1" applyFill="1" applyBorder="1" applyAlignment="1">
      <alignment horizontal="center" vertical="center"/>
    </xf>
    <xf numFmtId="41" fontId="3" fillId="10" borderId="18" xfId="2" applyFont="1" applyFill="1" applyBorder="1" applyAlignment="1">
      <alignment horizontal="center" vertical="center"/>
    </xf>
    <xf numFmtId="41" fontId="3" fillId="10" borderId="19" xfId="2" applyFont="1" applyFill="1" applyBorder="1" applyAlignment="1">
      <alignment horizontal="center" vertical="center"/>
    </xf>
    <xf numFmtId="41" fontId="9" fillId="7" borderId="11" xfId="2" applyFont="1" applyFill="1" applyBorder="1" applyAlignment="1">
      <alignment horizontal="center" vertical="center"/>
    </xf>
    <xf numFmtId="41" fontId="3" fillId="7" borderId="11" xfId="2" applyFont="1" applyFill="1" applyBorder="1" applyAlignment="1">
      <alignment horizontal="center" vertical="center"/>
    </xf>
    <xf numFmtId="0" fontId="6" fillId="9" borderId="13" xfId="2" applyNumberFormat="1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left" vertical="center" indent="1"/>
    </xf>
    <xf numFmtId="10" fontId="3" fillId="7" borderId="21" xfId="2" applyNumberFormat="1" applyFont="1" applyFill="1" applyBorder="1" applyAlignment="1">
      <alignment horizontal="center" vertical="center"/>
    </xf>
    <xf numFmtId="15" fontId="45" fillId="0" borderId="0" xfId="0" applyNumberFormat="1" applyFont="1" applyAlignment="1">
      <alignment vertical="center"/>
    </xf>
    <xf numFmtId="43" fontId="2" fillId="13" borderId="24" xfId="1025" applyFont="1" applyFill="1" applyBorder="1" applyAlignment="1">
      <alignment horizontal="center" vertical="center"/>
    </xf>
    <xf numFmtId="41" fontId="6" fillId="9" borderId="13" xfId="2" applyFont="1" applyFill="1" applyBorder="1" applyAlignment="1">
      <alignment horizontal="center" vertical="center"/>
    </xf>
    <xf numFmtId="43" fontId="2" fillId="11" borderId="4" xfId="2" applyNumberFormat="1" applyFont="1" applyFill="1" applyBorder="1"/>
    <xf numFmtId="10" fontId="3" fillId="11" borderId="3" xfId="4" applyNumberFormat="1" applyFont="1" applyFill="1" applyBorder="1" applyAlignment="1">
      <alignment horizontal="center"/>
    </xf>
    <xf numFmtId="0" fontId="3" fillId="10" borderId="39" xfId="0" applyFont="1" applyFill="1" applyBorder="1" applyAlignment="1">
      <alignment horizontal="left" wrapText="1" indent="1"/>
    </xf>
    <xf numFmtId="41" fontId="3" fillId="10" borderId="39" xfId="2" applyFont="1" applyFill="1" applyBorder="1" applyAlignment="1">
      <alignment vertical="center"/>
    </xf>
    <xf numFmtId="0" fontId="6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/>
    </xf>
    <xf numFmtId="0" fontId="6" fillId="9" borderId="6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50" fillId="0" borderId="0" xfId="0" applyFont="1"/>
    <xf numFmtId="0" fontId="51" fillId="29" borderId="61" xfId="0" applyFont="1" applyFill="1" applyBorder="1" applyAlignment="1">
      <alignment horizontal="center" vertical="center" wrapText="1" readingOrder="1"/>
    </xf>
    <xf numFmtId="0" fontId="51" fillId="30" borderId="61" xfId="0" applyFont="1" applyFill="1" applyBorder="1" applyAlignment="1">
      <alignment horizontal="center" vertical="center" wrapText="1" readingOrder="1"/>
    </xf>
    <xf numFmtId="0" fontId="52" fillId="0" borderId="61" xfId="0" applyFont="1" applyBorder="1" applyAlignment="1">
      <alignment horizontal="left" wrapText="1" readingOrder="1"/>
    </xf>
    <xf numFmtId="43" fontId="52" fillId="31" borderId="61" xfId="1025" applyFont="1" applyFill="1" applyBorder="1" applyAlignment="1">
      <alignment horizontal="left" wrapText="1" readingOrder="1"/>
    </xf>
    <xf numFmtId="43" fontId="52" fillId="0" borderId="61" xfId="1025" applyFont="1" applyBorder="1" applyAlignment="1">
      <alignment horizontal="center" vertical="center" wrapText="1" readingOrder="1"/>
    </xf>
    <xf numFmtId="0" fontId="53" fillId="0" borderId="61" xfId="0" applyFont="1" applyBorder="1" applyAlignment="1">
      <alignment horizontal="left" wrapText="1" readingOrder="1"/>
    </xf>
    <xf numFmtId="43" fontId="53" fillId="31" borderId="61" xfId="1025" applyFont="1" applyFill="1" applyBorder="1" applyAlignment="1">
      <alignment horizontal="left" wrapText="1" readingOrder="1"/>
    </xf>
    <xf numFmtId="43" fontId="53" fillId="0" borderId="61" xfId="1025" applyFont="1" applyBorder="1" applyAlignment="1">
      <alignment horizontal="center" vertical="center" wrapText="1" readingOrder="1"/>
    </xf>
    <xf numFmtId="0" fontId="54" fillId="32" borderId="61" xfId="0" applyFont="1" applyFill="1" applyBorder="1" applyAlignment="1">
      <alignment horizontal="left" wrapText="1" readingOrder="1"/>
    </xf>
    <xf numFmtId="10" fontId="54" fillId="30" borderId="61" xfId="4" applyNumberFormat="1" applyFont="1" applyFill="1" applyBorder="1" applyAlignment="1">
      <alignment horizontal="right" wrapText="1" readingOrder="1"/>
    </xf>
    <xf numFmtId="10" fontId="54" fillId="32" borderId="61" xfId="4" applyNumberFormat="1" applyFont="1" applyFill="1" applyBorder="1" applyAlignment="1">
      <alignment horizontal="right" wrapText="1" readingOrder="1"/>
    </xf>
    <xf numFmtId="0" fontId="54" fillId="0" borderId="0" xfId="0" applyFont="1" applyFill="1" applyBorder="1" applyAlignment="1">
      <alignment horizontal="left" wrapText="1" readingOrder="1"/>
    </xf>
    <xf numFmtId="0" fontId="54" fillId="0" borderId="0" xfId="0" applyFont="1" applyFill="1" applyBorder="1" applyAlignment="1">
      <alignment horizontal="right" wrapText="1" readingOrder="1"/>
    </xf>
    <xf numFmtId="10" fontId="54" fillId="0" borderId="0" xfId="4" applyNumberFormat="1" applyFont="1" applyFill="1" applyBorder="1" applyAlignment="1">
      <alignment horizontal="right" wrapText="1" readingOrder="1"/>
    </xf>
    <xf numFmtId="0" fontId="0" fillId="0" borderId="0" xfId="0" applyFill="1"/>
    <xf numFmtId="0" fontId="55" fillId="0" borderId="0" xfId="0" applyFont="1"/>
    <xf numFmtId="0" fontId="56" fillId="33" borderId="62" xfId="0" applyFont="1" applyFill="1" applyBorder="1" applyAlignment="1">
      <alignment horizontal="left" wrapText="1" readingOrder="1"/>
    </xf>
    <xf numFmtId="0" fontId="56" fillId="33" borderId="62" xfId="0" applyFont="1" applyFill="1" applyBorder="1" applyAlignment="1">
      <alignment horizontal="center" vertical="center" wrapText="1" readingOrder="1"/>
    </xf>
    <xf numFmtId="0" fontId="57" fillId="34" borderId="63" xfId="0" applyFont="1" applyFill="1" applyBorder="1" applyAlignment="1">
      <alignment horizontal="left" wrapText="1" readingOrder="1"/>
    </xf>
    <xf numFmtId="0" fontId="57" fillId="34" borderId="63" xfId="0" applyFont="1" applyFill="1" applyBorder="1" applyAlignment="1">
      <alignment horizontal="center" vertical="center" wrapText="1" readingOrder="1"/>
    </xf>
    <xf numFmtId="0" fontId="58" fillId="34" borderId="0" xfId="0" applyFont="1" applyFill="1" applyBorder="1" applyAlignment="1">
      <alignment horizontal="left" wrapText="1" readingOrder="1"/>
    </xf>
    <xf numFmtId="0" fontId="58" fillId="34" borderId="0" xfId="0" applyFont="1" applyFill="1" applyBorder="1" applyAlignment="1">
      <alignment horizontal="center" vertical="center" wrapText="1" readingOrder="1"/>
    </xf>
    <xf numFmtId="0" fontId="57" fillId="0" borderId="0" xfId="0" applyFont="1" applyAlignment="1">
      <alignment horizontal="left" wrapText="1" readingOrder="1"/>
    </xf>
    <xf numFmtId="0" fontId="57" fillId="0" borderId="0" xfId="0" applyFont="1" applyAlignment="1">
      <alignment horizontal="center" vertical="center" wrapText="1" readingOrder="1"/>
    </xf>
    <xf numFmtId="0" fontId="58" fillId="0" borderId="0" xfId="0" applyFont="1" applyAlignment="1">
      <alignment horizontal="left" wrapText="1" readingOrder="1"/>
    </xf>
    <xf numFmtId="0" fontId="58" fillId="0" borderId="0" xfId="0" applyFont="1" applyAlignment="1">
      <alignment horizontal="center" vertical="center" wrapText="1" readingOrder="1"/>
    </xf>
    <xf numFmtId="0" fontId="57" fillId="34" borderId="0" xfId="0" applyFont="1" applyFill="1" applyAlignment="1">
      <alignment horizontal="left" wrapText="1" readingOrder="1"/>
    </xf>
    <xf numFmtId="3" fontId="57" fillId="34" borderId="0" xfId="0" applyNumberFormat="1" applyFont="1" applyFill="1" applyAlignment="1">
      <alignment horizontal="center" vertical="center" wrapText="1" readingOrder="1"/>
    </xf>
    <xf numFmtId="0" fontId="58" fillId="34" borderId="0" xfId="0" applyFont="1" applyFill="1" applyAlignment="1">
      <alignment horizontal="left" wrapText="1" readingOrder="1"/>
    </xf>
    <xf numFmtId="3" fontId="58" fillId="34" borderId="0" xfId="0" applyNumberFormat="1" applyFont="1" applyFill="1" applyAlignment="1">
      <alignment horizontal="center" vertical="center" wrapText="1" readingOrder="1"/>
    </xf>
    <xf numFmtId="0" fontId="56" fillId="35" borderId="0" xfId="0" applyFont="1" applyFill="1" applyAlignment="1">
      <alignment horizontal="left" wrapText="1" readingOrder="1"/>
    </xf>
    <xf numFmtId="10" fontId="56" fillId="35" borderId="0" xfId="0" applyNumberFormat="1" applyFont="1" applyFill="1" applyAlignment="1">
      <alignment horizontal="center" vertical="center" wrapText="1" readingOrder="1"/>
    </xf>
    <xf numFmtId="0" fontId="56" fillId="35" borderId="64" xfId="0" applyFont="1" applyFill="1" applyBorder="1" applyAlignment="1">
      <alignment horizontal="left" wrapText="1" readingOrder="1"/>
    </xf>
    <xf numFmtId="10" fontId="56" fillId="35" borderId="64" xfId="0" applyNumberFormat="1" applyFont="1" applyFill="1" applyBorder="1" applyAlignment="1">
      <alignment horizontal="center" vertical="center" wrapText="1" readingOrder="1"/>
    </xf>
    <xf numFmtId="0" fontId="56" fillId="0" borderId="0" xfId="0" applyFont="1" applyFill="1" applyBorder="1" applyAlignment="1">
      <alignment horizontal="left" wrapText="1" readingOrder="1"/>
    </xf>
    <xf numFmtId="10" fontId="56" fillId="0" borderId="0" xfId="0" applyNumberFormat="1" applyFont="1" applyFill="1" applyBorder="1" applyAlignment="1">
      <alignment horizontal="center" vertical="center" wrapText="1" readingOrder="1"/>
    </xf>
    <xf numFmtId="43" fontId="0" fillId="0" borderId="0" xfId="1025" applyFont="1"/>
    <xf numFmtId="43" fontId="0" fillId="0" borderId="0" xfId="0" applyNumberFormat="1"/>
    <xf numFmtId="0" fontId="59" fillId="25" borderId="62" xfId="0" applyFont="1" applyFill="1" applyBorder="1" applyAlignment="1">
      <alignment horizontal="center" vertical="center" wrapText="1" readingOrder="1"/>
    </xf>
    <xf numFmtId="0" fontId="57" fillId="7" borderId="63" xfId="0" applyFont="1" applyFill="1" applyBorder="1" applyAlignment="1">
      <alignment horizontal="center" vertical="center" wrapText="1" readingOrder="1"/>
    </xf>
    <xf numFmtId="0" fontId="58" fillId="7" borderId="0" xfId="0" applyFont="1" applyFill="1" applyBorder="1" applyAlignment="1">
      <alignment horizontal="center" vertical="center" wrapText="1" readingOrder="1"/>
    </xf>
    <xf numFmtId="3" fontId="57" fillId="7" borderId="0" xfId="0" applyNumberFormat="1" applyFont="1" applyFill="1" applyAlignment="1">
      <alignment horizontal="center" vertical="center" wrapText="1" readingOrder="1"/>
    </xf>
    <xf numFmtId="3" fontId="58" fillId="7" borderId="0" xfId="0" applyNumberFormat="1" applyFont="1" applyFill="1" applyAlignment="1">
      <alignment horizontal="center" vertical="center" wrapText="1" readingOrder="1"/>
    </xf>
    <xf numFmtId="10" fontId="56" fillId="6" borderId="0" xfId="0" applyNumberFormat="1" applyFont="1" applyFill="1" applyAlignment="1">
      <alignment horizontal="center" vertical="center" wrapText="1" readingOrder="1"/>
    </xf>
    <xf numFmtId="10" fontId="56" fillId="6" borderId="64" xfId="0" applyNumberFormat="1" applyFont="1" applyFill="1" applyBorder="1" applyAlignment="1">
      <alignment horizontal="center" vertical="center" wrapText="1" readingOrder="1"/>
    </xf>
    <xf numFmtId="0" fontId="51" fillId="36" borderId="61" xfId="0" applyFont="1" applyFill="1" applyBorder="1" applyAlignment="1">
      <alignment horizontal="center" vertical="center" wrapText="1" readingOrder="1"/>
    </xf>
    <xf numFmtId="43" fontId="52" fillId="26" borderId="61" xfId="1025" applyFont="1" applyFill="1" applyBorder="1" applyAlignment="1">
      <alignment horizontal="center" vertical="center" wrapText="1" readingOrder="1"/>
    </xf>
    <xf numFmtId="43" fontId="53" fillId="26" borderId="61" xfId="1025" applyFont="1" applyFill="1" applyBorder="1" applyAlignment="1">
      <alignment horizontal="center" vertical="center" wrapText="1" readingOrder="1"/>
    </xf>
    <xf numFmtId="10" fontId="60" fillId="35" borderId="61" xfId="4" applyNumberFormat="1" applyFont="1" applyFill="1" applyBorder="1" applyAlignment="1">
      <alignment horizontal="right" wrapText="1" readingOrder="1"/>
    </xf>
    <xf numFmtId="0" fontId="5" fillId="0" borderId="23" xfId="0" applyFont="1" applyFill="1" applyBorder="1" applyAlignment="1"/>
    <xf numFmtId="0" fontId="61" fillId="0" borderId="0" xfId="0" applyFont="1" applyAlignment="1">
      <alignment vertical="center"/>
    </xf>
    <xf numFmtId="15" fontId="61" fillId="0" borderId="0" xfId="0" applyNumberFormat="1" applyFont="1" applyAlignment="1">
      <alignment vertical="center"/>
    </xf>
    <xf numFmtId="43" fontId="61" fillId="0" borderId="0" xfId="1025" applyFont="1" applyBorder="1" applyAlignment="1">
      <alignment vertical="center"/>
    </xf>
    <xf numFmtId="166" fontId="61" fillId="0" borderId="0" xfId="0" applyNumberFormat="1" applyFont="1" applyAlignment="1">
      <alignment vertical="center"/>
    </xf>
    <xf numFmtId="167" fontId="2" fillId="11" borderId="4" xfId="2" applyNumberFormat="1" applyFont="1" applyFill="1" applyBorder="1"/>
    <xf numFmtId="0" fontId="63" fillId="0" borderId="0" xfId="0" applyFont="1" applyAlignment="1">
      <alignment vertical="center"/>
    </xf>
    <xf numFmtId="15" fontId="63" fillId="0" borderId="0" xfId="0" applyNumberFormat="1" applyFont="1" applyAlignment="1">
      <alignment vertical="center"/>
    </xf>
    <xf numFmtId="43" fontId="63" fillId="0" borderId="0" xfId="1025" applyFont="1" applyBorder="1" applyAlignment="1">
      <alignment vertical="center"/>
    </xf>
    <xf numFmtId="10" fontId="0" fillId="0" borderId="0" xfId="4" applyNumberFormat="1" applyFont="1"/>
    <xf numFmtId="41" fontId="0" fillId="0" borderId="0" xfId="0" applyNumberFormat="1" applyAlignment="1">
      <alignment horizontal="left"/>
    </xf>
    <xf numFmtId="0" fontId="5" fillId="8" borderId="0" xfId="0" applyFont="1" applyFill="1" applyAlignment="1">
      <alignment horizontal="left" wrapText="1"/>
    </xf>
    <xf numFmtId="0" fontId="5" fillId="7" borderId="23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166" fontId="3" fillId="0" borderId="24" xfId="0" applyNumberFormat="1" applyFont="1" applyBorder="1" applyAlignment="1">
      <alignment horizontal="center" vertical="center"/>
    </xf>
    <xf numFmtId="166" fontId="3" fillId="0" borderId="12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0" fontId="47" fillId="19" borderId="0" xfId="0" applyFont="1" applyFill="1" applyAlignment="1">
      <alignment horizontal="center" vertical="center" wrapText="1"/>
    </xf>
    <xf numFmtId="0" fontId="47" fillId="19" borderId="59" xfId="0" applyFont="1" applyFill="1" applyBorder="1" applyAlignment="1">
      <alignment horizontal="center" vertical="center" wrapText="1"/>
    </xf>
    <xf numFmtId="0" fontId="62" fillId="19" borderId="38" xfId="0" applyFont="1" applyFill="1" applyBorder="1" applyAlignment="1">
      <alignment horizontal="center" vertical="center"/>
    </xf>
    <xf numFmtId="0" fontId="62" fillId="19" borderId="30" xfId="0" applyFont="1" applyFill="1" applyBorder="1" applyAlignment="1">
      <alignment horizontal="center" vertical="center" wrapText="1"/>
    </xf>
  </cellXfs>
  <cellStyles count="1032">
    <cellStyle name="Comma" xfId="1025" builtinId="3"/>
    <cellStyle name="Comma [0]" xfId="2" builtinId="6"/>
    <cellStyle name="Comma [0] 2" xfId="7"/>
    <cellStyle name="Comma [0] 3" xfId="8"/>
    <cellStyle name="Comma 10" xfId="9"/>
    <cellStyle name="Comma 10 2" xfId="1026"/>
    <cellStyle name="Comma 104" xfId="1"/>
    <cellStyle name="Comma 11" xfId="10"/>
    <cellStyle name="Comma 11 2" xfId="11"/>
    <cellStyle name="Comma 12" xfId="12"/>
    <cellStyle name="Comma 13" xfId="13"/>
    <cellStyle name="Comma 14" xfId="14"/>
    <cellStyle name="Comma 15" xfId="15"/>
    <cellStyle name="Comma 16" xfId="16"/>
    <cellStyle name="Comma 17" xfId="17"/>
    <cellStyle name="Comma 18" xfId="1027"/>
    <cellStyle name="Comma 2" xfId="6"/>
    <cellStyle name="Comma 2 2" xfId="18"/>
    <cellStyle name="Comma 24 2" xfId="19"/>
    <cellStyle name="Comma 29" xfId="20"/>
    <cellStyle name="Comma 294" xfId="3"/>
    <cellStyle name="Comma 3" xfId="21"/>
    <cellStyle name="Comma 3 2" xfId="22"/>
    <cellStyle name="Comma 4" xfId="23"/>
    <cellStyle name="Comma 5" xfId="24"/>
    <cellStyle name="Comma 6" xfId="25"/>
    <cellStyle name="Comma 7" xfId="26"/>
    <cellStyle name="Comma 8" xfId="27"/>
    <cellStyle name="Comma 9" xfId="28"/>
    <cellStyle name="Hyperlink 2" xfId="29"/>
    <cellStyle name="Normal" xfId="0" builtinId="0"/>
    <cellStyle name="Normal 16" xfId="30"/>
    <cellStyle name="Normal 2" xfId="5"/>
    <cellStyle name="Normal 2 2 2" xfId="31"/>
    <cellStyle name="Normal 3" xfId="32"/>
    <cellStyle name="Normal 4" xfId="33"/>
    <cellStyle name="Normal 6" xfId="34"/>
    <cellStyle name="Percent" xfId="4" builtinId="5"/>
    <cellStyle name="Percent 2" xfId="35"/>
    <cellStyle name="Percent 3" xfId="36"/>
    <cellStyle name="S0" xfId="37"/>
    <cellStyle name="S0 10" xfId="38"/>
    <cellStyle name="S0 100" xfId="39"/>
    <cellStyle name="S0 101" xfId="40"/>
    <cellStyle name="S0 102" xfId="41"/>
    <cellStyle name="S0 103" xfId="42"/>
    <cellStyle name="S0 104" xfId="43"/>
    <cellStyle name="S0 105" xfId="44"/>
    <cellStyle name="S0 106" xfId="45"/>
    <cellStyle name="S0 107" xfId="46"/>
    <cellStyle name="S0 108" xfId="47"/>
    <cellStyle name="S0 109" xfId="48"/>
    <cellStyle name="S0 11" xfId="49"/>
    <cellStyle name="S0 110" xfId="50"/>
    <cellStyle name="S0 111" xfId="51"/>
    <cellStyle name="S0 112" xfId="52"/>
    <cellStyle name="S0 113" xfId="53"/>
    <cellStyle name="S0 114" xfId="54"/>
    <cellStyle name="S0 115" xfId="55"/>
    <cellStyle name="S0 116" xfId="56"/>
    <cellStyle name="S0 117" xfId="57"/>
    <cellStyle name="S0 118" xfId="58"/>
    <cellStyle name="S0 119" xfId="59"/>
    <cellStyle name="S0 12" xfId="60"/>
    <cellStyle name="S0 120" xfId="61"/>
    <cellStyle name="S0 121" xfId="62"/>
    <cellStyle name="S0 122" xfId="63"/>
    <cellStyle name="S0 123" xfId="64"/>
    <cellStyle name="S0 124" xfId="65"/>
    <cellStyle name="S0 125" xfId="66"/>
    <cellStyle name="S0 126" xfId="67"/>
    <cellStyle name="S0 127" xfId="68"/>
    <cellStyle name="S0 128" xfId="69"/>
    <cellStyle name="S0 129" xfId="70"/>
    <cellStyle name="S0 13" xfId="71"/>
    <cellStyle name="S0 130" xfId="72"/>
    <cellStyle name="S0 131" xfId="73"/>
    <cellStyle name="S0 132" xfId="74"/>
    <cellStyle name="S0 133" xfId="75"/>
    <cellStyle name="S0 134" xfId="76"/>
    <cellStyle name="S0 135" xfId="77"/>
    <cellStyle name="S0 136" xfId="78"/>
    <cellStyle name="S0 137" xfId="79"/>
    <cellStyle name="S0 138" xfId="80"/>
    <cellStyle name="S0 139" xfId="81"/>
    <cellStyle name="S0 14" xfId="82"/>
    <cellStyle name="S0 140" xfId="83"/>
    <cellStyle name="S0 141" xfId="84"/>
    <cellStyle name="S0 142" xfId="85"/>
    <cellStyle name="S0 143" xfId="86"/>
    <cellStyle name="S0 144" xfId="87"/>
    <cellStyle name="S0 145" xfId="88"/>
    <cellStyle name="S0 146" xfId="89"/>
    <cellStyle name="S0 147" xfId="90"/>
    <cellStyle name="S0 148" xfId="91"/>
    <cellStyle name="S0 149" xfId="92"/>
    <cellStyle name="S0 15" xfId="93"/>
    <cellStyle name="S0 150" xfId="94"/>
    <cellStyle name="S0 151" xfId="95"/>
    <cellStyle name="S0 152" xfId="96"/>
    <cellStyle name="S0 153" xfId="97"/>
    <cellStyle name="S0 154" xfId="98"/>
    <cellStyle name="S0 155" xfId="99"/>
    <cellStyle name="S0 156" xfId="100"/>
    <cellStyle name="S0 157" xfId="101"/>
    <cellStyle name="S0 158" xfId="102"/>
    <cellStyle name="S0 159" xfId="103"/>
    <cellStyle name="S0 16" xfId="104"/>
    <cellStyle name="S0 160" xfId="105"/>
    <cellStyle name="S0 161" xfId="106"/>
    <cellStyle name="S0 162" xfId="107"/>
    <cellStyle name="S0 163" xfId="108"/>
    <cellStyle name="S0 164" xfId="109"/>
    <cellStyle name="S0 165" xfId="110"/>
    <cellStyle name="S0 166" xfId="111"/>
    <cellStyle name="S0 167" xfId="112"/>
    <cellStyle name="S0 168" xfId="113"/>
    <cellStyle name="S0 169" xfId="114"/>
    <cellStyle name="S0 17" xfId="115"/>
    <cellStyle name="S0 170" xfId="116"/>
    <cellStyle name="S0 171" xfId="117"/>
    <cellStyle name="S0 172" xfId="118"/>
    <cellStyle name="S0 173" xfId="119"/>
    <cellStyle name="S0 174" xfId="120"/>
    <cellStyle name="S0 175" xfId="121"/>
    <cellStyle name="S0 176" xfId="122"/>
    <cellStyle name="S0 177" xfId="123"/>
    <cellStyle name="S0 178" xfId="124"/>
    <cellStyle name="S0 179" xfId="125"/>
    <cellStyle name="S0 18" xfId="126"/>
    <cellStyle name="S0 180" xfId="127"/>
    <cellStyle name="S0 181" xfId="128"/>
    <cellStyle name="S0 182" xfId="129"/>
    <cellStyle name="S0 183" xfId="130"/>
    <cellStyle name="S0 184" xfId="131"/>
    <cellStyle name="S0 185" xfId="132"/>
    <cellStyle name="S0 186" xfId="133"/>
    <cellStyle name="S0 187" xfId="134"/>
    <cellStyle name="S0 188" xfId="135"/>
    <cellStyle name="S0 189" xfId="136"/>
    <cellStyle name="S0 19" xfId="137"/>
    <cellStyle name="S0 190" xfId="138"/>
    <cellStyle name="S0 191" xfId="139"/>
    <cellStyle name="S0 192" xfId="140"/>
    <cellStyle name="S0 193" xfId="141"/>
    <cellStyle name="S0 194" xfId="142"/>
    <cellStyle name="S0 195" xfId="143"/>
    <cellStyle name="S0 196" xfId="144"/>
    <cellStyle name="S0 197" xfId="145"/>
    <cellStyle name="S0 198" xfId="146"/>
    <cellStyle name="S0 199" xfId="147"/>
    <cellStyle name="S0 2" xfId="148"/>
    <cellStyle name="S0 20" xfId="149"/>
    <cellStyle name="S0 200" xfId="150"/>
    <cellStyle name="S0 201" xfId="151"/>
    <cellStyle name="S0 202" xfId="152"/>
    <cellStyle name="S0 203" xfId="153"/>
    <cellStyle name="S0 204" xfId="154"/>
    <cellStyle name="S0 205" xfId="155"/>
    <cellStyle name="S0 206" xfId="156"/>
    <cellStyle name="S0 207" xfId="157"/>
    <cellStyle name="S0 208" xfId="158"/>
    <cellStyle name="S0 209" xfId="159"/>
    <cellStyle name="S0 21" xfId="160"/>
    <cellStyle name="S0 210" xfId="161"/>
    <cellStyle name="S0 211" xfId="162"/>
    <cellStyle name="S0 212" xfId="163"/>
    <cellStyle name="S0 213" xfId="164"/>
    <cellStyle name="S0 214" xfId="165"/>
    <cellStyle name="S0 215" xfId="166"/>
    <cellStyle name="S0 216" xfId="167"/>
    <cellStyle name="S0 217" xfId="168"/>
    <cellStyle name="S0 218" xfId="169"/>
    <cellStyle name="S0 219" xfId="170"/>
    <cellStyle name="S0 22" xfId="171"/>
    <cellStyle name="S0 220" xfId="172"/>
    <cellStyle name="S0 221" xfId="173"/>
    <cellStyle name="S0 222" xfId="174"/>
    <cellStyle name="S0 223" xfId="175"/>
    <cellStyle name="S0 224" xfId="176"/>
    <cellStyle name="S0 225" xfId="177"/>
    <cellStyle name="S0 226" xfId="178"/>
    <cellStyle name="S0 227" xfId="179"/>
    <cellStyle name="S0 228" xfId="180"/>
    <cellStyle name="S0 229" xfId="181"/>
    <cellStyle name="S0 23" xfId="182"/>
    <cellStyle name="S0 230" xfId="183"/>
    <cellStyle name="S0 231" xfId="184"/>
    <cellStyle name="S0 232" xfId="185"/>
    <cellStyle name="S0 233" xfId="186"/>
    <cellStyle name="S0 234" xfId="187"/>
    <cellStyle name="S0 235" xfId="188"/>
    <cellStyle name="S0 236" xfId="189"/>
    <cellStyle name="S0 237" xfId="190"/>
    <cellStyle name="S0 238" xfId="191"/>
    <cellStyle name="S0 239" xfId="192"/>
    <cellStyle name="S0 24" xfId="193"/>
    <cellStyle name="S0 240" xfId="194"/>
    <cellStyle name="S0 241" xfId="195"/>
    <cellStyle name="S0 242" xfId="196"/>
    <cellStyle name="S0 243" xfId="197"/>
    <cellStyle name="S0 244" xfId="198"/>
    <cellStyle name="S0 245" xfId="199"/>
    <cellStyle name="S0 246" xfId="200"/>
    <cellStyle name="S0 247" xfId="201"/>
    <cellStyle name="S0 248" xfId="202"/>
    <cellStyle name="S0 249" xfId="203"/>
    <cellStyle name="S0 25" xfId="204"/>
    <cellStyle name="S0 250" xfId="205"/>
    <cellStyle name="S0 251" xfId="206"/>
    <cellStyle name="S0 252" xfId="207"/>
    <cellStyle name="S0 253" xfId="208"/>
    <cellStyle name="S0 254" xfId="209"/>
    <cellStyle name="S0 255" xfId="210"/>
    <cellStyle name="S0 256" xfId="211"/>
    <cellStyle name="S0 257" xfId="212"/>
    <cellStyle name="S0 258" xfId="213"/>
    <cellStyle name="S0 259" xfId="214"/>
    <cellStyle name="S0 26" xfId="215"/>
    <cellStyle name="S0 260" xfId="216"/>
    <cellStyle name="S0 261" xfId="217"/>
    <cellStyle name="S0 262" xfId="218"/>
    <cellStyle name="S0 263" xfId="219"/>
    <cellStyle name="S0 264" xfId="220"/>
    <cellStyle name="S0 265" xfId="221"/>
    <cellStyle name="S0 266" xfId="222"/>
    <cellStyle name="S0 266 2" xfId="223"/>
    <cellStyle name="S0 267" xfId="224"/>
    <cellStyle name="S0 268" xfId="225"/>
    <cellStyle name="S0 27" xfId="226"/>
    <cellStyle name="S0 28" xfId="227"/>
    <cellStyle name="S0 29" xfId="228"/>
    <cellStyle name="S0 3" xfId="229"/>
    <cellStyle name="S0 30" xfId="230"/>
    <cellStyle name="S0 31" xfId="231"/>
    <cellStyle name="S0 32" xfId="232"/>
    <cellStyle name="S0 33" xfId="233"/>
    <cellStyle name="S0 34" xfId="234"/>
    <cellStyle name="S0 35" xfId="235"/>
    <cellStyle name="S0 36" xfId="236"/>
    <cellStyle name="S0 37" xfId="237"/>
    <cellStyle name="S0 38" xfId="238"/>
    <cellStyle name="S0 39" xfId="239"/>
    <cellStyle name="S0 4" xfId="240"/>
    <cellStyle name="S0 40" xfId="241"/>
    <cellStyle name="S0 41" xfId="242"/>
    <cellStyle name="S0 42" xfId="243"/>
    <cellStyle name="S0 43" xfId="244"/>
    <cellStyle name="S0 44" xfId="245"/>
    <cellStyle name="S0 45" xfId="246"/>
    <cellStyle name="S0 46" xfId="247"/>
    <cellStyle name="S0 47" xfId="248"/>
    <cellStyle name="S0 48" xfId="249"/>
    <cellStyle name="S0 49" xfId="250"/>
    <cellStyle name="S0 5" xfId="251"/>
    <cellStyle name="S0 50" xfId="252"/>
    <cellStyle name="S0 51" xfId="253"/>
    <cellStyle name="S0 52" xfId="254"/>
    <cellStyle name="S0 53" xfId="255"/>
    <cellStyle name="S0 54" xfId="256"/>
    <cellStyle name="S0 55" xfId="257"/>
    <cellStyle name="S0 56" xfId="258"/>
    <cellStyle name="S0 57" xfId="259"/>
    <cellStyle name="S0 58" xfId="260"/>
    <cellStyle name="S0 59" xfId="261"/>
    <cellStyle name="S0 6" xfId="262"/>
    <cellStyle name="S0 60" xfId="263"/>
    <cellStyle name="S0 61" xfId="264"/>
    <cellStyle name="S0 62" xfId="265"/>
    <cellStyle name="S0 63" xfId="266"/>
    <cellStyle name="S0 64" xfId="267"/>
    <cellStyle name="S0 65" xfId="268"/>
    <cellStyle name="S0 66" xfId="269"/>
    <cellStyle name="S0 67" xfId="270"/>
    <cellStyle name="S0 68" xfId="271"/>
    <cellStyle name="S0 69" xfId="272"/>
    <cellStyle name="S0 7" xfId="273"/>
    <cellStyle name="S0 70" xfId="274"/>
    <cellStyle name="S0 71" xfId="275"/>
    <cellStyle name="S0 72" xfId="276"/>
    <cellStyle name="S0 73" xfId="277"/>
    <cellStyle name="S0 74" xfId="278"/>
    <cellStyle name="S0 75" xfId="279"/>
    <cellStyle name="S0 76" xfId="280"/>
    <cellStyle name="S0 77" xfId="281"/>
    <cellStyle name="S0 78" xfId="282"/>
    <cellStyle name="S0 79" xfId="283"/>
    <cellStyle name="S0 8" xfId="284"/>
    <cellStyle name="S0 80" xfId="285"/>
    <cellStyle name="S0 81" xfId="286"/>
    <cellStyle name="S0 82" xfId="287"/>
    <cellStyle name="S0 83" xfId="288"/>
    <cellStyle name="S0 84" xfId="289"/>
    <cellStyle name="S0 85" xfId="290"/>
    <cellStyle name="S0 86" xfId="291"/>
    <cellStyle name="S0 87" xfId="292"/>
    <cellStyle name="S0 88" xfId="293"/>
    <cellStyle name="S0 89" xfId="294"/>
    <cellStyle name="S0 9" xfId="295"/>
    <cellStyle name="S0 90" xfId="296"/>
    <cellStyle name="S0 91" xfId="297"/>
    <cellStyle name="S0 92" xfId="298"/>
    <cellStyle name="S0 93" xfId="299"/>
    <cellStyle name="S0 94" xfId="300"/>
    <cellStyle name="S0 95" xfId="301"/>
    <cellStyle name="S0 96" xfId="302"/>
    <cellStyle name="S0 97" xfId="303"/>
    <cellStyle name="S0 98" xfId="304"/>
    <cellStyle name="S0 99" xfId="305"/>
    <cellStyle name="S0_Sheet1" xfId="306"/>
    <cellStyle name="S1" xfId="307"/>
    <cellStyle name="S1 10" xfId="308"/>
    <cellStyle name="S1 100" xfId="309"/>
    <cellStyle name="S1 101" xfId="310"/>
    <cellStyle name="S1 102" xfId="311"/>
    <cellStyle name="S1 103" xfId="312"/>
    <cellStyle name="S1 104" xfId="313"/>
    <cellStyle name="S1 105" xfId="314"/>
    <cellStyle name="S1 106" xfId="315"/>
    <cellStyle name="S1 107" xfId="316"/>
    <cellStyle name="S1 108" xfId="317"/>
    <cellStyle name="S1 109" xfId="318"/>
    <cellStyle name="S1 11" xfId="319"/>
    <cellStyle name="S1 110" xfId="320"/>
    <cellStyle name="S1 111" xfId="321"/>
    <cellStyle name="S1 112" xfId="322"/>
    <cellStyle name="S1 113" xfId="323"/>
    <cellStyle name="S1 114" xfId="324"/>
    <cellStyle name="S1 115" xfId="325"/>
    <cellStyle name="S1 116" xfId="326"/>
    <cellStyle name="S1 117" xfId="327"/>
    <cellStyle name="S1 118" xfId="328"/>
    <cellStyle name="S1 119" xfId="329"/>
    <cellStyle name="S1 12" xfId="330"/>
    <cellStyle name="S1 120" xfId="331"/>
    <cellStyle name="S1 121" xfId="332"/>
    <cellStyle name="S1 122" xfId="333"/>
    <cellStyle name="S1 123" xfId="334"/>
    <cellStyle name="S1 124" xfId="335"/>
    <cellStyle name="S1 125" xfId="336"/>
    <cellStyle name="S1 126" xfId="337"/>
    <cellStyle name="S1 127" xfId="338"/>
    <cellStyle name="S1 128" xfId="339"/>
    <cellStyle name="S1 129" xfId="340"/>
    <cellStyle name="S1 13" xfId="341"/>
    <cellStyle name="S1 130" xfId="342"/>
    <cellStyle name="S1 131" xfId="343"/>
    <cellStyle name="S1 132" xfId="344"/>
    <cellStyle name="S1 133" xfId="345"/>
    <cellStyle name="S1 134" xfId="346"/>
    <cellStyle name="S1 135" xfId="347"/>
    <cellStyle name="S1 136" xfId="348"/>
    <cellStyle name="S1 137" xfId="349"/>
    <cellStyle name="S1 138" xfId="350"/>
    <cellStyle name="S1 139" xfId="351"/>
    <cellStyle name="S1 14" xfId="352"/>
    <cellStyle name="S1 140" xfId="353"/>
    <cellStyle name="S1 141" xfId="354"/>
    <cellStyle name="S1 142" xfId="355"/>
    <cellStyle name="S1 143" xfId="356"/>
    <cellStyle name="S1 144" xfId="357"/>
    <cellStyle name="S1 145" xfId="358"/>
    <cellStyle name="S1 146" xfId="359"/>
    <cellStyle name="S1 147" xfId="360"/>
    <cellStyle name="S1 148" xfId="361"/>
    <cellStyle name="S1 149" xfId="362"/>
    <cellStyle name="S1 15" xfId="363"/>
    <cellStyle name="S1 150" xfId="364"/>
    <cellStyle name="S1 151" xfId="365"/>
    <cellStyle name="S1 152" xfId="366"/>
    <cellStyle name="S1 153" xfId="367"/>
    <cellStyle name="S1 154" xfId="368"/>
    <cellStyle name="S1 155" xfId="369"/>
    <cellStyle name="S1 156" xfId="370"/>
    <cellStyle name="S1 157" xfId="371"/>
    <cellStyle name="S1 158" xfId="372"/>
    <cellStyle name="S1 159" xfId="373"/>
    <cellStyle name="S1 16" xfId="374"/>
    <cellStyle name="S1 160" xfId="375"/>
    <cellStyle name="S1 161" xfId="376"/>
    <cellStyle name="S1 162" xfId="377"/>
    <cellStyle name="S1 163" xfId="378"/>
    <cellStyle name="S1 164" xfId="379"/>
    <cellStyle name="S1 165" xfId="380"/>
    <cellStyle name="S1 166" xfId="381"/>
    <cellStyle name="S1 167" xfId="382"/>
    <cellStyle name="S1 168" xfId="383"/>
    <cellStyle name="S1 169" xfId="384"/>
    <cellStyle name="S1 17" xfId="385"/>
    <cellStyle name="S1 170" xfId="386"/>
    <cellStyle name="S1 171" xfId="387"/>
    <cellStyle name="S1 172" xfId="388"/>
    <cellStyle name="S1 173" xfId="389"/>
    <cellStyle name="S1 174" xfId="390"/>
    <cellStyle name="S1 175" xfId="391"/>
    <cellStyle name="S1 176" xfId="392"/>
    <cellStyle name="S1 177" xfId="393"/>
    <cellStyle name="S1 178" xfId="394"/>
    <cellStyle name="S1 179" xfId="395"/>
    <cellStyle name="S1 18" xfId="396"/>
    <cellStyle name="S1 180" xfId="397"/>
    <cellStyle name="S1 181" xfId="398"/>
    <cellStyle name="S1 182" xfId="399"/>
    <cellStyle name="S1 183" xfId="400"/>
    <cellStyle name="S1 184" xfId="401"/>
    <cellStyle name="S1 185" xfId="402"/>
    <cellStyle name="S1 186" xfId="403"/>
    <cellStyle name="S1 187" xfId="404"/>
    <cellStyle name="S1 188" xfId="405"/>
    <cellStyle name="S1 189" xfId="406"/>
    <cellStyle name="S1 19" xfId="407"/>
    <cellStyle name="S1 190" xfId="408"/>
    <cellStyle name="S1 191" xfId="409"/>
    <cellStyle name="S1 192" xfId="410"/>
    <cellStyle name="S1 193" xfId="411"/>
    <cellStyle name="S1 194" xfId="412"/>
    <cellStyle name="S1 195" xfId="413"/>
    <cellStyle name="S1 196" xfId="414"/>
    <cellStyle name="S1 197" xfId="415"/>
    <cellStyle name="S1 198" xfId="416"/>
    <cellStyle name="S1 199" xfId="417"/>
    <cellStyle name="S1 2" xfId="418"/>
    <cellStyle name="S1 20" xfId="419"/>
    <cellStyle name="S1 200" xfId="420"/>
    <cellStyle name="S1 201" xfId="421"/>
    <cellStyle name="S1 202" xfId="422"/>
    <cellStyle name="S1 203" xfId="423"/>
    <cellStyle name="S1 204" xfId="424"/>
    <cellStyle name="S1 205" xfId="425"/>
    <cellStyle name="S1 206" xfId="426"/>
    <cellStyle name="S1 207" xfId="427"/>
    <cellStyle name="S1 208" xfId="428"/>
    <cellStyle name="S1 209" xfId="429"/>
    <cellStyle name="S1 21" xfId="430"/>
    <cellStyle name="S1 210" xfId="431"/>
    <cellStyle name="S1 211" xfId="432"/>
    <cellStyle name="S1 212" xfId="433"/>
    <cellStyle name="S1 213" xfId="434"/>
    <cellStyle name="S1 214" xfId="435"/>
    <cellStyle name="S1 215" xfId="436"/>
    <cellStyle name="S1 216" xfId="437"/>
    <cellStyle name="S1 217" xfId="438"/>
    <cellStyle name="S1 218" xfId="439"/>
    <cellStyle name="S1 219" xfId="440"/>
    <cellStyle name="S1 22" xfId="441"/>
    <cellStyle name="S1 220" xfId="442"/>
    <cellStyle name="S1 221" xfId="443"/>
    <cellStyle name="S1 222" xfId="444"/>
    <cellStyle name="S1 223" xfId="445"/>
    <cellStyle name="S1 224" xfId="446"/>
    <cellStyle name="S1 225" xfId="447"/>
    <cellStyle name="S1 226" xfId="448"/>
    <cellStyle name="S1 227" xfId="449"/>
    <cellStyle name="S1 228" xfId="450"/>
    <cellStyle name="S1 229" xfId="451"/>
    <cellStyle name="S1 23" xfId="452"/>
    <cellStyle name="S1 230" xfId="453"/>
    <cellStyle name="S1 231" xfId="454"/>
    <cellStyle name="S1 232" xfId="455"/>
    <cellStyle name="S1 233" xfId="456"/>
    <cellStyle name="S1 234" xfId="457"/>
    <cellStyle name="S1 235" xfId="458"/>
    <cellStyle name="S1 236" xfId="459"/>
    <cellStyle name="S1 237" xfId="460"/>
    <cellStyle name="S1 238" xfId="461"/>
    <cellStyle name="S1 239" xfId="462"/>
    <cellStyle name="S1 24" xfId="463"/>
    <cellStyle name="S1 240" xfId="464"/>
    <cellStyle name="S1 241" xfId="465"/>
    <cellStyle name="S1 242" xfId="466"/>
    <cellStyle name="S1 243" xfId="467"/>
    <cellStyle name="S1 244" xfId="468"/>
    <cellStyle name="S1 245" xfId="469"/>
    <cellStyle name="S1 246" xfId="470"/>
    <cellStyle name="S1 247" xfId="471"/>
    <cellStyle name="S1 248" xfId="472"/>
    <cellStyle name="S1 249" xfId="473"/>
    <cellStyle name="S1 25" xfId="474"/>
    <cellStyle name="S1 250" xfId="475"/>
    <cellStyle name="S1 251" xfId="476"/>
    <cellStyle name="S1 252" xfId="477"/>
    <cellStyle name="S1 253" xfId="478"/>
    <cellStyle name="S1 254" xfId="479"/>
    <cellStyle name="S1 255" xfId="480"/>
    <cellStyle name="S1 256" xfId="481"/>
    <cellStyle name="S1 257" xfId="482"/>
    <cellStyle name="S1 258" xfId="483"/>
    <cellStyle name="S1 259" xfId="484"/>
    <cellStyle name="S1 26" xfId="485"/>
    <cellStyle name="S1 260" xfId="486"/>
    <cellStyle name="S1 261" xfId="487"/>
    <cellStyle name="S1 262" xfId="488"/>
    <cellStyle name="S1 263" xfId="489"/>
    <cellStyle name="S1 264" xfId="490"/>
    <cellStyle name="S1 265" xfId="491"/>
    <cellStyle name="S1 265 2" xfId="492"/>
    <cellStyle name="S1 266" xfId="493"/>
    <cellStyle name="S1 267" xfId="494"/>
    <cellStyle name="S1 27" xfId="495"/>
    <cellStyle name="S1 28" xfId="496"/>
    <cellStyle name="S1 29" xfId="497"/>
    <cellStyle name="S1 3" xfId="498"/>
    <cellStyle name="S1 30" xfId="499"/>
    <cellStyle name="S1 31" xfId="500"/>
    <cellStyle name="S1 32" xfId="501"/>
    <cellStyle name="S1 33" xfId="502"/>
    <cellStyle name="S1 34" xfId="503"/>
    <cellStyle name="S1 35" xfId="504"/>
    <cellStyle name="S1 36" xfId="505"/>
    <cellStyle name="S1 37" xfId="506"/>
    <cellStyle name="S1 38" xfId="507"/>
    <cellStyle name="S1 39" xfId="508"/>
    <cellStyle name="S1 4" xfId="509"/>
    <cellStyle name="S1 40" xfId="510"/>
    <cellStyle name="S1 41" xfId="511"/>
    <cellStyle name="S1 42" xfId="512"/>
    <cellStyle name="S1 43" xfId="513"/>
    <cellStyle name="S1 44" xfId="514"/>
    <cellStyle name="S1 45" xfId="515"/>
    <cellStyle name="S1 46" xfId="516"/>
    <cellStyle name="S1 47" xfId="517"/>
    <cellStyle name="S1 48" xfId="518"/>
    <cellStyle name="S1 49" xfId="519"/>
    <cellStyle name="S1 5" xfId="520"/>
    <cellStyle name="S1 50" xfId="521"/>
    <cellStyle name="S1 51" xfId="522"/>
    <cellStyle name="S1 52" xfId="523"/>
    <cellStyle name="S1 53" xfId="524"/>
    <cellStyle name="S1 54" xfId="525"/>
    <cellStyle name="S1 55" xfId="526"/>
    <cellStyle name="S1 56" xfId="527"/>
    <cellStyle name="S1 57" xfId="528"/>
    <cellStyle name="S1 58" xfId="529"/>
    <cellStyle name="S1 59" xfId="530"/>
    <cellStyle name="S1 6" xfId="531"/>
    <cellStyle name="S1 60" xfId="532"/>
    <cellStyle name="S1 61" xfId="533"/>
    <cellStyle name="S1 62" xfId="534"/>
    <cellStyle name="S1 63" xfId="535"/>
    <cellStyle name="S1 64" xfId="536"/>
    <cellStyle name="S1 65" xfId="537"/>
    <cellStyle name="S1 66" xfId="538"/>
    <cellStyle name="S1 67" xfId="539"/>
    <cellStyle name="S1 68" xfId="540"/>
    <cellStyle name="S1 69" xfId="541"/>
    <cellStyle name="S1 7" xfId="542"/>
    <cellStyle name="S1 70" xfId="543"/>
    <cellStyle name="S1 71" xfId="544"/>
    <cellStyle name="S1 72" xfId="545"/>
    <cellStyle name="S1 73" xfId="546"/>
    <cellStyle name="S1 74" xfId="547"/>
    <cellStyle name="S1 75" xfId="548"/>
    <cellStyle name="S1 76" xfId="549"/>
    <cellStyle name="S1 77" xfId="550"/>
    <cellStyle name="S1 78" xfId="551"/>
    <cellStyle name="S1 79" xfId="552"/>
    <cellStyle name="S1 8" xfId="553"/>
    <cellStyle name="S1 80" xfId="554"/>
    <cellStyle name="S1 81" xfId="555"/>
    <cellStyle name="S1 82" xfId="556"/>
    <cellStyle name="S1 83" xfId="557"/>
    <cellStyle name="S1 84" xfId="558"/>
    <cellStyle name="S1 85" xfId="559"/>
    <cellStyle name="S1 86" xfId="560"/>
    <cellStyle name="S1 87" xfId="561"/>
    <cellStyle name="S1 88" xfId="562"/>
    <cellStyle name="S1 89" xfId="563"/>
    <cellStyle name="S1 9" xfId="564"/>
    <cellStyle name="S1 90" xfId="565"/>
    <cellStyle name="S1 91" xfId="566"/>
    <cellStyle name="S1 92" xfId="567"/>
    <cellStyle name="S1 93" xfId="568"/>
    <cellStyle name="S1 94" xfId="569"/>
    <cellStyle name="S1 95" xfId="570"/>
    <cellStyle name="S1 96" xfId="571"/>
    <cellStyle name="S1 97" xfId="572"/>
    <cellStyle name="S1 98" xfId="573"/>
    <cellStyle name="S1 99" xfId="574"/>
    <cellStyle name="S1_Sheet1" xfId="575"/>
    <cellStyle name="S10" xfId="576"/>
    <cellStyle name="S10 10" xfId="577"/>
    <cellStyle name="S10 11" xfId="578"/>
    <cellStyle name="S10 12" xfId="579"/>
    <cellStyle name="S10 13" xfId="580"/>
    <cellStyle name="S10 13 2" xfId="581"/>
    <cellStyle name="S10 14" xfId="582"/>
    <cellStyle name="S10 15" xfId="583"/>
    <cellStyle name="S10 19" xfId="584"/>
    <cellStyle name="S10 2" xfId="585"/>
    <cellStyle name="S10 3" xfId="586"/>
    <cellStyle name="S10 4" xfId="587"/>
    <cellStyle name="S10 5" xfId="588"/>
    <cellStyle name="S10 6" xfId="589"/>
    <cellStyle name="S10 7" xfId="590"/>
    <cellStyle name="S10 8" xfId="591"/>
    <cellStyle name="S10 9" xfId="592"/>
    <cellStyle name="S10_Sheet1" xfId="593"/>
    <cellStyle name="S11" xfId="594"/>
    <cellStyle name="S11 10" xfId="595"/>
    <cellStyle name="S11 10 2" xfId="596"/>
    <cellStyle name="S11 11" xfId="597"/>
    <cellStyle name="S11 12" xfId="598"/>
    <cellStyle name="S11 13" xfId="599"/>
    <cellStyle name="S11 14" xfId="600"/>
    <cellStyle name="S11 15" xfId="601"/>
    <cellStyle name="S11 2" xfId="602"/>
    <cellStyle name="S11 3" xfId="603"/>
    <cellStyle name="S11 4" xfId="604"/>
    <cellStyle name="S11 5" xfId="605"/>
    <cellStyle name="S11 6" xfId="606"/>
    <cellStyle name="S11 7" xfId="607"/>
    <cellStyle name="S11 8" xfId="608"/>
    <cellStyle name="S11 9" xfId="609"/>
    <cellStyle name="S12" xfId="610"/>
    <cellStyle name="S12 2" xfId="611"/>
    <cellStyle name="S12 3" xfId="612"/>
    <cellStyle name="S12 4" xfId="613"/>
    <cellStyle name="S12 5" xfId="614"/>
    <cellStyle name="S12 6" xfId="615"/>
    <cellStyle name="S12 6 2" xfId="616"/>
    <cellStyle name="S12 7" xfId="617"/>
    <cellStyle name="S12 8" xfId="618"/>
    <cellStyle name="S12 9" xfId="619"/>
    <cellStyle name="S13" xfId="620"/>
    <cellStyle name="S13 2" xfId="621"/>
    <cellStyle name="S13 3" xfId="622"/>
    <cellStyle name="S13 4" xfId="623"/>
    <cellStyle name="S13 4 2" xfId="624"/>
    <cellStyle name="S13 5" xfId="625"/>
    <cellStyle name="S13 6" xfId="626"/>
    <cellStyle name="S13 7" xfId="627"/>
    <cellStyle name="S13 8" xfId="628"/>
    <cellStyle name="S14" xfId="629"/>
    <cellStyle name="S14 2" xfId="630"/>
    <cellStyle name="S14 3" xfId="631"/>
    <cellStyle name="S14 3 2" xfId="632"/>
    <cellStyle name="S14 4" xfId="633"/>
    <cellStyle name="S14 5" xfId="634"/>
    <cellStyle name="S15" xfId="635"/>
    <cellStyle name="S15 2" xfId="636"/>
    <cellStyle name="S15 3" xfId="637"/>
    <cellStyle name="S15 4" xfId="638"/>
    <cellStyle name="S16" xfId="639"/>
    <cellStyle name="S16 2" xfId="640"/>
    <cellStyle name="S16 3" xfId="641"/>
    <cellStyle name="S16 4" xfId="642"/>
    <cellStyle name="S2" xfId="643"/>
    <cellStyle name="S2 10" xfId="644"/>
    <cellStyle name="S2 100" xfId="645"/>
    <cellStyle name="S2 101" xfId="646"/>
    <cellStyle name="S2 102" xfId="647"/>
    <cellStyle name="S2 103" xfId="648"/>
    <cellStyle name="S2 104" xfId="649"/>
    <cellStyle name="S2 105" xfId="650"/>
    <cellStyle name="S2 106" xfId="651"/>
    <cellStyle name="S2 107" xfId="652"/>
    <cellStyle name="S2 108" xfId="653"/>
    <cellStyle name="S2 109" xfId="654"/>
    <cellStyle name="S2 11" xfId="655"/>
    <cellStyle name="S2 110" xfId="656"/>
    <cellStyle name="S2 111" xfId="657"/>
    <cellStyle name="S2 112" xfId="658"/>
    <cellStyle name="S2 113" xfId="659"/>
    <cellStyle name="S2 114" xfId="660"/>
    <cellStyle name="S2 115" xfId="661"/>
    <cellStyle name="S2 116" xfId="662"/>
    <cellStyle name="S2 117" xfId="663"/>
    <cellStyle name="S2 118" xfId="664"/>
    <cellStyle name="S2 119" xfId="665"/>
    <cellStyle name="S2 12" xfId="666"/>
    <cellStyle name="S2 120" xfId="667"/>
    <cellStyle name="S2 121" xfId="668"/>
    <cellStyle name="S2 122" xfId="669"/>
    <cellStyle name="S2 123" xfId="670"/>
    <cellStyle name="S2 124" xfId="671"/>
    <cellStyle name="S2 125" xfId="672"/>
    <cellStyle name="S2 126" xfId="673"/>
    <cellStyle name="S2 127" xfId="674"/>
    <cellStyle name="S2 128" xfId="675"/>
    <cellStyle name="S2 129" xfId="676"/>
    <cellStyle name="S2 13" xfId="677"/>
    <cellStyle name="S2 130" xfId="678"/>
    <cellStyle name="S2 131" xfId="679"/>
    <cellStyle name="S2 132" xfId="680"/>
    <cellStyle name="S2 133" xfId="681"/>
    <cellStyle name="S2 134" xfId="682"/>
    <cellStyle name="S2 135" xfId="683"/>
    <cellStyle name="S2 136" xfId="684"/>
    <cellStyle name="S2 137" xfId="685"/>
    <cellStyle name="S2 138" xfId="686"/>
    <cellStyle name="S2 139" xfId="687"/>
    <cellStyle name="S2 14" xfId="688"/>
    <cellStyle name="S2 140" xfId="689"/>
    <cellStyle name="S2 141" xfId="690"/>
    <cellStyle name="S2 142" xfId="691"/>
    <cellStyle name="S2 143" xfId="692"/>
    <cellStyle name="S2 144" xfId="693"/>
    <cellStyle name="S2 145" xfId="694"/>
    <cellStyle name="S2 146" xfId="695"/>
    <cellStyle name="S2 147" xfId="696"/>
    <cellStyle name="S2 148" xfId="697"/>
    <cellStyle name="S2 149" xfId="698"/>
    <cellStyle name="S2 15" xfId="699"/>
    <cellStyle name="S2 150" xfId="700"/>
    <cellStyle name="S2 151" xfId="701"/>
    <cellStyle name="S2 152" xfId="702"/>
    <cellStyle name="S2 153" xfId="703"/>
    <cellStyle name="S2 154" xfId="704"/>
    <cellStyle name="S2 155" xfId="705"/>
    <cellStyle name="S2 156" xfId="706"/>
    <cellStyle name="S2 157" xfId="707"/>
    <cellStyle name="S2 158" xfId="708"/>
    <cellStyle name="S2 159" xfId="709"/>
    <cellStyle name="S2 16" xfId="710"/>
    <cellStyle name="S2 160" xfId="711"/>
    <cellStyle name="S2 161" xfId="712"/>
    <cellStyle name="S2 162" xfId="713"/>
    <cellStyle name="S2 163" xfId="714"/>
    <cellStyle name="S2 164" xfId="715"/>
    <cellStyle name="S2 165" xfId="716"/>
    <cellStyle name="S2 166" xfId="717"/>
    <cellStyle name="S2 167" xfId="718"/>
    <cellStyle name="S2 168" xfId="719"/>
    <cellStyle name="S2 169" xfId="720"/>
    <cellStyle name="S2 17" xfId="721"/>
    <cellStyle name="S2 170" xfId="722"/>
    <cellStyle name="S2 171" xfId="723"/>
    <cellStyle name="S2 172" xfId="724"/>
    <cellStyle name="S2 173" xfId="725"/>
    <cellStyle name="S2 174" xfId="726"/>
    <cellStyle name="S2 175" xfId="727"/>
    <cellStyle name="S2 176" xfId="728"/>
    <cellStyle name="S2 177" xfId="729"/>
    <cellStyle name="S2 178" xfId="730"/>
    <cellStyle name="S2 179" xfId="731"/>
    <cellStyle name="S2 18" xfId="732"/>
    <cellStyle name="S2 180" xfId="733"/>
    <cellStyle name="S2 181" xfId="734"/>
    <cellStyle name="S2 182" xfId="735"/>
    <cellStyle name="S2 183" xfId="736"/>
    <cellStyle name="S2 184" xfId="737"/>
    <cellStyle name="S2 185" xfId="738"/>
    <cellStyle name="S2 186" xfId="739"/>
    <cellStyle name="S2 187" xfId="740"/>
    <cellStyle name="S2 188" xfId="741"/>
    <cellStyle name="S2 189" xfId="742"/>
    <cellStyle name="S2 19" xfId="743"/>
    <cellStyle name="S2 190" xfId="744"/>
    <cellStyle name="S2 191" xfId="745"/>
    <cellStyle name="S2 192" xfId="746"/>
    <cellStyle name="S2 193" xfId="747"/>
    <cellStyle name="S2 194" xfId="748"/>
    <cellStyle name="S2 195" xfId="749"/>
    <cellStyle name="S2 196" xfId="750"/>
    <cellStyle name="S2 197" xfId="751"/>
    <cellStyle name="S2 198" xfId="752"/>
    <cellStyle name="S2 199" xfId="753"/>
    <cellStyle name="S2 2" xfId="754"/>
    <cellStyle name="S2 20" xfId="755"/>
    <cellStyle name="S2 200" xfId="756"/>
    <cellStyle name="S2 201" xfId="757"/>
    <cellStyle name="S2 202" xfId="758"/>
    <cellStyle name="S2 203" xfId="759"/>
    <cellStyle name="S2 204" xfId="760"/>
    <cellStyle name="S2 205" xfId="761"/>
    <cellStyle name="S2 206" xfId="762"/>
    <cellStyle name="S2 207" xfId="763"/>
    <cellStyle name="S2 208" xfId="764"/>
    <cellStyle name="S2 209" xfId="765"/>
    <cellStyle name="S2 21" xfId="766"/>
    <cellStyle name="S2 210" xfId="767"/>
    <cellStyle name="S2 211" xfId="768"/>
    <cellStyle name="S2 212" xfId="769"/>
    <cellStyle name="S2 213" xfId="770"/>
    <cellStyle name="S2 214" xfId="771"/>
    <cellStyle name="S2 215" xfId="772"/>
    <cellStyle name="S2 216" xfId="773"/>
    <cellStyle name="S2 217" xfId="774"/>
    <cellStyle name="S2 218" xfId="775"/>
    <cellStyle name="S2 219" xfId="776"/>
    <cellStyle name="S2 22" xfId="777"/>
    <cellStyle name="S2 220" xfId="778"/>
    <cellStyle name="S2 221" xfId="779"/>
    <cellStyle name="S2 222" xfId="780"/>
    <cellStyle name="S2 223" xfId="781"/>
    <cellStyle name="S2 224" xfId="782"/>
    <cellStyle name="S2 225" xfId="783"/>
    <cellStyle name="S2 226" xfId="784"/>
    <cellStyle name="S2 227" xfId="785"/>
    <cellStyle name="S2 228" xfId="786"/>
    <cellStyle name="S2 229" xfId="787"/>
    <cellStyle name="S2 23" xfId="788"/>
    <cellStyle name="S2 230" xfId="789"/>
    <cellStyle name="S2 231" xfId="790"/>
    <cellStyle name="S2 232" xfId="791"/>
    <cellStyle name="S2 233" xfId="792"/>
    <cellStyle name="S2 234" xfId="793"/>
    <cellStyle name="S2 235" xfId="794"/>
    <cellStyle name="S2 236" xfId="795"/>
    <cellStyle name="S2 237" xfId="796"/>
    <cellStyle name="S2 238" xfId="797"/>
    <cellStyle name="S2 239" xfId="798"/>
    <cellStyle name="S2 24" xfId="799"/>
    <cellStyle name="S2 240" xfId="800"/>
    <cellStyle name="S2 241" xfId="801"/>
    <cellStyle name="S2 242" xfId="802"/>
    <cellStyle name="S2 243" xfId="803"/>
    <cellStyle name="S2 244" xfId="804"/>
    <cellStyle name="S2 245" xfId="805"/>
    <cellStyle name="S2 246" xfId="806"/>
    <cellStyle name="S2 247" xfId="807"/>
    <cellStyle name="S2 248" xfId="808"/>
    <cellStyle name="S2 249" xfId="809"/>
    <cellStyle name="S2 25" xfId="810"/>
    <cellStyle name="S2 250" xfId="811"/>
    <cellStyle name="S2 251" xfId="812"/>
    <cellStyle name="S2 252" xfId="813"/>
    <cellStyle name="S2 253" xfId="814"/>
    <cellStyle name="S2 254" xfId="815"/>
    <cellStyle name="S2 255" xfId="816"/>
    <cellStyle name="S2 256" xfId="817"/>
    <cellStyle name="S2 257" xfId="818"/>
    <cellStyle name="S2 258" xfId="819"/>
    <cellStyle name="S2 259" xfId="820"/>
    <cellStyle name="S2 26" xfId="821"/>
    <cellStyle name="S2 260" xfId="822"/>
    <cellStyle name="S2 261" xfId="823"/>
    <cellStyle name="S2 262" xfId="824"/>
    <cellStyle name="S2 263" xfId="825"/>
    <cellStyle name="S2 264" xfId="826"/>
    <cellStyle name="S2 265" xfId="827"/>
    <cellStyle name="S2 265 2" xfId="828"/>
    <cellStyle name="S2 266" xfId="829"/>
    <cellStyle name="S2 267" xfId="830"/>
    <cellStyle name="S2 27" xfId="831"/>
    <cellStyle name="S2 28" xfId="832"/>
    <cellStyle name="S2 29" xfId="833"/>
    <cellStyle name="S2 3" xfId="834"/>
    <cellStyle name="S2 30" xfId="835"/>
    <cellStyle name="S2 31" xfId="836"/>
    <cellStyle name="S2 32" xfId="837"/>
    <cellStyle name="S2 33" xfId="838"/>
    <cellStyle name="S2 34" xfId="839"/>
    <cellStyle name="S2 35" xfId="840"/>
    <cellStyle name="S2 36" xfId="841"/>
    <cellStyle name="S2 37" xfId="842"/>
    <cellStyle name="S2 38" xfId="843"/>
    <cellStyle name="S2 39" xfId="844"/>
    <cellStyle name="S2 4" xfId="845"/>
    <cellStyle name="S2 40" xfId="846"/>
    <cellStyle name="S2 41" xfId="847"/>
    <cellStyle name="S2 42" xfId="848"/>
    <cellStyle name="S2 43" xfId="849"/>
    <cellStyle name="S2 44" xfId="850"/>
    <cellStyle name="S2 45" xfId="851"/>
    <cellStyle name="S2 46" xfId="852"/>
    <cellStyle name="S2 47" xfId="853"/>
    <cellStyle name="S2 48" xfId="854"/>
    <cellStyle name="S2 49" xfId="855"/>
    <cellStyle name="S2 5" xfId="856"/>
    <cellStyle name="S2 50" xfId="857"/>
    <cellStyle name="S2 51" xfId="858"/>
    <cellStyle name="S2 52" xfId="859"/>
    <cellStyle name="S2 53" xfId="860"/>
    <cellStyle name="S2 54" xfId="861"/>
    <cellStyle name="S2 55" xfId="862"/>
    <cellStyle name="S2 56" xfId="863"/>
    <cellStyle name="S2 57" xfId="864"/>
    <cellStyle name="S2 58" xfId="865"/>
    <cellStyle name="S2 59" xfId="866"/>
    <cellStyle name="S2 6" xfId="867"/>
    <cellStyle name="S2 60" xfId="868"/>
    <cellStyle name="S2 61" xfId="869"/>
    <cellStyle name="S2 62" xfId="870"/>
    <cellStyle name="S2 63" xfId="871"/>
    <cellStyle name="S2 64" xfId="872"/>
    <cellStyle name="S2 65" xfId="873"/>
    <cellStyle name="S2 66" xfId="874"/>
    <cellStyle name="S2 67" xfId="875"/>
    <cellStyle name="S2 68" xfId="876"/>
    <cellStyle name="S2 69" xfId="877"/>
    <cellStyle name="S2 7" xfId="878"/>
    <cellStyle name="S2 70" xfId="879"/>
    <cellStyle name="S2 71" xfId="880"/>
    <cellStyle name="S2 72" xfId="881"/>
    <cellStyle name="S2 73" xfId="882"/>
    <cellStyle name="S2 74" xfId="883"/>
    <cellStyle name="S2 75" xfId="884"/>
    <cellStyle name="S2 76" xfId="885"/>
    <cellStyle name="S2 77" xfId="886"/>
    <cellStyle name="S2 78" xfId="887"/>
    <cellStyle name="S2 79" xfId="888"/>
    <cellStyle name="S2 8" xfId="889"/>
    <cellStyle name="S2 80" xfId="890"/>
    <cellStyle name="S2 81" xfId="891"/>
    <cellStyle name="S2 82" xfId="892"/>
    <cellStyle name="S2 83" xfId="893"/>
    <cellStyle name="S2 84" xfId="894"/>
    <cellStyle name="S2 85" xfId="895"/>
    <cellStyle name="S2 86" xfId="896"/>
    <cellStyle name="S2 87" xfId="897"/>
    <cellStyle name="S2 88" xfId="898"/>
    <cellStyle name="S2 89" xfId="899"/>
    <cellStyle name="S2 9" xfId="900"/>
    <cellStyle name="S2 90" xfId="901"/>
    <cellStyle name="S2 91" xfId="902"/>
    <cellStyle name="S2 92" xfId="903"/>
    <cellStyle name="S2 93" xfId="904"/>
    <cellStyle name="S2 94" xfId="905"/>
    <cellStyle name="S2 95" xfId="906"/>
    <cellStyle name="S2 96" xfId="907"/>
    <cellStyle name="S2 97" xfId="908"/>
    <cellStyle name="S2 98" xfId="909"/>
    <cellStyle name="S2 99" xfId="910"/>
    <cellStyle name="S2_Sheet1" xfId="911"/>
    <cellStyle name="S3" xfId="912"/>
    <cellStyle name="S3 2" xfId="913"/>
    <cellStyle name="S3 3" xfId="914"/>
    <cellStyle name="S3 4" xfId="915"/>
    <cellStyle name="S3 5" xfId="916"/>
    <cellStyle name="S3 6" xfId="917"/>
    <cellStyle name="S3 7" xfId="918"/>
    <cellStyle name="S3 8" xfId="919"/>
    <cellStyle name="S3 9" xfId="920"/>
    <cellStyle name="S3 9 2" xfId="921"/>
    <cellStyle name="S3_Sheet1" xfId="922"/>
    <cellStyle name="S4" xfId="923"/>
    <cellStyle name="S4 10" xfId="924"/>
    <cellStyle name="S4 11" xfId="925"/>
    <cellStyle name="S4 12" xfId="926"/>
    <cellStyle name="S4 12 2" xfId="927"/>
    <cellStyle name="S4 13" xfId="1028"/>
    <cellStyle name="S4 14" xfId="1029"/>
    <cellStyle name="S4 14 2" xfId="928"/>
    <cellStyle name="S4 19" xfId="1030"/>
    <cellStyle name="S4 2" xfId="929"/>
    <cellStyle name="S4 3" xfId="930"/>
    <cellStyle name="S4 4" xfId="931"/>
    <cellStyle name="S4 5" xfId="932"/>
    <cellStyle name="S4 6" xfId="933"/>
    <cellStyle name="S4 7" xfId="934"/>
    <cellStyle name="S4 8" xfId="935"/>
    <cellStyle name="S4 9" xfId="936"/>
    <cellStyle name="S4_Sheet1" xfId="937"/>
    <cellStyle name="S5" xfId="938"/>
    <cellStyle name="S5 10" xfId="939"/>
    <cellStyle name="S5 10 2" xfId="940"/>
    <cellStyle name="S5 11" xfId="941"/>
    <cellStyle name="S5 19" xfId="942"/>
    <cellStyle name="S5 2" xfId="943"/>
    <cellStyle name="S5 2 2" xfId="944"/>
    <cellStyle name="S5 3" xfId="945"/>
    <cellStyle name="S5 3 2" xfId="946"/>
    <cellStyle name="S5 4" xfId="947"/>
    <cellStyle name="S5 5" xfId="948"/>
    <cellStyle name="S5 6" xfId="949"/>
    <cellStyle name="S5 7" xfId="950"/>
    <cellStyle name="S5 8" xfId="951"/>
    <cellStyle name="S5 9" xfId="952"/>
    <cellStyle name="S5 9 2" xfId="953"/>
    <cellStyle name="S5_Sheet1" xfId="954"/>
    <cellStyle name="S6" xfId="955"/>
    <cellStyle name="S6 10" xfId="956"/>
    <cellStyle name="S6 11" xfId="957"/>
    <cellStyle name="S6 11 2" xfId="958"/>
    <cellStyle name="S6 12" xfId="959"/>
    <cellStyle name="S6 13" xfId="960"/>
    <cellStyle name="S6 13 2" xfId="961"/>
    <cellStyle name="S6 14" xfId="962"/>
    <cellStyle name="S6 15" xfId="963"/>
    <cellStyle name="S6 16" xfId="964"/>
    <cellStyle name="S6 18" xfId="965"/>
    <cellStyle name="S6 2" xfId="966"/>
    <cellStyle name="S6 3" xfId="967"/>
    <cellStyle name="S6 4" xfId="968"/>
    <cellStyle name="S6 5" xfId="969"/>
    <cellStyle name="S6 6" xfId="970"/>
    <cellStyle name="S6 7" xfId="971"/>
    <cellStyle name="S6 8" xfId="972"/>
    <cellStyle name="S6 9" xfId="973"/>
    <cellStyle name="S6_Sheet1" xfId="974"/>
    <cellStyle name="S7" xfId="975"/>
    <cellStyle name="S7 10" xfId="976"/>
    <cellStyle name="S7 10 2" xfId="977"/>
    <cellStyle name="S7 11" xfId="978"/>
    <cellStyle name="S7 12" xfId="979"/>
    <cellStyle name="S7 12 2" xfId="980"/>
    <cellStyle name="S7 13" xfId="981"/>
    <cellStyle name="S7 14" xfId="982"/>
    <cellStyle name="S7 15" xfId="983"/>
    <cellStyle name="S7 19" xfId="984"/>
    <cellStyle name="S7 19 2" xfId="1031"/>
    <cellStyle name="S7 2" xfId="985"/>
    <cellStyle name="S7 3" xfId="986"/>
    <cellStyle name="S7 4" xfId="987"/>
    <cellStyle name="S7 5" xfId="988"/>
    <cellStyle name="S7 6" xfId="989"/>
    <cellStyle name="S7 7" xfId="990"/>
    <cellStyle name="S7 8" xfId="991"/>
    <cellStyle name="S7 9" xfId="992"/>
    <cellStyle name="S7_Sheet1" xfId="993"/>
    <cellStyle name="S8" xfId="994"/>
    <cellStyle name="S8 10" xfId="995"/>
    <cellStyle name="S8 11" xfId="996"/>
    <cellStyle name="S8 12" xfId="997"/>
    <cellStyle name="S8 2" xfId="998"/>
    <cellStyle name="S8 3" xfId="999"/>
    <cellStyle name="S8 4" xfId="1000"/>
    <cellStyle name="S8 5" xfId="1001"/>
    <cellStyle name="S8 6" xfId="1002"/>
    <cellStyle name="S8 7" xfId="1003"/>
    <cellStyle name="S8 8" xfId="1004"/>
    <cellStyle name="S8 9" xfId="1005"/>
    <cellStyle name="S8 9 2" xfId="1006"/>
    <cellStyle name="S8_Sheet1" xfId="1007"/>
    <cellStyle name="S9" xfId="1008"/>
    <cellStyle name="S9 10" xfId="1009"/>
    <cellStyle name="S9 11" xfId="1010"/>
    <cellStyle name="S9 11 2" xfId="1011"/>
    <cellStyle name="S9 12" xfId="1012"/>
    <cellStyle name="S9 13" xfId="1013"/>
    <cellStyle name="S9 14" xfId="1014"/>
    <cellStyle name="S9 15" xfId="1015"/>
    <cellStyle name="S9 2" xfId="1016"/>
    <cellStyle name="S9 3" xfId="1017"/>
    <cellStyle name="S9 4" xfId="1018"/>
    <cellStyle name="S9 5" xfId="1019"/>
    <cellStyle name="S9 6" xfId="1020"/>
    <cellStyle name="S9 7" xfId="1021"/>
    <cellStyle name="S9 8" xfId="1022"/>
    <cellStyle name="S9 9" xfId="1023"/>
    <cellStyle name="S9_Sheet1" xfId="1024"/>
  </cellStyles>
  <dxfs count="1"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userver\Users\ifa\Documents\OMessenger\Received%20files\PENJ%200620%20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kiuserver/Users/ifa/Documents/OMessenger/Received%20files/PENJ%200620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20"/>
      <sheetName val="CUST2020"/>
      <sheetName val="CUST2019"/>
      <sheetName val="CUST2018"/>
      <sheetName val="BARANG"/>
      <sheetName val="PENJTAX"/>
      <sheetName val="kartu"/>
      <sheetName val="Terposting"/>
      <sheetName val="CEK Harga"/>
      <sheetName val="TBL HRG"/>
      <sheetName val="zahir vs exce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W2" t="str">
            <v>QABAC01</v>
          </cell>
          <cell r="AD2">
            <v>200000</v>
          </cell>
        </row>
        <row r="3">
          <cell r="W3" t="str">
            <v>QABAC01</v>
          </cell>
          <cell r="AD3">
            <v>200000</v>
          </cell>
        </row>
        <row r="4">
          <cell r="W4" t="str">
            <v>QABAC01</v>
          </cell>
          <cell r="AD4">
            <v>200000</v>
          </cell>
        </row>
        <row r="5">
          <cell r="W5" t="str">
            <v>QABAC01</v>
          </cell>
          <cell r="AD5">
            <v>200000</v>
          </cell>
        </row>
        <row r="6">
          <cell r="W6" t="str">
            <v>QABAC01</v>
          </cell>
          <cell r="AD6">
            <v>200000</v>
          </cell>
        </row>
        <row r="7">
          <cell r="W7" t="str">
            <v>QABAC01</v>
          </cell>
          <cell r="AD7">
            <v>200000</v>
          </cell>
        </row>
        <row r="8">
          <cell r="W8" t="str">
            <v>QABAC01</v>
          </cell>
          <cell r="AD8">
            <v>200000</v>
          </cell>
        </row>
        <row r="9">
          <cell r="W9" t="str">
            <v>QABAC01</v>
          </cell>
          <cell r="AD9">
            <v>200000</v>
          </cell>
        </row>
        <row r="10">
          <cell r="W10" t="str">
            <v>QABAC01</v>
          </cell>
          <cell r="AD10">
            <v>200000</v>
          </cell>
        </row>
        <row r="11">
          <cell r="W11" t="str">
            <v>QABAC01</v>
          </cell>
          <cell r="AD11">
            <v>200000</v>
          </cell>
        </row>
        <row r="12">
          <cell r="W12" t="str">
            <v>QABAC01</v>
          </cell>
          <cell r="AD12">
            <v>200000</v>
          </cell>
        </row>
        <row r="13">
          <cell r="W13" t="str">
            <v>QABAC01</v>
          </cell>
          <cell r="AD13">
            <v>200000</v>
          </cell>
        </row>
        <row r="14">
          <cell r="W14" t="str">
            <v>QABAC01</v>
          </cell>
          <cell r="AD14">
            <v>200000</v>
          </cell>
        </row>
        <row r="15">
          <cell r="W15" t="str">
            <v>QABAC01</v>
          </cell>
          <cell r="AD15">
            <v>200000</v>
          </cell>
        </row>
        <row r="16">
          <cell r="W16" t="str">
            <v>QABAC01</v>
          </cell>
          <cell r="AD16">
            <v>200000</v>
          </cell>
        </row>
        <row r="17">
          <cell r="W17" t="str">
            <v>QABAC01</v>
          </cell>
          <cell r="AD17">
            <v>200000</v>
          </cell>
        </row>
        <row r="18">
          <cell r="W18" t="str">
            <v>QABAC01</v>
          </cell>
          <cell r="AD18">
            <v>200000</v>
          </cell>
        </row>
        <row r="19">
          <cell r="W19" t="str">
            <v>QABAC01</v>
          </cell>
          <cell r="AD19">
            <v>200000</v>
          </cell>
        </row>
        <row r="20">
          <cell r="W20" t="str">
            <v>QABAC01</v>
          </cell>
          <cell r="AD20">
            <v>200000</v>
          </cell>
        </row>
        <row r="21">
          <cell r="W21" t="str">
            <v>QABAC01</v>
          </cell>
          <cell r="AD21">
            <v>202000</v>
          </cell>
        </row>
        <row r="22">
          <cell r="W22" t="str">
            <v>QABAC01</v>
          </cell>
          <cell r="AD22">
            <v>205000</v>
          </cell>
        </row>
        <row r="23">
          <cell r="W23" t="str">
            <v>QABAC01</v>
          </cell>
          <cell r="AD23">
            <v>205000</v>
          </cell>
        </row>
        <row r="24">
          <cell r="W24" t="str">
            <v>QABAC01</v>
          </cell>
          <cell r="AD24">
            <v>205000</v>
          </cell>
        </row>
        <row r="25">
          <cell r="W25" t="str">
            <v>QABAC01</v>
          </cell>
          <cell r="AD25">
            <v>205000</v>
          </cell>
        </row>
        <row r="26">
          <cell r="W26" t="str">
            <v>QABAC01</v>
          </cell>
          <cell r="AD26">
            <v>205000</v>
          </cell>
        </row>
        <row r="27">
          <cell r="W27" t="str">
            <v>QABAC01</v>
          </cell>
          <cell r="AD27">
            <v>205000</v>
          </cell>
        </row>
        <row r="28">
          <cell r="W28" t="str">
            <v>QABAC01</v>
          </cell>
          <cell r="AD28">
            <v>207500</v>
          </cell>
        </row>
        <row r="29">
          <cell r="W29" t="str">
            <v>QABAC01</v>
          </cell>
          <cell r="AD29">
            <v>210000</v>
          </cell>
        </row>
        <row r="30">
          <cell r="W30" t="str">
            <v>QABAC01</v>
          </cell>
          <cell r="AD30">
            <v>210000</v>
          </cell>
        </row>
        <row r="31">
          <cell r="W31" t="str">
            <v>QABAC01</v>
          </cell>
          <cell r="AD31">
            <v>210000</v>
          </cell>
        </row>
        <row r="32">
          <cell r="W32" t="str">
            <v>QABAC01</v>
          </cell>
          <cell r="AD32">
            <v>210000</v>
          </cell>
        </row>
        <row r="33">
          <cell r="W33" t="str">
            <v>QABAC01</v>
          </cell>
          <cell r="AD33">
            <v>215000</v>
          </cell>
        </row>
        <row r="34">
          <cell r="W34" t="str">
            <v>QABAC01</v>
          </cell>
          <cell r="AD34">
            <v>215000</v>
          </cell>
        </row>
        <row r="35">
          <cell r="W35" t="str">
            <v>QABAC01</v>
          </cell>
          <cell r="AD35">
            <v>215000</v>
          </cell>
        </row>
        <row r="36">
          <cell r="W36" t="str">
            <v>QABAC01</v>
          </cell>
          <cell r="AD36">
            <v>215000</v>
          </cell>
        </row>
        <row r="37">
          <cell r="W37" t="str">
            <v>QABAC01</v>
          </cell>
          <cell r="AD37">
            <v>215000</v>
          </cell>
        </row>
        <row r="38">
          <cell r="W38" t="str">
            <v>QABAC01</v>
          </cell>
          <cell r="AD38">
            <v>215000</v>
          </cell>
        </row>
        <row r="39">
          <cell r="W39" t="str">
            <v>QABAC01</v>
          </cell>
          <cell r="AD39">
            <v>215000</v>
          </cell>
        </row>
        <row r="40">
          <cell r="W40" t="str">
            <v>QABAC01</v>
          </cell>
          <cell r="AD40">
            <v>215000</v>
          </cell>
        </row>
        <row r="41">
          <cell r="W41" t="str">
            <v>QABAC01</v>
          </cell>
          <cell r="AD41">
            <v>215000</v>
          </cell>
        </row>
        <row r="42">
          <cell r="W42" t="str">
            <v>QABAC01</v>
          </cell>
          <cell r="AD42">
            <v>215000</v>
          </cell>
        </row>
        <row r="43">
          <cell r="W43" t="str">
            <v>QABAC01</v>
          </cell>
          <cell r="AD43">
            <v>220000</v>
          </cell>
        </row>
        <row r="44">
          <cell r="W44" t="str">
            <v>QABAC01</v>
          </cell>
          <cell r="AD44">
            <v>225000</v>
          </cell>
        </row>
        <row r="45">
          <cell r="W45" t="str">
            <v>QABAC01</v>
          </cell>
          <cell r="AD45">
            <v>225000</v>
          </cell>
        </row>
        <row r="46">
          <cell r="W46" t="str">
            <v>QABAC01</v>
          </cell>
          <cell r="AD46">
            <v>225000</v>
          </cell>
        </row>
        <row r="47">
          <cell r="W47" t="str">
            <v>QABAC01</v>
          </cell>
          <cell r="AD47">
            <v>225000</v>
          </cell>
        </row>
        <row r="48">
          <cell r="W48" t="str">
            <v>QABAC01</v>
          </cell>
          <cell r="AD48">
            <v>225000</v>
          </cell>
        </row>
        <row r="49">
          <cell r="W49" t="str">
            <v>QABAC01</v>
          </cell>
          <cell r="AD49">
            <v>225000</v>
          </cell>
        </row>
        <row r="50">
          <cell r="W50" t="str">
            <v>QABAC03</v>
          </cell>
          <cell r="AD50">
            <v>100000</v>
          </cell>
        </row>
        <row r="51">
          <cell r="W51" t="str">
            <v>QABAC03</v>
          </cell>
          <cell r="AD51">
            <v>100000</v>
          </cell>
        </row>
        <row r="52">
          <cell r="W52" t="str">
            <v>QABAC03</v>
          </cell>
          <cell r="AD52">
            <v>100000</v>
          </cell>
        </row>
        <row r="53">
          <cell r="W53" t="str">
            <v>QABAC03</v>
          </cell>
          <cell r="AD53">
            <v>100000</v>
          </cell>
        </row>
        <row r="54">
          <cell r="W54" t="str">
            <v>QABAC03</v>
          </cell>
          <cell r="AD54">
            <v>100000</v>
          </cell>
        </row>
        <row r="55">
          <cell r="W55" t="str">
            <v>QABAC03</v>
          </cell>
          <cell r="AD55">
            <v>102500</v>
          </cell>
        </row>
        <row r="56">
          <cell r="W56" t="str">
            <v>QABAC03</v>
          </cell>
          <cell r="AD56">
            <v>102500</v>
          </cell>
        </row>
        <row r="57">
          <cell r="W57" t="str">
            <v>QABAC03</v>
          </cell>
          <cell r="AD57">
            <v>105000</v>
          </cell>
        </row>
        <row r="58">
          <cell r="W58" t="str">
            <v>QABAC03</v>
          </cell>
          <cell r="AD58">
            <v>105000</v>
          </cell>
        </row>
        <row r="59">
          <cell r="W59" t="str">
            <v>QABAC03</v>
          </cell>
          <cell r="AD59">
            <v>105000</v>
          </cell>
        </row>
        <row r="60">
          <cell r="W60" t="str">
            <v>QABAC03</v>
          </cell>
          <cell r="AD60">
            <v>105000</v>
          </cell>
        </row>
        <row r="61">
          <cell r="W61" t="str">
            <v>QABAC03</v>
          </cell>
          <cell r="AD61">
            <v>105000</v>
          </cell>
        </row>
        <row r="62">
          <cell r="W62" t="str">
            <v>QABAC03</v>
          </cell>
          <cell r="AD62">
            <v>105000</v>
          </cell>
        </row>
        <row r="63">
          <cell r="W63" t="str">
            <v>QABAC03</v>
          </cell>
          <cell r="AD63">
            <v>105000</v>
          </cell>
        </row>
        <row r="64">
          <cell r="W64" t="str">
            <v>QABAC03</v>
          </cell>
          <cell r="AD64">
            <v>110000</v>
          </cell>
        </row>
        <row r="65">
          <cell r="W65" t="str">
            <v>QABAC03</v>
          </cell>
          <cell r="AD65">
            <v>110000</v>
          </cell>
        </row>
        <row r="66">
          <cell r="W66" t="str">
            <v>QABAC03</v>
          </cell>
          <cell r="AD66">
            <v>110000</v>
          </cell>
        </row>
        <row r="67">
          <cell r="W67" t="str">
            <v>QABAC03</v>
          </cell>
          <cell r="AD67">
            <v>110000</v>
          </cell>
        </row>
        <row r="68">
          <cell r="W68" t="str">
            <v>QABAC03</v>
          </cell>
          <cell r="AD68">
            <v>110000</v>
          </cell>
        </row>
        <row r="69">
          <cell r="W69" t="str">
            <v>QABAC03</v>
          </cell>
          <cell r="AD69">
            <v>110000</v>
          </cell>
        </row>
        <row r="70">
          <cell r="W70" t="str">
            <v>QABAC03</v>
          </cell>
          <cell r="AD70">
            <v>110000</v>
          </cell>
        </row>
        <row r="71">
          <cell r="W71" t="str">
            <v>QABAC03</v>
          </cell>
          <cell r="AD71">
            <v>110000</v>
          </cell>
        </row>
        <row r="72">
          <cell r="W72" t="str">
            <v>QABAC03</v>
          </cell>
          <cell r="AD72">
            <v>110000</v>
          </cell>
        </row>
        <row r="73">
          <cell r="W73" t="str">
            <v>QABAC03</v>
          </cell>
          <cell r="AD73">
            <v>112500</v>
          </cell>
        </row>
        <row r="74">
          <cell r="W74" t="str">
            <v>QABAC03</v>
          </cell>
          <cell r="AD74">
            <v>115000</v>
          </cell>
        </row>
        <row r="75">
          <cell r="W75" t="str">
            <v>QABAC03</v>
          </cell>
          <cell r="AD75">
            <v>115000</v>
          </cell>
        </row>
        <row r="76">
          <cell r="W76" t="str">
            <v>QABAC03</v>
          </cell>
          <cell r="AD76">
            <v>115000</v>
          </cell>
        </row>
        <row r="77">
          <cell r="W77" t="str">
            <v>QABAC03</v>
          </cell>
          <cell r="AD77">
            <v>115000</v>
          </cell>
        </row>
        <row r="78">
          <cell r="W78" t="str">
            <v>QABAC03</v>
          </cell>
          <cell r="AD78">
            <v>115000</v>
          </cell>
        </row>
        <row r="79">
          <cell r="W79" t="str">
            <v>QABAC03</v>
          </cell>
          <cell r="AD79">
            <v>115000</v>
          </cell>
        </row>
        <row r="80">
          <cell r="W80" t="str">
            <v>QABAC03</v>
          </cell>
          <cell r="AD80">
            <v>117000</v>
          </cell>
        </row>
        <row r="81">
          <cell r="W81" t="str">
            <v>QABAC04</v>
          </cell>
          <cell r="AD81">
            <v>55000</v>
          </cell>
        </row>
        <row r="82">
          <cell r="W82" t="str">
            <v>QABAC04</v>
          </cell>
          <cell r="AD82">
            <v>56000</v>
          </cell>
        </row>
        <row r="83">
          <cell r="W83" t="str">
            <v>QABAC04</v>
          </cell>
          <cell r="AD83">
            <v>56000</v>
          </cell>
        </row>
        <row r="84">
          <cell r="W84" t="str">
            <v>QABAC04</v>
          </cell>
          <cell r="AD84">
            <v>56000</v>
          </cell>
        </row>
        <row r="85">
          <cell r="W85" t="str">
            <v>QABAC04</v>
          </cell>
          <cell r="AD85">
            <v>56000</v>
          </cell>
        </row>
        <row r="86">
          <cell r="W86" t="str">
            <v>QABAC04</v>
          </cell>
          <cell r="AD86">
            <v>57000</v>
          </cell>
        </row>
        <row r="87">
          <cell r="W87" t="str">
            <v>QABAC04</v>
          </cell>
          <cell r="AD87">
            <v>57000</v>
          </cell>
        </row>
        <row r="88">
          <cell r="W88" t="str">
            <v>QABAC04</v>
          </cell>
          <cell r="AD88">
            <v>57000</v>
          </cell>
        </row>
        <row r="89">
          <cell r="W89" t="str">
            <v>QABAC04</v>
          </cell>
          <cell r="AD89">
            <v>57000</v>
          </cell>
        </row>
        <row r="90">
          <cell r="W90" t="str">
            <v>QABAC04</v>
          </cell>
          <cell r="AD90">
            <v>57500</v>
          </cell>
        </row>
        <row r="91">
          <cell r="W91" t="str">
            <v>QABAC04</v>
          </cell>
          <cell r="AD91">
            <v>57500</v>
          </cell>
        </row>
        <row r="92">
          <cell r="W92" t="str">
            <v>QABAC04</v>
          </cell>
          <cell r="AD92">
            <v>57500</v>
          </cell>
        </row>
        <row r="93">
          <cell r="W93" t="str">
            <v>QABAC04</v>
          </cell>
          <cell r="AD93">
            <v>58000</v>
          </cell>
        </row>
        <row r="94">
          <cell r="W94" t="str">
            <v>QABAC04</v>
          </cell>
          <cell r="AD94">
            <v>58000</v>
          </cell>
        </row>
        <row r="95">
          <cell r="W95" t="str">
            <v>QABAC04</v>
          </cell>
          <cell r="AD95">
            <v>59000</v>
          </cell>
        </row>
        <row r="96">
          <cell r="W96" t="str">
            <v>QABAC04</v>
          </cell>
          <cell r="AD96">
            <v>59000</v>
          </cell>
        </row>
        <row r="97">
          <cell r="W97" t="str">
            <v>QABAC04</v>
          </cell>
          <cell r="AD97">
            <v>59000</v>
          </cell>
        </row>
        <row r="98">
          <cell r="W98" t="str">
            <v>QABAC04</v>
          </cell>
          <cell r="AD98">
            <v>60000</v>
          </cell>
        </row>
        <row r="99">
          <cell r="W99" t="str">
            <v>QABAC04</v>
          </cell>
          <cell r="AD99">
            <v>60000</v>
          </cell>
        </row>
        <row r="100">
          <cell r="W100" t="str">
            <v>QABAC04</v>
          </cell>
          <cell r="AD100">
            <v>60000</v>
          </cell>
        </row>
        <row r="101">
          <cell r="W101" t="str">
            <v>QABAC04</v>
          </cell>
          <cell r="AD101">
            <v>60000</v>
          </cell>
        </row>
        <row r="102">
          <cell r="W102" t="str">
            <v>QABAC04</v>
          </cell>
          <cell r="AD102">
            <v>60000</v>
          </cell>
        </row>
        <row r="103">
          <cell r="W103" t="str">
            <v>QABAC04</v>
          </cell>
          <cell r="AD103">
            <v>60000</v>
          </cell>
        </row>
        <row r="104">
          <cell r="W104" t="str">
            <v>QABAC04</v>
          </cell>
          <cell r="AD104">
            <v>60000</v>
          </cell>
        </row>
        <row r="105">
          <cell r="W105" t="str">
            <v>QABAC04</v>
          </cell>
          <cell r="AD105">
            <v>60000</v>
          </cell>
        </row>
        <row r="106">
          <cell r="W106" t="str">
            <v>QABAC04</v>
          </cell>
          <cell r="AD106">
            <v>60000</v>
          </cell>
        </row>
        <row r="107">
          <cell r="W107" t="str">
            <v>QABAC04</v>
          </cell>
          <cell r="AD107">
            <v>60000</v>
          </cell>
        </row>
        <row r="108">
          <cell r="W108" t="str">
            <v>QABAC04</v>
          </cell>
          <cell r="AD108">
            <v>60000</v>
          </cell>
        </row>
        <row r="109">
          <cell r="W109" t="str">
            <v>QABAC04</v>
          </cell>
          <cell r="AD109">
            <v>60000</v>
          </cell>
        </row>
        <row r="110">
          <cell r="W110" t="str">
            <v>QABAC04</v>
          </cell>
          <cell r="AD110">
            <v>60000</v>
          </cell>
        </row>
        <row r="111">
          <cell r="W111" t="str">
            <v>QABAC04</v>
          </cell>
          <cell r="AD111">
            <v>60000</v>
          </cell>
        </row>
        <row r="112">
          <cell r="W112" t="str">
            <v>QABAC04</v>
          </cell>
          <cell r="AD112">
            <v>60000</v>
          </cell>
        </row>
        <row r="113">
          <cell r="W113" t="str">
            <v>QABAC04</v>
          </cell>
          <cell r="AD113">
            <v>60000</v>
          </cell>
        </row>
        <row r="114">
          <cell r="W114" t="str">
            <v>QABAC04</v>
          </cell>
          <cell r="AD114">
            <v>60000</v>
          </cell>
        </row>
        <row r="115">
          <cell r="W115" t="str">
            <v>QABAC04</v>
          </cell>
          <cell r="AD115">
            <v>61000</v>
          </cell>
        </row>
        <row r="116">
          <cell r="W116" t="str">
            <v>QABAC04</v>
          </cell>
          <cell r="AD116">
            <v>65000</v>
          </cell>
        </row>
        <row r="117">
          <cell r="W117" t="str">
            <v>QABAC04</v>
          </cell>
          <cell r="AD117">
            <v>65000</v>
          </cell>
        </row>
        <row r="118">
          <cell r="W118" t="str">
            <v>QABAC04</v>
          </cell>
          <cell r="AD118">
            <v>65000</v>
          </cell>
        </row>
        <row r="119">
          <cell r="W119" t="str">
            <v>QABAC04</v>
          </cell>
          <cell r="AD119">
            <v>65000</v>
          </cell>
        </row>
        <row r="120">
          <cell r="W120" t="str">
            <v>QABAC07</v>
          </cell>
          <cell r="AD120">
            <v>25000</v>
          </cell>
        </row>
        <row r="121">
          <cell r="W121" t="str">
            <v>QABAC07</v>
          </cell>
          <cell r="AD121">
            <v>26000</v>
          </cell>
        </row>
        <row r="122">
          <cell r="W122" t="str">
            <v>QABAC07</v>
          </cell>
          <cell r="AD122">
            <v>26500</v>
          </cell>
        </row>
        <row r="123">
          <cell r="W123" t="str">
            <v>QABAC07</v>
          </cell>
          <cell r="AD123">
            <v>27000</v>
          </cell>
        </row>
        <row r="124">
          <cell r="W124" t="str">
            <v>QABAC07</v>
          </cell>
          <cell r="AD124">
            <v>27000</v>
          </cell>
        </row>
        <row r="125">
          <cell r="W125" t="str">
            <v>QABAC07</v>
          </cell>
          <cell r="AD125">
            <v>28000</v>
          </cell>
        </row>
        <row r="126">
          <cell r="W126" t="str">
            <v>QABAC07</v>
          </cell>
          <cell r="AD126">
            <v>28000</v>
          </cell>
        </row>
        <row r="127">
          <cell r="W127" t="str">
            <v>QABAC07</v>
          </cell>
          <cell r="AD127">
            <v>28000</v>
          </cell>
        </row>
        <row r="128">
          <cell r="W128" t="str">
            <v>QABAC07</v>
          </cell>
          <cell r="AD128">
            <v>28250</v>
          </cell>
        </row>
        <row r="129">
          <cell r="W129" t="str">
            <v>QABAC07</v>
          </cell>
          <cell r="AD129">
            <v>28250</v>
          </cell>
        </row>
        <row r="130">
          <cell r="W130" t="str">
            <v>QABAC07</v>
          </cell>
          <cell r="AD130">
            <v>28500</v>
          </cell>
        </row>
        <row r="131">
          <cell r="W131" t="str">
            <v>QABAC07</v>
          </cell>
          <cell r="AD131">
            <v>28500</v>
          </cell>
        </row>
        <row r="132">
          <cell r="W132" t="str">
            <v>QABAC07</v>
          </cell>
          <cell r="AD132">
            <v>28500</v>
          </cell>
        </row>
        <row r="133">
          <cell r="W133" t="str">
            <v>QABAC07</v>
          </cell>
          <cell r="AD133">
            <v>29000</v>
          </cell>
        </row>
        <row r="134">
          <cell r="W134" t="str">
            <v>QABAC07</v>
          </cell>
          <cell r="AD134">
            <v>29000</v>
          </cell>
        </row>
        <row r="135">
          <cell r="W135" t="str">
            <v>QABAC07</v>
          </cell>
          <cell r="AD135">
            <v>29000</v>
          </cell>
        </row>
        <row r="136">
          <cell r="W136" t="str">
            <v>QABAC07</v>
          </cell>
          <cell r="AD136">
            <v>29500</v>
          </cell>
        </row>
        <row r="137">
          <cell r="W137" t="str">
            <v>QABAC07</v>
          </cell>
          <cell r="AD137">
            <v>29500</v>
          </cell>
        </row>
        <row r="138">
          <cell r="W138" t="str">
            <v>QABAC07</v>
          </cell>
          <cell r="AD138">
            <v>30000</v>
          </cell>
        </row>
        <row r="139">
          <cell r="W139" t="str">
            <v>QABAC07</v>
          </cell>
          <cell r="AD139">
            <v>30000</v>
          </cell>
        </row>
        <row r="140">
          <cell r="W140" t="str">
            <v>QABAC07</v>
          </cell>
          <cell r="AD140">
            <v>30000</v>
          </cell>
        </row>
        <row r="141">
          <cell r="W141" t="str">
            <v>QABAC07</v>
          </cell>
          <cell r="AD141">
            <v>30000</v>
          </cell>
        </row>
        <row r="142">
          <cell r="W142" t="str">
            <v>QABAC07</v>
          </cell>
          <cell r="AD142">
            <v>30000</v>
          </cell>
        </row>
        <row r="143">
          <cell r="W143" t="str">
            <v>QABAC07</v>
          </cell>
          <cell r="AD143">
            <v>30000</v>
          </cell>
        </row>
        <row r="144">
          <cell r="W144" t="str">
            <v>QABAC07</v>
          </cell>
          <cell r="AD144">
            <v>30000</v>
          </cell>
        </row>
        <row r="145">
          <cell r="W145" t="str">
            <v>QABAC07</v>
          </cell>
          <cell r="AD145">
            <v>30000</v>
          </cell>
        </row>
        <row r="146">
          <cell r="W146" t="str">
            <v>QABAC07</v>
          </cell>
          <cell r="AD146">
            <v>30000</v>
          </cell>
        </row>
        <row r="147">
          <cell r="W147" t="str">
            <v>QABAD02</v>
          </cell>
          <cell r="AD147">
            <v>6800</v>
          </cell>
        </row>
        <row r="148">
          <cell r="W148" t="str">
            <v>QABAD02</v>
          </cell>
          <cell r="AD148">
            <v>6800</v>
          </cell>
        </row>
        <row r="149">
          <cell r="W149" t="str">
            <v>QABAD02</v>
          </cell>
          <cell r="AD149">
            <v>6800</v>
          </cell>
        </row>
        <row r="150">
          <cell r="W150" t="str">
            <v>QABAD02</v>
          </cell>
          <cell r="AD150">
            <v>6800</v>
          </cell>
        </row>
        <row r="151">
          <cell r="W151" t="str">
            <v>QABAD02</v>
          </cell>
          <cell r="AD151">
            <v>6800</v>
          </cell>
        </row>
        <row r="152">
          <cell r="W152" t="str">
            <v>QABAD02</v>
          </cell>
          <cell r="AD152">
            <v>7500</v>
          </cell>
        </row>
        <row r="153">
          <cell r="W153" t="str">
            <v>QABAD02</v>
          </cell>
          <cell r="AD153">
            <v>7500</v>
          </cell>
        </row>
        <row r="154">
          <cell r="W154" t="str">
            <v>QABAD02</v>
          </cell>
          <cell r="AD154">
            <v>7500</v>
          </cell>
        </row>
        <row r="155">
          <cell r="W155" t="str">
            <v>QABAD02</v>
          </cell>
          <cell r="AD155">
            <v>7500</v>
          </cell>
        </row>
        <row r="156">
          <cell r="W156" t="str">
            <v>QABAD01</v>
          </cell>
          <cell r="AD156">
            <v>22000</v>
          </cell>
        </row>
        <row r="157">
          <cell r="W157" t="str">
            <v>QABAD01</v>
          </cell>
          <cell r="AD157">
            <v>22000</v>
          </cell>
        </row>
        <row r="158">
          <cell r="W158" t="str">
            <v>QABAD01</v>
          </cell>
          <cell r="AD158">
            <v>22000</v>
          </cell>
        </row>
        <row r="159">
          <cell r="W159" t="str">
            <v>QABAD01</v>
          </cell>
          <cell r="AD159">
            <v>23500</v>
          </cell>
        </row>
        <row r="160">
          <cell r="W160" t="str">
            <v>QABAD01</v>
          </cell>
          <cell r="AD160">
            <v>24000</v>
          </cell>
        </row>
        <row r="161">
          <cell r="W161" t="str">
            <v>QABAD01</v>
          </cell>
          <cell r="AD161">
            <v>24000</v>
          </cell>
        </row>
        <row r="162">
          <cell r="W162" t="str">
            <v>QABAD01</v>
          </cell>
          <cell r="AD162">
            <v>27000</v>
          </cell>
        </row>
        <row r="163">
          <cell r="W163" t="str">
            <v>QABAS02</v>
          </cell>
          <cell r="AD163">
            <v>140000</v>
          </cell>
        </row>
        <row r="164">
          <cell r="W164" t="str">
            <v>QABAS02</v>
          </cell>
          <cell r="AD164">
            <v>140000</v>
          </cell>
        </row>
        <row r="165">
          <cell r="W165" t="str">
            <v>QABEN01</v>
          </cell>
          <cell r="AD165">
            <v>64500</v>
          </cell>
        </row>
        <row r="166">
          <cell r="W166" t="str">
            <v>QABEN01</v>
          </cell>
          <cell r="AD166">
            <v>65000</v>
          </cell>
        </row>
        <row r="167">
          <cell r="W167" t="str">
            <v>QABEN01</v>
          </cell>
          <cell r="AD167">
            <v>66000</v>
          </cell>
        </row>
        <row r="168">
          <cell r="W168" t="str">
            <v>QABEN01</v>
          </cell>
          <cell r="AD168">
            <v>68000</v>
          </cell>
        </row>
        <row r="169">
          <cell r="W169" t="str">
            <v>QABEN01</v>
          </cell>
          <cell r="AD169">
            <v>68500</v>
          </cell>
        </row>
        <row r="170">
          <cell r="W170" t="str">
            <v>QABEN01</v>
          </cell>
          <cell r="AD170">
            <v>70000</v>
          </cell>
        </row>
        <row r="171">
          <cell r="W171" t="str">
            <v>QABEN01</v>
          </cell>
          <cell r="AD171">
            <v>70000</v>
          </cell>
        </row>
        <row r="172">
          <cell r="W172" t="str">
            <v>QABEN01</v>
          </cell>
          <cell r="AD172">
            <v>70000</v>
          </cell>
        </row>
        <row r="173">
          <cell r="W173" t="str">
            <v>QABEN01</v>
          </cell>
          <cell r="AD173">
            <v>70000</v>
          </cell>
        </row>
        <row r="174">
          <cell r="W174" t="str">
            <v>QABEN01</v>
          </cell>
          <cell r="AD174">
            <v>70000</v>
          </cell>
        </row>
        <row r="175">
          <cell r="W175" t="str">
            <v>QABEN01</v>
          </cell>
          <cell r="AD175">
            <v>70000</v>
          </cell>
        </row>
        <row r="176">
          <cell r="W176" t="str">
            <v>QABEN01</v>
          </cell>
          <cell r="AD176">
            <v>70000</v>
          </cell>
        </row>
        <row r="177">
          <cell r="W177" t="str">
            <v>QABEN01</v>
          </cell>
          <cell r="AD177">
            <v>70000</v>
          </cell>
        </row>
        <row r="178">
          <cell r="W178" t="str">
            <v>QABEN01</v>
          </cell>
          <cell r="AD178">
            <v>70000</v>
          </cell>
        </row>
        <row r="179">
          <cell r="W179" t="str">
            <v>QABEN01</v>
          </cell>
          <cell r="AD179">
            <v>70000</v>
          </cell>
        </row>
        <row r="180">
          <cell r="W180" t="str">
            <v>QABEN01</v>
          </cell>
          <cell r="AD180">
            <v>70000</v>
          </cell>
        </row>
        <row r="181">
          <cell r="W181" t="str">
            <v>QABEN01</v>
          </cell>
          <cell r="AD181">
            <v>70000</v>
          </cell>
        </row>
        <row r="182">
          <cell r="W182" t="str">
            <v>QABEN01</v>
          </cell>
          <cell r="AD182">
            <v>70000</v>
          </cell>
        </row>
        <row r="183">
          <cell r="W183" t="str">
            <v>QABEN01</v>
          </cell>
          <cell r="AD183">
            <v>70000</v>
          </cell>
        </row>
        <row r="184">
          <cell r="W184" t="str">
            <v>QABEN01</v>
          </cell>
          <cell r="AD184">
            <v>70000</v>
          </cell>
        </row>
        <row r="185">
          <cell r="W185" t="str">
            <v>QABEN01</v>
          </cell>
          <cell r="AD185">
            <v>70000</v>
          </cell>
        </row>
        <row r="186">
          <cell r="W186" t="str">
            <v>QABEN01</v>
          </cell>
          <cell r="AD186">
            <v>70000</v>
          </cell>
        </row>
        <row r="187">
          <cell r="W187" t="str">
            <v>QABEN01</v>
          </cell>
          <cell r="AD187">
            <v>70000</v>
          </cell>
        </row>
        <row r="188">
          <cell r="W188" t="str">
            <v>QABEN01</v>
          </cell>
          <cell r="AD188">
            <v>70000</v>
          </cell>
        </row>
        <row r="189">
          <cell r="W189" t="str">
            <v>QABEN01</v>
          </cell>
          <cell r="AD189">
            <v>70000</v>
          </cell>
        </row>
        <row r="190">
          <cell r="W190" t="str">
            <v>QABEN01</v>
          </cell>
          <cell r="AD190">
            <v>70000</v>
          </cell>
        </row>
        <row r="191">
          <cell r="W191" t="str">
            <v>QABEN01</v>
          </cell>
          <cell r="AD191">
            <v>70000</v>
          </cell>
        </row>
        <row r="192">
          <cell r="W192" t="str">
            <v>QABEN01</v>
          </cell>
          <cell r="AD192">
            <v>70000</v>
          </cell>
        </row>
        <row r="193">
          <cell r="W193" t="str">
            <v>QABEN01</v>
          </cell>
          <cell r="AD193">
            <v>70000</v>
          </cell>
        </row>
        <row r="194">
          <cell r="W194" t="str">
            <v>QABEN01</v>
          </cell>
          <cell r="AD194">
            <v>70000</v>
          </cell>
        </row>
        <row r="195">
          <cell r="W195" t="str">
            <v>QABEN01</v>
          </cell>
          <cell r="AD195">
            <v>75000</v>
          </cell>
        </row>
        <row r="196">
          <cell r="W196" t="str">
            <v>QABEN02</v>
          </cell>
          <cell r="AD196">
            <v>133000</v>
          </cell>
        </row>
        <row r="197">
          <cell r="W197" t="str">
            <v>QABEN02</v>
          </cell>
          <cell r="AD197">
            <v>133000</v>
          </cell>
        </row>
        <row r="198">
          <cell r="W198" t="str">
            <v>QABEN02</v>
          </cell>
          <cell r="AD198">
            <v>133200</v>
          </cell>
        </row>
        <row r="199">
          <cell r="W199" t="str">
            <v>QABEN02</v>
          </cell>
          <cell r="AD199">
            <v>133500</v>
          </cell>
        </row>
        <row r="200">
          <cell r="W200" t="str">
            <v>QABEN02</v>
          </cell>
          <cell r="AD200">
            <v>133500</v>
          </cell>
        </row>
        <row r="201">
          <cell r="W201" t="str">
            <v>QABEN02</v>
          </cell>
          <cell r="AD201">
            <v>137000</v>
          </cell>
        </row>
        <row r="202">
          <cell r="W202" t="str">
            <v>QABEN02</v>
          </cell>
          <cell r="AD202">
            <v>137500</v>
          </cell>
        </row>
        <row r="203">
          <cell r="W203" t="str">
            <v>QABEN02</v>
          </cell>
          <cell r="AD203">
            <v>140000</v>
          </cell>
        </row>
        <row r="204">
          <cell r="W204" t="str">
            <v>QABEN02</v>
          </cell>
          <cell r="AD204">
            <v>140000</v>
          </cell>
        </row>
        <row r="205">
          <cell r="W205" t="str">
            <v>QABEN02</v>
          </cell>
          <cell r="AD205">
            <v>140000</v>
          </cell>
        </row>
        <row r="206">
          <cell r="W206" t="str">
            <v>QABEN02</v>
          </cell>
          <cell r="AD206">
            <v>140000</v>
          </cell>
        </row>
        <row r="207">
          <cell r="W207" t="str">
            <v>QABEN02</v>
          </cell>
          <cell r="AD207">
            <v>140000</v>
          </cell>
        </row>
        <row r="208">
          <cell r="W208" t="str">
            <v>QABEN02</v>
          </cell>
          <cell r="AD208">
            <v>146000</v>
          </cell>
        </row>
        <row r="209">
          <cell r="W209" t="str">
            <v>QABEN02</v>
          </cell>
          <cell r="AD209">
            <v>146000</v>
          </cell>
        </row>
        <row r="210">
          <cell r="W210" t="str">
            <v>QABEN02</v>
          </cell>
          <cell r="AD210">
            <v>146000</v>
          </cell>
        </row>
        <row r="211">
          <cell r="W211" t="str">
            <v>QABEN02</v>
          </cell>
          <cell r="AD211">
            <v>146000</v>
          </cell>
        </row>
        <row r="212">
          <cell r="W212" t="str">
            <v>QABEN02</v>
          </cell>
          <cell r="AD212">
            <v>146000</v>
          </cell>
        </row>
        <row r="213">
          <cell r="W213" t="str">
            <v>QABEN02</v>
          </cell>
          <cell r="AD213">
            <v>146000</v>
          </cell>
        </row>
        <row r="214">
          <cell r="W214" t="str">
            <v>QABEN02</v>
          </cell>
          <cell r="AD214">
            <v>146000</v>
          </cell>
        </row>
        <row r="215">
          <cell r="W215" t="str">
            <v>QABEN02</v>
          </cell>
          <cell r="AD215">
            <v>146000</v>
          </cell>
        </row>
        <row r="216">
          <cell r="W216" t="str">
            <v>QABEN02</v>
          </cell>
          <cell r="AD216">
            <v>146000</v>
          </cell>
        </row>
        <row r="217">
          <cell r="W217" t="str">
            <v>QABEN02</v>
          </cell>
          <cell r="AD217">
            <v>146000</v>
          </cell>
        </row>
        <row r="218">
          <cell r="W218" t="str">
            <v>QABEN02</v>
          </cell>
          <cell r="AD218">
            <v>146000</v>
          </cell>
        </row>
        <row r="219">
          <cell r="W219" t="str">
            <v>QABEN02</v>
          </cell>
          <cell r="AD219">
            <v>146000</v>
          </cell>
        </row>
        <row r="220">
          <cell r="W220" t="str">
            <v>QABEN02</v>
          </cell>
          <cell r="AD220">
            <v>146000</v>
          </cell>
        </row>
        <row r="221">
          <cell r="W221" t="str">
            <v>QABEN02</v>
          </cell>
          <cell r="AD221">
            <v>146000</v>
          </cell>
        </row>
        <row r="222">
          <cell r="W222" t="str">
            <v>QABEN02</v>
          </cell>
          <cell r="AD222">
            <v>146000</v>
          </cell>
        </row>
        <row r="223">
          <cell r="W223" t="str">
            <v>QABEN02</v>
          </cell>
          <cell r="AD223">
            <v>146000</v>
          </cell>
        </row>
        <row r="224">
          <cell r="W224" t="str">
            <v>QABEN02</v>
          </cell>
          <cell r="AD224">
            <v>146000</v>
          </cell>
        </row>
        <row r="225">
          <cell r="W225" t="str">
            <v>QABEN02</v>
          </cell>
          <cell r="AD225">
            <v>146000</v>
          </cell>
        </row>
        <row r="226">
          <cell r="W226" t="str">
            <v>QABEN02</v>
          </cell>
          <cell r="AD226">
            <v>146000</v>
          </cell>
        </row>
        <row r="227">
          <cell r="W227" t="str">
            <v>QABEN02</v>
          </cell>
          <cell r="AD227">
            <v>146000</v>
          </cell>
        </row>
        <row r="228">
          <cell r="W228" t="str">
            <v>QABEN02</v>
          </cell>
          <cell r="AD228">
            <v>146000</v>
          </cell>
        </row>
        <row r="229">
          <cell r="W229" t="str">
            <v>QABEN02</v>
          </cell>
          <cell r="AD229">
            <v>146000</v>
          </cell>
        </row>
        <row r="230">
          <cell r="W230" t="str">
            <v>QABOJ02</v>
          </cell>
          <cell r="AD230">
            <v>25500</v>
          </cell>
        </row>
        <row r="231">
          <cell r="W231" t="str">
            <v>QABOJ02</v>
          </cell>
          <cell r="AD231">
            <v>26000</v>
          </cell>
        </row>
        <row r="232">
          <cell r="W232" t="str">
            <v>QABOJ02</v>
          </cell>
          <cell r="AD232">
            <v>26500</v>
          </cell>
        </row>
        <row r="233">
          <cell r="W233" t="str">
            <v>QABOJ02</v>
          </cell>
          <cell r="AD233">
            <v>26500</v>
          </cell>
        </row>
        <row r="234">
          <cell r="W234" t="str">
            <v>QABOJ02</v>
          </cell>
          <cell r="AD234">
            <v>26500</v>
          </cell>
        </row>
        <row r="235">
          <cell r="W235" t="str">
            <v>QABOJ02</v>
          </cell>
          <cell r="AD235">
            <v>26500</v>
          </cell>
        </row>
        <row r="236">
          <cell r="W236" t="str">
            <v>QABOJ02</v>
          </cell>
          <cell r="AD236">
            <v>26500</v>
          </cell>
        </row>
        <row r="237">
          <cell r="W237" t="str">
            <v>QABOJ02</v>
          </cell>
          <cell r="AD237">
            <v>26500</v>
          </cell>
        </row>
        <row r="238">
          <cell r="W238" t="str">
            <v>QABOJ02</v>
          </cell>
          <cell r="AD238">
            <v>26500</v>
          </cell>
        </row>
        <row r="239">
          <cell r="W239" t="str">
            <v>QABOJ02</v>
          </cell>
          <cell r="AD239">
            <v>26500</v>
          </cell>
        </row>
        <row r="240">
          <cell r="W240" t="str">
            <v>QABOJ02</v>
          </cell>
          <cell r="AD240">
            <v>26500</v>
          </cell>
        </row>
        <row r="241">
          <cell r="W241" t="str">
            <v>QABOJ02</v>
          </cell>
          <cell r="AD241">
            <v>26500</v>
          </cell>
        </row>
        <row r="242">
          <cell r="W242" t="str">
            <v>QABOJ02</v>
          </cell>
          <cell r="AD242">
            <v>26500</v>
          </cell>
        </row>
        <row r="243">
          <cell r="W243" t="str">
            <v>QABOJ02</v>
          </cell>
          <cell r="AD243">
            <v>26500</v>
          </cell>
        </row>
        <row r="244">
          <cell r="W244" t="str">
            <v>QABOJ02</v>
          </cell>
          <cell r="AD244">
            <v>26500</v>
          </cell>
        </row>
        <row r="245">
          <cell r="W245" t="str">
            <v>QABOJ02</v>
          </cell>
          <cell r="AD245">
            <v>26500</v>
          </cell>
        </row>
        <row r="246">
          <cell r="W246" t="str">
            <v>QABOJ02</v>
          </cell>
          <cell r="AD246">
            <v>26500</v>
          </cell>
        </row>
        <row r="247">
          <cell r="W247" t="str">
            <v>QABOJ02</v>
          </cell>
          <cell r="AD247">
            <v>26500</v>
          </cell>
        </row>
        <row r="248">
          <cell r="W248" t="str">
            <v>QABOJ02</v>
          </cell>
          <cell r="AD248">
            <v>26500</v>
          </cell>
        </row>
        <row r="249">
          <cell r="W249" t="str">
            <v>QABOJ02</v>
          </cell>
          <cell r="AD249">
            <v>26500</v>
          </cell>
        </row>
        <row r="250">
          <cell r="W250" t="str">
            <v>QABOJ02</v>
          </cell>
          <cell r="AD250">
            <v>26500</v>
          </cell>
        </row>
        <row r="251">
          <cell r="W251" t="str">
            <v>QABOJ02</v>
          </cell>
          <cell r="AD251">
            <v>27000</v>
          </cell>
        </row>
        <row r="252">
          <cell r="W252" t="str">
            <v>QABOJ02</v>
          </cell>
          <cell r="AD252">
            <v>27000</v>
          </cell>
        </row>
        <row r="253">
          <cell r="W253" t="str">
            <v>QABOJ02</v>
          </cell>
          <cell r="AD253">
            <v>27000</v>
          </cell>
        </row>
        <row r="254">
          <cell r="W254" t="str">
            <v>QABOJ02</v>
          </cell>
          <cell r="AD254">
            <v>27000</v>
          </cell>
        </row>
        <row r="255">
          <cell r="W255" t="str">
            <v>QABOJ02</v>
          </cell>
          <cell r="AD255">
            <v>27500</v>
          </cell>
        </row>
        <row r="256">
          <cell r="W256" t="str">
            <v>QABOJ02</v>
          </cell>
          <cell r="AD256">
            <v>27500</v>
          </cell>
        </row>
        <row r="257">
          <cell r="W257" t="str">
            <v>QABOJ02</v>
          </cell>
          <cell r="AD257">
            <v>27500</v>
          </cell>
        </row>
        <row r="258">
          <cell r="W258" t="str">
            <v>QABOJ02</v>
          </cell>
          <cell r="AD258">
            <v>27500</v>
          </cell>
        </row>
        <row r="259">
          <cell r="W259" t="str">
            <v>QABOJ02</v>
          </cell>
          <cell r="AD259">
            <v>27500</v>
          </cell>
        </row>
        <row r="260">
          <cell r="W260" t="str">
            <v>QABOJ02</v>
          </cell>
          <cell r="AD260">
            <v>27500</v>
          </cell>
        </row>
        <row r="261">
          <cell r="W261" t="str">
            <v>QABOJ02</v>
          </cell>
          <cell r="AD261">
            <v>27500</v>
          </cell>
        </row>
        <row r="262">
          <cell r="W262" t="str">
            <v>QABOJ02</v>
          </cell>
          <cell r="AD262">
            <v>27500</v>
          </cell>
        </row>
        <row r="263">
          <cell r="W263" t="str">
            <v>QABOJ02</v>
          </cell>
          <cell r="AD263">
            <v>27500</v>
          </cell>
        </row>
        <row r="264">
          <cell r="W264" t="str">
            <v>QABOJ02</v>
          </cell>
          <cell r="AD264">
            <v>27500</v>
          </cell>
        </row>
        <row r="265">
          <cell r="W265" t="str">
            <v>QABOJ02</v>
          </cell>
          <cell r="AD265">
            <v>27500</v>
          </cell>
        </row>
        <row r="266">
          <cell r="W266" t="str">
            <v>QABOJ02</v>
          </cell>
          <cell r="AD266">
            <v>27500</v>
          </cell>
        </row>
        <row r="267">
          <cell r="W267" t="str">
            <v>QABOJ02</v>
          </cell>
          <cell r="AD267">
            <v>27500</v>
          </cell>
        </row>
        <row r="268">
          <cell r="W268" t="str">
            <v>QABOJ02</v>
          </cell>
          <cell r="AD268">
            <v>27500</v>
          </cell>
        </row>
        <row r="269">
          <cell r="W269" t="str">
            <v>QABOJ02</v>
          </cell>
          <cell r="AD269">
            <v>27500</v>
          </cell>
        </row>
        <row r="270">
          <cell r="W270" t="str">
            <v>QABOJ02</v>
          </cell>
          <cell r="AD270">
            <v>27500</v>
          </cell>
        </row>
        <row r="271">
          <cell r="W271" t="str">
            <v>QABOJ02</v>
          </cell>
          <cell r="AD271">
            <v>27500</v>
          </cell>
        </row>
        <row r="272">
          <cell r="W272" t="str">
            <v>AABOJ02</v>
          </cell>
          <cell r="AD272">
            <v>27500</v>
          </cell>
        </row>
        <row r="273">
          <cell r="W273" t="str">
            <v>QABOJ02</v>
          </cell>
          <cell r="AD273">
            <v>27500</v>
          </cell>
        </row>
        <row r="274">
          <cell r="W274" t="str">
            <v>QABOJ02</v>
          </cell>
          <cell r="AD274">
            <v>27500</v>
          </cell>
        </row>
        <row r="275">
          <cell r="W275" t="str">
            <v>QABOJ02</v>
          </cell>
          <cell r="AD275">
            <v>27500</v>
          </cell>
        </row>
        <row r="276">
          <cell r="W276" t="str">
            <v>QABOJ02</v>
          </cell>
          <cell r="AD276">
            <v>27500</v>
          </cell>
        </row>
        <row r="277">
          <cell r="W277" t="str">
            <v>AABOJ02</v>
          </cell>
          <cell r="AD277">
            <v>27500</v>
          </cell>
        </row>
        <row r="278">
          <cell r="W278" t="str">
            <v>QABOJ02</v>
          </cell>
          <cell r="AD278">
            <v>27500</v>
          </cell>
        </row>
        <row r="279">
          <cell r="W279" t="str">
            <v>QABOJ02</v>
          </cell>
          <cell r="AD279">
            <v>27500</v>
          </cell>
        </row>
        <row r="280">
          <cell r="W280" t="str">
            <v>QABOJ01</v>
          </cell>
          <cell r="AD280">
            <v>50000</v>
          </cell>
        </row>
        <row r="281">
          <cell r="W281" t="str">
            <v>QABOJ01</v>
          </cell>
          <cell r="AD281">
            <v>50000</v>
          </cell>
        </row>
        <row r="282">
          <cell r="W282" t="str">
            <v>QABOJ01</v>
          </cell>
          <cell r="AD282">
            <v>50000</v>
          </cell>
        </row>
        <row r="283">
          <cell r="W283" t="str">
            <v>QABOJ01</v>
          </cell>
          <cell r="AD283">
            <v>50000</v>
          </cell>
        </row>
        <row r="284">
          <cell r="W284" t="str">
            <v>QABOJ01</v>
          </cell>
          <cell r="AD284">
            <v>50000</v>
          </cell>
        </row>
        <row r="285">
          <cell r="W285" t="str">
            <v>QABOJ01</v>
          </cell>
          <cell r="AD285">
            <v>50000</v>
          </cell>
        </row>
        <row r="286">
          <cell r="W286" t="str">
            <v>QABOJ01</v>
          </cell>
          <cell r="AD286">
            <v>50000</v>
          </cell>
        </row>
        <row r="287">
          <cell r="W287" t="str">
            <v>QABOJ01</v>
          </cell>
          <cell r="AD287">
            <v>51000</v>
          </cell>
        </row>
        <row r="288">
          <cell r="W288" t="str">
            <v>QABOJ01</v>
          </cell>
          <cell r="AD288">
            <v>51000</v>
          </cell>
        </row>
        <row r="289">
          <cell r="W289" t="str">
            <v>QABOJ01</v>
          </cell>
          <cell r="AD289">
            <v>51000</v>
          </cell>
        </row>
        <row r="290">
          <cell r="W290" t="str">
            <v>QABOJ01</v>
          </cell>
          <cell r="AD290">
            <v>51000</v>
          </cell>
        </row>
        <row r="291">
          <cell r="W291" t="str">
            <v>QABOJ01</v>
          </cell>
          <cell r="AD291">
            <v>51000</v>
          </cell>
        </row>
        <row r="292">
          <cell r="W292" t="str">
            <v>QABOJ01</v>
          </cell>
          <cell r="AD292">
            <v>51500</v>
          </cell>
        </row>
        <row r="293">
          <cell r="W293" t="str">
            <v>QABOJ01</v>
          </cell>
          <cell r="AD293">
            <v>51500</v>
          </cell>
        </row>
        <row r="294">
          <cell r="W294" t="str">
            <v>QABOJ01</v>
          </cell>
          <cell r="AD294">
            <v>51500</v>
          </cell>
        </row>
        <row r="295">
          <cell r="W295" t="str">
            <v>QABOJ01</v>
          </cell>
          <cell r="AD295">
            <v>51500</v>
          </cell>
        </row>
        <row r="296">
          <cell r="W296" t="str">
            <v>QABOJ01</v>
          </cell>
          <cell r="AD296">
            <v>51500</v>
          </cell>
        </row>
        <row r="297">
          <cell r="W297" t="str">
            <v>QABOJ01</v>
          </cell>
          <cell r="AD297">
            <v>51500</v>
          </cell>
        </row>
        <row r="298">
          <cell r="W298" t="str">
            <v>QABOJ01</v>
          </cell>
          <cell r="AD298">
            <v>51500</v>
          </cell>
        </row>
        <row r="299">
          <cell r="W299" t="str">
            <v>QABOJ01</v>
          </cell>
          <cell r="AD299">
            <v>51500</v>
          </cell>
        </row>
        <row r="300">
          <cell r="W300" t="str">
            <v>QABOJ01</v>
          </cell>
          <cell r="AD300">
            <v>51500</v>
          </cell>
        </row>
        <row r="301">
          <cell r="W301" t="str">
            <v>QABOJ01</v>
          </cell>
          <cell r="AD301">
            <v>51500</v>
          </cell>
        </row>
        <row r="302">
          <cell r="W302" t="str">
            <v>QABOJ01</v>
          </cell>
          <cell r="AD302">
            <v>51500</v>
          </cell>
        </row>
        <row r="303">
          <cell r="W303" t="str">
            <v>QABOJ01</v>
          </cell>
          <cell r="AD303">
            <v>51500</v>
          </cell>
        </row>
        <row r="304">
          <cell r="W304" t="str">
            <v>QABOJ01</v>
          </cell>
          <cell r="AD304">
            <v>51500</v>
          </cell>
        </row>
        <row r="305">
          <cell r="W305" t="str">
            <v>QABOJ01</v>
          </cell>
          <cell r="AD305">
            <v>51500</v>
          </cell>
        </row>
        <row r="306">
          <cell r="W306" t="str">
            <v>QABOJ01</v>
          </cell>
          <cell r="AD306">
            <v>51500</v>
          </cell>
        </row>
        <row r="307">
          <cell r="W307" t="str">
            <v>QABOJ01</v>
          </cell>
          <cell r="AD307">
            <v>51500</v>
          </cell>
        </row>
        <row r="308">
          <cell r="W308" t="str">
            <v>QABOJ01</v>
          </cell>
          <cell r="AD308">
            <v>51500</v>
          </cell>
        </row>
        <row r="309">
          <cell r="W309" t="str">
            <v>QABOJ01</v>
          </cell>
          <cell r="AD309">
            <v>51500</v>
          </cell>
        </row>
        <row r="310">
          <cell r="W310" t="str">
            <v>QABOJ01</v>
          </cell>
          <cell r="AD310">
            <v>51500</v>
          </cell>
        </row>
        <row r="311">
          <cell r="W311" t="str">
            <v>QABOJ01</v>
          </cell>
          <cell r="AD311">
            <v>51500</v>
          </cell>
        </row>
        <row r="312">
          <cell r="W312" t="str">
            <v>QABOJ01</v>
          </cell>
          <cell r="AD312">
            <v>51500</v>
          </cell>
        </row>
        <row r="313">
          <cell r="W313" t="str">
            <v>QABOJ01</v>
          </cell>
          <cell r="AD313">
            <v>51500</v>
          </cell>
        </row>
        <row r="314">
          <cell r="W314" t="str">
            <v>QABOJ01</v>
          </cell>
          <cell r="AD314">
            <v>51500</v>
          </cell>
        </row>
        <row r="315">
          <cell r="W315" t="str">
            <v>QABOJ01</v>
          </cell>
          <cell r="AD315">
            <v>51500</v>
          </cell>
        </row>
        <row r="316">
          <cell r="W316" t="str">
            <v>QABOJ01</v>
          </cell>
          <cell r="AD316">
            <v>51500</v>
          </cell>
        </row>
        <row r="317">
          <cell r="W317" t="str">
            <v>QABOJ01</v>
          </cell>
          <cell r="AD317">
            <v>51500</v>
          </cell>
        </row>
        <row r="318">
          <cell r="W318" t="str">
            <v>QABOJ01</v>
          </cell>
          <cell r="AD318">
            <v>52000</v>
          </cell>
        </row>
        <row r="319">
          <cell r="W319" t="str">
            <v>QABOJ01</v>
          </cell>
          <cell r="AD319">
            <v>52000</v>
          </cell>
        </row>
        <row r="320">
          <cell r="W320" t="str">
            <v>QABOJ01</v>
          </cell>
          <cell r="AD320">
            <v>52000</v>
          </cell>
        </row>
        <row r="321">
          <cell r="W321" t="str">
            <v>QABOJ01</v>
          </cell>
          <cell r="AD321">
            <v>52000</v>
          </cell>
        </row>
        <row r="322">
          <cell r="W322" t="str">
            <v>QABOJ01</v>
          </cell>
          <cell r="AD322">
            <v>52000</v>
          </cell>
        </row>
        <row r="323">
          <cell r="W323" t="str">
            <v>QABOJ01</v>
          </cell>
          <cell r="AD323">
            <v>52000</v>
          </cell>
        </row>
        <row r="324">
          <cell r="W324" t="str">
            <v>QABOJ01</v>
          </cell>
          <cell r="AD324">
            <v>52000</v>
          </cell>
        </row>
        <row r="325">
          <cell r="W325" t="str">
            <v>QABOJ01</v>
          </cell>
          <cell r="AD325">
            <v>52000</v>
          </cell>
        </row>
        <row r="326">
          <cell r="W326" t="str">
            <v>QABOJ01</v>
          </cell>
          <cell r="AD326">
            <v>52000</v>
          </cell>
        </row>
        <row r="327">
          <cell r="W327" t="str">
            <v>QABOJ01</v>
          </cell>
          <cell r="AD327">
            <v>52000</v>
          </cell>
        </row>
        <row r="328">
          <cell r="W328" t="str">
            <v>QABOJ01</v>
          </cell>
          <cell r="AD328">
            <v>52000</v>
          </cell>
        </row>
        <row r="329">
          <cell r="W329" t="str">
            <v>QABOJ01</v>
          </cell>
          <cell r="AD329">
            <v>52000</v>
          </cell>
        </row>
        <row r="330">
          <cell r="W330" t="str">
            <v>QABOJ01</v>
          </cell>
          <cell r="AD330">
            <v>52000</v>
          </cell>
        </row>
        <row r="331">
          <cell r="W331" t="str">
            <v>QABOJ01</v>
          </cell>
          <cell r="AD331">
            <v>52000</v>
          </cell>
        </row>
        <row r="332">
          <cell r="W332" t="str">
            <v>QABOJ01</v>
          </cell>
          <cell r="AD332">
            <v>52000</v>
          </cell>
        </row>
        <row r="333">
          <cell r="W333" t="str">
            <v>QABOJ01</v>
          </cell>
          <cell r="AD333">
            <v>52000</v>
          </cell>
        </row>
        <row r="334">
          <cell r="W334" t="str">
            <v>QABOJ01</v>
          </cell>
          <cell r="AD334">
            <v>52000</v>
          </cell>
        </row>
        <row r="335">
          <cell r="W335" t="str">
            <v>QABOJ01</v>
          </cell>
          <cell r="AD335">
            <v>52000</v>
          </cell>
        </row>
        <row r="336">
          <cell r="W336" t="str">
            <v>QABOJ01</v>
          </cell>
          <cell r="AD336">
            <v>52000</v>
          </cell>
        </row>
        <row r="337">
          <cell r="W337" t="str">
            <v>QABOJ01</v>
          </cell>
          <cell r="AD337">
            <v>52000</v>
          </cell>
        </row>
        <row r="338">
          <cell r="W338" t="str">
            <v>QABOJ01</v>
          </cell>
          <cell r="AD338">
            <v>52000</v>
          </cell>
        </row>
        <row r="339">
          <cell r="W339" t="str">
            <v>QABOJ01</v>
          </cell>
          <cell r="AD339">
            <v>52000</v>
          </cell>
        </row>
        <row r="340">
          <cell r="W340" t="str">
            <v>QABOJ01</v>
          </cell>
          <cell r="AD340">
            <v>52500</v>
          </cell>
        </row>
        <row r="341">
          <cell r="W341" t="str">
            <v>QABOJ01</v>
          </cell>
          <cell r="AD341">
            <v>52500</v>
          </cell>
        </row>
        <row r="342">
          <cell r="W342" t="str">
            <v>QABOJ01</v>
          </cell>
          <cell r="AD342">
            <v>52500</v>
          </cell>
        </row>
        <row r="343">
          <cell r="W343" t="str">
            <v>QABOJ01</v>
          </cell>
          <cell r="AD343">
            <v>52500</v>
          </cell>
        </row>
        <row r="344">
          <cell r="W344" t="str">
            <v>QABOJ01</v>
          </cell>
          <cell r="AD344">
            <v>52500</v>
          </cell>
        </row>
        <row r="345">
          <cell r="W345" t="str">
            <v>QABOJ01</v>
          </cell>
          <cell r="AD345">
            <v>52500</v>
          </cell>
        </row>
        <row r="346">
          <cell r="W346" t="str">
            <v>QABOJ01</v>
          </cell>
          <cell r="AD346">
            <v>52500</v>
          </cell>
        </row>
        <row r="347">
          <cell r="W347" t="str">
            <v>QABOJ01</v>
          </cell>
          <cell r="AD347">
            <v>52500</v>
          </cell>
        </row>
        <row r="348">
          <cell r="W348" t="str">
            <v>QABOJ01</v>
          </cell>
          <cell r="AD348">
            <v>52500</v>
          </cell>
        </row>
        <row r="349">
          <cell r="W349" t="str">
            <v>QABOJ01</v>
          </cell>
          <cell r="AD349">
            <v>52500</v>
          </cell>
        </row>
        <row r="350">
          <cell r="W350" t="str">
            <v>QABOJ01</v>
          </cell>
          <cell r="AD350">
            <v>52500</v>
          </cell>
        </row>
        <row r="351">
          <cell r="W351" t="str">
            <v>QABOJ01</v>
          </cell>
          <cell r="AD351">
            <v>52500</v>
          </cell>
        </row>
        <row r="352">
          <cell r="W352" t="str">
            <v>QABOJ01</v>
          </cell>
          <cell r="AD352">
            <v>52500</v>
          </cell>
        </row>
        <row r="353">
          <cell r="W353" t="str">
            <v>QABOJ01</v>
          </cell>
          <cell r="AD353">
            <v>52500</v>
          </cell>
        </row>
        <row r="354">
          <cell r="W354" t="str">
            <v>QABOJ01</v>
          </cell>
          <cell r="AD354">
            <v>52500</v>
          </cell>
        </row>
        <row r="355">
          <cell r="W355" t="str">
            <v>QABOJ01</v>
          </cell>
          <cell r="AD355">
            <v>52500</v>
          </cell>
        </row>
        <row r="356">
          <cell r="W356" t="str">
            <v>QABOJ01</v>
          </cell>
          <cell r="AD356">
            <v>52500</v>
          </cell>
        </row>
        <row r="357">
          <cell r="W357" t="str">
            <v>QABOJ01</v>
          </cell>
          <cell r="AD357">
            <v>52500</v>
          </cell>
        </row>
        <row r="358">
          <cell r="W358" t="str">
            <v>QABOJ01</v>
          </cell>
          <cell r="AD358">
            <v>52500</v>
          </cell>
        </row>
        <row r="359">
          <cell r="W359" t="str">
            <v>QABOJ01</v>
          </cell>
          <cell r="AD359">
            <v>52500</v>
          </cell>
        </row>
        <row r="360">
          <cell r="W360" t="str">
            <v>QABOJ01</v>
          </cell>
          <cell r="AD360">
            <v>53000</v>
          </cell>
        </row>
        <row r="361">
          <cell r="W361" t="str">
            <v>QABOJ01</v>
          </cell>
          <cell r="AD361">
            <v>53000</v>
          </cell>
        </row>
        <row r="362">
          <cell r="W362" t="str">
            <v>QABOJ01</v>
          </cell>
          <cell r="AD362">
            <v>53000</v>
          </cell>
        </row>
        <row r="363">
          <cell r="W363" t="str">
            <v>QABOJ01</v>
          </cell>
          <cell r="AD363">
            <v>53000</v>
          </cell>
        </row>
        <row r="364">
          <cell r="W364" t="str">
            <v>QABOJ01</v>
          </cell>
          <cell r="AD364">
            <v>53000</v>
          </cell>
        </row>
        <row r="365">
          <cell r="W365" t="str">
            <v>QABOJ01</v>
          </cell>
          <cell r="AD365">
            <v>53000</v>
          </cell>
        </row>
        <row r="366">
          <cell r="W366" t="str">
            <v>QABOJ01</v>
          </cell>
          <cell r="AD366">
            <v>53000</v>
          </cell>
        </row>
        <row r="367">
          <cell r="W367" t="str">
            <v>QABOJ01</v>
          </cell>
          <cell r="AD367">
            <v>53000</v>
          </cell>
        </row>
        <row r="368">
          <cell r="W368" t="str">
            <v>QABOJ01</v>
          </cell>
          <cell r="AD368">
            <v>53000</v>
          </cell>
        </row>
        <row r="369">
          <cell r="W369" t="str">
            <v>QABOJ01</v>
          </cell>
          <cell r="AD369">
            <v>53000</v>
          </cell>
        </row>
        <row r="370">
          <cell r="W370" t="str">
            <v>QABOJ01</v>
          </cell>
          <cell r="AD370">
            <v>53000</v>
          </cell>
        </row>
        <row r="371">
          <cell r="W371" t="str">
            <v>QABOJ01</v>
          </cell>
          <cell r="AD371">
            <v>53000</v>
          </cell>
        </row>
        <row r="372">
          <cell r="W372" t="str">
            <v>QABOJ01</v>
          </cell>
          <cell r="AD372">
            <v>53000</v>
          </cell>
        </row>
        <row r="373">
          <cell r="W373" t="str">
            <v>QABOJ01</v>
          </cell>
          <cell r="AD373">
            <v>53000</v>
          </cell>
        </row>
        <row r="374">
          <cell r="W374" t="str">
            <v>QABOJ01</v>
          </cell>
          <cell r="AD374">
            <v>53000</v>
          </cell>
        </row>
        <row r="375">
          <cell r="W375" t="str">
            <v>QABOJ01</v>
          </cell>
          <cell r="AD375">
            <v>53000</v>
          </cell>
        </row>
        <row r="376">
          <cell r="W376" t="str">
            <v>QABOJ01</v>
          </cell>
          <cell r="AD376">
            <v>53000</v>
          </cell>
        </row>
        <row r="377">
          <cell r="W377" t="str">
            <v>QABOJ01</v>
          </cell>
          <cell r="AD377">
            <v>53000</v>
          </cell>
        </row>
        <row r="378">
          <cell r="W378" t="str">
            <v>QABOJ01</v>
          </cell>
          <cell r="AD378">
            <v>53000</v>
          </cell>
        </row>
        <row r="379">
          <cell r="W379" t="str">
            <v>QABOJ01</v>
          </cell>
          <cell r="AD379">
            <v>53000</v>
          </cell>
        </row>
        <row r="380">
          <cell r="W380" t="str">
            <v>QABOJ01</v>
          </cell>
          <cell r="AD380">
            <v>53000</v>
          </cell>
        </row>
        <row r="381">
          <cell r="W381" t="str">
            <v>QABOJ01</v>
          </cell>
          <cell r="AD381">
            <v>53000</v>
          </cell>
        </row>
        <row r="382">
          <cell r="W382" t="str">
            <v>QABOJ01</v>
          </cell>
          <cell r="AD382">
            <v>53000</v>
          </cell>
        </row>
        <row r="383">
          <cell r="W383" t="str">
            <v>QABOJ01</v>
          </cell>
          <cell r="AD383">
            <v>53000</v>
          </cell>
        </row>
        <row r="384">
          <cell r="W384" t="str">
            <v>QABOJ01</v>
          </cell>
          <cell r="AD384">
            <v>53000</v>
          </cell>
        </row>
        <row r="385">
          <cell r="W385" t="str">
            <v>QABOJ01</v>
          </cell>
          <cell r="AD385">
            <v>53000</v>
          </cell>
        </row>
        <row r="386">
          <cell r="W386" t="str">
            <v>QABOJ01</v>
          </cell>
          <cell r="AD386">
            <v>53500</v>
          </cell>
        </row>
        <row r="387">
          <cell r="W387" t="str">
            <v>QACAP01</v>
          </cell>
          <cell r="AD387">
            <v>68000</v>
          </cell>
        </row>
        <row r="388">
          <cell r="W388" t="str">
            <v>QACAP01</v>
          </cell>
          <cell r="AD388">
            <v>76000</v>
          </cell>
        </row>
        <row r="389">
          <cell r="W389" t="str">
            <v>QACAP01</v>
          </cell>
          <cell r="AD389">
            <v>76000</v>
          </cell>
        </row>
        <row r="390">
          <cell r="W390" t="str">
            <v>QACAP01</v>
          </cell>
          <cell r="AD390">
            <v>76000</v>
          </cell>
        </row>
        <row r="391">
          <cell r="W391" t="str">
            <v>QACAP01</v>
          </cell>
          <cell r="AD391">
            <v>76000</v>
          </cell>
        </row>
        <row r="392">
          <cell r="W392" t="str">
            <v>QACAP01</v>
          </cell>
          <cell r="AD392">
            <v>77750</v>
          </cell>
        </row>
        <row r="393">
          <cell r="W393" t="str">
            <v>QACAP01</v>
          </cell>
          <cell r="AD393">
            <v>77750</v>
          </cell>
        </row>
        <row r="394">
          <cell r="W394" t="str">
            <v>QACAP01</v>
          </cell>
          <cell r="AD394">
            <v>77750</v>
          </cell>
        </row>
        <row r="395">
          <cell r="W395" t="str">
            <v>QACAP01</v>
          </cell>
          <cell r="AD395">
            <v>77750</v>
          </cell>
        </row>
        <row r="396">
          <cell r="W396" t="str">
            <v>QACAP01</v>
          </cell>
          <cell r="AD396">
            <v>77750</v>
          </cell>
        </row>
        <row r="397">
          <cell r="W397" t="str">
            <v>QACAP01</v>
          </cell>
          <cell r="AD397">
            <v>77750</v>
          </cell>
        </row>
        <row r="398">
          <cell r="W398" t="str">
            <v>QACAP01</v>
          </cell>
          <cell r="AD398">
            <v>78000</v>
          </cell>
        </row>
        <row r="399">
          <cell r="W399" t="str">
            <v>QACAP01</v>
          </cell>
          <cell r="AD399">
            <v>78000</v>
          </cell>
        </row>
        <row r="400">
          <cell r="W400" t="str">
            <v>QACAP01</v>
          </cell>
          <cell r="AD400">
            <v>78000</v>
          </cell>
        </row>
        <row r="401">
          <cell r="W401" t="str">
            <v>QACAP01</v>
          </cell>
          <cell r="AD401">
            <v>78000</v>
          </cell>
        </row>
        <row r="402">
          <cell r="W402" t="str">
            <v>QACAP01</v>
          </cell>
          <cell r="AD402">
            <v>78000</v>
          </cell>
        </row>
        <row r="403">
          <cell r="W403" t="str">
            <v>QACAP01</v>
          </cell>
          <cell r="AD403">
            <v>78000</v>
          </cell>
        </row>
        <row r="404">
          <cell r="W404" t="str">
            <v>QACAP01</v>
          </cell>
          <cell r="AD404">
            <v>78000</v>
          </cell>
        </row>
        <row r="405">
          <cell r="W405" t="str">
            <v>QACAP01</v>
          </cell>
          <cell r="AD405">
            <v>78000</v>
          </cell>
        </row>
        <row r="406">
          <cell r="W406" t="str">
            <v>QACAP01</v>
          </cell>
          <cell r="AD406">
            <v>78000</v>
          </cell>
        </row>
        <row r="407">
          <cell r="W407" t="str">
            <v>QACAP01</v>
          </cell>
          <cell r="AD407">
            <v>78000</v>
          </cell>
        </row>
        <row r="408">
          <cell r="W408" t="str">
            <v>QACAP01</v>
          </cell>
          <cell r="AD408">
            <v>78000</v>
          </cell>
        </row>
        <row r="409">
          <cell r="W409" t="str">
            <v>QACAP01</v>
          </cell>
          <cell r="AD409">
            <v>78000</v>
          </cell>
        </row>
        <row r="410">
          <cell r="W410" t="str">
            <v>QACAP01</v>
          </cell>
          <cell r="AD410">
            <v>78000</v>
          </cell>
        </row>
        <row r="411">
          <cell r="W411" t="str">
            <v>QACAP01</v>
          </cell>
          <cell r="AD411">
            <v>78000</v>
          </cell>
        </row>
        <row r="412">
          <cell r="W412" t="str">
            <v>QACAP01</v>
          </cell>
          <cell r="AD412">
            <v>78000</v>
          </cell>
        </row>
        <row r="413">
          <cell r="W413" t="str">
            <v>QACAP01</v>
          </cell>
          <cell r="AD413">
            <v>78000</v>
          </cell>
        </row>
        <row r="414">
          <cell r="W414" t="str">
            <v>QACAP01</v>
          </cell>
          <cell r="AD414">
            <v>78000</v>
          </cell>
        </row>
        <row r="415">
          <cell r="W415" t="str">
            <v>QACAP01</v>
          </cell>
          <cell r="AD415">
            <v>78000</v>
          </cell>
        </row>
        <row r="416">
          <cell r="W416" t="str">
            <v>QACAP01</v>
          </cell>
          <cell r="AD416">
            <v>78000</v>
          </cell>
        </row>
        <row r="417">
          <cell r="W417" t="str">
            <v>QACAP01</v>
          </cell>
          <cell r="AD417">
            <v>78000</v>
          </cell>
        </row>
        <row r="418">
          <cell r="W418" t="str">
            <v>QACAP01</v>
          </cell>
          <cell r="AD418">
            <v>78000</v>
          </cell>
        </row>
        <row r="419">
          <cell r="W419" t="str">
            <v>QACAP01</v>
          </cell>
          <cell r="AD419">
            <v>78000</v>
          </cell>
        </row>
        <row r="420">
          <cell r="W420" t="str">
            <v>QACAP01</v>
          </cell>
          <cell r="AD420">
            <v>78000</v>
          </cell>
        </row>
        <row r="421">
          <cell r="W421" t="str">
            <v>QACAP01</v>
          </cell>
          <cell r="AD421">
            <v>78000</v>
          </cell>
        </row>
        <row r="422">
          <cell r="W422" t="str">
            <v>QACAP01</v>
          </cell>
          <cell r="AD422">
            <v>78500</v>
          </cell>
        </row>
        <row r="423">
          <cell r="W423" t="str">
            <v>QACAP01</v>
          </cell>
          <cell r="AD423">
            <v>78500</v>
          </cell>
        </row>
        <row r="424">
          <cell r="W424" t="str">
            <v>QACAP01</v>
          </cell>
          <cell r="AD424">
            <v>78500</v>
          </cell>
        </row>
        <row r="425">
          <cell r="W425" t="str">
            <v>QACAP01</v>
          </cell>
          <cell r="AD425">
            <v>82500</v>
          </cell>
        </row>
        <row r="426">
          <cell r="W426" t="str">
            <v>QACCO02</v>
          </cell>
          <cell r="AD426">
            <v>72500</v>
          </cell>
        </row>
        <row r="427">
          <cell r="W427" t="str">
            <v>QACCO02</v>
          </cell>
          <cell r="AD427">
            <v>72500</v>
          </cell>
        </row>
        <row r="428">
          <cell r="W428" t="str">
            <v>QACCO02</v>
          </cell>
          <cell r="AD428">
            <v>72500</v>
          </cell>
        </row>
        <row r="429">
          <cell r="W429" t="str">
            <v>QACCO02</v>
          </cell>
          <cell r="AD429">
            <v>72500</v>
          </cell>
        </row>
        <row r="430">
          <cell r="W430" t="str">
            <v>QACCO02</v>
          </cell>
          <cell r="AD430">
            <v>72500</v>
          </cell>
        </row>
        <row r="431">
          <cell r="W431" t="str">
            <v>AACCO02</v>
          </cell>
          <cell r="AD431">
            <v>72500</v>
          </cell>
        </row>
        <row r="432">
          <cell r="W432" t="str">
            <v>AACCO02</v>
          </cell>
          <cell r="AD432">
            <v>72500</v>
          </cell>
        </row>
        <row r="433">
          <cell r="W433" t="str">
            <v>QACCO02</v>
          </cell>
          <cell r="AD433">
            <v>72500</v>
          </cell>
        </row>
        <row r="434">
          <cell r="W434" t="str">
            <v>QACCO02</v>
          </cell>
          <cell r="AD434">
            <v>72500</v>
          </cell>
        </row>
        <row r="435">
          <cell r="W435" t="str">
            <v>QACCO01</v>
          </cell>
          <cell r="AD435">
            <v>40000</v>
          </cell>
        </row>
        <row r="436">
          <cell r="W436" t="str">
            <v>QACEO01</v>
          </cell>
          <cell r="AD436">
            <v>20000</v>
          </cell>
        </row>
        <row r="437">
          <cell r="W437" t="str">
            <v>QACEO01</v>
          </cell>
          <cell r="AD437">
            <v>20000</v>
          </cell>
        </row>
        <row r="438">
          <cell r="W438" t="str">
            <v>QACEO01</v>
          </cell>
          <cell r="AD438">
            <v>20000</v>
          </cell>
        </row>
        <row r="439">
          <cell r="W439" t="str">
            <v>QACEO01</v>
          </cell>
          <cell r="AD439">
            <v>20000</v>
          </cell>
        </row>
        <row r="440">
          <cell r="W440" t="str">
            <v>QACEO01</v>
          </cell>
          <cell r="AD440">
            <v>20000</v>
          </cell>
        </row>
        <row r="441">
          <cell r="W441" t="str">
            <v>QACEO01</v>
          </cell>
          <cell r="AD441">
            <v>20000</v>
          </cell>
        </row>
        <row r="442">
          <cell r="W442" t="str">
            <v>QACEO01</v>
          </cell>
          <cell r="AD442">
            <v>20000</v>
          </cell>
        </row>
        <row r="443">
          <cell r="W443" t="str">
            <v>QACEO01</v>
          </cell>
          <cell r="AD443">
            <v>20000</v>
          </cell>
        </row>
        <row r="444">
          <cell r="W444" t="str">
            <v>QACEO02</v>
          </cell>
          <cell r="AD444">
            <v>80000</v>
          </cell>
        </row>
        <row r="445">
          <cell r="W445" t="str">
            <v>QACEO02</v>
          </cell>
          <cell r="AD445">
            <v>80000</v>
          </cell>
        </row>
        <row r="446">
          <cell r="W446" t="str">
            <v>QACEO02</v>
          </cell>
          <cell r="AD446">
            <v>80000</v>
          </cell>
        </row>
        <row r="447">
          <cell r="W447" t="str">
            <v>QACEO02</v>
          </cell>
          <cell r="AD447">
            <v>80000</v>
          </cell>
        </row>
        <row r="448">
          <cell r="W448" t="str">
            <v>QACEO02</v>
          </cell>
          <cell r="AD448">
            <v>80000</v>
          </cell>
        </row>
        <row r="449">
          <cell r="W449" t="str">
            <v>QACEO02</v>
          </cell>
          <cell r="AD449">
            <v>80000</v>
          </cell>
        </row>
        <row r="450">
          <cell r="W450" t="str">
            <v>QACEO02</v>
          </cell>
          <cell r="AD450">
            <v>80000</v>
          </cell>
        </row>
        <row r="451">
          <cell r="W451" t="str">
            <v>QACEO02</v>
          </cell>
          <cell r="AD451">
            <v>80000</v>
          </cell>
        </row>
        <row r="452">
          <cell r="W452" t="str">
            <v>QACEO02</v>
          </cell>
          <cell r="AD452">
            <v>80000</v>
          </cell>
        </row>
        <row r="453">
          <cell r="W453" t="str">
            <v>QACEO02</v>
          </cell>
          <cell r="AD453">
            <v>85000</v>
          </cell>
        </row>
        <row r="454">
          <cell r="W454" t="str">
            <v>QACEO02</v>
          </cell>
          <cell r="AD454">
            <v>85000</v>
          </cell>
        </row>
        <row r="455">
          <cell r="W455" t="str">
            <v>QACTA01</v>
          </cell>
          <cell r="AD455">
            <v>29500</v>
          </cell>
        </row>
        <row r="456">
          <cell r="W456" t="str">
            <v>QACTA01</v>
          </cell>
          <cell r="AD456">
            <v>29500</v>
          </cell>
        </row>
        <row r="457">
          <cell r="W457" t="str">
            <v>QACTA01</v>
          </cell>
          <cell r="AD457">
            <v>29750</v>
          </cell>
        </row>
        <row r="458">
          <cell r="W458" t="str">
            <v>QACTI01</v>
          </cell>
          <cell r="AD458">
            <v>14750</v>
          </cell>
        </row>
        <row r="459">
          <cell r="W459" t="str">
            <v>QACTI02</v>
          </cell>
          <cell r="AD459">
            <v>8375</v>
          </cell>
        </row>
        <row r="460">
          <cell r="W460" t="str">
            <v>QADOC01</v>
          </cell>
          <cell r="AD460">
            <v>115000</v>
          </cell>
        </row>
        <row r="461">
          <cell r="W461" t="str">
            <v>AADOC01</v>
          </cell>
          <cell r="AD461">
            <v>115000</v>
          </cell>
        </row>
        <row r="462">
          <cell r="W462" t="str">
            <v>QADOC01</v>
          </cell>
          <cell r="AD462">
            <v>120000</v>
          </cell>
        </row>
        <row r="463">
          <cell r="W463" t="str">
            <v>QADOC03</v>
          </cell>
          <cell r="AD463">
            <v>250000</v>
          </cell>
        </row>
        <row r="464">
          <cell r="W464" t="str">
            <v>QADOC03</v>
          </cell>
          <cell r="AD464">
            <v>250000</v>
          </cell>
        </row>
        <row r="465">
          <cell r="W465" t="str">
            <v>QADOC03</v>
          </cell>
          <cell r="AD465">
            <v>250000</v>
          </cell>
        </row>
        <row r="466">
          <cell r="W466" t="str">
            <v>QADOC03</v>
          </cell>
          <cell r="AD466">
            <v>250000</v>
          </cell>
        </row>
        <row r="467">
          <cell r="W467" t="str">
            <v>QADOC03</v>
          </cell>
          <cell r="AD467">
            <v>255000</v>
          </cell>
        </row>
        <row r="468">
          <cell r="W468" t="str">
            <v>QAFON01</v>
          </cell>
          <cell r="AD468">
            <v>130000</v>
          </cell>
        </row>
        <row r="469">
          <cell r="W469" t="str">
            <v>QAGIL01</v>
          </cell>
          <cell r="AD469">
            <v>29500</v>
          </cell>
        </row>
        <row r="470">
          <cell r="W470" t="str">
            <v>QAGIL01</v>
          </cell>
          <cell r="AD470">
            <v>29500</v>
          </cell>
        </row>
        <row r="471">
          <cell r="W471" t="str">
            <v>QAGIL01</v>
          </cell>
          <cell r="AD471">
            <v>29500</v>
          </cell>
        </row>
        <row r="472">
          <cell r="W472" t="str">
            <v>QAGIL01</v>
          </cell>
          <cell r="AD472">
            <v>30000</v>
          </cell>
        </row>
        <row r="473">
          <cell r="W473" t="str">
            <v>QAGIL01</v>
          </cell>
          <cell r="AD473">
            <v>30000</v>
          </cell>
        </row>
        <row r="474">
          <cell r="W474" t="str">
            <v>QAGIL01</v>
          </cell>
          <cell r="AD474">
            <v>30500</v>
          </cell>
        </row>
        <row r="475">
          <cell r="W475" t="str">
            <v>QAGIL01</v>
          </cell>
          <cell r="AD475">
            <v>30500</v>
          </cell>
        </row>
        <row r="476">
          <cell r="W476" t="str">
            <v>QAGIL01</v>
          </cell>
          <cell r="AD476">
            <v>30500</v>
          </cell>
        </row>
        <row r="477">
          <cell r="W477" t="str">
            <v>QAGIL01</v>
          </cell>
          <cell r="AD477">
            <v>30500</v>
          </cell>
        </row>
        <row r="478">
          <cell r="W478" t="str">
            <v>QAGIL01</v>
          </cell>
          <cell r="AD478">
            <v>30500</v>
          </cell>
        </row>
        <row r="479">
          <cell r="W479" t="str">
            <v>QAGIL01</v>
          </cell>
          <cell r="AD479">
            <v>30500</v>
          </cell>
        </row>
        <row r="480">
          <cell r="W480" t="str">
            <v>QAGIL01</v>
          </cell>
          <cell r="AD480">
            <v>30500</v>
          </cell>
        </row>
        <row r="481">
          <cell r="W481" t="str">
            <v>QAGIL01</v>
          </cell>
          <cell r="AD481">
            <v>30500</v>
          </cell>
        </row>
        <row r="482">
          <cell r="W482" t="str">
            <v>QAGIL01</v>
          </cell>
          <cell r="AD482">
            <v>30500</v>
          </cell>
        </row>
        <row r="483">
          <cell r="W483" t="str">
            <v>QAGIL01</v>
          </cell>
          <cell r="AD483">
            <v>30500</v>
          </cell>
        </row>
        <row r="484">
          <cell r="W484" t="str">
            <v>QAGIL01</v>
          </cell>
          <cell r="AD484">
            <v>30500</v>
          </cell>
        </row>
        <row r="485">
          <cell r="W485" t="str">
            <v>QAGIL01</v>
          </cell>
          <cell r="AD485">
            <v>30750</v>
          </cell>
        </row>
        <row r="486">
          <cell r="W486" t="str">
            <v>QAGIL01</v>
          </cell>
          <cell r="AD486">
            <v>31000</v>
          </cell>
        </row>
        <row r="487">
          <cell r="W487" t="str">
            <v>QAGIL01</v>
          </cell>
          <cell r="AD487">
            <v>31000</v>
          </cell>
        </row>
        <row r="488">
          <cell r="W488" t="str">
            <v>QAGIL01</v>
          </cell>
          <cell r="AD488">
            <v>31000</v>
          </cell>
        </row>
        <row r="489">
          <cell r="W489" t="str">
            <v>QAGIL01</v>
          </cell>
          <cell r="AD489">
            <v>31000</v>
          </cell>
        </row>
        <row r="490">
          <cell r="W490" t="str">
            <v>QAGIL01</v>
          </cell>
          <cell r="AD490">
            <v>31000</v>
          </cell>
        </row>
        <row r="491">
          <cell r="W491" t="str">
            <v>QAGIL01</v>
          </cell>
          <cell r="AD491">
            <v>31000</v>
          </cell>
        </row>
        <row r="492">
          <cell r="W492" t="str">
            <v>QAGIL01</v>
          </cell>
          <cell r="AD492">
            <v>31000</v>
          </cell>
        </row>
        <row r="493">
          <cell r="W493" t="str">
            <v>QAGIL01</v>
          </cell>
          <cell r="AD493">
            <v>31000</v>
          </cell>
        </row>
        <row r="494">
          <cell r="W494" t="str">
            <v>QAGIL01</v>
          </cell>
          <cell r="AD494">
            <v>31000</v>
          </cell>
        </row>
        <row r="495">
          <cell r="W495" t="str">
            <v>QAGIL01</v>
          </cell>
          <cell r="AD495">
            <v>31000</v>
          </cell>
        </row>
        <row r="496">
          <cell r="W496" t="str">
            <v>QAGIL01</v>
          </cell>
          <cell r="AD496">
            <v>31000</v>
          </cell>
        </row>
        <row r="497">
          <cell r="W497" t="str">
            <v>QAGIL01</v>
          </cell>
          <cell r="AD497">
            <v>31000</v>
          </cell>
        </row>
        <row r="498">
          <cell r="W498" t="str">
            <v>QAGIL01</v>
          </cell>
          <cell r="AD498">
            <v>31000</v>
          </cell>
        </row>
        <row r="499">
          <cell r="W499" t="str">
            <v>QAGIL01</v>
          </cell>
          <cell r="AD499">
            <v>31000</v>
          </cell>
        </row>
        <row r="500">
          <cell r="W500" t="str">
            <v>QAGIL01</v>
          </cell>
          <cell r="AD500">
            <v>31500</v>
          </cell>
        </row>
        <row r="501">
          <cell r="W501" t="str">
            <v>QAGIL01</v>
          </cell>
          <cell r="AD501">
            <v>31500</v>
          </cell>
        </row>
        <row r="502">
          <cell r="W502" t="str">
            <v>QAGIL01</v>
          </cell>
          <cell r="AD502">
            <v>31500</v>
          </cell>
        </row>
        <row r="503">
          <cell r="W503" t="str">
            <v>QAGIL01</v>
          </cell>
          <cell r="AD503">
            <v>32000</v>
          </cell>
        </row>
        <row r="504">
          <cell r="W504" t="str">
            <v>QAGIL01</v>
          </cell>
          <cell r="AD504">
            <v>32000</v>
          </cell>
        </row>
        <row r="505">
          <cell r="W505" t="str">
            <v>QAGIL01</v>
          </cell>
          <cell r="AD505">
            <v>32000</v>
          </cell>
        </row>
        <row r="506">
          <cell r="W506" t="str">
            <v>QAGIL01</v>
          </cell>
          <cell r="AD506">
            <v>32000</v>
          </cell>
        </row>
        <row r="507">
          <cell r="W507" t="str">
            <v>QAGIL01</v>
          </cell>
          <cell r="AD507">
            <v>32000</v>
          </cell>
        </row>
        <row r="508">
          <cell r="W508" t="str">
            <v>QAGIL01</v>
          </cell>
          <cell r="AD508">
            <v>32000</v>
          </cell>
        </row>
        <row r="509">
          <cell r="W509" t="str">
            <v>QAGIL01</v>
          </cell>
          <cell r="AD509">
            <v>32000</v>
          </cell>
        </row>
        <row r="510">
          <cell r="W510" t="str">
            <v>QAGIL01</v>
          </cell>
          <cell r="AD510">
            <v>32500</v>
          </cell>
        </row>
        <row r="511">
          <cell r="W511" t="str">
            <v>QAGIL01</v>
          </cell>
          <cell r="AD511">
            <v>32500</v>
          </cell>
        </row>
        <row r="512">
          <cell r="W512" t="str">
            <v>QAGIL01</v>
          </cell>
          <cell r="AD512">
            <v>33000</v>
          </cell>
        </row>
        <row r="513">
          <cell r="W513" t="str">
            <v>QAGIL01</v>
          </cell>
          <cell r="AD513">
            <v>33000</v>
          </cell>
        </row>
        <row r="514">
          <cell r="W514" t="str">
            <v>QAGIL01</v>
          </cell>
          <cell r="AD514">
            <v>33000</v>
          </cell>
        </row>
        <row r="515">
          <cell r="W515" t="str">
            <v>QAGIL01</v>
          </cell>
          <cell r="AD515">
            <v>33000</v>
          </cell>
        </row>
        <row r="516">
          <cell r="W516" t="str">
            <v>QAGIL01</v>
          </cell>
          <cell r="AD516">
            <v>33000</v>
          </cell>
        </row>
        <row r="517">
          <cell r="W517" t="str">
            <v>QAGIL01</v>
          </cell>
          <cell r="AD517">
            <v>33000</v>
          </cell>
        </row>
        <row r="518">
          <cell r="W518" t="str">
            <v>QAGIL01</v>
          </cell>
          <cell r="AD518">
            <v>33000</v>
          </cell>
        </row>
        <row r="519">
          <cell r="W519" t="str">
            <v>QAGIL01</v>
          </cell>
          <cell r="AD519">
            <v>33000</v>
          </cell>
        </row>
        <row r="520">
          <cell r="W520" t="str">
            <v>QAGIL01</v>
          </cell>
          <cell r="AD520">
            <v>33000</v>
          </cell>
        </row>
        <row r="521">
          <cell r="W521" t="str">
            <v>QAGIL01</v>
          </cell>
          <cell r="AD521">
            <v>33000</v>
          </cell>
        </row>
        <row r="522">
          <cell r="W522" t="str">
            <v>QAGIL01</v>
          </cell>
          <cell r="AD522">
            <v>33000</v>
          </cell>
        </row>
        <row r="523">
          <cell r="W523" t="str">
            <v>QAGIL01</v>
          </cell>
          <cell r="AD523">
            <v>33000</v>
          </cell>
        </row>
        <row r="524">
          <cell r="W524" t="str">
            <v>QAGIL01</v>
          </cell>
          <cell r="AD524">
            <v>33000</v>
          </cell>
        </row>
        <row r="525">
          <cell r="W525" t="str">
            <v>QAGIL01</v>
          </cell>
          <cell r="AD525">
            <v>33000</v>
          </cell>
        </row>
        <row r="526">
          <cell r="W526" t="str">
            <v>QAGIL01</v>
          </cell>
          <cell r="AD526">
            <v>33000</v>
          </cell>
        </row>
        <row r="527">
          <cell r="W527" t="str">
            <v>QAGIL01</v>
          </cell>
          <cell r="AD527">
            <v>33000</v>
          </cell>
        </row>
        <row r="528">
          <cell r="W528" t="str">
            <v>QAGIL01</v>
          </cell>
          <cell r="AD528">
            <v>33000</v>
          </cell>
        </row>
        <row r="529">
          <cell r="W529" t="str">
            <v>QAGIL01</v>
          </cell>
          <cell r="AD529">
            <v>33000</v>
          </cell>
        </row>
        <row r="530">
          <cell r="W530" t="str">
            <v>QAGIL01</v>
          </cell>
          <cell r="AD530">
            <v>33000</v>
          </cell>
        </row>
        <row r="531">
          <cell r="W531" t="str">
            <v>QAGIL01</v>
          </cell>
          <cell r="AD531">
            <v>33000</v>
          </cell>
        </row>
        <row r="532">
          <cell r="W532" t="str">
            <v>QAGIL01</v>
          </cell>
          <cell r="AD532">
            <v>33000</v>
          </cell>
        </row>
        <row r="533">
          <cell r="W533" t="str">
            <v>QAGIL01</v>
          </cell>
          <cell r="AD533">
            <v>33000</v>
          </cell>
        </row>
        <row r="534">
          <cell r="W534" t="str">
            <v>QAGIL01</v>
          </cell>
          <cell r="AD534">
            <v>33000</v>
          </cell>
        </row>
        <row r="535">
          <cell r="W535" t="str">
            <v>QAGIL01</v>
          </cell>
          <cell r="AD535">
            <v>35000</v>
          </cell>
        </row>
        <row r="536">
          <cell r="W536" t="str">
            <v>QAGIL01</v>
          </cell>
          <cell r="AD536">
            <v>35000</v>
          </cell>
        </row>
        <row r="537">
          <cell r="W537" t="str">
            <v>QAGIL01</v>
          </cell>
          <cell r="AD537">
            <v>35000</v>
          </cell>
        </row>
        <row r="538">
          <cell r="W538" t="str">
            <v>QAGIL01</v>
          </cell>
          <cell r="AD538">
            <v>35000</v>
          </cell>
        </row>
        <row r="539">
          <cell r="W539" t="str">
            <v>AAGIL01</v>
          </cell>
          <cell r="AD539">
            <v>36000</v>
          </cell>
        </row>
        <row r="540">
          <cell r="W540" t="str">
            <v>QAGIL02</v>
          </cell>
          <cell r="AD540">
            <v>68000</v>
          </cell>
        </row>
        <row r="541">
          <cell r="W541" t="str">
            <v>QAGIL02</v>
          </cell>
          <cell r="AD541">
            <v>68500</v>
          </cell>
        </row>
        <row r="542">
          <cell r="W542" t="str">
            <v>QAGIL02</v>
          </cell>
          <cell r="AD542">
            <v>70000</v>
          </cell>
        </row>
        <row r="543">
          <cell r="W543" t="str">
            <v>QAGIL02</v>
          </cell>
          <cell r="AD543">
            <v>70000</v>
          </cell>
        </row>
        <row r="544">
          <cell r="W544" t="str">
            <v>QAGIL02</v>
          </cell>
          <cell r="AD544">
            <v>70000</v>
          </cell>
        </row>
        <row r="545">
          <cell r="W545" t="str">
            <v>QAGIL02</v>
          </cell>
          <cell r="AD545">
            <v>70000</v>
          </cell>
        </row>
        <row r="546">
          <cell r="W546" t="str">
            <v>QAGIL02</v>
          </cell>
          <cell r="AD546">
            <v>70500</v>
          </cell>
        </row>
        <row r="547">
          <cell r="W547" t="str">
            <v>QAGIL02</v>
          </cell>
          <cell r="AD547">
            <v>70500</v>
          </cell>
        </row>
        <row r="548">
          <cell r="W548" t="str">
            <v>QAGIL02</v>
          </cell>
          <cell r="AD548">
            <v>71000</v>
          </cell>
        </row>
        <row r="549">
          <cell r="W549" t="str">
            <v>QAGIL02</v>
          </cell>
          <cell r="AD549">
            <v>71000</v>
          </cell>
        </row>
        <row r="550">
          <cell r="W550" t="str">
            <v>QAGIL02</v>
          </cell>
          <cell r="AD550">
            <v>71000</v>
          </cell>
        </row>
        <row r="551">
          <cell r="W551" t="str">
            <v>QAGIL02</v>
          </cell>
          <cell r="AD551">
            <v>71000</v>
          </cell>
        </row>
        <row r="552">
          <cell r="W552" t="str">
            <v>QAGIL02</v>
          </cell>
          <cell r="AD552">
            <v>71000</v>
          </cell>
        </row>
        <row r="553">
          <cell r="W553" t="str">
            <v>QAGIL02</v>
          </cell>
          <cell r="AD553">
            <v>71000</v>
          </cell>
        </row>
        <row r="554">
          <cell r="W554" t="str">
            <v>QAGIL02</v>
          </cell>
          <cell r="AD554">
            <v>71000</v>
          </cell>
        </row>
        <row r="555">
          <cell r="W555" t="str">
            <v>QAGIL02</v>
          </cell>
          <cell r="AD555">
            <v>71000</v>
          </cell>
        </row>
        <row r="556">
          <cell r="W556" t="str">
            <v>QAGIL02</v>
          </cell>
          <cell r="AD556">
            <v>71000</v>
          </cell>
        </row>
        <row r="557">
          <cell r="W557" t="str">
            <v>QAGIL02</v>
          </cell>
          <cell r="AD557">
            <v>71000</v>
          </cell>
        </row>
        <row r="558">
          <cell r="W558" t="str">
            <v>QAGIL02</v>
          </cell>
          <cell r="AD558">
            <v>71000</v>
          </cell>
        </row>
        <row r="559">
          <cell r="W559" t="str">
            <v>QAGIL02</v>
          </cell>
          <cell r="AD559">
            <v>71000</v>
          </cell>
        </row>
        <row r="560">
          <cell r="W560" t="str">
            <v>QAGIL02</v>
          </cell>
          <cell r="AD560">
            <v>71000</v>
          </cell>
        </row>
        <row r="561">
          <cell r="W561" t="str">
            <v>QAGIL02</v>
          </cell>
          <cell r="AD561">
            <v>71000</v>
          </cell>
        </row>
        <row r="562">
          <cell r="W562" t="str">
            <v>QAGIL02</v>
          </cell>
          <cell r="AD562">
            <v>71000</v>
          </cell>
        </row>
        <row r="563">
          <cell r="W563" t="str">
            <v>QAGIL02</v>
          </cell>
          <cell r="AD563">
            <v>71500</v>
          </cell>
        </row>
        <row r="564">
          <cell r="W564" t="str">
            <v>QAGIL02</v>
          </cell>
          <cell r="AD564">
            <v>71500</v>
          </cell>
        </row>
        <row r="565">
          <cell r="W565" t="str">
            <v>QAGIL02</v>
          </cell>
          <cell r="AD565">
            <v>72000</v>
          </cell>
        </row>
        <row r="566">
          <cell r="W566" t="str">
            <v>QAGIL02</v>
          </cell>
          <cell r="AD566">
            <v>72000</v>
          </cell>
        </row>
        <row r="567">
          <cell r="W567" t="str">
            <v>QAGIL02</v>
          </cell>
          <cell r="AD567">
            <v>72000</v>
          </cell>
        </row>
        <row r="568">
          <cell r="W568" t="str">
            <v>QAGIL02</v>
          </cell>
          <cell r="AD568">
            <v>72000</v>
          </cell>
        </row>
        <row r="569">
          <cell r="W569" t="str">
            <v>QAGIL02</v>
          </cell>
          <cell r="AD569">
            <v>73000</v>
          </cell>
        </row>
        <row r="570">
          <cell r="W570" t="str">
            <v>QAGIL02</v>
          </cell>
          <cell r="AD570">
            <v>73000</v>
          </cell>
        </row>
        <row r="571">
          <cell r="W571" t="str">
            <v>QAGIL02</v>
          </cell>
          <cell r="AD571">
            <v>73000</v>
          </cell>
        </row>
        <row r="572">
          <cell r="W572" t="str">
            <v>QAGIL02</v>
          </cell>
          <cell r="AD572">
            <v>73000</v>
          </cell>
        </row>
        <row r="573">
          <cell r="W573" t="str">
            <v>QAGIL02</v>
          </cell>
          <cell r="AD573">
            <v>73000</v>
          </cell>
        </row>
        <row r="574">
          <cell r="W574" t="str">
            <v>QAGIL02</v>
          </cell>
          <cell r="AD574">
            <v>73000</v>
          </cell>
        </row>
        <row r="575">
          <cell r="W575" t="str">
            <v>QAGIL02</v>
          </cell>
          <cell r="AD575">
            <v>73000</v>
          </cell>
        </row>
        <row r="576">
          <cell r="W576" t="str">
            <v>QAGIL02</v>
          </cell>
          <cell r="AD576">
            <v>73000</v>
          </cell>
        </row>
        <row r="577">
          <cell r="W577" t="str">
            <v>QAGIL02</v>
          </cell>
          <cell r="AD577">
            <v>73000</v>
          </cell>
        </row>
        <row r="578">
          <cell r="W578" t="str">
            <v>QAGIL02</v>
          </cell>
          <cell r="AD578">
            <v>73000</v>
          </cell>
        </row>
        <row r="579">
          <cell r="W579" t="str">
            <v>QAGIL02</v>
          </cell>
          <cell r="AD579">
            <v>73000</v>
          </cell>
        </row>
        <row r="580">
          <cell r="W580" t="str">
            <v>QAGIL02</v>
          </cell>
          <cell r="AD580">
            <v>73000</v>
          </cell>
        </row>
        <row r="581">
          <cell r="W581" t="str">
            <v>QAGIL02</v>
          </cell>
          <cell r="AD581">
            <v>73000</v>
          </cell>
        </row>
        <row r="582">
          <cell r="W582" t="str">
            <v>QAGIL02</v>
          </cell>
          <cell r="AD582">
            <v>73000</v>
          </cell>
        </row>
        <row r="583">
          <cell r="W583" t="str">
            <v>QAGIL02</v>
          </cell>
          <cell r="AD583">
            <v>73000</v>
          </cell>
        </row>
        <row r="584">
          <cell r="W584" t="str">
            <v>QAGIL02</v>
          </cell>
          <cell r="AD584">
            <v>73000</v>
          </cell>
        </row>
        <row r="585">
          <cell r="W585" t="str">
            <v>QAGIL02</v>
          </cell>
          <cell r="AD585">
            <v>73000</v>
          </cell>
        </row>
        <row r="586">
          <cell r="W586" t="str">
            <v>QAGIL02</v>
          </cell>
          <cell r="AD586">
            <v>73000</v>
          </cell>
        </row>
        <row r="587">
          <cell r="W587" t="str">
            <v>QAGIL02</v>
          </cell>
          <cell r="AD587">
            <v>73000</v>
          </cell>
        </row>
        <row r="588">
          <cell r="W588" t="str">
            <v>QAGIL02</v>
          </cell>
          <cell r="AD588">
            <v>73000</v>
          </cell>
        </row>
        <row r="589">
          <cell r="W589" t="str">
            <v>QAGIL02</v>
          </cell>
          <cell r="AD589">
            <v>73000</v>
          </cell>
        </row>
        <row r="590">
          <cell r="W590" t="str">
            <v>QAGIL02</v>
          </cell>
          <cell r="AD590">
            <v>73000</v>
          </cell>
        </row>
        <row r="591">
          <cell r="W591" t="str">
            <v>QAGIL02</v>
          </cell>
          <cell r="AD591">
            <v>73000</v>
          </cell>
        </row>
        <row r="592">
          <cell r="W592" t="str">
            <v>QAGIL02</v>
          </cell>
          <cell r="AD592">
            <v>73000</v>
          </cell>
        </row>
        <row r="593">
          <cell r="W593" t="str">
            <v>QAGIL02</v>
          </cell>
          <cell r="AD593">
            <v>73000</v>
          </cell>
        </row>
        <row r="594">
          <cell r="W594" t="str">
            <v>QAGIL02</v>
          </cell>
          <cell r="AD594">
            <v>73000</v>
          </cell>
        </row>
        <row r="595">
          <cell r="W595" t="str">
            <v>QAGIL02</v>
          </cell>
          <cell r="AD595">
            <v>73000</v>
          </cell>
        </row>
        <row r="596">
          <cell r="W596" t="str">
            <v>QAGIL02</v>
          </cell>
          <cell r="AD596">
            <v>73000</v>
          </cell>
        </row>
        <row r="597">
          <cell r="W597" t="str">
            <v>QAGIL02</v>
          </cell>
          <cell r="AD597">
            <v>73000</v>
          </cell>
        </row>
        <row r="598">
          <cell r="W598" t="str">
            <v>QAGIL02</v>
          </cell>
          <cell r="AD598">
            <v>73000</v>
          </cell>
        </row>
        <row r="599">
          <cell r="W599" t="str">
            <v>QAGIL02</v>
          </cell>
          <cell r="AD599">
            <v>73000</v>
          </cell>
        </row>
        <row r="600">
          <cell r="W600" t="str">
            <v>QAGIL02</v>
          </cell>
          <cell r="AD600">
            <v>73000</v>
          </cell>
        </row>
        <row r="601">
          <cell r="W601" t="str">
            <v>QAGIL02</v>
          </cell>
          <cell r="AD601">
            <v>73000</v>
          </cell>
        </row>
        <row r="602">
          <cell r="W602" t="str">
            <v>QAGIL02</v>
          </cell>
          <cell r="AD602">
            <v>75000</v>
          </cell>
        </row>
        <row r="603">
          <cell r="W603" t="str">
            <v>QAGRI06</v>
          </cell>
          <cell r="AD603">
            <v>80000</v>
          </cell>
        </row>
        <row r="604">
          <cell r="W604" t="str">
            <v>QAGRI06</v>
          </cell>
          <cell r="AD604">
            <v>80000</v>
          </cell>
        </row>
        <row r="605">
          <cell r="W605" t="str">
            <v>QAGRI06</v>
          </cell>
          <cell r="AD605">
            <v>80000</v>
          </cell>
        </row>
        <row r="606">
          <cell r="W606" t="str">
            <v>QAGRI02</v>
          </cell>
          <cell r="AD606">
            <v>78000</v>
          </cell>
        </row>
        <row r="607">
          <cell r="W607" t="str">
            <v>QAGRI03</v>
          </cell>
          <cell r="AD607">
            <v>137250</v>
          </cell>
        </row>
        <row r="608">
          <cell r="W608" t="str">
            <v>QAGRI03</v>
          </cell>
          <cell r="AD608">
            <v>140000</v>
          </cell>
        </row>
        <row r="609">
          <cell r="W609" t="str">
            <v>QAGRI03</v>
          </cell>
          <cell r="AD609">
            <v>143000</v>
          </cell>
        </row>
        <row r="610">
          <cell r="W610" t="str">
            <v>QAGRI03</v>
          </cell>
          <cell r="AD610">
            <v>143500</v>
          </cell>
        </row>
        <row r="611">
          <cell r="W611" t="str">
            <v>QAGRI03</v>
          </cell>
          <cell r="AD611">
            <v>143500</v>
          </cell>
        </row>
        <row r="612">
          <cell r="W612" t="str">
            <v>QAGRI03</v>
          </cell>
          <cell r="AD612">
            <v>146000</v>
          </cell>
        </row>
        <row r="613">
          <cell r="W613" t="str">
            <v>QAGRI03</v>
          </cell>
          <cell r="AD613">
            <v>148500</v>
          </cell>
        </row>
        <row r="614">
          <cell r="W614" t="str">
            <v>QAGRI04</v>
          </cell>
          <cell r="AD614">
            <v>81500</v>
          </cell>
        </row>
        <row r="615">
          <cell r="W615" t="str">
            <v>QAGRI04</v>
          </cell>
          <cell r="AD615">
            <v>81500</v>
          </cell>
        </row>
        <row r="616">
          <cell r="W616" t="str">
            <v>QAGRI04</v>
          </cell>
          <cell r="AD616">
            <v>81500</v>
          </cell>
        </row>
        <row r="617">
          <cell r="W617" t="str">
            <v>QAGRI04</v>
          </cell>
          <cell r="AD617">
            <v>81500</v>
          </cell>
        </row>
        <row r="618">
          <cell r="W618" t="str">
            <v>QAGRI04</v>
          </cell>
          <cell r="AD618">
            <v>81500</v>
          </cell>
        </row>
        <row r="619">
          <cell r="W619" t="str">
            <v>QAGRI04</v>
          </cell>
          <cell r="AD619">
            <v>81500</v>
          </cell>
        </row>
        <row r="620">
          <cell r="W620" t="str">
            <v>QAGRI04</v>
          </cell>
          <cell r="AD620">
            <v>81500</v>
          </cell>
        </row>
        <row r="621">
          <cell r="W621" t="str">
            <v>QAGRI04</v>
          </cell>
          <cell r="AD621">
            <v>81500</v>
          </cell>
        </row>
        <row r="622">
          <cell r="W622" t="str">
            <v>QAGRI04</v>
          </cell>
          <cell r="AD622">
            <v>81500</v>
          </cell>
        </row>
        <row r="623">
          <cell r="W623" t="str">
            <v>QAGRI04</v>
          </cell>
          <cell r="AD623">
            <v>81500</v>
          </cell>
        </row>
        <row r="624">
          <cell r="W624" t="str">
            <v>QAGRI04</v>
          </cell>
          <cell r="AD624">
            <v>81500</v>
          </cell>
        </row>
        <row r="625">
          <cell r="W625" t="str">
            <v>QAGRI04</v>
          </cell>
          <cell r="AD625">
            <v>81500</v>
          </cell>
        </row>
        <row r="626">
          <cell r="W626" t="str">
            <v>QAGRI04</v>
          </cell>
          <cell r="AD626">
            <v>81500</v>
          </cell>
        </row>
        <row r="627">
          <cell r="W627" t="str">
            <v>QAGRI04</v>
          </cell>
          <cell r="AD627">
            <v>81500</v>
          </cell>
        </row>
        <row r="628">
          <cell r="W628" t="str">
            <v>QAGRI04</v>
          </cell>
          <cell r="AD628">
            <v>82000</v>
          </cell>
        </row>
        <row r="629">
          <cell r="W629" t="str">
            <v>QAGRI04</v>
          </cell>
          <cell r="AD629">
            <v>82000</v>
          </cell>
        </row>
        <row r="630">
          <cell r="W630" t="str">
            <v>QAGRI04</v>
          </cell>
          <cell r="AD630">
            <v>82500</v>
          </cell>
        </row>
        <row r="631">
          <cell r="W631" t="str">
            <v>QAGRI04</v>
          </cell>
          <cell r="AD631">
            <v>82500</v>
          </cell>
        </row>
        <row r="632">
          <cell r="W632" t="str">
            <v>QAGRI04</v>
          </cell>
          <cell r="AD632">
            <v>82500</v>
          </cell>
        </row>
        <row r="633">
          <cell r="W633" t="str">
            <v>QAGRI04</v>
          </cell>
          <cell r="AD633">
            <v>82500</v>
          </cell>
        </row>
        <row r="634">
          <cell r="W634" t="str">
            <v>QAGRI04</v>
          </cell>
          <cell r="AD634">
            <v>82500</v>
          </cell>
        </row>
        <row r="635">
          <cell r="W635" t="str">
            <v>QAGRI04</v>
          </cell>
          <cell r="AD635">
            <v>82500</v>
          </cell>
        </row>
        <row r="636">
          <cell r="W636" t="str">
            <v>QAGRI04</v>
          </cell>
          <cell r="AD636">
            <v>83000</v>
          </cell>
        </row>
        <row r="637">
          <cell r="W637" t="str">
            <v>QAGRI04</v>
          </cell>
          <cell r="AD637">
            <v>83000</v>
          </cell>
        </row>
        <row r="638">
          <cell r="W638" t="str">
            <v>QAGRI04</v>
          </cell>
          <cell r="AD638">
            <v>83000</v>
          </cell>
        </row>
        <row r="639">
          <cell r="W639" t="str">
            <v>QAGRI04</v>
          </cell>
          <cell r="AD639">
            <v>83000</v>
          </cell>
        </row>
        <row r="640">
          <cell r="W640" t="str">
            <v>QAGRI04</v>
          </cell>
          <cell r="AD640">
            <v>83000</v>
          </cell>
        </row>
        <row r="641">
          <cell r="W641" t="str">
            <v>QAGRI04</v>
          </cell>
          <cell r="AD641">
            <v>83000</v>
          </cell>
        </row>
        <row r="642">
          <cell r="W642" t="str">
            <v>QAGRI04</v>
          </cell>
          <cell r="AD642">
            <v>83000</v>
          </cell>
        </row>
        <row r="643">
          <cell r="W643" t="str">
            <v>QAGRI04</v>
          </cell>
          <cell r="AD643">
            <v>83000</v>
          </cell>
        </row>
        <row r="644">
          <cell r="W644" t="str">
            <v>QAGRI04</v>
          </cell>
          <cell r="AD644">
            <v>83000</v>
          </cell>
        </row>
        <row r="645">
          <cell r="W645" t="str">
            <v>QAGRI04</v>
          </cell>
          <cell r="AD645">
            <v>83000</v>
          </cell>
        </row>
        <row r="646">
          <cell r="W646" t="str">
            <v>QAGRI04</v>
          </cell>
          <cell r="AD646">
            <v>83000</v>
          </cell>
        </row>
        <row r="647">
          <cell r="W647" t="str">
            <v>QAGRI04</v>
          </cell>
          <cell r="AD647">
            <v>83000</v>
          </cell>
        </row>
        <row r="648">
          <cell r="W648" t="str">
            <v>QAGRI04</v>
          </cell>
          <cell r="AD648">
            <v>83000</v>
          </cell>
        </row>
        <row r="649">
          <cell r="W649" t="str">
            <v>QAGRI04</v>
          </cell>
          <cell r="AD649">
            <v>83000</v>
          </cell>
        </row>
        <row r="650">
          <cell r="W650" t="str">
            <v>QAGRI04</v>
          </cell>
          <cell r="AD650">
            <v>83000</v>
          </cell>
        </row>
        <row r="651">
          <cell r="W651" t="str">
            <v>QAGRI04</v>
          </cell>
          <cell r="AD651">
            <v>83000</v>
          </cell>
        </row>
        <row r="652">
          <cell r="W652" t="str">
            <v>QAGRI04</v>
          </cell>
          <cell r="AD652">
            <v>83000</v>
          </cell>
        </row>
        <row r="653">
          <cell r="W653" t="str">
            <v>QAGRI04</v>
          </cell>
          <cell r="AD653">
            <v>85000</v>
          </cell>
        </row>
        <row r="654">
          <cell r="W654" t="str">
            <v>QAGRI04</v>
          </cell>
          <cell r="AD654">
            <v>86000</v>
          </cell>
        </row>
        <row r="655">
          <cell r="W655" t="str">
            <v>QAGRI04</v>
          </cell>
          <cell r="AD655">
            <v>86000</v>
          </cell>
        </row>
        <row r="656">
          <cell r="W656" t="str">
            <v>QAGRI04</v>
          </cell>
          <cell r="AD656">
            <v>32500</v>
          </cell>
        </row>
        <row r="657">
          <cell r="W657" t="str">
            <v>QAGRO02</v>
          </cell>
          <cell r="AD657">
            <v>26000</v>
          </cell>
        </row>
        <row r="658">
          <cell r="W658" t="str">
            <v>QAGRO02</v>
          </cell>
          <cell r="AD658">
            <v>26000</v>
          </cell>
        </row>
        <row r="659">
          <cell r="W659" t="str">
            <v>QAGRO02</v>
          </cell>
          <cell r="AD659">
            <v>26000</v>
          </cell>
        </row>
        <row r="660">
          <cell r="W660" t="str">
            <v>QAGRO02</v>
          </cell>
          <cell r="AD660">
            <v>26000</v>
          </cell>
        </row>
        <row r="661">
          <cell r="W661" t="str">
            <v>QAGRO02</v>
          </cell>
          <cell r="AD661">
            <v>26000</v>
          </cell>
        </row>
        <row r="662">
          <cell r="W662" t="str">
            <v>QAGRO02</v>
          </cell>
          <cell r="AD662">
            <v>26500</v>
          </cell>
        </row>
        <row r="663">
          <cell r="W663" t="str">
            <v>QAGRO02</v>
          </cell>
          <cell r="AD663">
            <v>26500</v>
          </cell>
        </row>
        <row r="664">
          <cell r="W664" t="str">
            <v>QAGRO02</v>
          </cell>
          <cell r="AD664">
            <v>26500</v>
          </cell>
        </row>
        <row r="665">
          <cell r="W665" t="str">
            <v>QAGRO02</v>
          </cell>
          <cell r="AD665">
            <v>27000</v>
          </cell>
        </row>
        <row r="666">
          <cell r="W666" t="str">
            <v>QAGRO02</v>
          </cell>
          <cell r="AD666">
            <v>27000</v>
          </cell>
        </row>
        <row r="667">
          <cell r="W667" t="str">
            <v>QAGRO02</v>
          </cell>
          <cell r="AD667">
            <v>27000</v>
          </cell>
        </row>
        <row r="668">
          <cell r="W668" t="str">
            <v>QAGRO02</v>
          </cell>
          <cell r="AD668">
            <v>27500</v>
          </cell>
        </row>
        <row r="669">
          <cell r="W669" t="str">
            <v>QAGRO02</v>
          </cell>
          <cell r="AD669">
            <v>27500</v>
          </cell>
        </row>
        <row r="670">
          <cell r="W670" t="str">
            <v>QAGRO02</v>
          </cell>
          <cell r="AD670">
            <v>27500</v>
          </cell>
        </row>
        <row r="671">
          <cell r="W671" t="str">
            <v>QAGRO02</v>
          </cell>
          <cell r="AD671">
            <v>27500</v>
          </cell>
        </row>
        <row r="672">
          <cell r="W672" t="str">
            <v>QAGRO02</v>
          </cell>
          <cell r="AD672">
            <v>28000</v>
          </cell>
        </row>
        <row r="673">
          <cell r="W673" t="str">
            <v>QAGRO02</v>
          </cell>
          <cell r="AD673">
            <v>28000</v>
          </cell>
        </row>
        <row r="674">
          <cell r="W674" t="str">
            <v>QAGRO02</v>
          </cell>
          <cell r="AD674">
            <v>28500</v>
          </cell>
        </row>
        <row r="675">
          <cell r="W675" t="str">
            <v>QAGRO02</v>
          </cell>
          <cell r="AD675">
            <v>28500</v>
          </cell>
        </row>
        <row r="676">
          <cell r="W676" t="str">
            <v>QAGRO02</v>
          </cell>
          <cell r="AD676">
            <v>28500</v>
          </cell>
        </row>
        <row r="677">
          <cell r="W677" t="str">
            <v>QAGRO02</v>
          </cell>
          <cell r="AD677">
            <v>28500</v>
          </cell>
        </row>
        <row r="678">
          <cell r="W678" t="str">
            <v>QAGRO02</v>
          </cell>
          <cell r="AD678">
            <v>28500</v>
          </cell>
        </row>
        <row r="679">
          <cell r="W679" t="str">
            <v>QAGRO02</v>
          </cell>
          <cell r="AD679">
            <v>28500</v>
          </cell>
        </row>
        <row r="680">
          <cell r="W680" t="str">
            <v>QAGRO02</v>
          </cell>
          <cell r="AD680">
            <v>28500</v>
          </cell>
        </row>
        <row r="681">
          <cell r="W681" t="str">
            <v>QAGRO02</v>
          </cell>
          <cell r="AD681">
            <v>28500</v>
          </cell>
        </row>
        <row r="682">
          <cell r="W682" t="str">
            <v>QAGRO02</v>
          </cell>
          <cell r="AD682">
            <v>28500</v>
          </cell>
        </row>
        <row r="683">
          <cell r="W683" t="str">
            <v>QAGRO02</v>
          </cell>
          <cell r="AD683">
            <v>28500</v>
          </cell>
        </row>
        <row r="684">
          <cell r="W684" t="str">
            <v>QAGRO02</v>
          </cell>
          <cell r="AD684">
            <v>28500</v>
          </cell>
        </row>
        <row r="685">
          <cell r="W685" t="str">
            <v>QAGRO02</v>
          </cell>
          <cell r="AD685">
            <v>31000</v>
          </cell>
        </row>
        <row r="686">
          <cell r="W686" t="str">
            <v>QAGRO02</v>
          </cell>
          <cell r="AD686">
            <v>35000</v>
          </cell>
        </row>
        <row r="687">
          <cell r="W687" t="str">
            <v>QAGRO02</v>
          </cell>
          <cell r="AD687">
            <v>35000</v>
          </cell>
        </row>
        <row r="688">
          <cell r="W688" t="str">
            <v>QAGRO11</v>
          </cell>
          <cell r="AD688">
            <v>35000</v>
          </cell>
        </row>
        <row r="689">
          <cell r="W689" t="str">
            <v>QAGRO11</v>
          </cell>
          <cell r="AD689">
            <v>36500</v>
          </cell>
        </row>
        <row r="690">
          <cell r="W690" t="str">
            <v>QAGRO08</v>
          </cell>
          <cell r="AD690">
            <v>140000</v>
          </cell>
        </row>
        <row r="691">
          <cell r="W691" t="str">
            <v>QAGRO08</v>
          </cell>
          <cell r="AD691">
            <v>145000</v>
          </cell>
        </row>
        <row r="692">
          <cell r="W692" t="str">
            <v>QAGRO08</v>
          </cell>
          <cell r="AD692">
            <v>160000</v>
          </cell>
        </row>
        <row r="693">
          <cell r="W693" t="str">
            <v>QAGRO09</v>
          </cell>
          <cell r="AD693">
            <v>80000</v>
          </cell>
        </row>
        <row r="694">
          <cell r="W694" t="str">
            <v>QAGRO09</v>
          </cell>
          <cell r="AD694">
            <v>80000</v>
          </cell>
        </row>
        <row r="695">
          <cell r="W695" t="str">
            <v>QAGRO09</v>
          </cell>
          <cell r="AD695">
            <v>86500</v>
          </cell>
        </row>
        <row r="696">
          <cell r="W696" t="str">
            <v>QAGRO09</v>
          </cell>
          <cell r="AD696">
            <v>86500</v>
          </cell>
        </row>
        <row r="697">
          <cell r="W697" t="str">
            <v>QAGUS01</v>
          </cell>
          <cell r="AD697">
            <v>56000</v>
          </cell>
        </row>
        <row r="698">
          <cell r="W698" t="str">
            <v>QAGUS01</v>
          </cell>
          <cell r="AD698">
            <v>60000</v>
          </cell>
        </row>
        <row r="699">
          <cell r="W699" t="str">
            <v>QAGUS01</v>
          </cell>
          <cell r="AD699">
            <v>61000</v>
          </cell>
        </row>
        <row r="700">
          <cell r="W700" t="str">
            <v>QAGUS01</v>
          </cell>
          <cell r="AD700">
            <v>61000</v>
          </cell>
        </row>
        <row r="701">
          <cell r="W701" t="str">
            <v>QAGUS01</v>
          </cell>
          <cell r="AD701">
            <v>61000</v>
          </cell>
        </row>
        <row r="702">
          <cell r="W702" t="str">
            <v>QAGUS01</v>
          </cell>
          <cell r="AD702">
            <v>61000</v>
          </cell>
        </row>
        <row r="703">
          <cell r="W703" t="str">
            <v>QAGUS01</v>
          </cell>
          <cell r="AD703">
            <v>61000</v>
          </cell>
        </row>
        <row r="704">
          <cell r="W704" t="str">
            <v>QAGUS01</v>
          </cell>
          <cell r="AD704">
            <v>61000</v>
          </cell>
        </row>
        <row r="705">
          <cell r="W705" t="str">
            <v>QAGUS01</v>
          </cell>
          <cell r="AD705">
            <v>61000</v>
          </cell>
        </row>
        <row r="706">
          <cell r="W706" t="str">
            <v>QAGUS01</v>
          </cell>
          <cell r="AD706">
            <v>61000</v>
          </cell>
        </row>
        <row r="707">
          <cell r="W707" t="str">
            <v>QAGUS01</v>
          </cell>
          <cell r="AD707">
            <v>61000</v>
          </cell>
        </row>
        <row r="708">
          <cell r="W708" t="str">
            <v>QAGUS01</v>
          </cell>
          <cell r="AD708">
            <v>61000</v>
          </cell>
        </row>
        <row r="709">
          <cell r="W709" t="str">
            <v>QAGUS01</v>
          </cell>
          <cell r="AD709">
            <v>61000</v>
          </cell>
        </row>
        <row r="710">
          <cell r="W710" t="str">
            <v>QAGUS01</v>
          </cell>
          <cell r="AD710">
            <v>62000</v>
          </cell>
        </row>
        <row r="711">
          <cell r="W711" t="str">
            <v>QAGUS01</v>
          </cell>
          <cell r="AD711">
            <v>63000</v>
          </cell>
        </row>
        <row r="712">
          <cell r="W712" t="str">
            <v>QAGUS01</v>
          </cell>
          <cell r="AD712">
            <v>65000</v>
          </cell>
        </row>
        <row r="713">
          <cell r="W713" t="str">
            <v>QAGUS02</v>
          </cell>
          <cell r="AD713">
            <v>127500</v>
          </cell>
        </row>
        <row r="714">
          <cell r="W714" t="str">
            <v>QAGUS02</v>
          </cell>
          <cell r="AD714">
            <v>137000</v>
          </cell>
        </row>
        <row r="715">
          <cell r="W715" t="str">
            <v>QAGUS02</v>
          </cell>
          <cell r="AD715">
            <v>137000</v>
          </cell>
        </row>
        <row r="716">
          <cell r="W716" t="str">
            <v>QAGUS02</v>
          </cell>
          <cell r="AD716">
            <v>137000</v>
          </cell>
        </row>
        <row r="717">
          <cell r="W717" t="str">
            <v>QAGUS02</v>
          </cell>
          <cell r="AD717">
            <v>137000</v>
          </cell>
        </row>
        <row r="718">
          <cell r="W718" t="str">
            <v>QAGUS02</v>
          </cell>
          <cell r="AD718">
            <v>137000</v>
          </cell>
        </row>
        <row r="719">
          <cell r="W719" t="str">
            <v>QAGUS02</v>
          </cell>
          <cell r="AD719">
            <v>137000</v>
          </cell>
        </row>
        <row r="720">
          <cell r="W720" t="str">
            <v>QAGUS02</v>
          </cell>
          <cell r="AD720">
            <v>137000</v>
          </cell>
        </row>
        <row r="721">
          <cell r="W721" t="str">
            <v>QAGUS02</v>
          </cell>
          <cell r="AD721">
            <v>140000</v>
          </cell>
        </row>
        <row r="722">
          <cell r="W722" t="str">
            <v>QAGUS02</v>
          </cell>
          <cell r="AD722">
            <v>140000</v>
          </cell>
        </row>
        <row r="723">
          <cell r="W723" t="str">
            <v>QAGUS02</v>
          </cell>
          <cell r="AD723">
            <v>140000</v>
          </cell>
        </row>
        <row r="724">
          <cell r="W724" t="str">
            <v>QAGUS02</v>
          </cell>
          <cell r="AD724">
            <v>140000</v>
          </cell>
        </row>
        <row r="725">
          <cell r="W725" t="str">
            <v>QAGUS02</v>
          </cell>
          <cell r="AD725">
            <v>140000</v>
          </cell>
        </row>
        <row r="726">
          <cell r="W726" t="str">
            <v>QAGUS02</v>
          </cell>
          <cell r="AD726">
            <v>140000</v>
          </cell>
        </row>
        <row r="727">
          <cell r="W727" t="str">
            <v>QAGUS02</v>
          </cell>
          <cell r="AD727">
            <v>140000</v>
          </cell>
        </row>
        <row r="728">
          <cell r="W728" t="str">
            <v>QAGUS02</v>
          </cell>
          <cell r="AD728">
            <v>140000</v>
          </cell>
        </row>
        <row r="729">
          <cell r="W729" t="str">
            <v>QAGUS02</v>
          </cell>
          <cell r="AD729">
            <v>140000</v>
          </cell>
        </row>
        <row r="730">
          <cell r="W730" t="str">
            <v>QAGUS02</v>
          </cell>
          <cell r="AD730">
            <v>140000</v>
          </cell>
        </row>
        <row r="731">
          <cell r="W731" t="str">
            <v>QAGUS02</v>
          </cell>
          <cell r="AD731">
            <v>140000</v>
          </cell>
        </row>
        <row r="732">
          <cell r="W732" t="str">
            <v>QAGUS02</v>
          </cell>
          <cell r="AD732">
            <v>140000</v>
          </cell>
        </row>
        <row r="733">
          <cell r="W733" t="str">
            <v>QAGUS02</v>
          </cell>
          <cell r="AD733">
            <v>140000</v>
          </cell>
        </row>
        <row r="734">
          <cell r="W734" t="str">
            <v>QAGUS02</v>
          </cell>
          <cell r="AD734">
            <v>140000</v>
          </cell>
        </row>
        <row r="735">
          <cell r="W735" t="str">
            <v>QAGUS02</v>
          </cell>
          <cell r="AD735">
            <v>140000</v>
          </cell>
        </row>
        <row r="736">
          <cell r="W736" t="str">
            <v>QAGUS02</v>
          </cell>
          <cell r="AD736">
            <v>143000</v>
          </cell>
        </row>
        <row r="737">
          <cell r="W737" t="str">
            <v>QAGUS02</v>
          </cell>
          <cell r="AD737">
            <v>143000</v>
          </cell>
        </row>
        <row r="738">
          <cell r="W738" t="str">
            <v>QAGUS02</v>
          </cell>
          <cell r="AD738">
            <v>143000</v>
          </cell>
        </row>
        <row r="739">
          <cell r="W739" t="str">
            <v>QAGUS02</v>
          </cell>
          <cell r="AD739">
            <v>145000</v>
          </cell>
        </row>
        <row r="740">
          <cell r="W740" t="str">
            <v>QAGUS02</v>
          </cell>
          <cell r="AD740">
            <v>145000</v>
          </cell>
        </row>
        <row r="741">
          <cell r="W741" t="str">
            <v>QAGUS02</v>
          </cell>
          <cell r="AD741">
            <v>145000</v>
          </cell>
        </row>
        <row r="742">
          <cell r="W742" t="str">
            <v>QAJIN01</v>
          </cell>
          <cell r="AD742">
            <v>24000</v>
          </cell>
        </row>
        <row r="743">
          <cell r="W743" t="str">
            <v>QAKAL02</v>
          </cell>
          <cell r="AD743">
            <v>130000</v>
          </cell>
        </row>
        <row r="744">
          <cell r="W744" t="str">
            <v>QAKAL02</v>
          </cell>
          <cell r="AD744">
            <v>130000</v>
          </cell>
        </row>
        <row r="745">
          <cell r="W745" t="str">
            <v>QAKAL02</v>
          </cell>
          <cell r="AD745">
            <v>130000</v>
          </cell>
        </row>
        <row r="746">
          <cell r="W746" t="str">
            <v>QAKAL02</v>
          </cell>
          <cell r="AD746">
            <v>130000</v>
          </cell>
        </row>
        <row r="747">
          <cell r="W747" t="str">
            <v>QAKAL02</v>
          </cell>
          <cell r="AD747">
            <v>130000</v>
          </cell>
        </row>
        <row r="748">
          <cell r="W748" t="str">
            <v>QAKAL02</v>
          </cell>
          <cell r="AD748">
            <v>130000</v>
          </cell>
        </row>
        <row r="749">
          <cell r="W749" t="str">
            <v>QAKAL02</v>
          </cell>
          <cell r="AD749">
            <v>130000</v>
          </cell>
        </row>
        <row r="750">
          <cell r="W750" t="str">
            <v>QAKAL03</v>
          </cell>
          <cell r="AD750">
            <v>71000</v>
          </cell>
        </row>
        <row r="751">
          <cell r="W751" t="str">
            <v>QAKAL03</v>
          </cell>
          <cell r="AD751">
            <v>71000</v>
          </cell>
        </row>
        <row r="752">
          <cell r="W752" t="str">
            <v>QAKAL03</v>
          </cell>
          <cell r="AD752">
            <v>76500</v>
          </cell>
        </row>
        <row r="753">
          <cell r="W753" t="str">
            <v>QAKAR02</v>
          </cell>
          <cell r="AD753">
            <v>58000</v>
          </cell>
        </row>
        <row r="754">
          <cell r="W754" t="str">
            <v>QAKAR02</v>
          </cell>
          <cell r="AD754">
            <v>58000</v>
          </cell>
        </row>
        <row r="755">
          <cell r="W755" t="str">
            <v>QAKAR02</v>
          </cell>
          <cell r="AD755">
            <v>58000</v>
          </cell>
        </row>
        <row r="756">
          <cell r="W756" t="str">
            <v>QAKAR02</v>
          </cell>
          <cell r="AD756">
            <v>58000</v>
          </cell>
        </row>
        <row r="757">
          <cell r="W757" t="str">
            <v>QAKAR02</v>
          </cell>
          <cell r="AD757">
            <v>58000</v>
          </cell>
        </row>
        <row r="758">
          <cell r="W758" t="str">
            <v>QAKAR02</v>
          </cell>
          <cell r="AD758">
            <v>58500</v>
          </cell>
        </row>
        <row r="759">
          <cell r="W759" t="str">
            <v>QALAM02</v>
          </cell>
          <cell r="AD759">
            <v>175000</v>
          </cell>
        </row>
        <row r="760">
          <cell r="W760" t="str">
            <v>QALAM02</v>
          </cell>
          <cell r="AD760">
            <v>180000</v>
          </cell>
        </row>
        <row r="761">
          <cell r="W761" t="str">
            <v>QALAM02</v>
          </cell>
          <cell r="AD761">
            <v>180000</v>
          </cell>
        </row>
        <row r="762">
          <cell r="W762" t="str">
            <v>QALAM01</v>
          </cell>
          <cell r="AD762">
            <v>40000</v>
          </cell>
        </row>
        <row r="763">
          <cell r="W763" t="str">
            <v>QALAT04</v>
          </cell>
          <cell r="AD763">
            <v>890000</v>
          </cell>
        </row>
        <row r="764">
          <cell r="W764" t="str">
            <v>QALFA01</v>
          </cell>
          <cell r="AD764">
            <v>52000</v>
          </cell>
        </row>
        <row r="765">
          <cell r="W765" t="str">
            <v>QALFA01</v>
          </cell>
          <cell r="AD765">
            <v>52000</v>
          </cell>
        </row>
        <row r="766">
          <cell r="W766" t="str">
            <v>QALFA01</v>
          </cell>
          <cell r="AD766">
            <v>52500</v>
          </cell>
        </row>
        <row r="767">
          <cell r="W767" t="str">
            <v>QALFA01</v>
          </cell>
          <cell r="AD767">
            <v>52500</v>
          </cell>
        </row>
        <row r="768">
          <cell r="W768" t="str">
            <v>QALFA01</v>
          </cell>
          <cell r="AD768">
            <v>52500</v>
          </cell>
        </row>
        <row r="769">
          <cell r="W769" t="str">
            <v>QALFA01</v>
          </cell>
          <cell r="AD769">
            <v>52500</v>
          </cell>
        </row>
        <row r="770">
          <cell r="W770" t="str">
            <v>QALFA01</v>
          </cell>
          <cell r="AD770">
            <v>52500</v>
          </cell>
        </row>
        <row r="771">
          <cell r="W771" t="str">
            <v>QALFA01</v>
          </cell>
          <cell r="AD771">
            <v>52500</v>
          </cell>
        </row>
        <row r="772">
          <cell r="W772" t="str">
            <v>QALFA01</v>
          </cell>
          <cell r="AD772">
            <v>52500</v>
          </cell>
        </row>
        <row r="773">
          <cell r="W773" t="str">
            <v>QALFA01</v>
          </cell>
          <cell r="AD773">
            <v>52500</v>
          </cell>
        </row>
        <row r="774">
          <cell r="W774" t="str">
            <v>QALFA01</v>
          </cell>
          <cell r="AD774">
            <v>52500</v>
          </cell>
        </row>
        <row r="775">
          <cell r="W775" t="str">
            <v>QALFA01</v>
          </cell>
          <cell r="AD775">
            <v>52500</v>
          </cell>
        </row>
        <row r="776">
          <cell r="W776" t="str">
            <v>QALFA01</v>
          </cell>
          <cell r="AD776">
            <v>52500</v>
          </cell>
        </row>
        <row r="777">
          <cell r="W777" t="str">
            <v>QALFA01</v>
          </cell>
          <cell r="AD777">
            <v>52500</v>
          </cell>
        </row>
        <row r="778">
          <cell r="W778" t="str">
            <v>QALFA01</v>
          </cell>
          <cell r="AD778">
            <v>52500</v>
          </cell>
        </row>
        <row r="779">
          <cell r="W779" t="str">
            <v>QALFA01</v>
          </cell>
          <cell r="AD779">
            <v>52500</v>
          </cell>
        </row>
        <row r="780">
          <cell r="W780" t="str">
            <v>QALFA01</v>
          </cell>
          <cell r="AD780">
            <v>52500</v>
          </cell>
        </row>
        <row r="781">
          <cell r="W781" t="str">
            <v>QALFA01</v>
          </cell>
          <cell r="AD781">
            <v>52500</v>
          </cell>
        </row>
        <row r="782">
          <cell r="W782" t="str">
            <v>QALFA01</v>
          </cell>
          <cell r="AD782">
            <v>52500</v>
          </cell>
        </row>
        <row r="783">
          <cell r="W783" t="str">
            <v>QALFA01</v>
          </cell>
          <cell r="AD783">
            <v>52500</v>
          </cell>
        </row>
        <row r="784">
          <cell r="W784" t="str">
            <v>QALFA01</v>
          </cell>
          <cell r="AD784">
            <v>52500</v>
          </cell>
        </row>
        <row r="785">
          <cell r="W785" t="str">
            <v>QALFA01</v>
          </cell>
          <cell r="AD785">
            <v>52500</v>
          </cell>
        </row>
        <row r="786">
          <cell r="W786" t="str">
            <v>QALFA01</v>
          </cell>
          <cell r="AD786">
            <v>52500</v>
          </cell>
        </row>
        <row r="787">
          <cell r="W787" t="str">
            <v>QALFA01</v>
          </cell>
          <cell r="AD787">
            <v>52500</v>
          </cell>
        </row>
        <row r="788">
          <cell r="W788" t="str">
            <v>QALFA01</v>
          </cell>
          <cell r="AD788">
            <v>52500</v>
          </cell>
        </row>
        <row r="789">
          <cell r="W789" t="str">
            <v>QALFA01</v>
          </cell>
          <cell r="AD789">
            <v>52500</v>
          </cell>
        </row>
        <row r="790">
          <cell r="W790" t="str">
            <v>QALFA01</v>
          </cell>
          <cell r="AD790">
            <v>52500</v>
          </cell>
        </row>
        <row r="791">
          <cell r="W791" t="str">
            <v>QALFA01</v>
          </cell>
          <cell r="AD791">
            <v>52500</v>
          </cell>
        </row>
        <row r="792">
          <cell r="W792" t="str">
            <v>QALFA01</v>
          </cell>
          <cell r="AD792">
            <v>52500</v>
          </cell>
        </row>
        <row r="793">
          <cell r="W793" t="str">
            <v>QALFA01</v>
          </cell>
          <cell r="AD793">
            <v>52500</v>
          </cell>
        </row>
        <row r="794">
          <cell r="W794" t="str">
            <v>QALFA01</v>
          </cell>
          <cell r="AD794">
            <v>52500</v>
          </cell>
        </row>
        <row r="795">
          <cell r="W795" t="str">
            <v>QALFA01</v>
          </cell>
          <cell r="AD795">
            <v>52500</v>
          </cell>
        </row>
        <row r="796">
          <cell r="W796" t="str">
            <v>QALFA01</v>
          </cell>
          <cell r="AD796">
            <v>52500</v>
          </cell>
        </row>
        <row r="797">
          <cell r="W797" t="str">
            <v>QALFA01</v>
          </cell>
          <cell r="AD797">
            <v>52500</v>
          </cell>
        </row>
        <row r="798">
          <cell r="W798" t="str">
            <v>QALFA01</v>
          </cell>
          <cell r="AD798">
            <v>52500</v>
          </cell>
        </row>
        <row r="799">
          <cell r="W799" t="str">
            <v>QALFA01</v>
          </cell>
          <cell r="AD799">
            <v>52500</v>
          </cell>
        </row>
        <row r="800">
          <cell r="W800" t="str">
            <v>QALFA02</v>
          </cell>
          <cell r="AD800">
            <v>27500</v>
          </cell>
        </row>
        <row r="801">
          <cell r="W801" t="str">
            <v>QALFA02</v>
          </cell>
          <cell r="AD801">
            <v>27500</v>
          </cell>
        </row>
        <row r="802">
          <cell r="W802" t="str">
            <v>QALFA02</v>
          </cell>
          <cell r="AD802">
            <v>29000</v>
          </cell>
        </row>
        <row r="803">
          <cell r="W803" t="str">
            <v>QALFA02</v>
          </cell>
          <cell r="AD803">
            <v>29000</v>
          </cell>
        </row>
        <row r="804">
          <cell r="W804" t="str">
            <v>QALFA02</v>
          </cell>
          <cell r="AD804">
            <v>29000</v>
          </cell>
        </row>
        <row r="805">
          <cell r="W805" t="str">
            <v>QALFA02</v>
          </cell>
          <cell r="AD805">
            <v>29000</v>
          </cell>
        </row>
        <row r="806">
          <cell r="W806" t="str">
            <v>QALFA02</v>
          </cell>
          <cell r="AD806">
            <v>29000</v>
          </cell>
        </row>
        <row r="807">
          <cell r="W807" t="str">
            <v>QALFA02</v>
          </cell>
          <cell r="AD807">
            <v>29000</v>
          </cell>
        </row>
        <row r="808">
          <cell r="W808" t="str">
            <v>QALFA02</v>
          </cell>
          <cell r="AD808">
            <v>29000</v>
          </cell>
        </row>
        <row r="809">
          <cell r="W809" t="str">
            <v>QALFA02</v>
          </cell>
          <cell r="AD809">
            <v>29000</v>
          </cell>
        </row>
        <row r="810">
          <cell r="W810" t="str">
            <v>QALFA02</v>
          </cell>
          <cell r="AD810">
            <v>29000</v>
          </cell>
        </row>
        <row r="811">
          <cell r="W811" t="str">
            <v>QALFA02</v>
          </cell>
          <cell r="AD811">
            <v>29000</v>
          </cell>
        </row>
        <row r="812">
          <cell r="W812" t="str">
            <v>QALFA02</v>
          </cell>
          <cell r="AD812">
            <v>29000</v>
          </cell>
        </row>
        <row r="813">
          <cell r="W813" t="str">
            <v>QALFA02</v>
          </cell>
          <cell r="AD813">
            <v>29000</v>
          </cell>
        </row>
        <row r="814">
          <cell r="W814" t="str">
            <v>QALFA02</v>
          </cell>
          <cell r="AD814">
            <v>29000</v>
          </cell>
        </row>
        <row r="815">
          <cell r="W815" t="str">
            <v>QALFA02</v>
          </cell>
          <cell r="AD815">
            <v>29000</v>
          </cell>
        </row>
        <row r="816">
          <cell r="W816" t="str">
            <v>QALFA02</v>
          </cell>
          <cell r="AD816">
            <v>29000</v>
          </cell>
        </row>
        <row r="817">
          <cell r="W817" t="str">
            <v>QALFA02</v>
          </cell>
          <cell r="AD817">
            <v>29000</v>
          </cell>
        </row>
        <row r="818">
          <cell r="W818" t="str">
            <v>QALFA02</v>
          </cell>
          <cell r="AD818">
            <v>29000</v>
          </cell>
        </row>
        <row r="819">
          <cell r="W819" t="str">
            <v>QALFA02</v>
          </cell>
          <cell r="AD819">
            <v>29500</v>
          </cell>
        </row>
        <row r="820">
          <cell r="W820" t="str">
            <v>QALFA04</v>
          </cell>
          <cell r="AD820">
            <v>13250</v>
          </cell>
        </row>
        <row r="821">
          <cell r="W821" t="str">
            <v>QALFA04</v>
          </cell>
          <cell r="AD821">
            <v>13250</v>
          </cell>
        </row>
        <row r="822">
          <cell r="W822" t="str">
            <v>QALFA04</v>
          </cell>
          <cell r="AD822">
            <v>13250</v>
          </cell>
        </row>
        <row r="823">
          <cell r="W823" t="str">
            <v>QALFA04</v>
          </cell>
          <cell r="AD823">
            <v>13250</v>
          </cell>
        </row>
        <row r="824">
          <cell r="W824" t="str">
            <v>QALFA04</v>
          </cell>
          <cell r="AD824">
            <v>13250</v>
          </cell>
        </row>
        <row r="825">
          <cell r="W825" t="str">
            <v>QALFA04</v>
          </cell>
          <cell r="AD825">
            <v>13250</v>
          </cell>
        </row>
        <row r="826">
          <cell r="W826" t="str">
            <v>QALFA04</v>
          </cell>
          <cell r="AD826">
            <v>13250</v>
          </cell>
        </row>
        <row r="827">
          <cell r="W827" t="str">
            <v>QALFA04</v>
          </cell>
          <cell r="AD827">
            <v>13250</v>
          </cell>
        </row>
        <row r="828">
          <cell r="W828" t="str">
            <v>QALFA04</v>
          </cell>
          <cell r="AD828">
            <v>13250</v>
          </cell>
        </row>
        <row r="829">
          <cell r="W829" t="str">
            <v>QALFA04</v>
          </cell>
          <cell r="AD829">
            <v>13250</v>
          </cell>
        </row>
        <row r="830">
          <cell r="W830" t="str">
            <v>QALFA04</v>
          </cell>
          <cell r="AD830">
            <v>13250</v>
          </cell>
        </row>
        <row r="831">
          <cell r="W831" t="str">
            <v>QALFA04</v>
          </cell>
          <cell r="AD831">
            <v>13250</v>
          </cell>
        </row>
        <row r="832">
          <cell r="W832" t="str">
            <v>QALFA04</v>
          </cell>
          <cell r="AD832">
            <v>13250</v>
          </cell>
        </row>
        <row r="833">
          <cell r="W833" t="str">
            <v>QALFA04</v>
          </cell>
          <cell r="AD833">
            <v>13250</v>
          </cell>
        </row>
        <row r="834">
          <cell r="W834" t="str">
            <v>QALFA04</v>
          </cell>
          <cell r="AD834">
            <v>13250</v>
          </cell>
        </row>
        <row r="835">
          <cell r="W835" t="str">
            <v>QALFA04</v>
          </cell>
          <cell r="AD835">
            <v>13250</v>
          </cell>
        </row>
        <row r="836">
          <cell r="W836" t="str">
            <v>QALFA04</v>
          </cell>
          <cell r="AD836">
            <v>13250</v>
          </cell>
        </row>
        <row r="837">
          <cell r="W837" t="str">
            <v>QALFA04</v>
          </cell>
          <cell r="AD837">
            <v>13500</v>
          </cell>
        </row>
        <row r="838">
          <cell r="W838" t="str">
            <v>QALFA04</v>
          </cell>
          <cell r="AD838">
            <v>13500</v>
          </cell>
        </row>
        <row r="839">
          <cell r="W839" t="str">
            <v>QALFA04</v>
          </cell>
          <cell r="AD839">
            <v>13500</v>
          </cell>
        </row>
        <row r="840">
          <cell r="W840" t="str">
            <v>QALIK01</v>
          </cell>
          <cell r="AD840">
            <v>30250</v>
          </cell>
        </row>
        <row r="841">
          <cell r="W841" t="str">
            <v>QALIK01</v>
          </cell>
          <cell r="AD841">
            <v>30500</v>
          </cell>
        </row>
        <row r="842">
          <cell r="W842" t="str">
            <v>QALIK01</v>
          </cell>
          <cell r="AD842">
            <v>30600</v>
          </cell>
        </row>
        <row r="843">
          <cell r="W843" t="str">
            <v>QALIK01</v>
          </cell>
          <cell r="AD843">
            <v>30700</v>
          </cell>
        </row>
        <row r="844">
          <cell r="W844" t="str">
            <v>QALIK01</v>
          </cell>
          <cell r="AD844">
            <v>30750</v>
          </cell>
        </row>
        <row r="845">
          <cell r="W845" t="str">
            <v>QALIK01</v>
          </cell>
          <cell r="AD845">
            <v>30750</v>
          </cell>
        </row>
        <row r="846">
          <cell r="W846" t="str">
            <v>QALIK01</v>
          </cell>
          <cell r="AD846">
            <v>31000</v>
          </cell>
        </row>
        <row r="847">
          <cell r="W847" t="str">
            <v>QALIK02</v>
          </cell>
          <cell r="AD847">
            <v>125500</v>
          </cell>
        </row>
        <row r="848">
          <cell r="W848" t="str">
            <v>QALIK02</v>
          </cell>
          <cell r="AD848">
            <v>125800</v>
          </cell>
        </row>
        <row r="849">
          <cell r="W849" t="str">
            <v>QALIK02</v>
          </cell>
          <cell r="AD849">
            <v>126900</v>
          </cell>
        </row>
        <row r="850">
          <cell r="W850" t="str">
            <v>QALIK02</v>
          </cell>
          <cell r="AD850">
            <v>126900</v>
          </cell>
        </row>
        <row r="851">
          <cell r="W851" t="str">
            <v>QALIK02</v>
          </cell>
          <cell r="AD851">
            <v>127000</v>
          </cell>
        </row>
        <row r="852">
          <cell r="W852" t="str">
            <v>QALIK02</v>
          </cell>
          <cell r="AD852">
            <v>127000</v>
          </cell>
        </row>
        <row r="853">
          <cell r="W853" t="str">
            <v>QALIK02</v>
          </cell>
          <cell r="AD853">
            <v>127000</v>
          </cell>
        </row>
        <row r="854">
          <cell r="W854" t="str">
            <v>QALIK02</v>
          </cell>
          <cell r="AD854">
            <v>127500</v>
          </cell>
        </row>
        <row r="855">
          <cell r="W855" t="str">
            <v>QALIK02</v>
          </cell>
          <cell r="AD855">
            <v>128000</v>
          </cell>
        </row>
        <row r="856">
          <cell r="W856" t="str">
            <v>QALIK02</v>
          </cell>
          <cell r="AD856">
            <v>128000</v>
          </cell>
        </row>
        <row r="857">
          <cell r="W857" t="str">
            <v>QALIK03</v>
          </cell>
          <cell r="AD857">
            <v>53000</v>
          </cell>
        </row>
        <row r="858">
          <cell r="W858" t="str">
            <v>QALIK03</v>
          </cell>
          <cell r="AD858">
            <v>53000</v>
          </cell>
        </row>
        <row r="859">
          <cell r="W859" t="str">
            <v>QALIK03</v>
          </cell>
          <cell r="AD859">
            <v>53500</v>
          </cell>
        </row>
        <row r="860">
          <cell r="W860" t="str">
            <v>QALIK03</v>
          </cell>
          <cell r="AD860">
            <v>53500</v>
          </cell>
        </row>
        <row r="861">
          <cell r="W861" t="str">
            <v>QALIK03</v>
          </cell>
          <cell r="AD861">
            <v>53500</v>
          </cell>
        </row>
        <row r="862">
          <cell r="W862" t="str">
            <v>QALIK03</v>
          </cell>
          <cell r="AD862">
            <v>53500</v>
          </cell>
        </row>
        <row r="863">
          <cell r="W863" t="str">
            <v>QALIK03</v>
          </cell>
          <cell r="AD863">
            <v>53500</v>
          </cell>
        </row>
        <row r="864">
          <cell r="W864" t="str">
            <v>QALIK03</v>
          </cell>
          <cell r="AD864">
            <v>53500</v>
          </cell>
        </row>
        <row r="865">
          <cell r="W865" t="str">
            <v>QALIK03</v>
          </cell>
          <cell r="AD865">
            <v>54000</v>
          </cell>
        </row>
        <row r="866">
          <cell r="W866" t="str">
            <v>QALIK03</v>
          </cell>
          <cell r="AD866">
            <v>54000</v>
          </cell>
        </row>
        <row r="867">
          <cell r="W867" t="str">
            <v>QALIK03</v>
          </cell>
          <cell r="AD867">
            <v>54000</v>
          </cell>
        </row>
        <row r="868">
          <cell r="W868" t="str">
            <v>QALIK03</v>
          </cell>
          <cell r="AD868">
            <v>54000</v>
          </cell>
        </row>
        <row r="869">
          <cell r="W869" t="str">
            <v>QALIK03</v>
          </cell>
          <cell r="AD869">
            <v>54000</v>
          </cell>
        </row>
        <row r="870">
          <cell r="W870" t="str">
            <v>QALIK03</v>
          </cell>
          <cell r="AD870">
            <v>54000</v>
          </cell>
        </row>
        <row r="871">
          <cell r="W871" t="str">
            <v>QALIK03</v>
          </cell>
          <cell r="AD871">
            <v>54000</v>
          </cell>
        </row>
        <row r="872">
          <cell r="W872" t="str">
            <v>QALIK03</v>
          </cell>
          <cell r="AD872">
            <v>54000</v>
          </cell>
        </row>
        <row r="873">
          <cell r="W873" t="str">
            <v>QALIK03</v>
          </cell>
          <cell r="AD873">
            <v>54000</v>
          </cell>
        </row>
        <row r="874">
          <cell r="W874" t="str">
            <v>QALIK03</v>
          </cell>
          <cell r="AD874">
            <v>54000</v>
          </cell>
        </row>
        <row r="875">
          <cell r="W875" t="str">
            <v>QALIK03</v>
          </cell>
          <cell r="AD875">
            <v>54250</v>
          </cell>
        </row>
        <row r="876">
          <cell r="W876" t="str">
            <v>QALIK03</v>
          </cell>
          <cell r="AD876">
            <v>54250</v>
          </cell>
        </row>
        <row r="877">
          <cell r="W877" t="str">
            <v>QALIK03</v>
          </cell>
          <cell r="AD877">
            <v>54500</v>
          </cell>
        </row>
        <row r="878">
          <cell r="W878" t="str">
            <v>QALIK03</v>
          </cell>
          <cell r="AD878">
            <v>54500</v>
          </cell>
        </row>
        <row r="879">
          <cell r="W879" t="str">
            <v>QALLY01</v>
          </cell>
          <cell r="AD879">
            <v>8850</v>
          </cell>
        </row>
        <row r="880">
          <cell r="W880" t="str">
            <v>QALLY01</v>
          </cell>
          <cell r="AD880">
            <v>8850</v>
          </cell>
        </row>
        <row r="881">
          <cell r="W881" t="str">
            <v>QALLY01</v>
          </cell>
          <cell r="AD881">
            <v>8900</v>
          </cell>
        </row>
        <row r="882">
          <cell r="W882" t="str">
            <v>QALLY01</v>
          </cell>
          <cell r="AD882">
            <v>8900</v>
          </cell>
        </row>
        <row r="883">
          <cell r="W883" t="str">
            <v>QALLY01</v>
          </cell>
          <cell r="AD883">
            <v>8900</v>
          </cell>
        </row>
        <row r="884">
          <cell r="W884" t="str">
            <v>QALLY01</v>
          </cell>
          <cell r="AD884">
            <v>8900</v>
          </cell>
        </row>
        <row r="885">
          <cell r="W885" t="str">
            <v>QALLY01</v>
          </cell>
          <cell r="AD885">
            <v>8900</v>
          </cell>
        </row>
        <row r="886">
          <cell r="W886" t="str">
            <v>QALLY01</v>
          </cell>
          <cell r="AD886">
            <v>9000</v>
          </cell>
        </row>
        <row r="887">
          <cell r="W887" t="str">
            <v>QALLY01</v>
          </cell>
          <cell r="AD887">
            <v>9000</v>
          </cell>
        </row>
        <row r="888">
          <cell r="W888" t="str">
            <v>QALLY01</v>
          </cell>
          <cell r="AD888">
            <v>9000</v>
          </cell>
        </row>
        <row r="889">
          <cell r="W889" t="str">
            <v>QALLY01</v>
          </cell>
          <cell r="AD889">
            <v>9000</v>
          </cell>
        </row>
        <row r="890">
          <cell r="W890" t="str">
            <v>QALLY01</v>
          </cell>
          <cell r="AD890">
            <v>9000</v>
          </cell>
        </row>
        <row r="891">
          <cell r="W891" t="str">
            <v>QALLY01</v>
          </cell>
          <cell r="AD891">
            <v>9000</v>
          </cell>
        </row>
        <row r="892">
          <cell r="W892" t="str">
            <v>QALLY01</v>
          </cell>
          <cell r="AD892">
            <v>9000</v>
          </cell>
        </row>
        <row r="893">
          <cell r="W893" t="str">
            <v>QALLY01</v>
          </cell>
          <cell r="AD893">
            <v>9000</v>
          </cell>
        </row>
        <row r="894">
          <cell r="W894" t="str">
            <v>QALLY01</v>
          </cell>
          <cell r="AD894">
            <v>9000</v>
          </cell>
        </row>
        <row r="895">
          <cell r="W895" t="str">
            <v>QALLY01</v>
          </cell>
          <cell r="AD895">
            <v>9000</v>
          </cell>
        </row>
        <row r="896">
          <cell r="W896" t="str">
            <v>QALLY01</v>
          </cell>
          <cell r="AD896">
            <v>9000</v>
          </cell>
        </row>
        <row r="897">
          <cell r="W897" t="str">
            <v>QALLY01</v>
          </cell>
          <cell r="AD897">
            <v>9000</v>
          </cell>
        </row>
        <row r="898">
          <cell r="W898" t="str">
            <v>QALLY01</v>
          </cell>
          <cell r="AD898">
            <v>9000</v>
          </cell>
        </row>
        <row r="899">
          <cell r="W899" t="str">
            <v>QALLY01</v>
          </cell>
          <cell r="AD899">
            <v>9000</v>
          </cell>
        </row>
        <row r="900">
          <cell r="W900" t="str">
            <v>QALLY01</v>
          </cell>
          <cell r="AD900">
            <v>9000</v>
          </cell>
        </row>
        <row r="901">
          <cell r="W901" t="str">
            <v>QALLY01</v>
          </cell>
          <cell r="AD901">
            <v>9000</v>
          </cell>
        </row>
        <row r="902">
          <cell r="W902" t="str">
            <v>QALLY01</v>
          </cell>
          <cell r="AD902">
            <v>9000</v>
          </cell>
        </row>
        <row r="903">
          <cell r="W903" t="str">
            <v>QALLY01</v>
          </cell>
          <cell r="AD903">
            <v>9000</v>
          </cell>
        </row>
        <row r="904">
          <cell r="W904" t="str">
            <v>QALLY01</v>
          </cell>
          <cell r="AD904">
            <v>9200</v>
          </cell>
        </row>
        <row r="905">
          <cell r="W905" t="str">
            <v>QALLY01</v>
          </cell>
          <cell r="AD905">
            <v>9200</v>
          </cell>
        </row>
        <row r="906">
          <cell r="W906" t="str">
            <v>QALLY01</v>
          </cell>
          <cell r="AD906">
            <v>9200</v>
          </cell>
        </row>
        <row r="907">
          <cell r="W907" t="str">
            <v>QALLY01</v>
          </cell>
          <cell r="AD907">
            <v>9200</v>
          </cell>
        </row>
        <row r="908">
          <cell r="W908" t="str">
            <v>QALLY01</v>
          </cell>
          <cell r="AD908">
            <v>9200</v>
          </cell>
        </row>
        <row r="909">
          <cell r="W909" t="str">
            <v>QALLY01</v>
          </cell>
          <cell r="AD909">
            <v>9200</v>
          </cell>
        </row>
        <row r="910">
          <cell r="W910" t="str">
            <v>QALLY01</v>
          </cell>
          <cell r="AD910">
            <v>9200</v>
          </cell>
        </row>
        <row r="911">
          <cell r="W911" t="str">
            <v>QALLY01</v>
          </cell>
          <cell r="AD911">
            <v>9200</v>
          </cell>
        </row>
        <row r="912">
          <cell r="W912" t="str">
            <v>QALLY01</v>
          </cell>
          <cell r="AD912">
            <v>9200</v>
          </cell>
        </row>
        <row r="913">
          <cell r="W913" t="str">
            <v>QALLY01</v>
          </cell>
          <cell r="AD913">
            <v>9200</v>
          </cell>
        </row>
        <row r="914">
          <cell r="W914" t="str">
            <v>QALLY01</v>
          </cell>
          <cell r="AD914">
            <v>9200</v>
          </cell>
        </row>
        <row r="915">
          <cell r="W915" t="str">
            <v>QALLY01</v>
          </cell>
          <cell r="AD915">
            <v>9250</v>
          </cell>
        </row>
        <row r="916">
          <cell r="W916" t="str">
            <v>QALLY01</v>
          </cell>
          <cell r="AD916">
            <v>9250</v>
          </cell>
        </row>
        <row r="917">
          <cell r="W917" t="str">
            <v>QALLY01</v>
          </cell>
          <cell r="AD917">
            <v>9250</v>
          </cell>
        </row>
        <row r="918">
          <cell r="W918" t="str">
            <v>QALLY01</v>
          </cell>
          <cell r="AD918">
            <v>9250</v>
          </cell>
        </row>
        <row r="919">
          <cell r="W919" t="str">
            <v>QALLY01</v>
          </cell>
          <cell r="AD919">
            <v>9250</v>
          </cell>
        </row>
        <row r="920">
          <cell r="W920" t="str">
            <v>QALLY01</v>
          </cell>
          <cell r="AD920">
            <v>9250</v>
          </cell>
        </row>
        <row r="921">
          <cell r="W921" t="str">
            <v>QALLY01</v>
          </cell>
          <cell r="AD921">
            <v>9250</v>
          </cell>
        </row>
        <row r="922">
          <cell r="W922" t="str">
            <v>QALLY01</v>
          </cell>
          <cell r="AD922">
            <v>9250</v>
          </cell>
        </row>
        <row r="923">
          <cell r="W923" t="str">
            <v>QALLY01</v>
          </cell>
          <cell r="AD923">
            <v>9250</v>
          </cell>
        </row>
        <row r="924">
          <cell r="W924" t="str">
            <v>QALLY01</v>
          </cell>
          <cell r="AD924">
            <v>9250</v>
          </cell>
        </row>
        <row r="925">
          <cell r="W925" t="str">
            <v>QALLY01</v>
          </cell>
          <cell r="AD925">
            <v>9250</v>
          </cell>
        </row>
        <row r="926">
          <cell r="W926" t="str">
            <v>QALLY01</v>
          </cell>
          <cell r="AD926">
            <v>9250</v>
          </cell>
        </row>
        <row r="927">
          <cell r="W927" t="str">
            <v>QALLY01</v>
          </cell>
          <cell r="AD927">
            <v>9250</v>
          </cell>
        </row>
        <row r="928">
          <cell r="W928" t="str">
            <v>QALLY01</v>
          </cell>
          <cell r="AD928">
            <v>9250</v>
          </cell>
        </row>
        <row r="929">
          <cell r="W929" t="str">
            <v>QALLY01</v>
          </cell>
          <cell r="AD929">
            <v>9250</v>
          </cell>
        </row>
        <row r="930">
          <cell r="W930" t="str">
            <v>QALLY01</v>
          </cell>
          <cell r="AD930">
            <v>9250</v>
          </cell>
        </row>
        <row r="931">
          <cell r="W931" t="str">
            <v>QALLY01</v>
          </cell>
          <cell r="AD931">
            <v>9250</v>
          </cell>
        </row>
        <row r="932">
          <cell r="W932" t="str">
            <v>QALLY01</v>
          </cell>
          <cell r="AD932">
            <v>9250</v>
          </cell>
        </row>
        <row r="933">
          <cell r="W933" t="str">
            <v>QALLY01</v>
          </cell>
          <cell r="AD933">
            <v>9250</v>
          </cell>
        </row>
        <row r="934">
          <cell r="W934" t="str">
            <v>QALLY01</v>
          </cell>
          <cell r="AD934">
            <v>9250</v>
          </cell>
        </row>
        <row r="935">
          <cell r="W935" t="str">
            <v>QALLY01</v>
          </cell>
          <cell r="AD935">
            <v>9250</v>
          </cell>
        </row>
        <row r="936">
          <cell r="W936" t="str">
            <v>QALLY01</v>
          </cell>
          <cell r="AD936">
            <v>9250</v>
          </cell>
        </row>
        <row r="937">
          <cell r="W937" t="str">
            <v>QALLY01</v>
          </cell>
          <cell r="AD937">
            <v>9250</v>
          </cell>
        </row>
        <row r="938">
          <cell r="W938" t="str">
            <v>QALLY01</v>
          </cell>
          <cell r="AD938">
            <v>9250</v>
          </cell>
        </row>
        <row r="939">
          <cell r="W939" t="str">
            <v>QALLY01</v>
          </cell>
          <cell r="AD939">
            <v>9250</v>
          </cell>
        </row>
        <row r="940">
          <cell r="W940" t="str">
            <v>QALLY01</v>
          </cell>
          <cell r="AD940">
            <v>9250</v>
          </cell>
        </row>
        <row r="941">
          <cell r="W941" t="str">
            <v>QALLY01</v>
          </cell>
          <cell r="AD941">
            <v>9250</v>
          </cell>
        </row>
        <row r="942">
          <cell r="W942" t="str">
            <v>QALLY01</v>
          </cell>
          <cell r="AD942">
            <v>9250</v>
          </cell>
        </row>
        <row r="943">
          <cell r="W943" t="str">
            <v>QALLY01</v>
          </cell>
          <cell r="AD943">
            <v>9250</v>
          </cell>
        </row>
        <row r="944">
          <cell r="W944" t="str">
            <v>QALLY01</v>
          </cell>
          <cell r="AD944">
            <v>9250</v>
          </cell>
        </row>
        <row r="945">
          <cell r="W945" t="str">
            <v>QALLY01</v>
          </cell>
          <cell r="AD945">
            <v>9250</v>
          </cell>
        </row>
        <row r="946">
          <cell r="W946" t="str">
            <v>QALLY01</v>
          </cell>
          <cell r="AD946">
            <v>9250</v>
          </cell>
        </row>
        <row r="947">
          <cell r="W947" t="str">
            <v>QALLY01</v>
          </cell>
          <cell r="AD947">
            <v>9250</v>
          </cell>
        </row>
        <row r="948">
          <cell r="W948" t="str">
            <v>QALLY01</v>
          </cell>
          <cell r="AD948">
            <v>9250</v>
          </cell>
        </row>
        <row r="949">
          <cell r="W949" t="str">
            <v>QALLY01</v>
          </cell>
          <cell r="AD949">
            <v>9250</v>
          </cell>
        </row>
        <row r="950">
          <cell r="W950" t="str">
            <v>QALLY01</v>
          </cell>
          <cell r="AD950">
            <v>9250</v>
          </cell>
        </row>
        <row r="951">
          <cell r="W951" t="str">
            <v>QALLY01</v>
          </cell>
          <cell r="AD951">
            <v>9250</v>
          </cell>
        </row>
        <row r="952">
          <cell r="W952" t="str">
            <v>QALLY01</v>
          </cell>
          <cell r="AD952">
            <v>9250</v>
          </cell>
        </row>
        <row r="953">
          <cell r="W953" t="str">
            <v>QALLY01</v>
          </cell>
          <cell r="AD953">
            <v>9250</v>
          </cell>
        </row>
        <row r="954">
          <cell r="W954" t="str">
            <v>QALLY01</v>
          </cell>
          <cell r="AD954">
            <v>9250</v>
          </cell>
        </row>
        <row r="955">
          <cell r="W955" t="str">
            <v>QALLY01</v>
          </cell>
          <cell r="AD955">
            <v>9250</v>
          </cell>
        </row>
        <row r="956">
          <cell r="W956" t="str">
            <v>QALLY01</v>
          </cell>
          <cell r="AD956">
            <v>9250</v>
          </cell>
        </row>
        <row r="957">
          <cell r="W957" t="str">
            <v>QALLY01</v>
          </cell>
          <cell r="AD957">
            <v>9250</v>
          </cell>
        </row>
        <row r="958">
          <cell r="W958" t="str">
            <v>QALLY01</v>
          </cell>
          <cell r="AD958">
            <v>9250</v>
          </cell>
        </row>
        <row r="959">
          <cell r="W959" t="str">
            <v>QALLY01</v>
          </cell>
          <cell r="AD959">
            <v>9250</v>
          </cell>
        </row>
        <row r="960">
          <cell r="W960" t="str">
            <v>QALLY01</v>
          </cell>
          <cell r="AD960">
            <v>9250</v>
          </cell>
        </row>
        <row r="961">
          <cell r="W961" t="str">
            <v>QALLY01</v>
          </cell>
          <cell r="AD961">
            <v>9250</v>
          </cell>
        </row>
        <row r="962">
          <cell r="W962" t="str">
            <v>QALLY01</v>
          </cell>
          <cell r="AD962">
            <v>9250</v>
          </cell>
        </row>
        <row r="963">
          <cell r="W963" t="str">
            <v>QALLY01</v>
          </cell>
          <cell r="AD963">
            <v>9250</v>
          </cell>
        </row>
        <row r="964">
          <cell r="W964" t="str">
            <v>QALLY01</v>
          </cell>
          <cell r="AD964">
            <v>9250</v>
          </cell>
        </row>
        <row r="965">
          <cell r="W965" t="str">
            <v>QALLY01</v>
          </cell>
          <cell r="AD965">
            <v>9250</v>
          </cell>
        </row>
        <row r="966">
          <cell r="W966" t="str">
            <v>QALLY01</v>
          </cell>
          <cell r="AD966">
            <v>9250</v>
          </cell>
        </row>
        <row r="967">
          <cell r="W967" t="str">
            <v>QALLY01</v>
          </cell>
          <cell r="AD967">
            <v>9250</v>
          </cell>
        </row>
        <row r="968">
          <cell r="W968" t="str">
            <v>QALLY01</v>
          </cell>
          <cell r="AD968">
            <v>9250</v>
          </cell>
        </row>
        <row r="969">
          <cell r="W969" t="str">
            <v>QALLY01</v>
          </cell>
          <cell r="AD969">
            <v>9250</v>
          </cell>
        </row>
        <row r="970">
          <cell r="W970" t="str">
            <v>QALLY01</v>
          </cell>
          <cell r="AD970">
            <v>9250</v>
          </cell>
        </row>
        <row r="971">
          <cell r="W971" t="str">
            <v>QALLY01</v>
          </cell>
          <cell r="AD971">
            <v>9350</v>
          </cell>
        </row>
        <row r="972">
          <cell r="W972" t="str">
            <v>QALLY01</v>
          </cell>
          <cell r="AD972">
            <v>9500</v>
          </cell>
        </row>
        <row r="973">
          <cell r="W973" t="str">
            <v>QALLY01</v>
          </cell>
          <cell r="AD973">
            <v>10000</v>
          </cell>
        </row>
        <row r="974">
          <cell r="W974" t="str">
            <v>QAMAB01</v>
          </cell>
          <cell r="AD974">
            <v>75000</v>
          </cell>
        </row>
        <row r="975">
          <cell r="W975" t="str">
            <v>QAMAB01</v>
          </cell>
          <cell r="AD975">
            <v>75500</v>
          </cell>
        </row>
        <row r="976">
          <cell r="W976" t="str">
            <v>QAMAB01</v>
          </cell>
          <cell r="AD976">
            <v>75500</v>
          </cell>
        </row>
        <row r="977">
          <cell r="W977" t="str">
            <v>QAMAB01</v>
          </cell>
          <cell r="AD977">
            <v>75500</v>
          </cell>
        </row>
        <row r="978">
          <cell r="W978" t="str">
            <v>QAMAB01</v>
          </cell>
          <cell r="AD978">
            <v>75500</v>
          </cell>
        </row>
        <row r="979">
          <cell r="W979" t="str">
            <v>QAMAB01</v>
          </cell>
          <cell r="AD979">
            <v>76000</v>
          </cell>
        </row>
        <row r="980">
          <cell r="W980" t="str">
            <v>QAMAB01</v>
          </cell>
          <cell r="AD980">
            <v>76000</v>
          </cell>
        </row>
        <row r="981">
          <cell r="W981" t="str">
            <v>QAMAB01</v>
          </cell>
          <cell r="AD981">
            <v>76500</v>
          </cell>
        </row>
        <row r="982">
          <cell r="W982" t="str">
            <v>QAMAB01</v>
          </cell>
          <cell r="AD982">
            <v>76500</v>
          </cell>
        </row>
        <row r="983">
          <cell r="W983" t="str">
            <v>QAMAB01</v>
          </cell>
          <cell r="AD983">
            <v>76500</v>
          </cell>
        </row>
        <row r="984">
          <cell r="W984" t="str">
            <v>QAMAB01</v>
          </cell>
          <cell r="AD984">
            <v>76500</v>
          </cell>
        </row>
        <row r="985">
          <cell r="W985" t="str">
            <v>QAMAB01</v>
          </cell>
          <cell r="AD985">
            <v>76500</v>
          </cell>
        </row>
        <row r="986">
          <cell r="W986" t="str">
            <v>QAMAB01</v>
          </cell>
          <cell r="AD986">
            <v>76500</v>
          </cell>
        </row>
        <row r="987">
          <cell r="W987" t="str">
            <v>QAMAB01</v>
          </cell>
          <cell r="AD987">
            <v>76500</v>
          </cell>
        </row>
        <row r="988">
          <cell r="W988" t="str">
            <v>QAMAB01</v>
          </cell>
          <cell r="AD988">
            <v>76500</v>
          </cell>
        </row>
        <row r="989">
          <cell r="W989" t="str">
            <v>QAMAB01</v>
          </cell>
          <cell r="AD989">
            <v>76500</v>
          </cell>
        </row>
        <row r="990">
          <cell r="W990" t="str">
            <v>QAMAB02</v>
          </cell>
          <cell r="AD990">
            <v>31000</v>
          </cell>
        </row>
        <row r="991">
          <cell r="W991" t="str">
            <v>QAMAB02</v>
          </cell>
          <cell r="AD991">
            <v>31000</v>
          </cell>
        </row>
        <row r="992">
          <cell r="W992" t="str">
            <v>QAMAB02</v>
          </cell>
          <cell r="AD992">
            <v>31500</v>
          </cell>
        </row>
        <row r="993">
          <cell r="W993" t="str">
            <v>QAMAB02</v>
          </cell>
          <cell r="AD993">
            <v>31500</v>
          </cell>
        </row>
        <row r="994">
          <cell r="W994" t="str">
            <v>QAMAB02</v>
          </cell>
          <cell r="AD994">
            <v>31500</v>
          </cell>
        </row>
        <row r="995">
          <cell r="W995" t="str">
            <v>QAMAB02</v>
          </cell>
          <cell r="AD995">
            <v>31500</v>
          </cell>
        </row>
        <row r="996">
          <cell r="W996" t="str">
            <v>QAMAB02</v>
          </cell>
          <cell r="AD996">
            <v>31500</v>
          </cell>
        </row>
        <row r="997">
          <cell r="W997" t="str">
            <v>QAMAB02</v>
          </cell>
          <cell r="AD997">
            <v>31500</v>
          </cell>
        </row>
        <row r="998">
          <cell r="W998" t="str">
            <v>QAMAB02</v>
          </cell>
          <cell r="AD998">
            <v>31500</v>
          </cell>
        </row>
        <row r="999">
          <cell r="W999" t="str">
            <v>QAMAB02</v>
          </cell>
          <cell r="AD999">
            <v>31500</v>
          </cell>
        </row>
        <row r="1000">
          <cell r="W1000" t="str">
            <v>QAMAB02</v>
          </cell>
          <cell r="AD1000">
            <v>31500</v>
          </cell>
        </row>
        <row r="1001">
          <cell r="W1001" t="str">
            <v>QAMAB02</v>
          </cell>
          <cell r="AD1001">
            <v>31500</v>
          </cell>
        </row>
        <row r="1002">
          <cell r="W1002" t="str">
            <v>QAMAB02</v>
          </cell>
          <cell r="AD1002">
            <v>31500</v>
          </cell>
        </row>
        <row r="1003">
          <cell r="W1003" t="str">
            <v>QAMAB02</v>
          </cell>
          <cell r="AD1003">
            <v>31500</v>
          </cell>
        </row>
        <row r="1004">
          <cell r="W1004" t="str">
            <v>QAMAB02</v>
          </cell>
          <cell r="AD1004">
            <v>31500</v>
          </cell>
        </row>
        <row r="1005">
          <cell r="W1005" t="str">
            <v>QAMAB02</v>
          </cell>
          <cell r="AD1005">
            <v>31500</v>
          </cell>
        </row>
        <row r="1006">
          <cell r="W1006" t="str">
            <v>QAMAB02</v>
          </cell>
          <cell r="AD1006">
            <v>31500</v>
          </cell>
        </row>
        <row r="1007">
          <cell r="W1007" t="str">
            <v>QAMAB02</v>
          </cell>
          <cell r="AD1007">
            <v>31500</v>
          </cell>
        </row>
        <row r="1008">
          <cell r="W1008" t="str">
            <v>QAMAB02</v>
          </cell>
          <cell r="AD1008">
            <v>31500</v>
          </cell>
        </row>
        <row r="1009">
          <cell r="W1009" t="str">
            <v>QAMAB02</v>
          </cell>
          <cell r="AD1009">
            <v>31500</v>
          </cell>
        </row>
        <row r="1010">
          <cell r="W1010" t="str">
            <v>QAMAB02</v>
          </cell>
          <cell r="AD1010">
            <v>31500</v>
          </cell>
        </row>
        <row r="1011">
          <cell r="W1011" t="str">
            <v>QAMAB02</v>
          </cell>
          <cell r="AD1011">
            <v>31500</v>
          </cell>
        </row>
        <row r="1012">
          <cell r="W1012" t="str">
            <v>QAMAB02</v>
          </cell>
          <cell r="AD1012">
            <v>31500</v>
          </cell>
        </row>
        <row r="1013">
          <cell r="W1013" t="str">
            <v>QAMAB02</v>
          </cell>
          <cell r="AD1013">
            <v>31500</v>
          </cell>
        </row>
        <row r="1014">
          <cell r="W1014" t="str">
            <v>QAMAB02</v>
          </cell>
          <cell r="AD1014">
            <v>31500</v>
          </cell>
        </row>
        <row r="1015">
          <cell r="W1015" t="str">
            <v>QAMAB02</v>
          </cell>
          <cell r="AD1015">
            <v>31500</v>
          </cell>
        </row>
        <row r="1016">
          <cell r="W1016" t="str">
            <v>QAMAB02</v>
          </cell>
          <cell r="AD1016">
            <v>31500</v>
          </cell>
        </row>
        <row r="1017">
          <cell r="W1017" t="str">
            <v>QAMAB02</v>
          </cell>
          <cell r="AD1017">
            <v>31500</v>
          </cell>
        </row>
        <row r="1018">
          <cell r="W1018" t="str">
            <v>QAMAB02</v>
          </cell>
          <cell r="AD1018">
            <v>31500</v>
          </cell>
        </row>
        <row r="1019">
          <cell r="W1019" t="str">
            <v>QAMAB02</v>
          </cell>
          <cell r="AD1019">
            <v>31500</v>
          </cell>
        </row>
        <row r="1020">
          <cell r="W1020" t="str">
            <v>QAMAB02</v>
          </cell>
          <cell r="AD1020">
            <v>31500</v>
          </cell>
        </row>
        <row r="1021">
          <cell r="W1021" t="str">
            <v>QAMAB02</v>
          </cell>
          <cell r="AD1021">
            <v>31500</v>
          </cell>
        </row>
        <row r="1022">
          <cell r="W1022" t="str">
            <v>QAMAB02</v>
          </cell>
          <cell r="AD1022">
            <v>31500</v>
          </cell>
        </row>
        <row r="1023">
          <cell r="W1023" t="str">
            <v>QAMAB02</v>
          </cell>
          <cell r="AD1023">
            <v>31500</v>
          </cell>
        </row>
        <row r="1024">
          <cell r="W1024" t="str">
            <v>QAMAB02</v>
          </cell>
          <cell r="AD1024">
            <v>31500</v>
          </cell>
        </row>
        <row r="1025">
          <cell r="W1025" t="str">
            <v>QAMAB02</v>
          </cell>
          <cell r="AD1025">
            <v>32000</v>
          </cell>
        </row>
        <row r="1026">
          <cell r="W1026" t="str">
            <v>QAMAB02</v>
          </cell>
          <cell r="AD1026">
            <v>32000</v>
          </cell>
        </row>
        <row r="1027">
          <cell r="W1027" t="str">
            <v>QAMAB02</v>
          </cell>
          <cell r="AD1027">
            <v>32000</v>
          </cell>
        </row>
        <row r="1028">
          <cell r="W1028" t="str">
            <v>QAMAB02</v>
          </cell>
          <cell r="AD1028">
            <v>32000</v>
          </cell>
        </row>
        <row r="1029">
          <cell r="W1029" t="str">
            <v>QAMAB02</v>
          </cell>
          <cell r="AD1029">
            <v>32000</v>
          </cell>
        </row>
        <row r="1030">
          <cell r="W1030" t="str">
            <v>QAMAB02</v>
          </cell>
          <cell r="AD1030">
            <v>32000</v>
          </cell>
        </row>
        <row r="1031">
          <cell r="W1031" t="str">
            <v>QAMAB02</v>
          </cell>
          <cell r="AD1031">
            <v>32000</v>
          </cell>
        </row>
        <row r="1032">
          <cell r="W1032" t="str">
            <v>QAMAB02</v>
          </cell>
          <cell r="AD1032">
            <v>32000</v>
          </cell>
        </row>
        <row r="1033">
          <cell r="W1033" t="str">
            <v>QAMAB02</v>
          </cell>
          <cell r="AD1033">
            <v>32000</v>
          </cell>
        </row>
        <row r="1034">
          <cell r="W1034" t="str">
            <v>QAMAB02</v>
          </cell>
          <cell r="AD1034">
            <v>32000</v>
          </cell>
        </row>
        <row r="1035">
          <cell r="W1035" t="str">
            <v>QAMAB02</v>
          </cell>
          <cell r="AD1035">
            <v>32500</v>
          </cell>
        </row>
        <row r="1036">
          <cell r="W1036" t="str">
            <v>QAMAZ01</v>
          </cell>
          <cell r="AD1036">
            <v>142000</v>
          </cell>
        </row>
        <row r="1037">
          <cell r="W1037" t="str">
            <v>QAMAZ01</v>
          </cell>
          <cell r="AD1037">
            <v>142000</v>
          </cell>
        </row>
        <row r="1038">
          <cell r="W1038" t="str">
            <v>QAMAZ01</v>
          </cell>
          <cell r="AD1038">
            <v>142000</v>
          </cell>
        </row>
        <row r="1039">
          <cell r="W1039" t="str">
            <v>QAMAZ01</v>
          </cell>
          <cell r="AD1039">
            <v>142000</v>
          </cell>
        </row>
        <row r="1040">
          <cell r="W1040" t="str">
            <v>QAMAZ01</v>
          </cell>
          <cell r="AD1040">
            <v>142000</v>
          </cell>
        </row>
        <row r="1041">
          <cell r="W1041" t="str">
            <v>QAMAZ01</v>
          </cell>
          <cell r="AD1041">
            <v>142000</v>
          </cell>
        </row>
        <row r="1042">
          <cell r="W1042" t="str">
            <v>QAMAZ01</v>
          </cell>
          <cell r="AD1042">
            <v>142000</v>
          </cell>
        </row>
        <row r="1043">
          <cell r="W1043" t="str">
            <v>QAMAZ01</v>
          </cell>
          <cell r="AD1043">
            <v>142000</v>
          </cell>
        </row>
        <row r="1044">
          <cell r="W1044" t="str">
            <v>QAMAZ01</v>
          </cell>
          <cell r="AD1044">
            <v>142000</v>
          </cell>
        </row>
        <row r="1045">
          <cell r="W1045" t="str">
            <v>QAMAZ01</v>
          </cell>
          <cell r="AD1045">
            <v>142000</v>
          </cell>
        </row>
        <row r="1046">
          <cell r="W1046" t="str">
            <v>QAMAZ01</v>
          </cell>
          <cell r="AD1046">
            <v>142000</v>
          </cell>
        </row>
        <row r="1047">
          <cell r="W1047" t="str">
            <v>QAMAZ01</v>
          </cell>
          <cell r="AD1047">
            <v>142000</v>
          </cell>
        </row>
        <row r="1048">
          <cell r="W1048" t="str">
            <v>QAMAZ01</v>
          </cell>
          <cell r="AD1048">
            <v>142500</v>
          </cell>
        </row>
        <row r="1049">
          <cell r="W1049" t="str">
            <v>QAMAZ01</v>
          </cell>
          <cell r="AD1049">
            <v>145000</v>
          </cell>
        </row>
        <row r="1050">
          <cell r="W1050" t="str">
            <v>QAMAZ02</v>
          </cell>
          <cell r="AD1050">
            <v>38636.3575757</v>
          </cell>
        </row>
        <row r="1051">
          <cell r="W1051" t="str">
            <v>QAMAZ02</v>
          </cell>
          <cell r="AD1051">
            <v>42500</v>
          </cell>
        </row>
        <row r="1052">
          <cell r="W1052" t="str">
            <v>QAMAZ02</v>
          </cell>
          <cell r="AD1052">
            <v>68000</v>
          </cell>
        </row>
        <row r="1053">
          <cell r="W1053" t="str">
            <v>QAMAZ02</v>
          </cell>
          <cell r="AD1053">
            <v>68000</v>
          </cell>
        </row>
        <row r="1054">
          <cell r="W1054" t="str">
            <v>QAMAZ02</v>
          </cell>
          <cell r="AD1054">
            <v>68000</v>
          </cell>
        </row>
        <row r="1055">
          <cell r="W1055" t="str">
            <v>QAMAZ02</v>
          </cell>
          <cell r="AD1055">
            <v>68000</v>
          </cell>
        </row>
        <row r="1056">
          <cell r="W1056" t="str">
            <v>QAMAZ02</v>
          </cell>
          <cell r="AD1056">
            <v>68000</v>
          </cell>
        </row>
        <row r="1057">
          <cell r="W1057" t="str">
            <v>QAMAZ02</v>
          </cell>
          <cell r="AD1057">
            <v>68000</v>
          </cell>
        </row>
        <row r="1058">
          <cell r="W1058" t="str">
            <v>QAMAZ02</v>
          </cell>
          <cell r="AD1058">
            <v>68000</v>
          </cell>
        </row>
        <row r="1059">
          <cell r="W1059" t="str">
            <v>QAMAZ02</v>
          </cell>
          <cell r="AD1059">
            <v>68000</v>
          </cell>
        </row>
        <row r="1060">
          <cell r="W1060" t="str">
            <v>QAMAZ02</v>
          </cell>
          <cell r="AD1060">
            <v>68000</v>
          </cell>
        </row>
        <row r="1061">
          <cell r="W1061" t="str">
            <v>QAMAZ02</v>
          </cell>
          <cell r="AD1061">
            <v>68000</v>
          </cell>
        </row>
        <row r="1062">
          <cell r="W1062" t="str">
            <v>QAMAZ02</v>
          </cell>
          <cell r="AD1062">
            <v>68000</v>
          </cell>
        </row>
        <row r="1063">
          <cell r="W1063" t="str">
            <v>QAMAZ02</v>
          </cell>
          <cell r="AD1063">
            <v>68500</v>
          </cell>
        </row>
        <row r="1064">
          <cell r="W1064" t="str">
            <v>QAMAZ02</v>
          </cell>
          <cell r="AD1064">
            <v>68500</v>
          </cell>
        </row>
        <row r="1065">
          <cell r="W1065" t="str">
            <v>QAMBE02</v>
          </cell>
          <cell r="AD1065">
            <v>158000</v>
          </cell>
        </row>
        <row r="1066">
          <cell r="W1066" t="str">
            <v>QAMBE01</v>
          </cell>
          <cell r="AD1066">
            <v>77000</v>
          </cell>
        </row>
        <row r="1067">
          <cell r="W1067" t="str">
            <v>QAMCO12</v>
          </cell>
          <cell r="AD1067">
            <v>127500</v>
          </cell>
        </row>
        <row r="1068">
          <cell r="W1068" t="str">
            <v>QAMCO12</v>
          </cell>
          <cell r="AD1068">
            <v>127500</v>
          </cell>
        </row>
        <row r="1069">
          <cell r="W1069" t="str">
            <v>QAMCO13</v>
          </cell>
          <cell r="AD1069">
            <v>66500</v>
          </cell>
        </row>
        <row r="1070">
          <cell r="W1070" t="str">
            <v>QAMCO13</v>
          </cell>
          <cell r="AD1070">
            <v>81000</v>
          </cell>
        </row>
        <row r="1071">
          <cell r="W1071" t="str">
            <v>QAMCO13</v>
          </cell>
          <cell r="AD1071">
            <v>81000</v>
          </cell>
        </row>
        <row r="1072">
          <cell r="W1072" t="str">
            <v>QAMCO13</v>
          </cell>
          <cell r="AD1072">
            <v>81000</v>
          </cell>
        </row>
        <row r="1073">
          <cell r="W1073" t="str">
            <v>QAMCO13</v>
          </cell>
          <cell r="AD1073">
            <v>81000</v>
          </cell>
        </row>
        <row r="1074">
          <cell r="W1074" t="str">
            <v>QAMCO13</v>
          </cell>
          <cell r="AD1074">
            <v>81000</v>
          </cell>
        </row>
        <row r="1075">
          <cell r="W1075" t="str">
            <v>QAMCO16</v>
          </cell>
          <cell r="AD1075">
            <v>43000</v>
          </cell>
        </row>
        <row r="1076">
          <cell r="W1076" t="str">
            <v>QAMCO16</v>
          </cell>
          <cell r="AD1076">
            <v>43000</v>
          </cell>
        </row>
        <row r="1077">
          <cell r="W1077" t="str">
            <v>QAMCO16</v>
          </cell>
          <cell r="AD1077">
            <v>43500</v>
          </cell>
        </row>
        <row r="1078">
          <cell r="W1078" t="str">
            <v>QAMCO16</v>
          </cell>
          <cell r="AD1078">
            <v>43500</v>
          </cell>
        </row>
        <row r="1079">
          <cell r="W1079" t="str">
            <v>QAMCO16</v>
          </cell>
          <cell r="AD1079">
            <v>43500</v>
          </cell>
        </row>
        <row r="1080">
          <cell r="W1080" t="str">
            <v>QAMIN03</v>
          </cell>
          <cell r="AD1080">
            <v>11000</v>
          </cell>
        </row>
        <row r="1081">
          <cell r="W1081" t="str">
            <v>QAMIN03</v>
          </cell>
          <cell r="AD1081">
            <v>16000</v>
          </cell>
        </row>
        <row r="1082">
          <cell r="W1082" t="str">
            <v>QAMIN01</v>
          </cell>
          <cell r="AD1082">
            <v>55000</v>
          </cell>
        </row>
        <row r="1083">
          <cell r="W1083" t="str">
            <v>QAMIN01</v>
          </cell>
          <cell r="AD1083">
            <v>59000</v>
          </cell>
        </row>
        <row r="1084">
          <cell r="W1084" t="str">
            <v>QAMIN01</v>
          </cell>
          <cell r="AD1084">
            <v>59000</v>
          </cell>
        </row>
        <row r="1085">
          <cell r="W1085" t="str">
            <v>QAMIN01</v>
          </cell>
          <cell r="AD1085">
            <v>60000</v>
          </cell>
        </row>
        <row r="1086">
          <cell r="W1086" t="str">
            <v>QAMIN01</v>
          </cell>
          <cell r="AD1086">
            <v>60000</v>
          </cell>
        </row>
        <row r="1087">
          <cell r="W1087" t="str">
            <v>QAMIN01</v>
          </cell>
          <cell r="AD1087">
            <v>60000</v>
          </cell>
        </row>
        <row r="1088">
          <cell r="W1088" t="str">
            <v>QAMIN01</v>
          </cell>
          <cell r="AD1088">
            <v>60000</v>
          </cell>
        </row>
        <row r="1089">
          <cell r="W1089" t="str">
            <v>QAMIN01</v>
          </cell>
          <cell r="AD1089">
            <v>60000</v>
          </cell>
        </row>
        <row r="1090">
          <cell r="W1090" t="str">
            <v>QAMIN01</v>
          </cell>
          <cell r="AD1090">
            <v>60000</v>
          </cell>
        </row>
        <row r="1091">
          <cell r="W1091" t="str">
            <v>QAMIN01</v>
          </cell>
          <cell r="AD1091">
            <v>60000</v>
          </cell>
        </row>
        <row r="1092">
          <cell r="W1092" t="str">
            <v>QAMIN01</v>
          </cell>
          <cell r="AD1092">
            <v>60000</v>
          </cell>
        </row>
        <row r="1093">
          <cell r="W1093" t="str">
            <v>QAMIN01</v>
          </cell>
          <cell r="AD1093">
            <v>60000</v>
          </cell>
        </row>
        <row r="1094">
          <cell r="W1094" t="str">
            <v>QAMIS01</v>
          </cell>
          <cell r="AD1094">
            <v>46500</v>
          </cell>
        </row>
        <row r="1095">
          <cell r="W1095" t="str">
            <v>QAMIS01</v>
          </cell>
          <cell r="AD1095">
            <v>46500</v>
          </cell>
        </row>
        <row r="1096">
          <cell r="W1096" t="str">
            <v>QAMIS01</v>
          </cell>
          <cell r="AD1096">
            <v>46500</v>
          </cell>
        </row>
        <row r="1097">
          <cell r="W1097" t="str">
            <v>QAMIS01</v>
          </cell>
          <cell r="AD1097">
            <v>46750</v>
          </cell>
        </row>
        <row r="1098">
          <cell r="W1098" t="str">
            <v>QAMIS01</v>
          </cell>
          <cell r="AD1098">
            <v>46750</v>
          </cell>
        </row>
        <row r="1099">
          <cell r="W1099" t="str">
            <v>QAMIS01</v>
          </cell>
          <cell r="AD1099">
            <v>46750</v>
          </cell>
        </row>
        <row r="1100">
          <cell r="W1100" t="str">
            <v>QAMIS01</v>
          </cell>
          <cell r="AD1100">
            <v>46750</v>
          </cell>
        </row>
        <row r="1101">
          <cell r="W1101" t="str">
            <v>QAMIS01</v>
          </cell>
          <cell r="AD1101">
            <v>46750</v>
          </cell>
        </row>
        <row r="1102">
          <cell r="W1102" t="str">
            <v>QAMIS01</v>
          </cell>
          <cell r="AD1102">
            <v>46750</v>
          </cell>
        </row>
        <row r="1103">
          <cell r="W1103" t="str">
            <v>QAMIS01</v>
          </cell>
          <cell r="AD1103">
            <v>46750</v>
          </cell>
        </row>
        <row r="1104">
          <cell r="W1104" t="str">
            <v>QAMIS01</v>
          </cell>
          <cell r="AD1104">
            <v>46800</v>
          </cell>
        </row>
        <row r="1105">
          <cell r="W1105" t="str">
            <v>QAMIS01</v>
          </cell>
          <cell r="AD1105">
            <v>46800</v>
          </cell>
        </row>
        <row r="1106">
          <cell r="W1106" t="str">
            <v>QAMIS01</v>
          </cell>
          <cell r="AD1106">
            <v>46800</v>
          </cell>
        </row>
        <row r="1107">
          <cell r="W1107" t="str">
            <v>QAMIS01</v>
          </cell>
          <cell r="AD1107">
            <v>46800</v>
          </cell>
        </row>
        <row r="1108">
          <cell r="W1108" t="str">
            <v>QAMIS01</v>
          </cell>
          <cell r="AD1108">
            <v>46800</v>
          </cell>
        </row>
        <row r="1109">
          <cell r="W1109" t="str">
            <v>QAMIS01</v>
          </cell>
          <cell r="AD1109">
            <v>47000</v>
          </cell>
        </row>
        <row r="1110">
          <cell r="W1110" t="str">
            <v>QAMIS01</v>
          </cell>
          <cell r="AD1110">
            <v>47000</v>
          </cell>
        </row>
        <row r="1111">
          <cell r="W1111" t="str">
            <v>AAMIS01</v>
          </cell>
          <cell r="AD1111">
            <v>47250</v>
          </cell>
        </row>
        <row r="1112">
          <cell r="W1112" t="str">
            <v>QAMIS01</v>
          </cell>
          <cell r="AD1112">
            <v>47500</v>
          </cell>
        </row>
        <row r="1113">
          <cell r="W1113" t="str">
            <v>QAMIS01</v>
          </cell>
          <cell r="AD1113">
            <v>47500</v>
          </cell>
        </row>
        <row r="1114">
          <cell r="W1114" t="str">
            <v>QAMIS01</v>
          </cell>
          <cell r="AD1114">
            <v>47500</v>
          </cell>
        </row>
        <row r="1115">
          <cell r="W1115" t="str">
            <v>QAMIS01</v>
          </cell>
          <cell r="AD1115">
            <v>47500</v>
          </cell>
        </row>
        <row r="1116">
          <cell r="W1116" t="str">
            <v>QAMIS01</v>
          </cell>
          <cell r="AD1116">
            <v>48000</v>
          </cell>
        </row>
        <row r="1117">
          <cell r="W1117" t="str">
            <v>AAMIS01</v>
          </cell>
          <cell r="AD1117">
            <v>48000</v>
          </cell>
        </row>
        <row r="1118">
          <cell r="W1118" t="str">
            <v>QAMIS03</v>
          </cell>
          <cell r="AD1118">
            <v>216750</v>
          </cell>
        </row>
        <row r="1119">
          <cell r="W1119" t="str">
            <v>QAMIS03</v>
          </cell>
          <cell r="AD1119">
            <v>216750</v>
          </cell>
        </row>
        <row r="1120">
          <cell r="W1120" t="str">
            <v>QAMIS03</v>
          </cell>
          <cell r="AD1120">
            <v>217000</v>
          </cell>
        </row>
        <row r="1121">
          <cell r="W1121" t="str">
            <v>QAMIS03</v>
          </cell>
          <cell r="AD1121">
            <v>217000</v>
          </cell>
        </row>
        <row r="1122">
          <cell r="W1122" t="str">
            <v>QAMIS03</v>
          </cell>
          <cell r="AD1122">
            <v>217000</v>
          </cell>
        </row>
        <row r="1123">
          <cell r="W1123" t="str">
            <v>QAMIS03</v>
          </cell>
          <cell r="AD1123">
            <v>217000</v>
          </cell>
        </row>
        <row r="1124">
          <cell r="W1124" t="str">
            <v>QAMIS03</v>
          </cell>
          <cell r="AD1124">
            <v>217000</v>
          </cell>
        </row>
        <row r="1125">
          <cell r="W1125" t="str">
            <v>QAMIS03</v>
          </cell>
          <cell r="AD1125">
            <v>217000</v>
          </cell>
        </row>
        <row r="1126">
          <cell r="W1126" t="str">
            <v>QAMIS03</v>
          </cell>
          <cell r="AD1126">
            <v>218000</v>
          </cell>
        </row>
        <row r="1127">
          <cell r="W1127" t="str">
            <v>QAMIS03</v>
          </cell>
          <cell r="AD1127">
            <v>218000</v>
          </cell>
        </row>
        <row r="1128">
          <cell r="W1128" t="str">
            <v>QAMIS03</v>
          </cell>
          <cell r="AD1128">
            <v>218000</v>
          </cell>
        </row>
        <row r="1129">
          <cell r="W1129" t="str">
            <v>QAMIS03</v>
          </cell>
          <cell r="AD1129">
            <v>218000</v>
          </cell>
        </row>
        <row r="1130">
          <cell r="W1130" t="str">
            <v>QAMIS03</v>
          </cell>
          <cell r="AD1130">
            <v>218500</v>
          </cell>
        </row>
        <row r="1131">
          <cell r="W1131" t="str">
            <v>QAMIS03</v>
          </cell>
          <cell r="AD1131">
            <v>218500</v>
          </cell>
        </row>
        <row r="1132">
          <cell r="W1132" t="str">
            <v>QAMIS03</v>
          </cell>
          <cell r="AD1132">
            <v>218500</v>
          </cell>
        </row>
        <row r="1133">
          <cell r="W1133" t="str">
            <v>QAMIS03</v>
          </cell>
          <cell r="AD1133">
            <v>218500</v>
          </cell>
        </row>
        <row r="1134">
          <cell r="W1134" t="str">
            <v>QAMIS03</v>
          </cell>
          <cell r="AD1134">
            <v>218500</v>
          </cell>
        </row>
        <row r="1135">
          <cell r="W1135" t="str">
            <v>QAMIS03</v>
          </cell>
          <cell r="AD1135">
            <v>218500</v>
          </cell>
        </row>
        <row r="1136">
          <cell r="W1136" t="str">
            <v>QAMIS03</v>
          </cell>
          <cell r="AD1136">
            <v>218500</v>
          </cell>
        </row>
        <row r="1137">
          <cell r="W1137" t="str">
            <v>QAMIS03</v>
          </cell>
          <cell r="AD1137">
            <v>218500</v>
          </cell>
        </row>
        <row r="1138">
          <cell r="W1138" t="str">
            <v>QAMIS03</v>
          </cell>
          <cell r="AD1138">
            <v>218500</v>
          </cell>
        </row>
        <row r="1139">
          <cell r="W1139" t="str">
            <v>QAMIS03</v>
          </cell>
          <cell r="AD1139">
            <v>218500</v>
          </cell>
        </row>
        <row r="1140">
          <cell r="W1140" t="str">
            <v>QAMIS03</v>
          </cell>
          <cell r="AD1140">
            <v>218500</v>
          </cell>
        </row>
        <row r="1141">
          <cell r="W1141" t="str">
            <v>QAMIS03</v>
          </cell>
          <cell r="AD1141">
            <v>218500</v>
          </cell>
        </row>
        <row r="1142">
          <cell r="W1142" t="str">
            <v>QAMIS03</v>
          </cell>
          <cell r="AD1142">
            <v>218600</v>
          </cell>
        </row>
        <row r="1143">
          <cell r="W1143" t="str">
            <v>QAMIS03</v>
          </cell>
          <cell r="AD1143">
            <v>218600</v>
          </cell>
        </row>
        <row r="1144">
          <cell r="W1144" t="str">
            <v>QAMIS03</v>
          </cell>
          <cell r="AD1144">
            <v>218600</v>
          </cell>
        </row>
        <row r="1145">
          <cell r="W1145" t="str">
            <v>QAMIS03</v>
          </cell>
          <cell r="AD1145">
            <v>218600</v>
          </cell>
        </row>
        <row r="1146">
          <cell r="W1146" t="str">
            <v>QAMIS03</v>
          </cell>
          <cell r="AD1146">
            <v>219000</v>
          </cell>
        </row>
        <row r="1147">
          <cell r="W1147" t="str">
            <v>QAMIS03</v>
          </cell>
          <cell r="AD1147">
            <v>219000</v>
          </cell>
        </row>
        <row r="1148">
          <cell r="W1148" t="str">
            <v>QAMIS03</v>
          </cell>
          <cell r="AD1148">
            <v>220000</v>
          </cell>
        </row>
        <row r="1149">
          <cell r="W1149" t="str">
            <v>QAMIS03</v>
          </cell>
          <cell r="AD1149">
            <v>220000</v>
          </cell>
        </row>
        <row r="1150">
          <cell r="W1150" t="str">
            <v>QAMIS03</v>
          </cell>
          <cell r="AD1150">
            <v>221000</v>
          </cell>
        </row>
        <row r="1151">
          <cell r="W1151" t="str">
            <v>QAMIS03</v>
          </cell>
          <cell r="AD1151">
            <v>221000</v>
          </cell>
        </row>
        <row r="1152">
          <cell r="W1152" t="str">
            <v>QAMIS03</v>
          </cell>
          <cell r="AD1152">
            <v>223500</v>
          </cell>
        </row>
        <row r="1153">
          <cell r="W1153" t="str">
            <v>QAMIS03</v>
          </cell>
          <cell r="AD1153">
            <v>223500</v>
          </cell>
        </row>
        <row r="1154">
          <cell r="W1154" t="str">
            <v>QAMIS03</v>
          </cell>
          <cell r="AD1154">
            <v>223500</v>
          </cell>
        </row>
        <row r="1155">
          <cell r="W1155" t="str">
            <v>QAMIS03</v>
          </cell>
          <cell r="AD1155">
            <v>225000</v>
          </cell>
        </row>
        <row r="1156">
          <cell r="W1156" t="str">
            <v>QAMIS02</v>
          </cell>
          <cell r="AD1156">
            <v>89750</v>
          </cell>
        </row>
        <row r="1157">
          <cell r="W1157" t="str">
            <v>QAMIS02</v>
          </cell>
          <cell r="AD1157">
            <v>90000</v>
          </cell>
        </row>
        <row r="1158">
          <cell r="W1158" t="str">
            <v>QAMIS02</v>
          </cell>
          <cell r="AD1158">
            <v>90000</v>
          </cell>
        </row>
        <row r="1159">
          <cell r="W1159" t="str">
            <v>QAMIS02</v>
          </cell>
          <cell r="AD1159">
            <v>90000</v>
          </cell>
        </row>
        <row r="1160">
          <cell r="W1160" t="str">
            <v>QAMIS02</v>
          </cell>
          <cell r="AD1160">
            <v>90000</v>
          </cell>
        </row>
        <row r="1161">
          <cell r="W1161" t="str">
            <v>QAMIS02</v>
          </cell>
          <cell r="AD1161">
            <v>90000</v>
          </cell>
        </row>
        <row r="1162">
          <cell r="W1162" t="str">
            <v>QAMIS02</v>
          </cell>
          <cell r="AD1162">
            <v>90500</v>
          </cell>
        </row>
        <row r="1163">
          <cell r="W1163" t="str">
            <v>QAMIS02</v>
          </cell>
          <cell r="AD1163">
            <v>90500</v>
          </cell>
        </row>
        <row r="1164">
          <cell r="W1164" t="str">
            <v>QAMIS02</v>
          </cell>
          <cell r="AD1164">
            <v>90500</v>
          </cell>
        </row>
        <row r="1165">
          <cell r="W1165" t="str">
            <v>QAMIS02</v>
          </cell>
          <cell r="AD1165">
            <v>90500</v>
          </cell>
        </row>
        <row r="1166">
          <cell r="W1166" t="str">
            <v>QAMIS02</v>
          </cell>
          <cell r="AD1166">
            <v>90500</v>
          </cell>
        </row>
        <row r="1167">
          <cell r="W1167" t="str">
            <v>QAMIS02</v>
          </cell>
          <cell r="AD1167">
            <v>90500</v>
          </cell>
        </row>
        <row r="1168">
          <cell r="W1168" t="str">
            <v>QAMIS02</v>
          </cell>
          <cell r="AD1168">
            <v>90500</v>
          </cell>
        </row>
        <row r="1169">
          <cell r="W1169" t="str">
            <v>QAMIS02</v>
          </cell>
          <cell r="AD1169">
            <v>90550</v>
          </cell>
        </row>
        <row r="1170">
          <cell r="W1170" t="str">
            <v>QAMIS02</v>
          </cell>
          <cell r="AD1170">
            <v>90550</v>
          </cell>
        </row>
        <row r="1171">
          <cell r="W1171" t="str">
            <v>QAMIS02</v>
          </cell>
          <cell r="AD1171">
            <v>90550</v>
          </cell>
        </row>
        <row r="1172">
          <cell r="W1172" t="str">
            <v>QAMIS02</v>
          </cell>
          <cell r="AD1172">
            <v>90600</v>
          </cell>
        </row>
        <row r="1173">
          <cell r="W1173" t="str">
            <v>QAMIS02</v>
          </cell>
          <cell r="AD1173">
            <v>90600</v>
          </cell>
        </row>
        <row r="1174">
          <cell r="W1174" t="str">
            <v>QAMIS02</v>
          </cell>
          <cell r="AD1174">
            <v>90600</v>
          </cell>
        </row>
        <row r="1175">
          <cell r="W1175" t="str">
            <v>QAMIS02</v>
          </cell>
          <cell r="AD1175">
            <v>90600</v>
          </cell>
        </row>
        <row r="1176">
          <cell r="W1176" t="str">
            <v>QAMIS02</v>
          </cell>
          <cell r="AD1176">
            <v>90750</v>
          </cell>
        </row>
        <row r="1177">
          <cell r="W1177" t="str">
            <v>QAMIS02</v>
          </cell>
          <cell r="AD1177">
            <v>91000</v>
          </cell>
        </row>
        <row r="1178">
          <cell r="W1178" t="str">
            <v>QAMIS02</v>
          </cell>
          <cell r="AD1178">
            <v>91000</v>
          </cell>
        </row>
        <row r="1179">
          <cell r="W1179" t="str">
            <v>QAMIS02</v>
          </cell>
          <cell r="AD1179">
            <v>91000</v>
          </cell>
        </row>
        <row r="1180">
          <cell r="W1180" t="str">
            <v>QAMIS02</v>
          </cell>
          <cell r="AD1180">
            <v>91000</v>
          </cell>
        </row>
        <row r="1181">
          <cell r="W1181" t="str">
            <v>QAMIS02</v>
          </cell>
          <cell r="AD1181">
            <v>91000</v>
          </cell>
        </row>
        <row r="1182">
          <cell r="W1182" t="str">
            <v>QAMIS02</v>
          </cell>
          <cell r="AD1182">
            <v>91500</v>
          </cell>
        </row>
        <row r="1183">
          <cell r="W1183" t="str">
            <v>QAMIS02</v>
          </cell>
          <cell r="AD1183">
            <v>91500</v>
          </cell>
        </row>
        <row r="1184">
          <cell r="W1184" t="str">
            <v>QAMIS02</v>
          </cell>
          <cell r="AD1184">
            <v>91500</v>
          </cell>
        </row>
        <row r="1185">
          <cell r="W1185" t="str">
            <v>QAMIS02</v>
          </cell>
          <cell r="AD1185">
            <v>91500</v>
          </cell>
        </row>
        <row r="1186">
          <cell r="W1186" t="str">
            <v>QAMIS02</v>
          </cell>
          <cell r="AD1186">
            <v>91500</v>
          </cell>
        </row>
        <row r="1187">
          <cell r="W1187" t="str">
            <v>QAMIS02</v>
          </cell>
          <cell r="AD1187">
            <v>91500</v>
          </cell>
        </row>
        <row r="1188">
          <cell r="W1188" t="str">
            <v>QAMIS02</v>
          </cell>
          <cell r="AD1188">
            <v>91500</v>
          </cell>
        </row>
        <row r="1189">
          <cell r="W1189" t="str">
            <v>QAMIS02</v>
          </cell>
          <cell r="AD1189">
            <v>91500</v>
          </cell>
        </row>
        <row r="1190">
          <cell r="W1190" t="str">
            <v>QAMIS02</v>
          </cell>
          <cell r="AD1190">
            <v>91500</v>
          </cell>
        </row>
        <row r="1191">
          <cell r="W1191" t="str">
            <v>QAMIS02</v>
          </cell>
          <cell r="AD1191">
            <v>92000</v>
          </cell>
        </row>
        <row r="1192">
          <cell r="W1192" t="str">
            <v>QAMIS02</v>
          </cell>
          <cell r="AD1192">
            <v>92500</v>
          </cell>
        </row>
        <row r="1193">
          <cell r="W1193" t="str">
            <v>QAMMA04</v>
          </cell>
          <cell r="AD1193">
            <v>102750</v>
          </cell>
        </row>
        <row r="1194">
          <cell r="W1194" t="str">
            <v>QAMMA04</v>
          </cell>
          <cell r="AD1194">
            <v>102750</v>
          </cell>
        </row>
        <row r="1195">
          <cell r="W1195" t="str">
            <v>QAMMA04</v>
          </cell>
          <cell r="AD1195">
            <v>102750</v>
          </cell>
        </row>
        <row r="1196">
          <cell r="W1196" t="str">
            <v>QAMMA04</v>
          </cell>
          <cell r="AD1196">
            <v>104000</v>
          </cell>
        </row>
        <row r="1197">
          <cell r="W1197" t="str">
            <v>QAMMA04</v>
          </cell>
          <cell r="AD1197">
            <v>104000</v>
          </cell>
        </row>
        <row r="1198">
          <cell r="W1198" t="str">
            <v>QAMMA04</v>
          </cell>
          <cell r="AD1198">
            <v>104000</v>
          </cell>
        </row>
        <row r="1199">
          <cell r="W1199" t="str">
            <v>QAMMA04</v>
          </cell>
          <cell r="AD1199">
            <v>104000</v>
          </cell>
        </row>
        <row r="1200">
          <cell r="W1200" t="str">
            <v>QAMMA04</v>
          </cell>
          <cell r="AD1200">
            <v>104000</v>
          </cell>
        </row>
        <row r="1201">
          <cell r="W1201" t="str">
            <v>QAMMA04</v>
          </cell>
          <cell r="AD1201">
            <v>104000</v>
          </cell>
        </row>
        <row r="1202">
          <cell r="W1202" t="str">
            <v>QAMMA04</v>
          </cell>
          <cell r="AD1202">
            <v>105000</v>
          </cell>
        </row>
        <row r="1203">
          <cell r="W1203" t="str">
            <v>QAMMA04</v>
          </cell>
          <cell r="AD1203">
            <v>105000</v>
          </cell>
        </row>
        <row r="1204">
          <cell r="W1204" t="str">
            <v>QAMMA04</v>
          </cell>
          <cell r="AD1204">
            <v>105000</v>
          </cell>
        </row>
        <row r="1205">
          <cell r="W1205" t="str">
            <v>QAMMA04</v>
          </cell>
          <cell r="AD1205">
            <v>105000</v>
          </cell>
        </row>
        <row r="1206">
          <cell r="W1206" t="str">
            <v>QAMMA04</v>
          </cell>
          <cell r="AD1206">
            <v>105000</v>
          </cell>
        </row>
        <row r="1207">
          <cell r="W1207" t="str">
            <v>QAMMA04</v>
          </cell>
          <cell r="AD1207">
            <v>105000</v>
          </cell>
        </row>
        <row r="1208">
          <cell r="W1208" t="str">
            <v>QAMMA04</v>
          </cell>
          <cell r="AD1208">
            <v>105000</v>
          </cell>
        </row>
        <row r="1209">
          <cell r="W1209" t="str">
            <v>QAMMA04</v>
          </cell>
          <cell r="AD1209">
            <v>105000</v>
          </cell>
        </row>
        <row r="1210">
          <cell r="W1210" t="str">
            <v>QAMMA04</v>
          </cell>
          <cell r="AD1210">
            <v>105000</v>
          </cell>
        </row>
        <row r="1211">
          <cell r="W1211" t="str">
            <v>QAMMA04</v>
          </cell>
          <cell r="AD1211">
            <v>105000</v>
          </cell>
        </row>
        <row r="1212">
          <cell r="W1212" t="str">
            <v>QAMMA04</v>
          </cell>
          <cell r="AD1212">
            <v>105000</v>
          </cell>
        </row>
        <row r="1213">
          <cell r="W1213" t="str">
            <v>QAMMA04</v>
          </cell>
          <cell r="AD1213">
            <v>105000</v>
          </cell>
        </row>
        <row r="1214">
          <cell r="W1214" t="str">
            <v>QAMMA04</v>
          </cell>
          <cell r="AD1214">
            <v>105000</v>
          </cell>
        </row>
        <row r="1215">
          <cell r="W1215" t="str">
            <v>QAMMA04</v>
          </cell>
          <cell r="AD1215">
            <v>105000</v>
          </cell>
        </row>
        <row r="1216">
          <cell r="W1216" t="str">
            <v>QAMMA04</v>
          </cell>
          <cell r="AD1216">
            <v>105000</v>
          </cell>
        </row>
        <row r="1217">
          <cell r="W1217" t="str">
            <v>QAMMA04</v>
          </cell>
          <cell r="AD1217">
            <v>105000</v>
          </cell>
        </row>
        <row r="1218">
          <cell r="W1218" t="str">
            <v>QAMMA04</v>
          </cell>
          <cell r="AD1218">
            <v>105000</v>
          </cell>
        </row>
        <row r="1219">
          <cell r="W1219" t="str">
            <v>QAMMA04</v>
          </cell>
          <cell r="AD1219">
            <v>105000</v>
          </cell>
        </row>
        <row r="1220">
          <cell r="W1220" t="str">
            <v>QAMMA04</v>
          </cell>
          <cell r="AD1220">
            <v>105000</v>
          </cell>
        </row>
        <row r="1221">
          <cell r="W1221" t="str">
            <v>QAMMA04</v>
          </cell>
          <cell r="AD1221">
            <v>105000</v>
          </cell>
        </row>
        <row r="1222">
          <cell r="W1222" t="str">
            <v>QAMMA04</v>
          </cell>
          <cell r="AD1222">
            <v>105000</v>
          </cell>
        </row>
        <row r="1223">
          <cell r="W1223" t="str">
            <v>QAMMA04</v>
          </cell>
          <cell r="AD1223">
            <v>105000</v>
          </cell>
        </row>
        <row r="1224">
          <cell r="W1224" t="str">
            <v>QAMMA04</v>
          </cell>
          <cell r="AD1224">
            <v>105000</v>
          </cell>
        </row>
        <row r="1225">
          <cell r="W1225" t="str">
            <v>QAMMA04</v>
          </cell>
          <cell r="AD1225">
            <v>105500</v>
          </cell>
        </row>
        <row r="1226">
          <cell r="W1226" t="str">
            <v>QAMMA04</v>
          </cell>
          <cell r="AD1226">
            <v>106000</v>
          </cell>
        </row>
        <row r="1227">
          <cell r="W1227" t="str">
            <v>QAMMA03</v>
          </cell>
          <cell r="AD1227">
            <v>53750</v>
          </cell>
        </row>
        <row r="1228">
          <cell r="W1228" t="str">
            <v>QAMMA03</v>
          </cell>
          <cell r="AD1228">
            <v>54000</v>
          </cell>
        </row>
        <row r="1229">
          <cell r="W1229" t="str">
            <v>QAMMA03</v>
          </cell>
          <cell r="AD1229">
            <v>54000</v>
          </cell>
        </row>
        <row r="1230">
          <cell r="W1230" t="str">
            <v>QAMMA03</v>
          </cell>
          <cell r="AD1230">
            <v>54000</v>
          </cell>
        </row>
        <row r="1231">
          <cell r="W1231" t="str">
            <v>QAMMA03</v>
          </cell>
          <cell r="AD1231">
            <v>54000</v>
          </cell>
        </row>
        <row r="1232">
          <cell r="W1232" t="str">
            <v>QAMMA03</v>
          </cell>
          <cell r="AD1232">
            <v>54000</v>
          </cell>
        </row>
        <row r="1233">
          <cell r="W1233" t="str">
            <v>QAMMA03</v>
          </cell>
          <cell r="AD1233">
            <v>55000</v>
          </cell>
        </row>
        <row r="1234">
          <cell r="W1234" t="str">
            <v>QAMMA03</v>
          </cell>
          <cell r="AD1234">
            <v>55000</v>
          </cell>
        </row>
        <row r="1235">
          <cell r="W1235" t="str">
            <v>QAMMA03</v>
          </cell>
          <cell r="AD1235">
            <v>55000</v>
          </cell>
        </row>
        <row r="1236">
          <cell r="W1236" t="str">
            <v>QAMMA03</v>
          </cell>
          <cell r="AD1236">
            <v>55000</v>
          </cell>
        </row>
        <row r="1237">
          <cell r="W1237" t="str">
            <v>QAMMA03</v>
          </cell>
          <cell r="AD1237">
            <v>55000</v>
          </cell>
        </row>
        <row r="1238">
          <cell r="W1238" t="str">
            <v>QAMMA03</v>
          </cell>
          <cell r="AD1238">
            <v>55000</v>
          </cell>
        </row>
        <row r="1239">
          <cell r="W1239" t="str">
            <v>QAMMA03</v>
          </cell>
          <cell r="AD1239">
            <v>55000</v>
          </cell>
        </row>
        <row r="1240">
          <cell r="W1240" t="str">
            <v>QAMMA03</v>
          </cell>
          <cell r="AD1240">
            <v>55000</v>
          </cell>
        </row>
        <row r="1241">
          <cell r="W1241" t="str">
            <v>QAMMA03</v>
          </cell>
          <cell r="AD1241">
            <v>55000</v>
          </cell>
        </row>
        <row r="1242">
          <cell r="W1242" t="str">
            <v>QAMMA03</v>
          </cell>
          <cell r="AD1242">
            <v>55000</v>
          </cell>
        </row>
        <row r="1243">
          <cell r="W1243" t="str">
            <v>QAMMA03</v>
          </cell>
          <cell r="AD1243">
            <v>55000</v>
          </cell>
        </row>
        <row r="1244">
          <cell r="W1244" t="str">
            <v>QAMMA03</v>
          </cell>
          <cell r="AD1244">
            <v>55000</v>
          </cell>
        </row>
        <row r="1245">
          <cell r="W1245" t="str">
            <v>QAMMA03</v>
          </cell>
          <cell r="AD1245">
            <v>55000</v>
          </cell>
        </row>
        <row r="1246">
          <cell r="W1246" t="str">
            <v>QAMMA03</v>
          </cell>
          <cell r="AD1246">
            <v>55000</v>
          </cell>
        </row>
        <row r="1247">
          <cell r="W1247" t="str">
            <v>QAMMA03</v>
          </cell>
          <cell r="AD1247">
            <v>55000</v>
          </cell>
        </row>
        <row r="1248">
          <cell r="W1248" t="str">
            <v>QAMMA03</v>
          </cell>
          <cell r="AD1248">
            <v>55000</v>
          </cell>
        </row>
        <row r="1249">
          <cell r="W1249" t="str">
            <v>QAMMA03</v>
          </cell>
          <cell r="AD1249">
            <v>55000</v>
          </cell>
        </row>
        <row r="1250">
          <cell r="W1250" t="str">
            <v>QAMMA03</v>
          </cell>
          <cell r="AD1250">
            <v>56000</v>
          </cell>
        </row>
        <row r="1251">
          <cell r="W1251" t="str">
            <v>QAMMA03</v>
          </cell>
          <cell r="AD1251">
            <v>56000</v>
          </cell>
        </row>
        <row r="1252">
          <cell r="W1252" t="str">
            <v>QAMMA03</v>
          </cell>
          <cell r="AD1252">
            <v>56000</v>
          </cell>
        </row>
        <row r="1253">
          <cell r="W1253" t="str">
            <v>QAMMA03</v>
          </cell>
          <cell r="AD1253">
            <v>56000</v>
          </cell>
        </row>
        <row r="1254">
          <cell r="W1254" t="str">
            <v>QAMMA03</v>
          </cell>
          <cell r="AD1254">
            <v>56000</v>
          </cell>
        </row>
        <row r="1255">
          <cell r="W1255" t="str">
            <v>QAMMA03</v>
          </cell>
          <cell r="AD1255">
            <v>56000</v>
          </cell>
        </row>
        <row r="1256">
          <cell r="W1256" t="str">
            <v>QAMMA03</v>
          </cell>
          <cell r="AD1256">
            <v>56000</v>
          </cell>
        </row>
        <row r="1257">
          <cell r="W1257" t="str">
            <v>QAMMA03</v>
          </cell>
          <cell r="AD1257">
            <v>56000</v>
          </cell>
        </row>
        <row r="1258">
          <cell r="W1258" t="str">
            <v>QAMMA03</v>
          </cell>
          <cell r="AD1258">
            <v>56000</v>
          </cell>
        </row>
        <row r="1259">
          <cell r="W1259" t="str">
            <v>QAMMA03</v>
          </cell>
          <cell r="AD1259">
            <v>56000</v>
          </cell>
        </row>
        <row r="1260">
          <cell r="W1260" t="str">
            <v>QAMMA03</v>
          </cell>
          <cell r="AD1260">
            <v>56000</v>
          </cell>
        </row>
        <row r="1261">
          <cell r="W1261" t="str">
            <v>QAMMA03</v>
          </cell>
          <cell r="AD1261">
            <v>56000</v>
          </cell>
        </row>
        <row r="1262">
          <cell r="W1262" t="str">
            <v>QAMMA03</v>
          </cell>
          <cell r="AD1262">
            <v>56000</v>
          </cell>
        </row>
        <row r="1263">
          <cell r="W1263" t="str">
            <v>QAMMA03</v>
          </cell>
          <cell r="AD1263">
            <v>56000</v>
          </cell>
        </row>
        <row r="1264">
          <cell r="W1264" t="str">
            <v>QAMMA03</v>
          </cell>
          <cell r="AD1264">
            <v>56500</v>
          </cell>
        </row>
        <row r="1265">
          <cell r="W1265" t="str">
            <v>QAMMA03</v>
          </cell>
          <cell r="AD1265">
            <v>56500</v>
          </cell>
        </row>
        <row r="1266">
          <cell r="W1266" t="str">
            <v>QAMMA03</v>
          </cell>
          <cell r="AD1266">
            <v>56500</v>
          </cell>
        </row>
        <row r="1267">
          <cell r="W1267" t="str">
            <v>QAMMA03</v>
          </cell>
          <cell r="AD1267">
            <v>56500</v>
          </cell>
        </row>
        <row r="1268">
          <cell r="W1268" t="str">
            <v>QAMMA03</v>
          </cell>
          <cell r="AD1268">
            <v>56500</v>
          </cell>
        </row>
        <row r="1269">
          <cell r="W1269" t="str">
            <v>QAMMA03</v>
          </cell>
          <cell r="AD1269">
            <v>56500</v>
          </cell>
        </row>
        <row r="1270">
          <cell r="W1270" t="str">
            <v>QAMMA03</v>
          </cell>
          <cell r="AD1270">
            <v>56500</v>
          </cell>
        </row>
        <row r="1271">
          <cell r="W1271" t="str">
            <v>QAMMA03</v>
          </cell>
          <cell r="AD1271">
            <v>56500</v>
          </cell>
        </row>
        <row r="1272">
          <cell r="W1272" t="str">
            <v>QAMOL01</v>
          </cell>
          <cell r="AD1272">
            <v>46500</v>
          </cell>
        </row>
        <row r="1273">
          <cell r="W1273" t="str">
            <v>QAMOL01</v>
          </cell>
          <cell r="AD1273">
            <v>47500</v>
          </cell>
        </row>
        <row r="1274">
          <cell r="W1274" t="str">
            <v>QAMOL01</v>
          </cell>
          <cell r="AD1274">
            <v>47500</v>
          </cell>
        </row>
        <row r="1275">
          <cell r="W1275" t="str">
            <v>QAMOL01</v>
          </cell>
          <cell r="AD1275">
            <v>47500</v>
          </cell>
        </row>
        <row r="1276">
          <cell r="W1276" t="str">
            <v>QAMOL01</v>
          </cell>
          <cell r="AD1276">
            <v>47500</v>
          </cell>
        </row>
        <row r="1277">
          <cell r="W1277" t="str">
            <v>QAMOL01</v>
          </cell>
          <cell r="AD1277">
            <v>47500</v>
          </cell>
        </row>
        <row r="1278">
          <cell r="W1278" t="str">
            <v>QAMOL01</v>
          </cell>
          <cell r="AD1278">
            <v>48500</v>
          </cell>
        </row>
        <row r="1279">
          <cell r="W1279" t="str">
            <v>QAMOL02</v>
          </cell>
          <cell r="AD1279">
            <v>100000</v>
          </cell>
        </row>
        <row r="1280">
          <cell r="W1280" t="str">
            <v>QAMOL02</v>
          </cell>
          <cell r="AD1280">
            <v>108000</v>
          </cell>
        </row>
        <row r="1281">
          <cell r="W1281" t="str">
            <v>QAMOL02</v>
          </cell>
          <cell r="AD1281">
            <v>108000</v>
          </cell>
        </row>
        <row r="1282">
          <cell r="W1282" t="str">
            <v>QAMOL02</v>
          </cell>
          <cell r="AD1282">
            <v>108000</v>
          </cell>
        </row>
        <row r="1283">
          <cell r="W1283" t="str">
            <v>QAMOL02</v>
          </cell>
          <cell r="AD1283">
            <v>108000</v>
          </cell>
        </row>
        <row r="1284">
          <cell r="W1284" t="str">
            <v>QAMOL02</v>
          </cell>
          <cell r="AD1284">
            <v>108000</v>
          </cell>
        </row>
        <row r="1285">
          <cell r="W1285" t="str">
            <v>QAMOL02</v>
          </cell>
          <cell r="AD1285">
            <v>108000</v>
          </cell>
        </row>
        <row r="1286">
          <cell r="W1286" t="str">
            <v>QAMOL02</v>
          </cell>
          <cell r="AD1286">
            <v>108500</v>
          </cell>
        </row>
        <row r="1287">
          <cell r="W1287" t="str">
            <v>QAMOL02</v>
          </cell>
          <cell r="AD1287">
            <v>108500</v>
          </cell>
        </row>
        <row r="1288">
          <cell r="W1288" t="str">
            <v>QAMOL02</v>
          </cell>
          <cell r="AD1288">
            <v>108500</v>
          </cell>
        </row>
        <row r="1289">
          <cell r="W1289" t="str">
            <v>QAMOL02</v>
          </cell>
          <cell r="AD1289">
            <v>108500</v>
          </cell>
        </row>
        <row r="1290">
          <cell r="W1290" t="str">
            <v>QAMOL02</v>
          </cell>
          <cell r="AD1290">
            <v>108500</v>
          </cell>
        </row>
        <row r="1291">
          <cell r="W1291" t="str">
            <v>QAMOL02</v>
          </cell>
          <cell r="AD1291">
            <v>108500</v>
          </cell>
        </row>
        <row r="1292">
          <cell r="W1292" t="str">
            <v>QAMOL02</v>
          </cell>
          <cell r="AD1292">
            <v>110000</v>
          </cell>
        </row>
        <row r="1293">
          <cell r="W1293" t="str">
            <v>QAMOL02</v>
          </cell>
          <cell r="AD1293">
            <v>110000</v>
          </cell>
        </row>
        <row r="1294">
          <cell r="W1294" t="str">
            <v>QAMOL02</v>
          </cell>
          <cell r="AD1294">
            <v>110000</v>
          </cell>
        </row>
        <row r="1295">
          <cell r="W1295" t="str">
            <v>QAMOL02</v>
          </cell>
          <cell r="AD1295">
            <v>112500</v>
          </cell>
        </row>
        <row r="1296">
          <cell r="W1296" t="str">
            <v>QAMOL02</v>
          </cell>
          <cell r="AD1296">
            <v>112500</v>
          </cell>
        </row>
        <row r="1297">
          <cell r="W1297" t="str">
            <v>QAMOL02</v>
          </cell>
          <cell r="AD1297">
            <v>112500</v>
          </cell>
        </row>
        <row r="1298">
          <cell r="W1298" t="str">
            <v>QAMOL02</v>
          </cell>
          <cell r="AD1298">
            <v>112500</v>
          </cell>
        </row>
        <row r="1299">
          <cell r="W1299" t="str">
            <v>QAMOL02</v>
          </cell>
          <cell r="AD1299">
            <v>112500</v>
          </cell>
        </row>
        <row r="1300">
          <cell r="W1300" t="str">
            <v>QAMOT02</v>
          </cell>
          <cell r="AD1300">
            <v>155000</v>
          </cell>
        </row>
        <row r="1301">
          <cell r="W1301" t="str">
            <v>QAMOT02</v>
          </cell>
          <cell r="AD1301">
            <v>155000</v>
          </cell>
        </row>
        <row r="1302">
          <cell r="W1302" t="str">
            <v>QANET06</v>
          </cell>
          <cell r="AD1302">
            <v>23500</v>
          </cell>
        </row>
        <row r="1303">
          <cell r="W1303" t="str">
            <v>QANET06</v>
          </cell>
          <cell r="AD1303">
            <v>23500</v>
          </cell>
        </row>
        <row r="1304">
          <cell r="W1304" t="str">
            <v>QANET07</v>
          </cell>
          <cell r="AD1304">
            <v>114400</v>
          </cell>
        </row>
        <row r="1305">
          <cell r="W1305" t="str">
            <v>QANET07</v>
          </cell>
          <cell r="AD1305">
            <v>129000</v>
          </cell>
        </row>
        <row r="1306">
          <cell r="W1306" t="str">
            <v>QANET07</v>
          </cell>
          <cell r="AD1306">
            <v>135000</v>
          </cell>
        </row>
        <row r="1307">
          <cell r="W1307" t="str">
            <v>QANET07</v>
          </cell>
          <cell r="AD1307">
            <v>135000</v>
          </cell>
        </row>
        <row r="1308">
          <cell r="W1308" t="str">
            <v>QANTR01</v>
          </cell>
          <cell r="AD1308">
            <v>113000</v>
          </cell>
        </row>
        <row r="1309">
          <cell r="W1309" t="str">
            <v>QANTR01</v>
          </cell>
          <cell r="AD1309">
            <v>113000</v>
          </cell>
        </row>
        <row r="1310">
          <cell r="W1310" t="str">
            <v>QANTR01</v>
          </cell>
          <cell r="AD1310">
            <v>113500</v>
          </cell>
        </row>
        <row r="1311">
          <cell r="W1311" t="str">
            <v>QANTR01</v>
          </cell>
          <cell r="AD1311">
            <v>113500</v>
          </cell>
        </row>
        <row r="1312">
          <cell r="W1312" t="str">
            <v>QANTR01</v>
          </cell>
          <cell r="AD1312">
            <v>113500</v>
          </cell>
        </row>
        <row r="1313">
          <cell r="W1313" t="str">
            <v>QANTR01</v>
          </cell>
          <cell r="AD1313">
            <v>114000</v>
          </cell>
        </row>
        <row r="1314">
          <cell r="W1314" t="str">
            <v>QANTR01</v>
          </cell>
          <cell r="AD1314">
            <v>114500</v>
          </cell>
        </row>
        <row r="1315">
          <cell r="W1315" t="str">
            <v>QANTR01</v>
          </cell>
          <cell r="AD1315">
            <v>114500</v>
          </cell>
        </row>
        <row r="1316">
          <cell r="W1316" t="str">
            <v>QANTR01</v>
          </cell>
          <cell r="AD1316">
            <v>114500</v>
          </cell>
        </row>
        <row r="1317">
          <cell r="W1317" t="str">
            <v>QANTR01</v>
          </cell>
          <cell r="AD1317">
            <v>114500</v>
          </cell>
        </row>
        <row r="1318">
          <cell r="W1318" t="str">
            <v>QANTR01</v>
          </cell>
          <cell r="AD1318">
            <v>114500</v>
          </cell>
        </row>
        <row r="1319">
          <cell r="W1319" t="str">
            <v>QANTR01</v>
          </cell>
          <cell r="AD1319">
            <v>114500</v>
          </cell>
        </row>
        <row r="1320">
          <cell r="W1320" t="str">
            <v>QANTR01</v>
          </cell>
          <cell r="AD1320">
            <v>114500</v>
          </cell>
        </row>
        <row r="1321">
          <cell r="W1321" t="str">
            <v>QANTR01</v>
          </cell>
          <cell r="AD1321">
            <v>114500</v>
          </cell>
        </row>
        <row r="1322">
          <cell r="W1322" t="str">
            <v>QANTR01</v>
          </cell>
          <cell r="AD1322">
            <v>114500</v>
          </cell>
        </row>
        <row r="1323">
          <cell r="W1323" t="str">
            <v>QANTR01</v>
          </cell>
          <cell r="AD1323">
            <v>114500</v>
          </cell>
        </row>
        <row r="1324">
          <cell r="W1324" t="str">
            <v>QANTR01</v>
          </cell>
          <cell r="AD1324">
            <v>114500</v>
          </cell>
        </row>
        <row r="1325">
          <cell r="W1325" t="str">
            <v>QANTR01</v>
          </cell>
          <cell r="AD1325">
            <v>114500</v>
          </cell>
        </row>
        <row r="1326">
          <cell r="W1326" t="str">
            <v>QANTR01</v>
          </cell>
          <cell r="AD1326">
            <v>114500</v>
          </cell>
        </row>
        <row r="1327">
          <cell r="W1327" t="str">
            <v>QANTR01</v>
          </cell>
          <cell r="AD1327">
            <v>114500</v>
          </cell>
        </row>
        <row r="1328">
          <cell r="W1328" t="str">
            <v>QANTR01</v>
          </cell>
          <cell r="AD1328">
            <v>114500</v>
          </cell>
        </row>
        <row r="1329">
          <cell r="W1329" t="str">
            <v>QANTR01</v>
          </cell>
          <cell r="AD1329">
            <v>114500</v>
          </cell>
        </row>
        <row r="1330">
          <cell r="W1330" t="str">
            <v>QANTR01</v>
          </cell>
          <cell r="AD1330">
            <v>114500</v>
          </cell>
        </row>
        <row r="1331">
          <cell r="W1331" t="str">
            <v>QANTR01</v>
          </cell>
          <cell r="AD1331">
            <v>114500</v>
          </cell>
        </row>
        <row r="1332">
          <cell r="W1332" t="str">
            <v>QANTR01</v>
          </cell>
          <cell r="AD1332">
            <v>114500</v>
          </cell>
        </row>
        <row r="1333">
          <cell r="W1333" t="str">
            <v>QANTR01</v>
          </cell>
          <cell r="AD1333">
            <v>114500</v>
          </cell>
        </row>
        <row r="1334">
          <cell r="W1334" t="str">
            <v>QANTR01</v>
          </cell>
          <cell r="AD1334">
            <v>114500</v>
          </cell>
        </row>
        <row r="1335">
          <cell r="W1335" t="str">
            <v>QANTR01</v>
          </cell>
          <cell r="AD1335">
            <v>114500</v>
          </cell>
        </row>
        <row r="1336">
          <cell r="W1336" t="str">
            <v>QANTR01</v>
          </cell>
          <cell r="AD1336">
            <v>114500</v>
          </cell>
        </row>
        <row r="1337">
          <cell r="W1337" t="str">
            <v>QANTR01</v>
          </cell>
          <cell r="AD1337">
            <v>115000</v>
          </cell>
        </row>
        <row r="1338">
          <cell r="W1338" t="str">
            <v>QANTR01</v>
          </cell>
          <cell r="AD1338">
            <v>116000</v>
          </cell>
        </row>
        <row r="1339">
          <cell r="W1339" t="str">
            <v>QANTR01</v>
          </cell>
          <cell r="AD1339">
            <v>116000</v>
          </cell>
        </row>
        <row r="1340">
          <cell r="W1340" t="str">
            <v>QANTR01</v>
          </cell>
          <cell r="AD1340">
            <v>116000</v>
          </cell>
        </row>
        <row r="1341">
          <cell r="W1341" t="str">
            <v>QANTR01</v>
          </cell>
          <cell r="AD1341">
            <v>116000</v>
          </cell>
        </row>
        <row r="1342">
          <cell r="W1342" t="str">
            <v>QANTR01</v>
          </cell>
          <cell r="AD1342">
            <v>116000</v>
          </cell>
        </row>
        <row r="1343">
          <cell r="W1343" t="str">
            <v>QANTR01</v>
          </cell>
          <cell r="AD1343">
            <v>117000</v>
          </cell>
        </row>
        <row r="1344">
          <cell r="W1344" t="str">
            <v>QANTR02</v>
          </cell>
          <cell r="AD1344">
            <v>58500</v>
          </cell>
        </row>
        <row r="1345">
          <cell r="W1345" t="str">
            <v>QANTR02</v>
          </cell>
          <cell r="AD1345">
            <v>58500</v>
          </cell>
        </row>
        <row r="1346">
          <cell r="W1346" t="str">
            <v>QANTR02</v>
          </cell>
          <cell r="AD1346">
            <v>58500</v>
          </cell>
        </row>
        <row r="1347">
          <cell r="W1347" t="str">
            <v>QANTR02</v>
          </cell>
          <cell r="AD1347">
            <v>59000</v>
          </cell>
        </row>
        <row r="1348">
          <cell r="W1348" t="str">
            <v>QANTR02</v>
          </cell>
          <cell r="AD1348">
            <v>59000</v>
          </cell>
        </row>
        <row r="1349">
          <cell r="W1349" t="str">
            <v>QANTR02</v>
          </cell>
          <cell r="AD1349">
            <v>59000</v>
          </cell>
        </row>
        <row r="1350">
          <cell r="W1350" t="str">
            <v>QANTR02</v>
          </cell>
          <cell r="AD1350">
            <v>59000</v>
          </cell>
        </row>
        <row r="1351">
          <cell r="W1351" t="str">
            <v>QANTR02</v>
          </cell>
          <cell r="AD1351">
            <v>59000</v>
          </cell>
        </row>
        <row r="1352">
          <cell r="W1352" t="str">
            <v>QANTR02</v>
          </cell>
          <cell r="AD1352">
            <v>59000</v>
          </cell>
        </row>
        <row r="1353">
          <cell r="W1353" t="str">
            <v>QANTR02</v>
          </cell>
          <cell r="AD1353">
            <v>59000</v>
          </cell>
        </row>
        <row r="1354">
          <cell r="W1354" t="str">
            <v>QANTR02</v>
          </cell>
          <cell r="AD1354">
            <v>59000</v>
          </cell>
        </row>
        <row r="1355">
          <cell r="W1355" t="str">
            <v>QANTR02</v>
          </cell>
          <cell r="AD1355">
            <v>59000</v>
          </cell>
        </row>
        <row r="1356">
          <cell r="W1356" t="str">
            <v>QANTR02</v>
          </cell>
          <cell r="AD1356">
            <v>59000</v>
          </cell>
        </row>
        <row r="1357">
          <cell r="W1357" t="str">
            <v>QANTR02</v>
          </cell>
          <cell r="AD1357">
            <v>59000</v>
          </cell>
        </row>
        <row r="1358">
          <cell r="W1358" t="str">
            <v>QANTR02</v>
          </cell>
          <cell r="AD1358">
            <v>59000</v>
          </cell>
        </row>
        <row r="1359">
          <cell r="W1359" t="str">
            <v>QANTR02</v>
          </cell>
          <cell r="AD1359">
            <v>59000</v>
          </cell>
        </row>
        <row r="1360">
          <cell r="W1360" t="str">
            <v>QANTR02</v>
          </cell>
          <cell r="AD1360">
            <v>59000</v>
          </cell>
        </row>
        <row r="1361">
          <cell r="W1361" t="str">
            <v>QANTR02</v>
          </cell>
          <cell r="AD1361">
            <v>59000</v>
          </cell>
        </row>
        <row r="1362">
          <cell r="W1362" t="str">
            <v>QANTR02</v>
          </cell>
          <cell r="AD1362">
            <v>59000</v>
          </cell>
        </row>
        <row r="1363">
          <cell r="W1363" t="str">
            <v>QANTR02</v>
          </cell>
          <cell r="AD1363">
            <v>59000</v>
          </cell>
        </row>
        <row r="1364">
          <cell r="W1364" t="str">
            <v>QANTR02</v>
          </cell>
          <cell r="AD1364">
            <v>59500</v>
          </cell>
        </row>
        <row r="1365">
          <cell r="W1365" t="str">
            <v>QANTR02</v>
          </cell>
          <cell r="AD1365">
            <v>59500</v>
          </cell>
        </row>
        <row r="1366">
          <cell r="W1366" t="str">
            <v>QANTR02</v>
          </cell>
          <cell r="AD1366">
            <v>59500</v>
          </cell>
        </row>
        <row r="1367">
          <cell r="W1367" t="str">
            <v>QANTR02</v>
          </cell>
          <cell r="AD1367">
            <v>59500</v>
          </cell>
        </row>
        <row r="1368">
          <cell r="W1368" t="str">
            <v>QANTR02</v>
          </cell>
          <cell r="AD1368">
            <v>59500</v>
          </cell>
        </row>
        <row r="1369">
          <cell r="W1369" t="str">
            <v>QANTR02</v>
          </cell>
          <cell r="AD1369">
            <v>59500</v>
          </cell>
        </row>
        <row r="1370">
          <cell r="W1370" t="str">
            <v>QANTR02</v>
          </cell>
          <cell r="AD1370">
            <v>59500</v>
          </cell>
        </row>
        <row r="1371">
          <cell r="W1371" t="str">
            <v>QANTR02</v>
          </cell>
          <cell r="AD1371">
            <v>59500</v>
          </cell>
        </row>
        <row r="1372">
          <cell r="W1372" t="str">
            <v>QANTR02</v>
          </cell>
          <cell r="AD1372">
            <v>59500</v>
          </cell>
        </row>
        <row r="1373">
          <cell r="W1373" t="str">
            <v>QANTR02</v>
          </cell>
          <cell r="AD1373">
            <v>59500</v>
          </cell>
        </row>
        <row r="1374">
          <cell r="W1374" t="str">
            <v>QANTR02</v>
          </cell>
          <cell r="AD1374">
            <v>59500</v>
          </cell>
        </row>
        <row r="1375">
          <cell r="W1375" t="str">
            <v>QANTR02</v>
          </cell>
          <cell r="AD1375">
            <v>59500</v>
          </cell>
        </row>
        <row r="1376">
          <cell r="W1376" t="str">
            <v>QANTR02</v>
          </cell>
          <cell r="AD1376">
            <v>59500</v>
          </cell>
        </row>
        <row r="1377">
          <cell r="W1377" t="str">
            <v>QANTR02</v>
          </cell>
          <cell r="AD1377">
            <v>59500</v>
          </cell>
        </row>
        <row r="1378">
          <cell r="W1378" t="str">
            <v>QANTR02</v>
          </cell>
          <cell r="AD1378">
            <v>59500</v>
          </cell>
        </row>
        <row r="1379">
          <cell r="W1379" t="str">
            <v>QANTR02</v>
          </cell>
          <cell r="AD1379">
            <v>59500</v>
          </cell>
        </row>
        <row r="1380">
          <cell r="W1380" t="str">
            <v>QANTR02</v>
          </cell>
          <cell r="AD1380">
            <v>59500</v>
          </cell>
        </row>
        <row r="1381">
          <cell r="W1381" t="str">
            <v>QANTR02</v>
          </cell>
          <cell r="AD1381">
            <v>59500</v>
          </cell>
        </row>
        <row r="1382">
          <cell r="W1382" t="str">
            <v>QANTR02</v>
          </cell>
          <cell r="AD1382">
            <v>59500</v>
          </cell>
        </row>
        <row r="1383">
          <cell r="W1383" t="str">
            <v>QANTR02</v>
          </cell>
          <cell r="AD1383">
            <v>59500</v>
          </cell>
        </row>
        <row r="1384">
          <cell r="W1384" t="str">
            <v>QANTR02</v>
          </cell>
          <cell r="AD1384">
            <v>59500</v>
          </cell>
        </row>
        <row r="1385">
          <cell r="W1385" t="str">
            <v>QANTR02</v>
          </cell>
          <cell r="AD1385">
            <v>60000</v>
          </cell>
        </row>
        <row r="1386">
          <cell r="W1386" t="str">
            <v>QANTR02</v>
          </cell>
          <cell r="AD1386">
            <v>60000</v>
          </cell>
        </row>
        <row r="1387">
          <cell r="W1387" t="str">
            <v>QANTR02</v>
          </cell>
          <cell r="AD1387">
            <v>60000</v>
          </cell>
        </row>
        <row r="1388">
          <cell r="W1388" t="str">
            <v>QANTR02</v>
          </cell>
          <cell r="AD1388">
            <v>60000</v>
          </cell>
        </row>
        <row r="1389">
          <cell r="W1389" t="str">
            <v>QANTR02</v>
          </cell>
          <cell r="AD1389">
            <v>60000</v>
          </cell>
        </row>
        <row r="1390">
          <cell r="W1390" t="str">
            <v>QANTR02</v>
          </cell>
          <cell r="AD1390">
            <v>60000</v>
          </cell>
        </row>
        <row r="1391">
          <cell r="W1391" t="str">
            <v>QANTR03</v>
          </cell>
          <cell r="AD1391">
            <v>29500</v>
          </cell>
        </row>
        <row r="1392">
          <cell r="W1392" t="str">
            <v>QANTR03</v>
          </cell>
          <cell r="AD1392">
            <v>29500</v>
          </cell>
        </row>
        <row r="1393">
          <cell r="W1393" t="str">
            <v>QANTR03</v>
          </cell>
          <cell r="AD1393">
            <v>29500</v>
          </cell>
        </row>
        <row r="1394">
          <cell r="W1394" t="str">
            <v>QANTR03</v>
          </cell>
          <cell r="AD1394">
            <v>29500</v>
          </cell>
        </row>
        <row r="1395">
          <cell r="W1395" t="str">
            <v>QANTR03</v>
          </cell>
          <cell r="AD1395">
            <v>29500</v>
          </cell>
        </row>
        <row r="1396">
          <cell r="W1396" t="str">
            <v>QANTR03</v>
          </cell>
          <cell r="AD1396">
            <v>29500</v>
          </cell>
        </row>
        <row r="1397">
          <cell r="W1397" t="str">
            <v>QANTR03</v>
          </cell>
          <cell r="AD1397">
            <v>29500</v>
          </cell>
        </row>
        <row r="1398">
          <cell r="W1398" t="str">
            <v>QANTR03</v>
          </cell>
          <cell r="AD1398">
            <v>29500</v>
          </cell>
        </row>
        <row r="1399">
          <cell r="W1399" t="str">
            <v>QANTR03</v>
          </cell>
          <cell r="AD1399">
            <v>29500</v>
          </cell>
        </row>
        <row r="1400">
          <cell r="W1400" t="str">
            <v>QANTR03</v>
          </cell>
          <cell r="AD1400">
            <v>29500</v>
          </cell>
        </row>
        <row r="1401">
          <cell r="W1401" t="str">
            <v>QANTR03</v>
          </cell>
          <cell r="AD1401">
            <v>29500</v>
          </cell>
        </row>
        <row r="1402">
          <cell r="W1402" t="str">
            <v>QANTR03</v>
          </cell>
          <cell r="AD1402">
            <v>29500</v>
          </cell>
        </row>
        <row r="1403">
          <cell r="W1403" t="str">
            <v>QANTR03</v>
          </cell>
          <cell r="AD1403">
            <v>29500</v>
          </cell>
        </row>
        <row r="1404">
          <cell r="W1404" t="str">
            <v>QANTR03</v>
          </cell>
          <cell r="AD1404">
            <v>29500</v>
          </cell>
        </row>
        <row r="1405">
          <cell r="W1405" t="str">
            <v>QANTR03</v>
          </cell>
          <cell r="AD1405">
            <v>29500</v>
          </cell>
        </row>
        <row r="1406">
          <cell r="W1406" t="str">
            <v>QANTR03</v>
          </cell>
          <cell r="AD1406">
            <v>29500</v>
          </cell>
        </row>
        <row r="1407">
          <cell r="W1407" t="str">
            <v>QANTR03</v>
          </cell>
          <cell r="AD1407">
            <v>29500</v>
          </cell>
        </row>
        <row r="1408">
          <cell r="W1408" t="str">
            <v>QANTR03</v>
          </cell>
          <cell r="AD1408">
            <v>29500</v>
          </cell>
        </row>
        <row r="1409">
          <cell r="W1409" t="str">
            <v>QANTR03</v>
          </cell>
          <cell r="AD1409">
            <v>29750</v>
          </cell>
        </row>
        <row r="1410">
          <cell r="W1410" t="str">
            <v>QANTR03</v>
          </cell>
          <cell r="AD1410">
            <v>29750</v>
          </cell>
        </row>
        <row r="1411">
          <cell r="W1411" t="str">
            <v>QANTR03</v>
          </cell>
          <cell r="AD1411">
            <v>29750</v>
          </cell>
        </row>
        <row r="1412">
          <cell r="W1412" t="str">
            <v>QANTR03</v>
          </cell>
          <cell r="AD1412">
            <v>29750</v>
          </cell>
        </row>
        <row r="1413">
          <cell r="W1413" t="str">
            <v>QANTR03</v>
          </cell>
          <cell r="AD1413">
            <v>29750</v>
          </cell>
        </row>
        <row r="1414">
          <cell r="W1414" t="str">
            <v>QANTR03</v>
          </cell>
          <cell r="AD1414">
            <v>30000</v>
          </cell>
        </row>
        <row r="1415">
          <cell r="W1415" t="str">
            <v>QANTR03</v>
          </cell>
          <cell r="AD1415">
            <v>30250</v>
          </cell>
        </row>
        <row r="1416">
          <cell r="W1416" t="str">
            <v>QANTR03</v>
          </cell>
          <cell r="AD1416">
            <v>30250</v>
          </cell>
        </row>
        <row r="1417">
          <cell r="W1417" t="str">
            <v>QANTR03</v>
          </cell>
          <cell r="AD1417">
            <v>30250</v>
          </cell>
        </row>
        <row r="1418">
          <cell r="W1418" t="str">
            <v>QANTR03</v>
          </cell>
          <cell r="AD1418">
            <v>30250</v>
          </cell>
        </row>
        <row r="1419">
          <cell r="W1419" t="str">
            <v>QANTR03</v>
          </cell>
          <cell r="AD1419">
            <v>30250</v>
          </cell>
        </row>
        <row r="1420">
          <cell r="W1420" t="str">
            <v>QANTR03</v>
          </cell>
          <cell r="AD1420">
            <v>30250</v>
          </cell>
        </row>
        <row r="1421">
          <cell r="W1421" t="str">
            <v>QANTR03</v>
          </cell>
          <cell r="AD1421">
            <v>30250</v>
          </cell>
        </row>
        <row r="1422">
          <cell r="W1422" t="str">
            <v>QANTR03</v>
          </cell>
          <cell r="AD1422">
            <v>30250</v>
          </cell>
        </row>
        <row r="1423">
          <cell r="W1423" t="str">
            <v>QANTR03</v>
          </cell>
          <cell r="AD1423">
            <v>30250</v>
          </cell>
        </row>
        <row r="1424">
          <cell r="W1424" t="str">
            <v>QANTR03</v>
          </cell>
          <cell r="AD1424">
            <v>30250</v>
          </cell>
        </row>
        <row r="1425">
          <cell r="W1425" t="str">
            <v>QANTR03</v>
          </cell>
          <cell r="AD1425">
            <v>30250</v>
          </cell>
        </row>
        <row r="1426">
          <cell r="W1426" t="str">
            <v>QANTR03</v>
          </cell>
          <cell r="AD1426">
            <v>30250</v>
          </cell>
        </row>
        <row r="1427">
          <cell r="W1427" t="str">
            <v>QANTR03</v>
          </cell>
          <cell r="AD1427">
            <v>30250</v>
          </cell>
        </row>
        <row r="1428">
          <cell r="W1428" t="str">
            <v>QANTR03</v>
          </cell>
          <cell r="AD1428">
            <v>30500</v>
          </cell>
        </row>
        <row r="1429">
          <cell r="W1429" t="str">
            <v>QANTR03</v>
          </cell>
          <cell r="AD1429">
            <v>30500</v>
          </cell>
        </row>
        <row r="1430">
          <cell r="W1430" t="str">
            <v>QANTR03</v>
          </cell>
          <cell r="AD1430">
            <v>30750</v>
          </cell>
        </row>
        <row r="1431">
          <cell r="W1431" t="str">
            <v>QANTR03</v>
          </cell>
          <cell r="AD1431">
            <v>31000</v>
          </cell>
        </row>
        <row r="1432">
          <cell r="W1432" t="str">
            <v>QANTR03</v>
          </cell>
          <cell r="AD1432">
            <v>31000</v>
          </cell>
        </row>
        <row r="1433">
          <cell r="W1433" t="str">
            <v>QANTR03</v>
          </cell>
          <cell r="AD1433">
            <v>31000</v>
          </cell>
        </row>
        <row r="1434">
          <cell r="W1434" t="str">
            <v>QANTR03</v>
          </cell>
          <cell r="AD1434">
            <v>31250</v>
          </cell>
        </row>
        <row r="1435">
          <cell r="W1435" t="str">
            <v>QANTR03</v>
          </cell>
          <cell r="AD1435">
            <v>31250</v>
          </cell>
        </row>
        <row r="1436">
          <cell r="W1436" t="str">
            <v>QANTR03</v>
          </cell>
          <cell r="AD1436">
            <v>31250</v>
          </cell>
        </row>
        <row r="1437">
          <cell r="W1437" t="str">
            <v>QANTR03</v>
          </cell>
          <cell r="AD1437">
            <v>31250</v>
          </cell>
        </row>
        <row r="1438">
          <cell r="W1438" t="str">
            <v>QANVI01</v>
          </cell>
          <cell r="AD1438">
            <v>199000</v>
          </cell>
        </row>
        <row r="1439">
          <cell r="W1439" t="str">
            <v>QANVI01</v>
          </cell>
          <cell r="AD1439">
            <v>199500</v>
          </cell>
        </row>
        <row r="1440">
          <cell r="W1440" t="str">
            <v>QANVI01</v>
          </cell>
          <cell r="AD1440">
            <v>199500</v>
          </cell>
        </row>
        <row r="1441">
          <cell r="W1441" t="str">
            <v>QANVI01</v>
          </cell>
          <cell r="AD1441">
            <v>203500</v>
          </cell>
        </row>
        <row r="1442">
          <cell r="W1442" t="str">
            <v>QANVI01</v>
          </cell>
          <cell r="AD1442">
            <v>204000</v>
          </cell>
        </row>
        <row r="1443">
          <cell r="W1443" t="str">
            <v>QANVI01</v>
          </cell>
          <cell r="AD1443">
            <v>204000</v>
          </cell>
        </row>
        <row r="1444">
          <cell r="W1444" t="str">
            <v>QANVI02</v>
          </cell>
          <cell r="AD1444">
            <v>56000</v>
          </cell>
        </row>
        <row r="1445">
          <cell r="W1445" t="str">
            <v>QANVI02</v>
          </cell>
          <cell r="AD1445">
            <v>56750</v>
          </cell>
        </row>
        <row r="1446">
          <cell r="W1446" t="str">
            <v>QANVI02</v>
          </cell>
          <cell r="AD1446">
            <v>56750</v>
          </cell>
        </row>
        <row r="1447">
          <cell r="W1447" t="str">
            <v>QANVI02</v>
          </cell>
          <cell r="AD1447">
            <v>56750</v>
          </cell>
        </row>
        <row r="1448">
          <cell r="W1448" t="str">
            <v>QANVI02</v>
          </cell>
          <cell r="AD1448">
            <v>56750</v>
          </cell>
        </row>
        <row r="1449">
          <cell r="W1449" t="str">
            <v>QANVI02</v>
          </cell>
          <cell r="AD1449">
            <v>56750</v>
          </cell>
        </row>
        <row r="1450">
          <cell r="W1450" t="str">
            <v>QANVI02</v>
          </cell>
          <cell r="AD1450">
            <v>56750</v>
          </cell>
        </row>
        <row r="1451">
          <cell r="W1451" t="str">
            <v>QANVI02</v>
          </cell>
          <cell r="AD1451">
            <v>56750</v>
          </cell>
        </row>
        <row r="1452">
          <cell r="W1452" t="str">
            <v>QANVI02</v>
          </cell>
          <cell r="AD1452">
            <v>56750</v>
          </cell>
        </row>
        <row r="1453">
          <cell r="W1453" t="str">
            <v>QANVI02</v>
          </cell>
          <cell r="AD1453">
            <v>56750</v>
          </cell>
        </row>
        <row r="1454">
          <cell r="W1454" t="str">
            <v>QANVI02</v>
          </cell>
          <cell r="AD1454">
            <v>56800</v>
          </cell>
        </row>
        <row r="1455">
          <cell r="W1455" t="str">
            <v>QANVI02</v>
          </cell>
          <cell r="AD1455">
            <v>56850</v>
          </cell>
        </row>
        <row r="1456">
          <cell r="W1456" t="str">
            <v>QANVI02</v>
          </cell>
          <cell r="AD1456">
            <v>57000</v>
          </cell>
        </row>
        <row r="1457">
          <cell r="W1457" t="str">
            <v>QANVI02</v>
          </cell>
          <cell r="AD1457">
            <v>57500</v>
          </cell>
        </row>
        <row r="1458">
          <cell r="W1458" t="str">
            <v>QANWA02</v>
          </cell>
          <cell r="AD1458">
            <v>167500</v>
          </cell>
        </row>
        <row r="1459">
          <cell r="W1459" t="str">
            <v>QAPRO02</v>
          </cell>
          <cell r="AD1459">
            <v>71000</v>
          </cell>
        </row>
        <row r="1460">
          <cell r="W1460" t="str">
            <v>QAPRO02</v>
          </cell>
          <cell r="AD1460">
            <v>71000</v>
          </cell>
        </row>
        <row r="1461">
          <cell r="W1461" t="str">
            <v>QAPRO02</v>
          </cell>
          <cell r="AD1461">
            <v>71000</v>
          </cell>
        </row>
        <row r="1462">
          <cell r="W1462" t="str">
            <v>AARIZ01</v>
          </cell>
          <cell r="AD1462">
            <v>1</v>
          </cell>
        </row>
        <row r="1463">
          <cell r="W1463" t="str">
            <v>QASET02</v>
          </cell>
          <cell r="AD1463">
            <v>80000</v>
          </cell>
        </row>
        <row r="1464">
          <cell r="W1464" t="str">
            <v>QASET02</v>
          </cell>
          <cell r="AD1464">
            <v>80000</v>
          </cell>
        </row>
        <row r="1465">
          <cell r="W1465" t="str">
            <v>AASIA01</v>
          </cell>
          <cell r="AD1465">
            <v>1</v>
          </cell>
        </row>
        <row r="1466">
          <cell r="W1466" t="str">
            <v>QASIA03</v>
          </cell>
          <cell r="AD1466">
            <v>840000</v>
          </cell>
        </row>
        <row r="1467">
          <cell r="W1467" t="str">
            <v>QASIA03</v>
          </cell>
          <cell r="AD1467">
            <v>840000</v>
          </cell>
        </row>
        <row r="1468">
          <cell r="W1468" t="str">
            <v>QASIA03</v>
          </cell>
          <cell r="AD1468">
            <v>840000</v>
          </cell>
        </row>
        <row r="1469">
          <cell r="W1469" t="str">
            <v>QASIA03</v>
          </cell>
          <cell r="AD1469">
            <v>840000</v>
          </cell>
        </row>
        <row r="1470">
          <cell r="W1470" t="str">
            <v>QASIA03</v>
          </cell>
          <cell r="AD1470">
            <v>840000</v>
          </cell>
        </row>
        <row r="1471">
          <cell r="W1471" t="str">
            <v>QASIA03</v>
          </cell>
          <cell r="AD1471">
            <v>840000</v>
          </cell>
        </row>
        <row r="1472">
          <cell r="W1472" t="str">
            <v>QASIA01</v>
          </cell>
          <cell r="AD1472">
            <v>40000</v>
          </cell>
        </row>
        <row r="1473">
          <cell r="W1473" t="str">
            <v>QASIA01</v>
          </cell>
          <cell r="AD1473">
            <v>40600</v>
          </cell>
        </row>
        <row r="1474">
          <cell r="W1474" t="str">
            <v>QASIA01</v>
          </cell>
          <cell r="AD1474">
            <v>44000</v>
          </cell>
        </row>
        <row r="1475">
          <cell r="W1475" t="str">
            <v>QASIA01</v>
          </cell>
          <cell r="AD1475">
            <v>44000</v>
          </cell>
        </row>
        <row r="1476">
          <cell r="W1476" t="str">
            <v>QASIA01</v>
          </cell>
          <cell r="AD1476">
            <v>44000</v>
          </cell>
        </row>
        <row r="1477">
          <cell r="W1477" t="str">
            <v>QASIA01</v>
          </cell>
          <cell r="AD1477">
            <v>44000</v>
          </cell>
        </row>
        <row r="1478">
          <cell r="W1478" t="str">
            <v>QASIA01</v>
          </cell>
          <cell r="AD1478">
            <v>45000</v>
          </cell>
        </row>
        <row r="1479">
          <cell r="W1479" t="str">
            <v>QASIA01</v>
          </cell>
          <cell r="AD1479">
            <v>45000</v>
          </cell>
        </row>
        <row r="1480">
          <cell r="W1480" t="str">
            <v>QASIA01</v>
          </cell>
          <cell r="AD1480">
            <v>45000</v>
          </cell>
        </row>
        <row r="1481">
          <cell r="W1481" t="str">
            <v>QASIA01</v>
          </cell>
          <cell r="AD1481">
            <v>45000</v>
          </cell>
        </row>
        <row r="1482">
          <cell r="W1482" t="str">
            <v>QASIA01</v>
          </cell>
          <cell r="AD1482">
            <v>45000</v>
          </cell>
        </row>
        <row r="1483">
          <cell r="W1483" t="str">
            <v>QASIA01</v>
          </cell>
          <cell r="AD1483">
            <v>45000</v>
          </cell>
        </row>
        <row r="1484">
          <cell r="W1484" t="str">
            <v>QASIA02</v>
          </cell>
          <cell r="AD1484">
            <v>195000</v>
          </cell>
        </row>
        <row r="1485">
          <cell r="W1485" t="str">
            <v>QASIA02</v>
          </cell>
          <cell r="AD1485">
            <v>195000</v>
          </cell>
        </row>
        <row r="1486">
          <cell r="W1486" t="str">
            <v>QASIA02</v>
          </cell>
          <cell r="AD1486">
            <v>200000</v>
          </cell>
        </row>
        <row r="1487">
          <cell r="W1487" t="str">
            <v>QASIA02</v>
          </cell>
          <cell r="AD1487">
            <v>215000</v>
          </cell>
        </row>
        <row r="1488">
          <cell r="W1488" t="str">
            <v>QASLI01</v>
          </cell>
          <cell r="AD1488">
            <v>15000</v>
          </cell>
        </row>
        <row r="1489">
          <cell r="W1489" t="str">
            <v>QASLI01</v>
          </cell>
          <cell r="AD1489">
            <v>15000</v>
          </cell>
        </row>
        <row r="1490">
          <cell r="W1490" t="str">
            <v>QASLI01</v>
          </cell>
          <cell r="AD1490">
            <v>15000</v>
          </cell>
        </row>
        <row r="1491">
          <cell r="W1491" t="str">
            <v>QASLI01</v>
          </cell>
          <cell r="AD1491">
            <v>15000</v>
          </cell>
        </row>
        <row r="1492">
          <cell r="W1492" t="str">
            <v>QASLI01</v>
          </cell>
          <cell r="AD1492">
            <v>15000</v>
          </cell>
        </row>
        <row r="1493">
          <cell r="W1493" t="str">
            <v>QASLI01</v>
          </cell>
          <cell r="AD1493">
            <v>15000</v>
          </cell>
        </row>
        <row r="1494">
          <cell r="W1494" t="str">
            <v>QASLI01</v>
          </cell>
          <cell r="AD1494">
            <v>15000</v>
          </cell>
        </row>
        <row r="1495">
          <cell r="W1495" t="str">
            <v>QASSO01</v>
          </cell>
          <cell r="AD1495">
            <v>287500</v>
          </cell>
        </row>
        <row r="1496">
          <cell r="W1496" t="str">
            <v>QASSO01</v>
          </cell>
          <cell r="AD1496">
            <v>287500</v>
          </cell>
        </row>
        <row r="1497">
          <cell r="W1497" t="str">
            <v>QASSO01</v>
          </cell>
          <cell r="AD1497">
            <v>295000</v>
          </cell>
        </row>
        <row r="1498">
          <cell r="W1498" t="str">
            <v>QASSO01</v>
          </cell>
          <cell r="AD1498">
            <v>320000</v>
          </cell>
        </row>
        <row r="1499">
          <cell r="W1499" t="str">
            <v>QASSO01</v>
          </cell>
          <cell r="AD1499">
            <v>320000</v>
          </cell>
        </row>
        <row r="1500">
          <cell r="W1500" t="str">
            <v>QASSO01</v>
          </cell>
          <cell r="AD1500">
            <v>320000</v>
          </cell>
        </row>
        <row r="1501">
          <cell r="W1501" t="str">
            <v>QASSO01</v>
          </cell>
          <cell r="AD1501">
            <v>320000</v>
          </cell>
        </row>
        <row r="1502">
          <cell r="W1502" t="str">
            <v>QASSO01</v>
          </cell>
          <cell r="AD1502">
            <v>320000</v>
          </cell>
        </row>
        <row r="1503">
          <cell r="W1503" t="str">
            <v>QASSO01</v>
          </cell>
          <cell r="AD1503">
            <v>320000</v>
          </cell>
        </row>
        <row r="1504">
          <cell r="W1504" t="str">
            <v>QASSO01</v>
          </cell>
          <cell r="AD1504">
            <v>320000</v>
          </cell>
        </row>
        <row r="1505">
          <cell r="W1505" t="str">
            <v>QASSO01</v>
          </cell>
          <cell r="AD1505">
            <v>325000</v>
          </cell>
        </row>
        <row r="1506">
          <cell r="W1506" t="str">
            <v>QASSO01</v>
          </cell>
          <cell r="AD1506">
            <v>325000</v>
          </cell>
        </row>
        <row r="1507">
          <cell r="W1507" t="str">
            <v>QASSO01</v>
          </cell>
          <cell r="AD1507">
            <v>325000</v>
          </cell>
        </row>
        <row r="1508">
          <cell r="W1508" t="str">
            <v>QASSO01</v>
          </cell>
          <cell r="AD1508">
            <v>325000</v>
          </cell>
        </row>
        <row r="1509">
          <cell r="W1509" t="str">
            <v>QASSO01</v>
          </cell>
          <cell r="AD1509">
            <v>325000</v>
          </cell>
        </row>
        <row r="1510">
          <cell r="W1510" t="str">
            <v>QASSO01</v>
          </cell>
          <cell r="AD1510">
            <v>325000</v>
          </cell>
        </row>
        <row r="1511">
          <cell r="W1511" t="str">
            <v>QASSO01</v>
          </cell>
          <cell r="AD1511">
            <v>325000</v>
          </cell>
        </row>
        <row r="1512">
          <cell r="W1512" t="str">
            <v>QASSO01</v>
          </cell>
          <cell r="AD1512">
            <v>325000</v>
          </cell>
        </row>
        <row r="1513">
          <cell r="W1513" t="str">
            <v>QASSO01</v>
          </cell>
          <cell r="AD1513">
            <v>325000</v>
          </cell>
        </row>
        <row r="1514">
          <cell r="W1514" t="str">
            <v>AASSO03</v>
          </cell>
          <cell r="AD1514">
            <v>325000</v>
          </cell>
        </row>
        <row r="1515">
          <cell r="W1515" t="str">
            <v>QASSO01</v>
          </cell>
          <cell r="AD1515">
            <v>325000</v>
          </cell>
        </row>
        <row r="1516">
          <cell r="W1516" t="str">
            <v>QASSO01</v>
          </cell>
          <cell r="AD1516">
            <v>325000</v>
          </cell>
        </row>
        <row r="1517">
          <cell r="W1517" t="str">
            <v>AASSO01</v>
          </cell>
          <cell r="AD1517">
            <v>1</v>
          </cell>
        </row>
        <row r="1518">
          <cell r="W1518" t="str">
            <v>AASSO04</v>
          </cell>
          <cell r="AD1518">
            <v>72600</v>
          </cell>
        </row>
        <row r="1519">
          <cell r="W1519" t="str">
            <v>QASSO02</v>
          </cell>
          <cell r="AD1519">
            <v>103500</v>
          </cell>
        </row>
        <row r="1520">
          <cell r="W1520" t="str">
            <v>QASSO02</v>
          </cell>
          <cell r="AD1520">
            <v>106000</v>
          </cell>
        </row>
        <row r="1521">
          <cell r="W1521" t="str">
            <v>QASSO02</v>
          </cell>
          <cell r="AD1521">
            <v>115000</v>
          </cell>
        </row>
        <row r="1522">
          <cell r="W1522" t="str">
            <v>QASSO02</v>
          </cell>
          <cell r="AD1522">
            <v>115000</v>
          </cell>
        </row>
        <row r="1523">
          <cell r="W1523" t="str">
            <v>QASSO02</v>
          </cell>
          <cell r="AD1523">
            <v>115000</v>
          </cell>
        </row>
        <row r="1524">
          <cell r="W1524" t="str">
            <v>QASSO02</v>
          </cell>
          <cell r="AD1524">
            <v>115000</v>
          </cell>
        </row>
        <row r="1525">
          <cell r="W1525" t="str">
            <v>QASSO02</v>
          </cell>
          <cell r="AD1525">
            <v>115000</v>
          </cell>
        </row>
        <row r="1526">
          <cell r="W1526" t="str">
            <v>QASSO02</v>
          </cell>
          <cell r="AD1526">
            <v>115000</v>
          </cell>
        </row>
        <row r="1527">
          <cell r="W1527" t="str">
            <v>QASSO02</v>
          </cell>
          <cell r="AD1527">
            <v>115000</v>
          </cell>
        </row>
        <row r="1528">
          <cell r="W1528" t="str">
            <v>QASTA01</v>
          </cell>
          <cell r="AD1528">
            <v>47000</v>
          </cell>
        </row>
        <row r="1529">
          <cell r="W1529" t="str">
            <v>QASTA01</v>
          </cell>
          <cell r="AD1529">
            <v>53000</v>
          </cell>
        </row>
        <row r="1530">
          <cell r="W1530" t="str">
            <v>QASTA01</v>
          </cell>
          <cell r="AD1530">
            <v>53000</v>
          </cell>
        </row>
        <row r="1531">
          <cell r="W1531" t="str">
            <v>QASTA01</v>
          </cell>
          <cell r="AD1531">
            <v>53000</v>
          </cell>
        </row>
        <row r="1532">
          <cell r="W1532" t="str">
            <v>QASTA01</v>
          </cell>
          <cell r="AD1532">
            <v>53000</v>
          </cell>
        </row>
        <row r="1533">
          <cell r="W1533" t="str">
            <v>QASTA01</v>
          </cell>
          <cell r="AD1533">
            <v>53000</v>
          </cell>
        </row>
        <row r="1534">
          <cell r="W1534" t="str">
            <v>QASTA01</v>
          </cell>
          <cell r="AD1534">
            <v>53000</v>
          </cell>
        </row>
        <row r="1535">
          <cell r="W1535" t="str">
            <v>QASTA01</v>
          </cell>
          <cell r="AD1535">
            <v>53000</v>
          </cell>
        </row>
        <row r="1536">
          <cell r="W1536" t="str">
            <v>AASTA01</v>
          </cell>
          <cell r="AD1536">
            <v>53000</v>
          </cell>
        </row>
        <row r="1537">
          <cell r="W1537" t="str">
            <v>QATHO01</v>
          </cell>
          <cell r="AD1537">
            <v>117000</v>
          </cell>
        </row>
        <row r="1538">
          <cell r="W1538" t="str">
            <v>QATHO01</v>
          </cell>
          <cell r="AD1538">
            <v>117000</v>
          </cell>
        </row>
        <row r="1539">
          <cell r="W1539" t="str">
            <v>QATHO01</v>
          </cell>
          <cell r="AD1539">
            <v>117000</v>
          </cell>
        </row>
        <row r="1540">
          <cell r="W1540" t="str">
            <v>QATHO02</v>
          </cell>
          <cell r="AD1540">
            <v>272500</v>
          </cell>
        </row>
        <row r="1541">
          <cell r="W1541" t="str">
            <v>QATHO02</v>
          </cell>
          <cell r="AD1541">
            <v>272500</v>
          </cell>
        </row>
        <row r="1542">
          <cell r="W1542" t="str">
            <v>QATHO02</v>
          </cell>
          <cell r="AD1542">
            <v>272500</v>
          </cell>
        </row>
        <row r="1543">
          <cell r="W1543" t="str">
            <v>QATHO02</v>
          </cell>
          <cell r="AD1543">
            <v>272500</v>
          </cell>
        </row>
        <row r="1544">
          <cell r="W1544" t="str">
            <v>QATHO02</v>
          </cell>
          <cell r="AD1544">
            <v>272500</v>
          </cell>
        </row>
        <row r="1545">
          <cell r="W1545" t="str">
            <v>QATHO02</v>
          </cell>
          <cell r="AD1545">
            <v>272500</v>
          </cell>
        </row>
        <row r="1546">
          <cell r="W1546" t="str">
            <v>QATHO02</v>
          </cell>
          <cell r="AD1546">
            <v>272500</v>
          </cell>
        </row>
        <row r="1547">
          <cell r="W1547" t="str">
            <v>QATHO02</v>
          </cell>
          <cell r="AD1547">
            <v>272500</v>
          </cell>
        </row>
        <row r="1548">
          <cell r="W1548" t="str">
            <v>QATON06</v>
          </cell>
          <cell r="AD1548">
            <v>95500</v>
          </cell>
        </row>
        <row r="1549">
          <cell r="W1549" t="str">
            <v>QATON06</v>
          </cell>
          <cell r="AD1549">
            <v>96000</v>
          </cell>
        </row>
        <row r="1550">
          <cell r="W1550" t="str">
            <v>QATON06</v>
          </cell>
          <cell r="AD1550">
            <v>96000</v>
          </cell>
        </row>
        <row r="1551">
          <cell r="W1551" t="str">
            <v>QATON06</v>
          </cell>
          <cell r="AD1551">
            <v>96000</v>
          </cell>
        </row>
        <row r="1552">
          <cell r="W1552" t="str">
            <v>QATON06</v>
          </cell>
          <cell r="AD1552">
            <v>96000</v>
          </cell>
        </row>
        <row r="1553">
          <cell r="W1553" t="str">
            <v>QATON06</v>
          </cell>
          <cell r="AD1553">
            <v>96000</v>
          </cell>
        </row>
        <row r="1554">
          <cell r="W1554" t="str">
            <v>QATON06</v>
          </cell>
          <cell r="AD1554">
            <v>96000</v>
          </cell>
        </row>
        <row r="1555">
          <cell r="W1555" t="str">
            <v>QATON06</v>
          </cell>
          <cell r="AD1555">
            <v>96000</v>
          </cell>
        </row>
        <row r="1556">
          <cell r="W1556" t="str">
            <v>QATON06</v>
          </cell>
          <cell r="AD1556">
            <v>96000</v>
          </cell>
        </row>
        <row r="1557">
          <cell r="W1557" t="str">
            <v>QATON06</v>
          </cell>
          <cell r="AD1557">
            <v>96500</v>
          </cell>
        </row>
        <row r="1558">
          <cell r="W1558" t="str">
            <v>QATON06</v>
          </cell>
          <cell r="AD1558">
            <v>96500</v>
          </cell>
        </row>
        <row r="1559">
          <cell r="W1559" t="str">
            <v>QATON06</v>
          </cell>
          <cell r="AD1559">
            <v>96500</v>
          </cell>
        </row>
        <row r="1560">
          <cell r="W1560" t="str">
            <v>QATON06</v>
          </cell>
          <cell r="AD1560">
            <v>96500</v>
          </cell>
        </row>
        <row r="1561">
          <cell r="W1561" t="str">
            <v>QATON06</v>
          </cell>
          <cell r="AD1561">
            <v>96500</v>
          </cell>
        </row>
        <row r="1562">
          <cell r="W1562" t="str">
            <v>QATON06</v>
          </cell>
          <cell r="AD1562">
            <v>96500</v>
          </cell>
        </row>
        <row r="1563">
          <cell r="W1563" t="str">
            <v>QATON06</v>
          </cell>
          <cell r="AD1563">
            <v>97000</v>
          </cell>
        </row>
        <row r="1564">
          <cell r="W1564" t="str">
            <v>QATON06</v>
          </cell>
          <cell r="AD1564">
            <v>97000</v>
          </cell>
        </row>
        <row r="1565">
          <cell r="W1565" t="str">
            <v>QATON06</v>
          </cell>
          <cell r="AD1565">
            <v>97000</v>
          </cell>
        </row>
        <row r="1566">
          <cell r="W1566" t="str">
            <v>QATON06</v>
          </cell>
          <cell r="AD1566">
            <v>97000</v>
          </cell>
        </row>
        <row r="1567">
          <cell r="W1567" t="str">
            <v>QATON06</v>
          </cell>
          <cell r="AD1567">
            <v>97000</v>
          </cell>
        </row>
        <row r="1568">
          <cell r="W1568" t="str">
            <v>QATON06</v>
          </cell>
          <cell r="AD1568">
            <v>97000</v>
          </cell>
        </row>
        <row r="1569">
          <cell r="W1569" t="str">
            <v>QATON06</v>
          </cell>
          <cell r="AD1569">
            <v>98000</v>
          </cell>
        </row>
        <row r="1570">
          <cell r="W1570" t="str">
            <v>QATON06</v>
          </cell>
          <cell r="AD1570">
            <v>98000</v>
          </cell>
        </row>
        <row r="1571">
          <cell r="W1571" t="str">
            <v>QATON06</v>
          </cell>
          <cell r="AD1571">
            <v>98000</v>
          </cell>
        </row>
        <row r="1572">
          <cell r="W1572" t="str">
            <v>QATON06</v>
          </cell>
          <cell r="AD1572">
            <v>98000</v>
          </cell>
        </row>
        <row r="1573">
          <cell r="W1573" t="str">
            <v>QATON06</v>
          </cell>
          <cell r="AD1573">
            <v>98000</v>
          </cell>
        </row>
        <row r="1574">
          <cell r="W1574" t="str">
            <v>QATON06</v>
          </cell>
          <cell r="AD1574">
            <v>98500</v>
          </cell>
        </row>
        <row r="1575">
          <cell r="W1575" t="str">
            <v>QATON06</v>
          </cell>
          <cell r="AD1575">
            <v>98500</v>
          </cell>
        </row>
        <row r="1576">
          <cell r="W1576" t="str">
            <v>QATON07</v>
          </cell>
          <cell r="AD1576">
            <v>48500</v>
          </cell>
        </row>
        <row r="1577">
          <cell r="W1577" t="str">
            <v>QATON07</v>
          </cell>
          <cell r="AD1577">
            <v>48500</v>
          </cell>
        </row>
        <row r="1578">
          <cell r="W1578" t="str">
            <v>QATON07</v>
          </cell>
          <cell r="AD1578">
            <v>48500</v>
          </cell>
        </row>
        <row r="1579">
          <cell r="W1579" t="str">
            <v>QATON07</v>
          </cell>
          <cell r="AD1579">
            <v>48500</v>
          </cell>
        </row>
        <row r="1580">
          <cell r="W1580" t="str">
            <v>QATON07</v>
          </cell>
          <cell r="AD1580">
            <v>48500</v>
          </cell>
        </row>
        <row r="1581">
          <cell r="W1581" t="str">
            <v>QATON07</v>
          </cell>
          <cell r="AD1581">
            <v>48500</v>
          </cell>
        </row>
        <row r="1582">
          <cell r="W1582" t="str">
            <v>QATON07</v>
          </cell>
          <cell r="AD1582">
            <v>48500</v>
          </cell>
        </row>
        <row r="1583">
          <cell r="W1583" t="str">
            <v>QATON07</v>
          </cell>
          <cell r="AD1583">
            <v>49000</v>
          </cell>
        </row>
        <row r="1584">
          <cell r="W1584" t="str">
            <v>QATON07</v>
          </cell>
          <cell r="AD1584">
            <v>49000</v>
          </cell>
        </row>
        <row r="1585">
          <cell r="W1585" t="str">
            <v>QATON07</v>
          </cell>
          <cell r="AD1585">
            <v>49000</v>
          </cell>
        </row>
        <row r="1586">
          <cell r="W1586" t="str">
            <v>QATON07</v>
          </cell>
          <cell r="AD1586">
            <v>49000</v>
          </cell>
        </row>
        <row r="1587">
          <cell r="W1587" t="str">
            <v>QATON07</v>
          </cell>
          <cell r="AD1587">
            <v>49000</v>
          </cell>
        </row>
        <row r="1588">
          <cell r="W1588" t="str">
            <v>QATON07</v>
          </cell>
          <cell r="AD1588">
            <v>49000</v>
          </cell>
        </row>
        <row r="1589">
          <cell r="W1589" t="str">
            <v>QATON07</v>
          </cell>
          <cell r="AD1589">
            <v>49000</v>
          </cell>
        </row>
        <row r="1590">
          <cell r="W1590" t="str">
            <v>QATON07</v>
          </cell>
          <cell r="AD1590">
            <v>49000</v>
          </cell>
        </row>
        <row r="1591">
          <cell r="W1591" t="str">
            <v>QATON07</v>
          </cell>
          <cell r="AD1591">
            <v>49000</v>
          </cell>
        </row>
        <row r="1592">
          <cell r="W1592" t="str">
            <v>QATON07</v>
          </cell>
          <cell r="AD1592">
            <v>49000</v>
          </cell>
        </row>
        <row r="1593">
          <cell r="W1593" t="str">
            <v>QATON07</v>
          </cell>
          <cell r="AD1593">
            <v>49000</v>
          </cell>
        </row>
        <row r="1594">
          <cell r="W1594" t="str">
            <v>QATON07</v>
          </cell>
          <cell r="AD1594">
            <v>49000</v>
          </cell>
        </row>
        <row r="1595">
          <cell r="W1595" t="str">
            <v>QATON07</v>
          </cell>
          <cell r="AD1595">
            <v>49000</v>
          </cell>
        </row>
        <row r="1596">
          <cell r="W1596" t="str">
            <v>QATON07</v>
          </cell>
          <cell r="AD1596">
            <v>49000</v>
          </cell>
        </row>
        <row r="1597">
          <cell r="W1597" t="str">
            <v>QATON07</v>
          </cell>
          <cell r="AD1597">
            <v>49000</v>
          </cell>
        </row>
        <row r="1598">
          <cell r="W1598" t="str">
            <v>QATON07</v>
          </cell>
          <cell r="AD1598">
            <v>49000</v>
          </cell>
        </row>
        <row r="1599">
          <cell r="W1599" t="str">
            <v>QATON07</v>
          </cell>
          <cell r="AD1599">
            <v>49000</v>
          </cell>
        </row>
        <row r="1600">
          <cell r="W1600" t="str">
            <v>QATON07</v>
          </cell>
          <cell r="AD1600">
            <v>49000</v>
          </cell>
        </row>
        <row r="1601">
          <cell r="W1601" t="str">
            <v>QATON07</v>
          </cell>
          <cell r="AD1601">
            <v>49000</v>
          </cell>
        </row>
        <row r="1602">
          <cell r="W1602" t="str">
            <v>QATON07</v>
          </cell>
          <cell r="AD1602">
            <v>49000</v>
          </cell>
        </row>
        <row r="1603">
          <cell r="W1603" t="str">
            <v>QATON07</v>
          </cell>
          <cell r="AD1603">
            <v>49000</v>
          </cell>
        </row>
        <row r="1604">
          <cell r="W1604" t="str">
            <v>QATON07</v>
          </cell>
          <cell r="AD1604">
            <v>49000</v>
          </cell>
        </row>
        <row r="1605">
          <cell r="W1605" t="str">
            <v>QATON07</v>
          </cell>
          <cell r="AD1605">
            <v>49000</v>
          </cell>
        </row>
        <row r="1606">
          <cell r="W1606" t="str">
            <v>QATON07</v>
          </cell>
          <cell r="AD1606">
            <v>49000</v>
          </cell>
        </row>
        <row r="1607">
          <cell r="W1607" t="str">
            <v>QATON07</v>
          </cell>
          <cell r="AD1607">
            <v>49000</v>
          </cell>
        </row>
        <row r="1608">
          <cell r="W1608" t="str">
            <v>QATON07</v>
          </cell>
          <cell r="AD1608">
            <v>49000</v>
          </cell>
        </row>
        <row r="1609">
          <cell r="W1609" t="str">
            <v>QATON07</v>
          </cell>
          <cell r="AD1609">
            <v>49000</v>
          </cell>
        </row>
        <row r="1610">
          <cell r="W1610" t="str">
            <v>QATON07</v>
          </cell>
          <cell r="AD1610">
            <v>49500</v>
          </cell>
        </row>
        <row r="1611">
          <cell r="W1611" t="str">
            <v>QATON07</v>
          </cell>
          <cell r="AD1611">
            <v>49500</v>
          </cell>
        </row>
        <row r="1612">
          <cell r="W1612" t="str">
            <v>QATON07</v>
          </cell>
          <cell r="AD1612">
            <v>49500</v>
          </cell>
        </row>
        <row r="1613">
          <cell r="W1613" t="str">
            <v>QATON07</v>
          </cell>
          <cell r="AD1613">
            <v>49500</v>
          </cell>
        </row>
        <row r="1614">
          <cell r="W1614" t="str">
            <v>QATON07</v>
          </cell>
          <cell r="AD1614">
            <v>49500</v>
          </cell>
        </row>
        <row r="1615">
          <cell r="W1615" t="str">
            <v>QATON07</v>
          </cell>
          <cell r="AD1615">
            <v>49500</v>
          </cell>
        </row>
        <row r="1616">
          <cell r="W1616" t="str">
            <v>QATON07</v>
          </cell>
          <cell r="AD1616">
            <v>49500</v>
          </cell>
        </row>
        <row r="1617">
          <cell r="W1617" t="str">
            <v>QATON07</v>
          </cell>
          <cell r="AD1617">
            <v>49500</v>
          </cell>
        </row>
        <row r="1618">
          <cell r="W1618" t="str">
            <v>QATON07</v>
          </cell>
          <cell r="AD1618">
            <v>49500</v>
          </cell>
        </row>
        <row r="1619">
          <cell r="W1619" t="str">
            <v>QATON07</v>
          </cell>
          <cell r="AD1619">
            <v>49500</v>
          </cell>
        </row>
        <row r="1620">
          <cell r="W1620" t="str">
            <v>QATON07</v>
          </cell>
          <cell r="AD1620">
            <v>49500</v>
          </cell>
        </row>
        <row r="1621">
          <cell r="W1621" t="str">
            <v>QATON07</v>
          </cell>
          <cell r="AD1621">
            <v>49500</v>
          </cell>
        </row>
        <row r="1622">
          <cell r="W1622" t="str">
            <v>QATON07</v>
          </cell>
          <cell r="AD1622">
            <v>49500</v>
          </cell>
        </row>
        <row r="1623">
          <cell r="W1623" t="str">
            <v>QATON07</v>
          </cell>
          <cell r="AD1623">
            <v>49500</v>
          </cell>
        </row>
        <row r="1624">
          <cell r="W1624" t="str">
            <v>QATON07</v>
          </cell>
          <cell r="AD1624">
            <v>49500</v>
          </cell>
        </row>
        <row r="1625">
          <cell r="W1625" t="str">
            <v>QATON07</v>
          </cell>
          <cell r="AD1625">
            <v>49500</v>
          </cell>
        </row>
        <row r="1626">
          <cell r="W1626" t="str">
            <v>AATON05</v>
          </cell>
          <cell r="AD1626">
            <v>49500</v>
          </cell>
        </row>
        <row r="1627">
          <cell r="W1627" t="str">
            <v>QATON07</v>
          </cell>
          <cell r="AD1627">
            <v>49500</v>
          </cell>
        </row>
        <row r="1628">
          <cell r="W1628" t="str">
            <v>QATON07</v>
          </cell>
          <cell r="AD1628">
            <v>49500</v>
          </cell>
        </row>
        <row r="1629">
          <cell r="W1629" t="str">
            <v>QATON07</v>
          </cell>
          <cell r="AD1629">
            <v>49500</v>
          </cell>
        </row>
        <row r="1630">
          <cell r="W1630" t="str">
            <v>QATON07</v>
          </cell>
          <cell r="AD1630">
            <v>49500</v>
          </cell>
        </row>
        <row r="1631">
          <cell r="W1631" t="str">
            <v>QATON07</v>
          </cell>
          <cell r="AD1631">
            <v>49500</v>
          </cell>
        </row>
        <row r="1632">
          <cell r="W1632" t="str">
            <v>QATON07</v>
          </cell>
          <cell r="AD1632">
            <v>49500</v>
          </cell>
        </row>
        <row r="1633">
          <cell r="W1633" t="str">
            <v>QATON07</v>
          </cell>
          <cell r="AD1633">
            <v>49500</v>
          </cell>
        </row>
        <row r="1634">
          <cell r="W1634" t="str">
            <v>QATON07</v>
          </cell>
          <cell r="AD1634">
            <v>49500</v>
          </cell>
        </row>
        <row r="1635">
          <cell r="W1635" t="str">
            <v>QATON07</v>
          </cell>
          <cell r="AD1635">
            <v>49500</v>
          </cell>
        </row>
        <row r="1636">
          <cell r="W1636" t="str">
            <v>QATON07</v>
          </cell>
          <cell r="AD1636">
            <v>49500</v>
          </cell>
        </row>
        <row r="1637">
          <cell r="W1637" t="str">
            <v>QATON07</v>
          </cell>
          <cell r="AD1637">
            <v>49500</v>
          </cell>
        </row>
        <row r="1638">
          <cell r="W1638" t="str">
            <v>QATON07</v>
          </cell>
          <cell r="AD1638">
            <v>49500</v>
          </cell>
        </row>
        <row r="1639">
          <cell r="W1639" t="str">
            <v>QATON07</v>
          </cell>
          <cell r="AD1639">
            <v>49500</v>
          </cell>
        </row>
        <row r="1640">
          <cell r="W1640" t="str">
            <v>QATON07</v>
          </cell>
          <cell r="AD1640">
            <v>49500</v>
          </cell>
        </row>
        <row r="1641">
          <cell r="W1641" t="str">
            <v>QATON07</v>
          </cell>
          <cell r="AD1641">
            <v>49500</v>
          </cell>
        </row>
        <row r="1642">
          <cell r="W1642" t="str">
            <v>QATON07</v>
          </cell>
          <cell r="AD1642">
            <v>50000</v>
          </cell>
        </row>
        <row r="1643">
          <cell r="W1643" t="str">
            <v>QATON07</v>
          </cell>
          <cell r="AD1643">
            <v>50000</v>
          </cell>
        </row>
        <row r="1644">
          <cell r="W1644" t="str">
            <v>QATON07</v>
          </cell>
          <cell r="AD1644">
            <v>50000</v>
          </cell>
        </row>
        <row r="1645">
          <cell r="W1645" t="str">
            <v>QATON07</v>
          </cell>
          <cell r="AD1645">
            <v>50000</v>
          </cell>
        </row>
        <row r="1646">
          <cell r="W1646" t="str">
            <v>QATON07</v>
          </cell>
          <cell r="AD1646">
            <v>50000</v>
          </cell>
        </row>
        <row r="1647">
          <cell r="W1647" t="str">
            <v>QATON07</v>
          </cell>
          <cell r="AD1647">
            <v>50000</v>
          </cell>
        </row>
        <row r="1648">
          <cell r="W1648" t="str">
            <v>QATON07</v>
          </cell>
          <cell r="AD1648">
            <v>50000</v>
          </cell>
        </row>
        <row r="1649">
          <cell r="W1649" t="str">
            <v>QATON07</v>
          </cell>
          <cell r="AD1649">
            <v>50000</v>
          </cell>
        </row>
        <row r="1650">
          <cell r="W1650" t="str">
            <v>QATON07</v>
          </cell>
          <cell r="AD1650">
            <v>50000</v>
          </cell>
        </row>
        <row r="1651">
          <cell r="W1651" t="str">
            <v>QATON07</v>
          </cell>
          <cell r="AD1651">
            <v>50000</v>
          </cell>
        </row>
        <row r="1652">
          <cell r="W1652" t="str">
            <v>QATON07</v>
          </cell>
          <cell r="AD1652">
            <v>50500</v>
          </cell>
        </row>
        <row r="1653">
          <cell r="W1653" t="str">
            <v>QATON07</v>
          </cell>
          <cell r="AD1653">
            <v>50500</v>
          </cell>
        </row>
        <row r="1654">
          <cell r="W1654" t="str">
            <v>QATON07</v>
          </cell>
          <cell r="AD1654">
            <v>51000</v>
          </cell>
        </row>
        <row r="1655">
          <cell r="W1655" t="str">
            <v>QATON09</v>
          </cell>
          <cell r="AD1655">
            <v>25500</v>
          </cell>
        </row>
        <row r="1656">
          <cell r="W1656" t="str">
            <v>QATON09</v>
          </cell>
          <cell r="AD1656">
            <v>25500</v>
          </cell>
        </row>
        <row r="1657">
          <cell r="W1657" t="str">
            <v>QATON09</v>
          </cell>
          <cell r="AD1657">
            <v>25500</v>
          </cell>
        </row>
        <row r="1658">
          <cell r="W1658" t="str">
            <v>QATON09</v>
          </cell>
          <cell r="AD1658">
            <v>25500</v>
          </cell>
        </row>
        <row r="1659">
          <cell r="W1659" t="str">
            <v>QATON09</v>
          </cell>
          <cell r="AD1659">
            <v>25500</v>
          </cell>
        </row>
        <row r="1660">
          <cell r="W1660" t="str">
            <v>QATON09</v>
          </cell>
          <cell r="AD1660">
            <v>25500</v>
          </cell>
        </row>
        <row r="1661">
          <cell r="W1661" t="str">
            <v>QATON09</v>
          </cell>
          <cell r="AD1661">
            <v>25500</v>
          </cell>
        </row>
        <row r="1662">
          <cell r="W1662" t="str">
            <v>QATON09</v>
          </cell>
          <cell r="AD1662">
            <v>25500</v>
          </cell>
        </row>
        <row r="1663">
          <cell r="W1663" t="str">
            <v>QATON09</v>
          </cell>
          <cell r="AD1663">
            <v>25500</v>
          </cell>
        </row>
        <row r="1664">
          <cell r="W1664" t="str">
            <v>QATON09</v>
          </cell>
          <cell r="AD1664">
            <v>25500</v>
          </cell>
        </row>
        <row r="1665">
          <cell r="W1665" t="str">
            <v>QATON09</v>
          </cell>
          <cell r="AD1665">
            <v>25500</v>
          </cell>
        </row>
        <row r="1666">
          <cell r="W1666" t="str">
            <v>QATON09</v>
          </cell>
          <cell r="AD1666">
            <v>25500</v>
          </cell>
        </row>
        <row r="1667">
          <cell r="W1667" t="str">
            <v>QATON08</v>
          </cell>
          <cell r="AD1667">
            <v>12000</v>
          </cell>
        </row>
        <row r="1668">
          <cell r="W1668" t="str">
            <v>QATON08</v>
          </cell>
          <cell r="AD1668">
            <v>12000</v>
          </cell>
        </row>
        <row r="1669">
          <cell r="W1669" t="str">
            <v>QATON08</v>
          </cell>
          <cell r="AD1669">
            <v>12000</v>
          </cell>
        </row>
        <row r="1670">
          <cell r="W1670" t="str">
            <v>QATON08</v>
          </cell>
          <cell r="AD1670">
            <v>12000</v>
          </cell>
        </row>
        <row r="1671">
          <cell r="W1671" t="str">
            <v>QATON08</v>
          </cell>
          <cell r="AD1671">
            <v>12000</v>
          </cell>
        </row>
        <row r="1672">
          <cell r="W1672" t="str">
            <v>QATON08</v>
          </cell>
          <cell r="AD1672">
            <v>12000</v>
          </cell>
        </row>
        <row r="1673">
          <cell r="W1673" t="str">
            <v>QATON08</v>
          </cell>
          <cell r="AD1673">
            <v>12000</v>
          </cell>
        </row>
        <row r="1674">
          <cell r="W1674" t="str">
            <v>QATON08</v>
          </cell>
          <cell r="AD1674">
            <v>12000</v>
          </cell>
        </row>
        <row r="1675">
          <cell r="W1675" t="str">
            <v>QATON08</v>
          </cell>
          <cell r="AD1675">
            <v>12000</v>
          </cell>
        </row>
        <row r="1676">
          <cell r="W1676" t="str">
            <v>QATON08</v>
          </cell>
          <cell r="AD1676">
            <v>12000</v>
          </cell>
        </row>
        <row r="1677">
          <cell r="W1677" t="str">
            <v>QATON08</v>
          </cell>
          <cell r="AD1677">
            <v>12000</v>
          </cell>
        </row>
        <row r="1678">
          <cell r="W1678" t="str">
            <v>QATON08</v>
          </cell>
          <cell r="AD1678">
            <v>12000</v>
          </cell>
        </row>
        <row r="1679">
          <cell r="W1679" t="str">
            <v>QATON08</v>
          </cell>
          <cell r="AD1679">
            <v>12500</v>
          </cell>
        </row>
        <row r="1680">
          <cell r="W1680" t="str">
            <v>QATON08</v>
          </cell>
          <cell r="AD1680">
            <v>12500</v>
          </cell>
        </row>
        <row r="1681">
          <cell r="W1681" t="str">
            <v>QATON08</v>
          </cell>
          <cell r="AD1681">
            <v>12500</v>
          </cell>
        </row>
        <row r="1682">
          <cell r="W1682" t="str">
            <v>QATON08</v>
          </cell>
          <cell r="AD1682">
            <v>12500</v>
          </cell>
        </row>
        <row r="1683">
          <cell r="W1683" t="str">
            <v>QATON08</v>
          </cell>
          <cell r="AD1683">
            <v>12500</v>
          </cell>
        </row>
        <row r="1684">
          <cell r="W1684" t="str">
            <v>QATON08</v>
          </cell>
          <cell r="AD1684">
            <v>12500</v>
          </cell>
        </row>
        <row r="1685">
          <cell r="W1685" t="str">
            <v>QATON08</v>
          </cell>
          <cell r="AD1685">
            <v>12500</v>
          </cell>
        </row>
        <row r="1686">
          <cell r="W1686" t="str">
            <v>QATON08</v>
          </cell>
          <cell r="AD1686">
            <v>12500</v>
          </cell>
        </row>
        <row r="1687">
          <cell r="W1687" t="str">
            <v>QATON08</v>
          </cell>
          <cell r="AD1687">
            <v>12500</v>
          </cell>
        </row>
        <row r="1688">
          <cell r="W1688" t="str">
            <v>QATON08</v>
          </cell>
          <cell r="AD1688">
            <v>12500</v>
          </cell>
        </row>
        <row r="1689">
          <cell r="W1689" t="str">
            <v>QATON08</v>
          </cell>
          <cell r="AD1689">
            <v>12500</v>
          </cell>
        </row>
        <row r="1690">
          <cell r="W1690" t="str">
            <v>QATON08</v>
          </cell>
          <cell r="AD1690">
            <v>12500</v>
          </cell>
        </row>
        <row r="1691">
          <cell r="W1691" t="str">
            <v>QATON08</v>
          </cell>
          <cell r="AD1691">
            <v>12500</v>
          </cell>
        </row>
        <row r="1692">
          <cell r="W1692" t="str">
            <v>QATON08</v>
          </cell>
          <cell r="AD1692">
            <v>12500</v>
          </cell>
        </row>
        <row r="1693">
          <cell r="W1693" t="str">
            <v>QATON08</v>
          </cell>
          <cell r="AD1693">
            <v>12500</v>
          </cell>
        </row>
        <row r="1694">
          <cell r="W1694" t="str">
            <v>QATON08</v>
          </cell>
          <cell r="AD1694">
            <v>12500</v>
          </cell>
        </row>
        <row r="1695">
          <cell r="W1695" t="str">
            <v>QATON08</v>
          </cell>
          <cell r="AD1695">
            <v>12500</v>
          </cell>
        </row>
        <row r="1696">
          <cell r="W1696" t="str">
            <v>QATON08</v>
          </cell>
          <cell r="AD1696">
            <v>12500</v>
          </cell>
        </row>
        <row r="1697">
          <cell r="W1697" t="str">
            <v>QATON08</v>
          </cell>
          <cell r="AD1697">
            <v>12500</v>
          </cell>
        </row>
        <row r="1698">
          <cell r="W1698" t="str">
            <v>QATON08</v>
          </cell>
          <cell r="AD1698">
            <v>12500</v>
          </cell>
        </row>
        <row r="1699">
          <cell r="W1699" t="str">
            <v>QATON08</v>
          </cell>
          <cell r="AD1699">
            <v>12500</v>
          </cell>
        </row>
        <row r="1700">
          <cell r="W1700" t="str">
            <v>QATON08</v>
          </cell>
          <cell r="AD1700">
            <v>12500</v>
          </cell>
        </row>
        <row r="1701">
          <cell r="W1701" t="str">
            <v>QATON08</v>
          </cell>
          <cell r="AD1701">
            <v>12500</v>
          </cell>
        </row>
        <row r="1702">
          <cell r="W1702" t="str">
            <v>QATON08</v>
          </cell>
          <cell r="AD1702">
            <v>12500</v>
          </cell>
        </row>
        <row r="1703">
          <cell r="W1703" t="str">
            <v>QATON08</v>
          </cell>
          <cell r="AD1703">
            <v>13000</v>
          </cell>
        </row>
        <row r="1704">
          <cell r="W1704" t="str">
            <v>AATON03</v>
          </cell>
          <cell r="AD1704">
            <v>25500</v>
          </cell>
        </row>
        <row r="1705">
          <cell r="W1705" t="str">
            <v>AATON03</v>
          </cell>
          <cell r="AD1705">
            <v>25500</v>
          </cell>
        </row>
        <row r="1706">
          <cell r="W1706" t="str">
            <v>QAURO03</v>
          </cell>
          <cell r="AD1706">
            <v>80000</v>
          </cell>
        </row>
        <row r="1707">
          <cell r="W1707" t="str">
            <v>QAURO03</v>
          </cell>
          <cell r="AD1707">
            <v>83500</v>
          </cell>
        </row>
        <row r="1708">
          <cell r="W1708" t="str">
            <v>QAVID01</v>
          </cell>
          <cell r="AD1708">
            <v>20500</v>
          </cell>
        </row>
        <row r="1709">
          <cell r="W1709" t="str">
            <v>QAVID01</v>
          </cell>
          <cell r="AD1709">
            <v>20500</v>
          </cell>
        </row>
        <row r="1710">
          <cell r="W1710" t="str">
            <v>QAVID01</v>
          </cell>
          <cell r="AD1710">
            <v>20500</v>
          </cell>
        </row>
        <row r="1711">
          <cell r="W1711" t="str">
            <v>QAVID01</v>
          </cell>
          <cell r="AD1711">
            <v>20500</v>
          </cell>
        </row>
        <row r="1712">
          <cell r="W1712" t="str">
            <v>QAVID01</v>
          </cell>
          <cell r="AD1712">
            <v>20500</v>
          </cell>
        </row>
        <row r="1713">
          <cell r="W1713" t="str">
            <v>QAVID01</v>
          </cell>
          <cell r="AD1713">
            <v>20500</v>
          </cell>
        </row>
        <row r="1714">
          <cell r="W1714" t="str">
            <v>QAVID01</v>
          </cell>
          <cell r="AD1714">
            <v>20500</v>
          </cell>
        </row>
        <row r="1715">
          <cell r="W1715" t="str">
            <v>QAVID01</v>
          </cell>
          <cell r="AD1715">
            <v>20500</v>
          </cell>
        </row>
        <row r="1716">
          <cell r="W1716" t="str">
            <v>QAVID01</v>
          </cell>
          <cell r="AD1716">
            <v>20500</v>
          </cell>
        </row>
        <row r="1717">
          <cell r="W1717" t="str">
            <v>QAVID01</v>
          </cell>
          <cell r="AD1717">
            <v>20500</v>
          </cell>
        </row>
        <row r="1718">
          <cell r="W1718" t="str">
            <v>QAVID01</v>
          </cell>
          <cell r="AD1718">
            <v>20500</v>
          </cell>
        </row>
        <row r="1719">
          <cell r="W1719" t="str">
            <v>QAVID01</v>
          </cell>
          <cell r="AD1719">
            <v>20500</v>
          </cell>
        </row>
        <row r="1720">
          <cell r="W1720" t="str">
            <v>QAVID01</v>
          </cell>
          <cell r="AD1720">
            <v>20500</v>
          </cell>
        </row>
        <row r="1721">
          <cell r="W1721" t="str">
            <v>QAVID01</v>
          </cell>
          <cell r="AD1721">
            <v>20500</v>
          </cell>
        </row>
        <row r="1722">
          <cell r="W1722" t="str">
            <v>QAVID01</v>
          </cell>
          <cell r="AD1722">
            <v>20500</v>
          </cell>
        </row>
        <row r="1723">
          <cell r="W1723" t="str">
            <v>QAVID01</v>
          </cell>
          <cell r="AD1723">
            <v>20500</v>
          </cell>
        </row>
        <row r="1724">
          <cell r="W1724" t="str">
            <v>QAVID01</v>
          </cell>
          <cell r="AD1724">
            <v>20500</v>
          </cell>
        </row>
        <row r="1725">
          <cell r="W1725" t="str">
            <v>QAVID01</v>
          </cell>
          <cell r="AD1725">
            <v>20500</v>
          </cell>
        </row>
        <row r="1726">
          <cell r="W1726" t="str">
            <v>QAVID01</v>
          </cell>
          <cell r="AD1726">
            <v>20500</v>
          </cell>
        </row>
        <row r="1727">
          <cell r="W1727" t="str">
            <v>QAVID01</v>
          </cell>
          <cell r="AD1727">
            <v>20500</v>
          </cell>
        </row>
        <row r="1728">
          <cell r="W1728" t="str">
            <v>QAVID01</v>
          </cell>
          <cell r="AD1728">
            <v>20500</v>
          </cell>
        </row>
        <row r="1729">
          <cell r="W1729" t="str">
            <v>QAVID01</v>
          </cell>
          <cell r="AD1729">
            <v>20500</v>
          </cell>
        </row>
        <row r="1730">
          <cell r="W1730" t="str">
            <v>QAVID01</v>
          </cell>
          <cell r="AD1730">
            <v>20500</v>
          </cell>
        </row>
        <row r="1731">
          <cell r="W1731" t="str">
            <v>QAVID01</v>
          </cell>
          <cell r="AD1731">
            <v>21000</v>
          </cell>
        </row>
        <row r="1732">
          <cell r="W1732" t="str">
            <v>QAVID01</v>
          </cell>
          <cell r="AD1732">
            <v>21000</v>
          </cell>
        </row>
        <row r="1733">
          <cell r="W1733" t="str">
            <v>QAVID01</v>
          </cell>
          <cell r="AD1733">
            <v>21000</v>
          </cell>
        </row>
        <row r="1734">
          <cell r="W1734" t="str">
            <v>QAVID01</v>
          </cell>
          <cell r="AD1734">
            <v>21000</v>
          </cell>
        </row>
        <row r="1735">
          <cell r="W1735" t="str">
            <v>QAVID01</v>
          </cell>
          <cell r="AD1735">
            <v>21000</v>
          </cell>
        </row>
        <row r="1736">
          <cell r="W1736" t="str">
            <v>QAVID01</v>
          </cell>
          <cell r="AD1736">
            <v>21000</v>
          </cell>
        </row>
        <row r="1737">
          <cell r="W1737" t="str">
            <v>QAVID01</v>
          </cell>
          <cell r="AD1737">
            <v>21000</v>
          </cell>
        </row>
        <row r="1738">
          <cell r="W1738" t="str">
            <v>QAVID01</v>
          </cell>
          <cell r="AD1738">
            <v>21000</v>
          </cell>
        </row>
        <row r="1739">
          <cell r="W1739" t="str">
            <v>QAVID01</v>
          </cell>
          <cell r="AD1739">
            <v>21000</v>
          </cell>
        </row>
        <row r="1740">
          <cell r="W1740" t="str">
            <v>QAVID01</v>
          </cell>
          <cell r="AD1740">
            <v>21000</v>
          </cell>
        </row>
        <row r="1741">
          <cell r="W1741" t="str">
            <v>QAVID01</v>
          </cell>
          <cell r="AD1741">
            <v>21000</v>
          </cell>
        </row>
        <row r="1742">
          <cell r="W1742" t="str">
            <v>QAVID01</v>
          </cell>
          <cell r="AD1742">
            <v>21000</v>
          </cell>
        </row>
        <row r="1743">
          <cell r="W1743" t="str">
            <v>QAVID01</v>
          </cell>
          <cell r="AD1743">
            <v>21000</v>
          </cell>
        </row>
        <row r="1744">
          <cell r="W1744" t="str">
            <v>QAVID01</v>
          </cell>
          <cell r="AD1744">
            <v>21000</v>
          </cell>
        </row>
        <row r="1745">
          <cell r="W1745" t="str">
            <v>QAVID01</v>
          </cell>
          <cell r="AD1745">
            <v>21500</v>
          </cell>
        </row>
        <row r="1746">
          <cell r="W1746" t="str">
            <v>QAVID01</v>
          </cell>
          <cell r="AD1746">
            <v>21500</v>
          </cell>
        </row>
        <row r="1747">
          <cell r="W1747" t="str">
            <v>QAVID01</v>
          </cell>
          <cell r="AD1747">
            <v>21500</v>
          </cell>
        </row>
        <row r="1748">
          <cell r="W1748" t="str">
            <v>QAVID01</v>
          </cell>
          <cell r="AD1748">
            <v>21500</v>
          </cell>
        </row>
        <row r="1749">
          <cell r="W1749" t="str">
            <v>QAVID01</v>
          </cell>
          <cell r="AD1749">
            <v>21500</v>
          </cell>
        </row>
        <row r="1750">
          <cell r="W1750" t="str">
            <v>QAVID01</v>
          </cell>
          <cell r="AD1750">
            <v>21500</v>
          </cell>
        </row>
        <row r="1751">
          <cell r="W1751" t="str">
            <v>QAVID01</v>
          </cell>
          <cell r="AD1751">
            <v>21500</v>
          </cell>
        </row>
        <row r="1752">
          <cell r="W1752" t="str">
            <v>QAVID01</v>
          </cell>
          <cell r="AD1752">
            <v>21500</v>
          </cell>
        </row>
        <row r="1753">
          <cell r="W1753" t="str">
            <v>QAVID01</v>
          </cell>
          <cell r="AD1753">
            <v>21500</v>
          </cell>
        </row>
        <row r="1754">
          <cell r="W1754" t="str">
            <v>QAVID01</v>
          </cell>
          <cell r="AD1754">
            <v>21500</v>
          </cell>
        </row>
        <row r="1755">
          <cell r="W1755" t="str">
            <v>QAVID01</v>
          </cell>
          <cell r="AD1755">
            <v>21500</v>
          </cell>
        </row>
        <row r="1756">
          <cell r="W1756" t="str">
            <v>QAVID01</v>
          </cell>
          <cell r="AD1756">
            <v>21500</v>
          </cell>
        </row>
        <row r="1757">
          <cell r="W1757" t="str">
            <v>QAVID01</v>
          </cell>
          <cell r="AD1757">
            <v>21500</v>
          </cell>
        </row>
        <row r="1758">
          <cell r="W1758" t="str">
            <v>QAVID01</v>
          </cell>
          <cell r="AD1758">
            <v>21500</v>
          </cell>
        </row>
        <row r="1759">
          <cell r="W1759" t="str">
            <v>QAVID01</v>
          </cell>
          <cell r="AD1759">
            <v>21500</v>
          </cell>
        </row>
        <row r="1760">
          <cell r="W1760" t="str">
            <v>QAVID01</v>
          </cell>
          <cell r="AD1760">
            <v>21500</v>
          </cell>
        </row>
        <row r="1761">
          <cell r="W1761" t="str">
            <v>QAVID01</v>
          </cell>
          <cell r="AD1761">
            <v>21500</v>
          </cell>
        </row>
        <row r="1762">
          <cell r="W1762" t="str">
            <v>QAVID01</v>
          </cell>
          <cell r="AD1762">
            <v>21500</v>
          </cell>
        </row>
        <row r="1763">
          <cell r="W1763" t="str">
            <v>QAVID01</v>
          </cell>
          <cell r="AD1763">
            <v>21500</v>
          </cell>
        </row>
        <row r="1764">
          <cell r="W1764" t="str">
            <v>QAVID01</v>
          </cell>
          <cell r="AD1764">
            <v>21500</v>
          </cell>
        </row>
        <row r="1765">
          <cell r="W1765" t="str">
            <v>QAVID01</v>
          </cell>
          <cell r="AD1765">
            <v>21500</v>
          </cell>
        </row>
        <row r="1766">
          <cell r="W1766" t="str">
            <v>QAVID01</v>
          </cell>
          <cell r="AD1766">
            <v>21500</v>
          </cell>
        </row>
        <row r="1767">
          <cell r="W1767" t="str">
            <v>QAVID01</v>
          </cell>
          <cell r="AD1767">
            <v>21500</v>
          </cell>
        </row>
        <row r="1768">
          <cell r="W1768" t="str">
            <v>QAVID01</v>
          </cell>
          <cell r="AD1768">
            <v>21500</v>
          </cell>
        </row>
        <row r="1769">
          <cell r="W1769" t="str">
            <v>QAVID01</v>
          </cell>
          <cell r="AD1769">
            <v>21500</v>
          </cell>
        </row>
        <row r="1770">
          <cell r="W1770" t="str">
            <v>QAVID01</v>
          </cell>
          <cell r="AD1770">
            <v>22000</v>
          </cell>
        </row>
        <row r="1771">
          <cell r="W1771" t="str">
            <v>QAVID01</v>
          </cell>
          <cell r="AD1771">
            <v>22000</v>
          </cell>
        </row>
        <row r="1772">
          <cell r="W1772" t="str">
            <v>QAVID01</v>
          </cell>
          <cell r="AD1772">
            <v>22000</v>
          </cell>
        </row>
        <row r="1773">
          <cell r="W1773" t="str">
            <v>QAVID01</v>
          </cell>
          <cell r="AD1773">
            <v>22000</v>
          </cell>
        </row>
        <row r="1774">
          <cell r="W1774" t="str">
            <v>QAVID01</v>
          </cell>
          <cell r="AD1774">
            <v>22000</v>
          </cell>
        </row>
        <row r="1775">
          <cell r="W1775" t="str">
            <v>QAZAT01</v>
          </cell>
          <cell r="AD1775">
            <v>90000</v>
          </cell>
        </row>
        <row r="1776">
          <cell r="W1776" t="str">
            <v>QBABL04</v>
          </cell>
          <cell r="AD1776">
            <v>20000</v>
          </cell>
        </row>
        <row r="1777">
          <cell r="W1777" t="str">
            <v>QBABL05</v>
          </cell>
          <cell r="AD1777">
            <v>190909.09090899999</v>
          </cell>
        </row>
        <row r="1778">
          <cell r="W1778" t="str">
            <v>QBACT02</v>
          </cell>
          <cell r="AD1778">
            <v>15000</v>
          </cell>
        </row>
        <row r="1779">
          <cell r="W1779" t="str">
            <v>QBACT02</v>
          </cell>
          <cell r="AD1779">
            <v>35000</v>
          </cell>
        </row>
        <row r="1780">
          <cell r="W1780" t="str">
            <v>QBACT02</v>
          </cell>
          <cell r="AD1780">
            <v>35000</v>
          </cell>
        </row>
        <row r="1781">
          <cell r="W1781" t="str">
            <v>QBACT02</v>
          </cell>
          <cell r="AD1781">
            <v>35000</v>
          </cell>
        </row>
        <row r="1782">
          <cell r="W1782" t="str">
            <v>QBACT02</v>
          </cell>
          <cell r="AD1782">
            <v>35000</v>
          </cell>
        </row>
        <row r="1783">
          <cell r="W1783" t="str">
            <v>QBACT02</v>
          </cell>
          <cell r="AD1783">
            <v>35000</v>
          </cell>
        </row>
        <row r="1784">
          <cell r="W1784" t="str">
            <v>QBACT02</v>
          </cell>
          <cell r="AD1784">
            <v>35000</v>
          </cell>
        </row>
        <row r="1785">
          <cell r="W1785" t="str">
            <v>QBACT02</v>
          </cell>
          <cell r="AD1785">
            <v>35000</v>
          </cell>
        </row>
        <row r="1786">
          <cell r="W1786" t="str">
            <v>QBACT02</v>
          </cell>
          <cell r="AD1786">
            <v>35000</v>
          </cell>
        </row>
        <row r="1787">
          <cell r="W1787" t="str">
            <v>QBACT02</v>
          </cell>
          <cell r="AD1787">
            <v>35000</v>
          </cell>
        </row>
        <row r="1788">
          <cell r="W1788" t="str">
            <v>QBACT02</v>
          </cell>
          <cell r="AD1788">
            <v>35000</v>
          </cell>
        </row>
        <row r="1789">
          <cell r="W1789" t="str">
            <v>QBACT02</v>
          </cell>
          <cell r="AD1789">
            <v>35500</v>
          </cell>
        </row>
        <row r="1790">
          <cell r="W1790" t="str">
            <v>QBACT02</v>
          </cell>
          <cell r="AD1790">
            <v>35500</v>
          </cell>
        </row>
        <row r="1791">
          <cell r="W1791" t="str">
            <v>QBACT02</v>
          </cell>
          <cell r="AD1791">
            <v>35500</v>
          </cell>
        </row>
        <row r="1792">
          <cell r="W1792" t="str">
            <v>QBACT02</v>
          </cell>
          <cell r="AD1792">
            <v>35500</v>
          </cell>
        </row>
        <row r="1793">
          <cell r="W1793" t="str">
            <v>QBACT02</v>
          </cell>
          <cell r="AD1793">
            <v>35500</v>
          </cell>
        </row>
        <row r="1794">
          <cell r="W1794" t="str">
            <v>QBACT02</v>
          </cell>
          <cell r="AD1794">
            <v>35500</v>
          </cell>
        </row>
        <row r="1795">
          <cell r="W1795" t="str">
            <v>QBACT02</v>
          </cell>
          <cell r="AD1795">
            <v>35500</v>
          </cell>
        </row>
        <row r="1796">
          <cell r="W1796" t="str">
            <v>QBACT02</v>
          </cell>
          <cell r="AD1796">
            <v>35500</v>
          </cell>
        </row>
        <row r="1797">
          <cell r="W1797" t="str">
            <v>QBACT02</v>
          </cell>
          <cell r="AD1797">
            <v>35500</v>
          </cell>
        </row>
        <row r="1798">
          <cell r="W1798" t="str">
            <v>QBACT01</v>
          </cell>
          <cell r="AD1798">
            <v>37500</v>
          </cell>
        </row>
        <row r="1799">
          <cell r="W1799" t="str">
            <v>QBACT01</v>
          </cell>
          <cell r="AD1799">
            <v>42500</v>
          </cell>
        </row>
        <row r="1800">
          <cell r="W1800" t="str">
            <v>QBACT01</v>
          </cell>
          <cell r="AD1800">
            <v>48500</v>
          </cell>
        </row>
        <row r="1801">
          <cell r="W1801" t="str">
            <v>QBACT01</v>
          </cell>
          <cell r="AD1801">
            <v>58500</v>
          </cell>
        </row>
        <row r="1802">
          <cell r="W1802" t="str">
            <v>QBACT01</v>
          </cell>
          <cell r="AD1802">
            <v>58500</v>
          </cell>
        </row>
        <row r="1803">
          <cell r="W1803" t="str">
            <v>QBACT01</v>
          </cell>
          <cell r="AD1803">
            <v>58500</v>
          </cell>
        </row>
        <row r="1804">
          <cell r="W1804" t="str">
            <v>QBACT01</v>
          </cell>
          <cell r="AD1804">
            <v>58500</v>
          </cell>
        </row>
        <row r="1805">
          <cell r="W1805" t="str">
            <v>QBACT01</v>
          </cell>
          <cell r="AD1805">
            <v>58500</v>
          </cell>
        </row>
        <row r="1806">
          <cell r="W1806" t="str">
            <v>QBACT01</v>
          </cell>
          <cell r="AD1806">
            <v>58500</v>
          </cell>
        </row>
        <row r="1807">
          <cell r="W1807" t="str">
            <v>QBACT01</v>
          </cell>
          <cell r="AD1807">
            <v>58500</v>
          </cell>
        </row>
        <row r="1808">
          <cell r="W1808" t="str">
            <v>QBACT01</v>
          </cell>
          <cell r="AD1808">
            <v>58500</v>
          </cell>
        </row>
        <row r="1809">
          <cell r="W1809" t="str">
            <v>QBACT01</v>
          </cell>
          <cell r="AD1809">
            <v>58500</v>
          </cell>
        </row>
        <row r="1810">
          <cell r="W1810" t="str">
            <v>QBACT01</v>
          </cell>
          <cell r="AD1810">
            <v>58500</v>
          </cell>
        </row>
        <row r="1811">
          <cell r="W1811" t="str">
            <v>QBACT01</v>
          </cell>
          <cell r="AD1811">
            <v>58500</v>
          </cell>
        </row>
        <row r="1812">
          <cell r="W1812" t="str">
            <v>QBACT01</v>
          </cell>
          <cell r="AD1812">
            <v>58500</v>
          </cell>
        </row>
        <row r="1813">
          <cell r="W1813" t="str">
            <v>QBACT01</v>
          </cell>
          <cell r="AD1813">
            <v>58500</v>
          </cell>
        </row>
        <row r="1814">
          <cell r="W1814" t="str">
            <v>QBACT01</v>
          </cell>
          <cell r="AD1814">
            <v>58500</v>
          </cell>
        </row>
        <row r="1815">
          <cell r="W1815" t="str">
            <v>QBACT01</v>
          </cell>
          <cell r="AD1815">
            <v>58500</v>
          </cell>
        </row>
        <row r="1816">
          <cell r="W1816" t="str">
            <v>QBACT01</v>
          </cell>
          <cell r="AD1816">
            <v>58500</v>
          </cell>
        </row>
        <row r="1817">
          <cell r="W1817" t="str">
            <v>QBACT01</v>
          </cell>
          <cell r="AD1817">
            <v>58500</v>
          </cell>
        </row>
        <row r="1818">
          <cell r="W1818" t="str">
            <v>QBACT01</v>
          </cell>
          <cell r="AD1818">
            <v>58500</v>
          </cell>
        </row>
        <row r="1819">
          <cell r="W1819" t="str">
            <v>QBACT01</v>
          </cell>
          <cell r="AD1819">
            <v>58500</v>
          </cell>
        </row>
        <row r="1820">
          <cell r="W1820" t="str">
            <v>QBACT01</v>
          </cell>
          <cell r="AD1820">
            <v>58500</v>
          </cell>
        </row>
        <row r="1821">
          <cell r="W1821" t="str">
            <v>QBACT01</v>
          </cell>
          <cell r="AD1821">
            <v>58500</v>
          </cell>
        </row>
        <row r="1822">
          <cell r="W1822" t="str">
            <v>QBACT01</v>
          </cell>
          <cell r="AD1822">
            <v>58500</v>
          </cell>
        </row>
        <row r="1823">
          <cell r="W1823" t="str">
            <v>QBACT01</v>
          </cell>
          <cell r="AD1823">
            <v>58500</v>
          </cell>
        </row>
        <row r="1824">
          <cell r="W1824" t="str">
            <v>QBACT01</v>
          </cell>
          <cell r="AD1824">
            <v>58500</v>
          </cell>
        </row>
        <row r="1825">
          <cell r="W1825" t="str">
            <v>QBACT01</v>
          </cell>
          <cell r="AD1825">
            <v>58500</v>
          </cell>
        </row>
        <row r="1826">
          <cell r="W1826" t="str">
            <v>QBACT01</v>
          </cell>
          <cell r="AD1826">
            <v>58500</v>
          </cell>
        </row>
        <row r="1827">
          <cell r="W1827" t="str">
            <v>QBACT01</v>
          </cell>
          <cell r="AD1827">
            <v>58500</v>
          </cell>
        </row>
        <row r="1828">
          <cell r="W1828" t="str">
            <v>QBACT01</v>
          </cell>
          <cell r="AD1828">
            <v>58500</v>
          </cell>
        </row>
        <row r="1829">
          <cell r="W1829" t="str">
            <v>QBACT01</v>
          </cell>
          <cell r="AD1829">
            <v>58500</v>
          </cell>
        </row>
        <row r="1830">
          <cell r="W1830" t="str">
            <v>QBACT01</v>
          </cell>
          <cell r="AD1830">
            <v>58500</v>
          </cell>
        </row>
        <row r="1831">
          <cell r="W1831" t="str">
            <v>QBACT01</v>
          </cell>
          <cell r="AD1831">
            <v>58500</v>
          </cell>
        </row>
        <row r="1832">
          <cell r="W1832" t="str">
            <v>QBACT01</v>
          </cell>
          <cell r="AD1832">
            <v>58500</v>
          </cell>
        </row>
        <row r="1833">
          <cell r="W1833" t="str">
            <v>QBACT01</v>
          </cell>
          <cell r="AD1833">
            <v>58500</v>
          </cell>
        </row>
        <row r="1834">
          <cell r="W1834" t="str">
            <v>QBACT01</v>
          </cell>
          <cell r="AD1834">
            <v>58500</v>
          </cell>
        </row>
        <row r="1835">
          <cell r="W1835" t="str">
            <v>QBACT01</v>
          </cell>
          <cell r="AD1835">
            <v>58500</v>
          </cell>
        </row>
        <row r="1836">
          <cell r="W1836" t="str">
            <v>QBACT01</v>
          </cell>
          <cell r="AD1836">
            <v>58500</v>
          </cell>
        </row>
        <row r="1837">
          <cell r="W1837" t="str">
            <v>QBACT01</v>
          </cell>
          <cell r="AD1837">
            <v>58500</v>
          </cell>
        </row>
        <row r="1838">
          <cell r="W1838" t="str">
            <v>QBACT01</v>
          </cell>
          <cell r="AD1838">
            <v>58500</v>
          </cell>
        </row>
        <row r="1839">
          <cell r="W1839" t="str">
            <v>QBACT01</v>
          </cell>
          <cell r="AD1839">
            <v>58500</v>
          </cell>
        </row>
        <row r="1840">
          <cell r="W1840" t="str">
            <v>QBACT01</v>
          </cell>
          <cell r="AD1840">
            <v>35500</v>
          </cell>
        </row>
        <row r="1841">
          <cell r="W1841" t="str">
            <v>QBAMB01</v>
          </cell>
          <cell r="AD1841">
            <v>4250</v>
          </cell>
        </row>
        <row r="1842">
          <cell r="W1842" t="str">
            <v>QBAMB01</v>
          </cell>
          <cell r="AD1842">
            <v>4250</v>
          </cell>
        </row>
        <row r="1843">
          <cell r="W1843" t="str">
            <v>QBAMB01</v>
          </cell>
          <cell r="AD1843">
            <v>4500</v>
          </cell>
        </row>
        <row r="1844">
          <cell r="W1844" t="str">
            <v>QBAMB01</v>
          </cell>
          <cell r="AD1844">
            <v>4500</v>
          </cell>
        </row>
        <row r="1845">
          <cell r="W1845" t="str">
            <v>QBAMB01</v>
          </cell>
          <cell r="AD1845">
            <v>4500</v>
          </cell>
        </row>
        <row r="1846">
          <cell r="W1846" t="str">
            <v>QBAMB01</v>
          </cell>
          <cell r="AD1846">
            <v>4500</v>
          </cell>
        </row>
        <row r="1847">
          <cell r="W1847" t="str">
            <v>QBAMB01</v>
          </cell>
          <cell r="AD1847">
            <v>4500</v>
          </cell>
        </row>
        <row r="1848">
          <cell r="W1848" t="str">
            <v>QBAMB01</v>
          </cell>
          <cell r="AD1848">
            <v>4500</v>
          </cell>
        </row>
        <row r="1849">
          <cell r="W1849" t="str">
            <v>QBAMB01</v>
          </cell>
          <cell r="AD1849">
            <v>4500</v>
          </cell>
        </row>
        <row r="1850">
          <cell r="W1850" t="str">
            <v>QBAMB01</v>
          </cell>
          <cell r="AD1850">
            <v>4500</v>
          </cell>
        </row>
        <row r="1851">
          <cell r="W1851" t="str">
            <v>QBAMB01</v>
          </cell>
          <cell r="AD1851">
            <v>4500</v>
          </cell>
        </row>
        <row r="1852">
          <cell r="W1852" t="str">
            <v>QBAMB01</v>
          </cell>
          <cell r="AD1852">
            <v>4500</v>
          </cell>
        </row>
        <row r="1853">
          <cell r="W1853" t="str">
            <v>QBAMB01</v>
          </cell>
          <cell r="AD1853">
            <v>4500</v>
          </cell>
        </row>
        <row r="1854">
          <cell r="W1854" t="str">
            <v>QBAMB01</v>
          </cell>
          <cell r="AD1854">
            <v>4500</v>
          </cell>
        </row>
        <row r="1855">
          <cell r="W1855" t="str">
            <v>QBAMB01</v>
          </cell>
          <cell r="AD1855">
            <v>4500</v>
          </cell>
        </row>
        <row r="1856">
          <cell r="W1856" t="str">
            <v>QBAMB01</v>
          </cell>
          <cell r="AD1856">
            <v>4500</v>
          </cell>
        </row>
        <row r="1857">
          <cell r="W1857" t="str">
            <v>QBAME01</v>
          </cell>
          <cell r="AD1857">
            <v>42000</v>
          </cell>
        </row>
        <row r="1858">
          <cell r="W1858" t="str">
            <v>QBAME01</v>
          </cell>
          <cell r="AD1858">
            <v>42500</v>
          </cell>
        </row>
        <row r="1859">
          <cell r="W1859" t="str">
            <v>QBAME01</v>
          </cell>
          <cell r="AD1859">
            <v>42500</v>
          </cell>
        </row>
        <row r="1860">
          <cell r="W1860" t="str">
            <v>QBAME01</v>
          </cell>
          <cell r="AD1860">
            <v>42500</v>
          </cell>
        </row>
        <row r="1861">
          <cell r="W1861" t="str">
            <v>QBAME01</v>
          </cell>
          <cell r="AD1861">
            <v>43000</v>
          </cell>
        </row>
        <row r="1862">
          <cell r="W1862" t="str">
            <v>QBAME01</v>
          </cell>
          <cell r="AD1862">
            <v>43000</v>
          </cell>
        </row>
        <row r="1863">
          <cell r="W1863" t="str">
            <v>QBAME01</v>
          </cell>
          <cell r="AD1863">
            <v>43000</v>
          </cell>
        </row>
        <row r="1864">
          <cell r="W1864" t="str">
            <v>QBAME01</v>
          </cell>
          <cell r="AD1864">
            <v>43000</v>
          </cell>
        </row>
        <row r="1865">
          <cell r="W1865" t="str">
            <v>QBAME01</v>
          </cell>
          <cell r="AD1865">
            <v>43000</v>
          </cell>
        </row>
        <row r="1866">
          <cell r="W1866" t="str">
            <v>QBAME01</v>
          </cell>
          <cell r="AD1866">
            <v>43000</v>
          </cell>
        </row>
        <row r="1867">
          <cell r="W1867" t="str">
            <v>QBAME01</v>
          </cell>
          <cell r="AD1867">
            <v>43000</v>
          </cell>
        </row>
        <row r="1868">
          <cell r="W1868" t="str">
            <v>QBAME01</v>
          </cell>
          <cell r="AD1868">
            <v>43000</v>
          </cell>
        </row>
        <row r="1869">
          <cell r="W1869" t="str">
            <v>QBAME01</v>
          </cell>
          <cell r="AD1869">
            <v>43000</v>
          </cell>
        </row>
        <row r="1870">
          <cell r="W1870" t="str">
            <v>QBAME01</v>
          </cell>
          <cell r="AD1870">
            <v>43000</v>
          </cell>
        </row>
        <row r="1871">
          <cell r="W1871" t="str">
            <v>QBAME01</v>
          </cell>
          <cell r="AD1871">
            <v>43000</v>
          </cell>
        </row>
        <row r="1872">
          <cell r="W1872" t="str">
            <v>QBAME01</v>
          </cell>
          <cell r="AD1872">
            <v>43000</v>
          </cell>
        </row>
        <row r="1873">
          <cell r="W1873" t="str">
            <v>QBAME01</v>
          </cell>
          <cell r="AD1873">
            <v>43000</v>
          </cell>
        </row>
        <row r="1874">
          <cell r="W1874" t="str">
            <v>QBAME01</v>
          </cell>
          <cell r="AD1874">
            <v>43000</v>
          </cell>
        </row>
        <row r="1875">
          <cell r="W1875" t="str">
            <v>QBAME01</v>
          </cell>
          <cell r="AD1875">
            <v>43000</v>
          </cell>
        </row>
        <row r="1876">
          <cell r="W1876" t="str">
            <v>QBAME01</v>
          </cell>
          <cell r="AD1876">
            <v>43000</v>
          </cell>
        </row>
        <row r="1877">
          <cell r="W1877" t="str">
            <v>QBAME01</v>
          </cell>
          <cell r="AD1877">
            <v>43000</v>
          </cell>
        </row>
        <row r="1878">
          <cell r="W1878" t="str">
            <v>QBAME01</v>
          </cell>
          <cell r="AD1878">
            <v>43000</v>
          </cell>
        </row>
        <row r="1879">
          <cell r="W1879" t="str">
            <v>QBAME01</v>
          </cell>
          <cell r="AD1879">
            <v>43000</v>
          </cell>
        </row>
        <row r="1880">
          <cell r="W1880" t="str">
            <v>QBAME01</v>
          </cell>
          <cell r="AD1880">
            <v>43000</v>
          </cell>
        </row>
        <row r="1881">
          <cell r="W1881" t="str">
            <v>QBAME01</v>
          </cell>
          <cell r="AD1881">
            <v>43000</v>
          </cell>
        </row>
        <row r="1882">
          <cell r="W1882" t="str">
            <v>QBAME01</v>
          </cell>
          <cell r="AD1882">
            <v>43000</v>
          </cell>
        </row>
        <row r="1883">
          <cell r="W1883" t="str">
            <v>QBAME01</v>
          </cell>
          <cell r="AD1883">
            <v>43000</v>
          </cell>
        </row>
        <row r="1884">
          <cell r="W1884" t="str">
            <v>QBAME01</v>
          </cell>
          <cell r="AD1884">
            <v>43500</v>
          </cell>
        </row>
        <row r="1885">
          <cell r="W1885" t="str">
            <v>QBAME01</v>
          </cell>
          <cell r="AD1885">
            <v>43500</v>
          </cell>
        </row>
        <row r="1886">
          <cell r="W1886" t="str">
            <v>QBAME01</v>
          </cell>
          <cell r="AD1886">
            <v>43500</v>
          </cell>
        </row>
        <row r="1887">
          <cell r="W1887" t="str">
            <v>QBAME01</v>
          </cell>
          <cell r="AD1887">
            <v>43500</v>
          </cell>
        </row>
        <row r="1888">
          <cell r="W1888" t="str">
            <v>QBAME01</v>
          </cell>
          <cell r="AD1888">
            <v>43500</v>
          </cell>
        </row>
        <row r="1889">
          <cell r="W1889" t="str">
            <v>QBAME01</v>
          </cell>
          <cell r="AD1889">
            <v>43500</v>
          </cell>
        </row>
        <row r="1890">
          <cell r="W1890" t="str">
            <v>QBAME01</v>
          </cell>
          <cell r="AD1890">
            <v>43500</v>
          </cell>
        </row>
        <row r="1891">
          <cell r="W1891" t="str">
            <v>QBAME01</v>
          </cell>
          <cell r="AD1891">
            <v>44000</v>
          </cell>
        </row>
        <row r="1892">
          <cell r="W1892" t="str">
            <v>QBAME01</v>
          </cell>
          <cell r="AD1892">
            <v>45000</v>
          </cell>
        </row>
        <row r="1893">
          <cell r="W1893" t="str">
            <v>QBAME01</v>
          </cell>
          <cell r="AD1893">
            <v>45000</v>
          </cell>
        </row>
        <row r="1894">
          <cell r="W1894" t="str">
            <v>QBAME01</v>
          </cell>
          <cell r="AD1894">
            <v>45000</v>
          </cell>
        </row>
        <row r="1895">
          <cell r="W1895" t="str">
            <v>QBAME01</v>
          </cell>
          <cell r="AD1895">
            <v>45000</v>
          </cell>
        </row>
        <row r="1896">
          <cell r="W1896" t="str">
            <v>QBAME01</v>
          </cell>
          <cell r="AD1896">
            <v>45000</v>
          </cell>
        </row>
        <row r="1897">
          <cell r="W1897" t="str">
            <v>QBAME01</v>
          </cell>
          <cell r="AD1897">
            <v>45000</v>
          </cell>
        </row>
        <row r="1898">
          <cell r="W1898" t="str">
            <v>QBAME03</v>
          </cell>
          <cell r="AD1898">
            <v>135000</v>
          </cell>
        </row>
        <row r="1899">
          <cell r="W1899" t="str">
            <v>QBAME03</v>
          </cell>
          <cell r="AD1899">
            <v>141000</v>
          </cell>
        </row>
        <row r="1900">
          <cell r="W1900" t="str">
            <v>QBAME03</v>
          </cell>
          <cell r="AD1900">
            <v>142500</v>
          </cell>
        </row>
        <row r="1901">
          <cell r="W1901" t="str">
            <v>QBAME03</v>
          </cell>
          <cell r="AD1901">
            <v>142500</v>
          </cell>
        </row>
        <row r="1902">
          <cell r="W1902" t="str">
            <v>QBAME03</v>
          </cell>
          <cell r="AD1902">
            <v>143000</v>
          </cell>
        </row>
        <row r="1903">
          <cell r="W1903" t="str">
            <v>QBAME03</v>
          </cell>
          <cell r="AD1903">
            <v>143000</v>
          </cell>
        </row>
        <row r="1904">
          <cell r="W1904" t="str">
            <v>QBAME03</v>
          </cell>
          <cell r="AD1904">
            <v>144500</v>
          </cell>
        </row>
        <row r="1905">
          <cell r="W1905" t="str">
            <v>QBAME03</v>
          </cell>
          <cell r="AD1905">
            <v>145000</v>
          </cell>
        </row>
        <row r="1906">
          <cell r="W1906" t="str">
            <v>QBAME03</v>
          </cell>
          <cell r="AD1906">
            <v>145000</v>
          </cell>
        </row>
        <row r="1907">
          <cell r="W1907" t="str">
            <v>QBAME03</v>
          </cell>
          <cell r="AD1907">
            <v>145000</v>
          </cell>
        </row>
        <row r="1908">
          <cell r="W1908" t="str">
            <v>QBAME03</v>
          </cell>
          <cell r="AD1908">
            <v>145000</v>
          </cell>
        </row>
        <row r="1909">
          <cell r="W1909" t="str">
            <v>QBAME03</v>
          </cell>
          <cell r="AD1909">
            <v>145000</v>
          </cell>
        </row>
        <row r="1910">
          <cell r="W1910" t="str">
            <v>QBAME03</v>
          </cell>
          <cell r="AD1910">
            <v>145000</v>
          </cell>
        </row>
        <row r="1911">
          <cell r="W1911" t="str">
            <v>QBAME03</v>
          </cell>
          <cell r="AD1911">
            <v>145000</v>
          </cell>
        </row>
        <row r="1912">
          <cell r="W1912" t="str">
            <v>QBAME03</v>
          </cell>
          <cell r="AD1912">
            <v>145000</v>
          </cell>
        </row>
        <row r="1913">
          <cell r="W1913" t="str">
            <v>QBAME03</v>
          </cell>
          <cell r="AD1913">
            <v>145000</v>
          </cell>
        </row>
        <row r="1914">
          <cell r="W1914" t="str">
            <v>QBAME03</v>
          </cell>
          <cell r="AD1914">
            <v>145000</v>
          </cell>
        </row>
        <row r="1915">
          <cell r="W1915" t="str">
            <v>QBAME03</v>
          </cell>
          <cell r="AD1915">
            <v>145000</v>
          </cell>
        </row>
        <row r="1916">
          <cell r="W1916" t="str">
            <v>QBAME03</v>
          </cell>
          <cell r="AD1916">
            <v>145000</v>
          </cell>
        </row>
        <row r="1917">
          <cell r="W1917" t="str">
            <v>QBAME03</v>
          </cell>
          <cell r="AD1917">
            <v>145000</v>
          </cell>
        </row>
        <row r="1918">
          <cell r="W1918" t="str">
            <v>QBAME03</v>
          </cell>
          <cell r="AD1918">
            <v>145000</v>
          </cell>
        </row>
        <row r="1919">
          <cell r="W1919" t="str">
            <v>QBAME03</v>
          </cell>
          <cell r="AD1919">
            <v>145000</v>
          </cell>
        </row>
        <row r="1920">
          <cell r="W1920" t="str">
            <v>QBAME03</v>
          </cell>
          <cell r="AD1920">
            <v>145000</v>
          </cell>
        </row>
        <row r="1921">
          <cell r="W1921" t="str">
            <v>QBAME03</v>
          </cell>
          <cell r="AD1921">
            <v>145000</v>
          </cell>
        </row>
        <row r="1922">
          <cell r="W1922" t="str">
            <v>QBAME03</v>
          </cell>
          <cell r="AD1922">
            <v>145000</v>
          </cell>
        </row>
        <row r="1923">
          <cell r="W1923" t="str">
            <v>QBAME03</v>
          </cell>
          <cell r="AD1923">
            <v>145000</v>
          </cell>
        </row>
        <row r="1924">
          <cell r="W1924" t="str">
            <v>QBAME03</v>
          </cell>
          <cell r="AD1924">
            <v>145000</v>
          </cell>
        </row>
        <row r="1925">
          <cell r="W1925" t="str">
            <v>QBAME03</v>
          </cell>
          <cell r="AD1925">
            <v>145000</v>
          </cell>
        </row>
        <row r="1926">
          <cell r="W1926" t="str">
            <v>QBAME04</v>
          </cell>
          <cell r="AD1926">
            <v>77000</v>
          </cell>
        </row>
        <row r="1927">
          <cell r="W1927" t="str">
            <v>QBAME04</v>
          </cell>
          <cell r="AD1927">
            <v>77500</v>
          </cell>
        </row>
        <row r="1928">
          <cell r="W1928" t="str">
            <v>QBAME04</v>
          </cell>
          <cell r="AD1928">
            <v>78000</v>
          </cell>
        </row>
        <row r="1929">
          <cell r="W1929" t="str">
            <v>QBAME04</v>
          </cell>
          <cell r="AD1929">
            <v>78000</v>
          </cell>
        </row>
        <row r="1930">
          <cell r="W1930" t="str">
            <v>QBAME04</v>
          </cell>
          <cell r="AD1930">
            <v>78000</v>
          </cell>
        </row>
        <row r="1931">
          <cell r="W1931" t="str">
            <v>QBAME04</v>
          </cell>
          <cell r="AD1931">
            <v>78000</v>
          </cell>
        </row>
        <row r="1932">
          <cell r="W1932" t="str">
            <v>QBAME04</v>
          </cell>
          <cell r="AD1932">
            <v>78000</v>
          </cell>
        </row>
        <row r="1933">
          <cell r="W1933" t="str">
            <v>QBAME04</v>
          </cell>
          <cell r="AD1933">
            <v>78000</v>
          </cell>
        </row>
        <row r="1934">
          <cell r="W1934" t="str">
            <v>QBAME04</v>
          </cell>
          <cell r="AD1934">
            <v>78000</v>
          </cell>
        </row>
        <row r="1935">
          <cell r="W1935" t="str">
            <v>QBAME04</v>
          </cell>
          <cell r="AD1935">
            <v>78000</v>
          </cell>
        </row>
        <row r="1936">
          <cell r="W1936" t="str">
            <v>QBAME04</v>
          </cell>
          <cell r="AD1936">
            <v>78000</v>
          </cell>
        </row>
        <row r="1937">
          <cell r="W1937" t="str">
            <v>QBAME04</v>
          </cell>
          <cell r="AD1937">
            <v>78500</v>
          </cell>
        </row>
        <row r="1938">
          <cell r="W1938" t="str">
            <v>QBAME04</v>
          </cell>
          <cell r="AD1938">
            <v>79000</v>
          </cell>
        </row>
        <row r="1939">
          <cell r="W1939" t="str">
            <v>QBAME04</v>
          </cell>
          <cell r="AD1939">
            <v>79000</v>
          </cell>
        </row>
        <row r="1940">
          <cell r="W1940" t="str">
            <v>QBAME04</v>
          </cell>
          <cell r="AD1940">
            <v>79000</v>
          </cell>
        </row>
        <row r="1941">
          <cell r="W1941" t="str">
            <v>QBAME04</v>
          </cell>
          <cell r="AD1941">
            <v>79000</v>
          </cell>
        </row>
        <row r="1942">
          <cell r="W1942" t="str">
            <v>QBAME04</v>
          </cell>
          <cell r="AD1942">
            <v>79000</v>
          </cell>
        </row>
        <row r="1943">
          <cell r="W1943" t="str">
            <v>QBAME04</v>
          </cell>
          <cell r="AD1943">
            <v>79000</v>
          </cell>
        </row>
        <row r="1944">
          <cell r="W1944" t="str">
            <v>QBAME04</v>
          </cell>
          <cell r="AD1944">
            <v>79000</v>
          </cell>
        </row>
        <row r="1945">
          <cell r="W1945" t="str">
            <v>QBAME04</v>
          </cell>
          <cell r="AD1945">
            <v>79000</v>
          </cell>
        </row>
        <row r="1946">
          <cell r="W1946" t="str">
            <v>QBAME04</v>
          </cell>
          <cell r="AD1946">
            <v>79000</v>
          </cell>
        </row>
        <row r="1947">
          <cell r="W1947" t="str">
            <v>QBAME04</v>
          </cell>
          <cell r="AD1947">
            <v>79000</v>
          </cell>
        </row>
        <row r="1948">
          <cell r="W1948" t="str">
            <v>QBAME04</v>
          </cell>
          <cell r="AD1948">
            <v>79000</v>
          </cell>
        </row>
        <row r="1949">
          <cell r="W1949" t="str">
            <v>QBAME04</v>
          </cell>
          <cell r="AD1949">
            <v>79000</v>
          </cell>
        </row>
        <row r="1950">
          <cell r="W1950" t="str">
            <v>QBAME04</v>
          </cell>
          <cell r="AD1950">
            <v>79000</v>
          </cell>
        </row>
        <row r="1951">
          <cell r="W1951" t="str">
            <v>QBAME04</v>
          </cell>
          <cell r="AD1951">
            <v>79000</v>
          </cell>
        </row>
        <row r="1952">
          <cell r="W1952" t="str">
            <v>QBAME04</v>
          </cell>
          <cell r="AD1952">
            <v>79000</v>
          </cell>
        </row>
        <row r="1953">
          <cell r="W1953" t="str">
            <v>QBAME04</v>
          </cell>
          <cell r="AD1953">
            <v>79500</v>
          </cell>
        </row>
        <row r="1954">
          <cell r="W1954" t="str">
            <v>QBAME04</v>
          </cell>
          <cell r="AD1954">
            <v>79500</v>
          </cell>
        </row>
        <row r="1955">
          <cell r="W1955" t="str">
            <v>QBAME04</v>
          </cell>
          <cell r="AD1955">
            <v>79500</v>
          </cell>
        </row>
        <row r="1956">
          <cell r="W1956" t="str">
            <v>QBAME04</v>
          </cell>
          <cell r="AD1956">
            <v>79500</v>
          </cell>
        </row>
        <row r="1957">
          <cell r="W1957" t="str">
            <v>QBASF04</v>
          </cell>
          <cell r="AD1957">
            <v>110000</v>
          </cell>
        </row>
        <row r="1958">
          <cell r="W1958" t="str">
            <v>QBASF04</v>
          </cell>
          <cell r="AD1958">
            <v>110000</v>
          </cell>
        </row>
        <row r="1959">
          <cell r="W1959" t="str">
            <v>QBASF02</v>
          </cell>
          <cell r="AD1959">
            <v>127500</v>
          </cell>
        </row>
        <row r="1960">
          <cell r="W1960" t="str">
            <v>QBASF02</v>
          </cell>
          <cell r="AD1960">
            <v>127500</v>
          </cell>
        </row>
        <row r="1961">
          <cell r="W1961" t="str">
            <v>QBASF02</v>
          </cell>
          <cell r="AD1961">
            <v>127500</v>
          </cell>
        </row>
        <row r="1962">
          <cell r="W1962" t="str">
            <v>QBASF02</v>
          </cell>
          <cell r="AD1962">
            <v>127500</v>
          </cell>
        </row>
        <row r="1963">
          <cell r="W1963" t="str">
            <v>QBASF03</v>
          </cell>
          <cell r="AD1963">
            <v>47500</v>
          </cell>
        </row>
        <row r="1964">
          <cell r="W1964" t="str">
            <v>QBASF03</v>
          </cell>
          <cell r="AD1964">
            <v>47500</v>
          </cell>
        </row>
        <row r="1965">
          <cell r="W1965" t="str">
            <v>QBASF03</v>
          </cell>
          <cell r="AD1965">
            <v>47500</v>
          </cell>
        </row>
        <row r="1966">
          <cell r="W1966" t="str">
            <v>QBASF03</v>
          </cell>
          <cell r="AD1966">
            <v>47500</v>
          </cell>
        </row>
        <row r="1967">
          <cell r="W1967" t="str">
            <v>QBASF03</v>
          </cell>
          <cell r="AD1967">
            <v>47500</v>
          </cell>
        </row>
        <row r="1968">
          <cell r="W1968" t="str">
            <v>QBASF03</v>
          </cell>
          <cell r="AD1968">
            <v>47500</v>
          </cell>
        </row>
        <row r="1969">
          <cell r="W1969" t="str">
            <v>QBASF03</v>
          </cell>
          <cell r="AD1969">
            <v>47500</v>
          </cell>
        </row>
        <row r="1970">
          <cell r="W1970" t="str">
            <v>QBASF03</v>
          </cell>
          <cell r="AD1970">
            <v>47500</v>
          </cell>
        </row>
        <row r="1971">
          <cell r="W1971" t="str">
            <v>QBASF06</v>
          </cell>
          <cell r="AD1971">
            <v>82500</v>
          </cell>
        </row>
        <row r="1972">
          <cell r="W1972" t="str">
            <v>QBASF06</v>
          </cell>
          <cell r="AD1972">
            <v>82500</v>
          </cell>
        </row>
        <row r="1973">
          <cell r="W1973" t="str">
            <v>QBASF06</v>
          </cell>
          <cell r="AD1973">
            <v>82500</v>
          </cell>
        </row>
        <row r="1974">
          <cell r="W1974" t="str">
            <v>QBASF06</v>
          </cell>
          <cell r="AD1974">
            <v>85000</v>
          </cell>
        </row>
        <row r="1975">
          <cell r="W1975" t="str">
            <v>ABASF04</v>
          </cell>
          <cell r="AD1975">
            <v>82500</v>
          </cell>
        </row>
        <row r="1976">
          <cell r="W1976" t="str">
            <v>QBAYA01</v>
          </cell>
          <cell r="AD1976">
            <v>47000</v>
          </cell>
        </row>
        <row r="1977">
          <cell r="W1977" t="str">
            <v>QBAYA03</v>
          </cell>
          <cell r="AD1977">
            <v>46000</v>
          </cell>
        </row>
        <row r="1978">
          <cell r="W1978" t="str">
            <v>QBAYA03</v>
          </cell>
          <cell r="AD1978">
            <v>50000</v>
          </cell>
        </row>
        <row r="1979">
          <cell r="W1979" t="str">
            <v>QBAYA03</v>
          </cell>
          <cell r="AD1979">
            <v>50000</v>
          </cell>
        </row>
        <row r="1980">
          <cell r="W1980" t="str">
            <v>QBAYA03</v>
          </cell>
          <cell r="AD1980">
            <v>50000</v>
          </cell>
        </row>
        <row r="1981">
          <cell r="W1981" t="str">
            <v>QBAYA03</v>
          </cell>
          <cell r="AD1981">
            <v>55000</v>
          </cell>
        </row>
        <row r="1982">
          <cell r="W1982" t="str">
            <v>QBAYA03</v>
          </cell>
          <cell r="AD1982">
            <v>55000</v>
          </cell>
        </row>
        <row r="1983">
          <cell r="W1983" t="str">
            <v>QBAYA03</v>
          </cell>
          <cell r="AD1983">
            <v>57500</v>
          </cell>
        </row>
        <row r="1984">
          <cell r="W1984" t="str">
            <v>QBAYC02</v>
          </cell>
          <cell r="AD1984">
            <v>15000</v>
          </cell>
        </row>
        <row r="1985">
          <cell r="W1985" t="str">
            <v>QBAYC02</v>
          </cell>
          <cell r="AD1985">
            <v>15500</v>
          </cell>
        </row>
        <row r="1986">
          <cell r="W1986" t="str">
            <v>QBAYC02</v>
          </cell>
          <cell r="AD1986">
            <v>15500</v>
          </cell>
        </row>
        <row r="1987">
          <cell r="W1987" t="str">
            <v>QBAYC02</v>
          </cell>
          <cell r="AD1987">
            <v>15800</v>
          </cell>
        </row>
        <row r="1988">
          <cell r="W1988" t="str">
            <v>QBAYC02</v>
          </cell>
          <cell r="AD1988">
            <v>15800</v>
          </cell>
        </row>
        <row r="1989">
          <cell r="W1989" t="str">
            <v>QBAYC02</v>
          </cell>
          <cell r="AD1989">
            <v>15800</v>
          </cell>
        </row>
        <row r="1990">
          <cell r="W1990" t="str">
            <v>QBAYC02</v>
          </cell>
          <cell r="AD1990">
            <v>16000</v>
          </cell>
        </row>
        <row r="1991">
          <cell r="W1991" t="str">
            <v>QBAYC02</v>
          </cell>
          <cell r="AD1991">
            <v>16000</v>
          </cell>
        </row>
        <row r="1992">
          <cell r="W1992" t="str">
            <v>QBAYC02</v>
          </cell>
          <cell r="AD1992">
            <v>16000</v>
          </cell>
        </row>
        <row r="1993">
          <cell r="W1993" t="str">
            <v>QBAYC02</v>
          </cell>
          <cell r="AD1993">
            <v>16000</v>
          </cell>
        </row>
        <row r="1994">
          <cell r="W1994" t="str">
            <v>QBAYC02</v>
          </cell>
          <cell r="AD1994">
            <v>16250</v>
          </cell>
        </row>
        <row r="1995">
          <cell r="W1995" t="str">
            <v>QBAYC01</v>
          </cell>
          <cell r="AD1995">
            <v>58000</v>
          </cell>
        </row>
        <row r="1996">
          <cell r="W1996" t="str">
            <v>QBAYC01</v>
          </cell>
          <cell r="AD1996">
            <v>58000</v>
          </cell>
        </row>
        <row r="1997">
          <cell r="W1997" t="str">
            <v>QBAYC01</v>
          </cell>
          <cell r="AD1997">
            <v>58500</v>
          </cell>
        </row>
        <row r="1998">
          <cell r="W1998" t="str">
            <v>QBAYC01</v>
          </cell>
          <cell r="AD1998">
            <v>59500</v>
          </cell>
        </row>
        <row r="1999">
          <cell r="W1999" t="str">
            <v>QBAYC01</v>
          </cell>
          <cell r="AD1999">
            <v>60000</v>
          </cell>
        </row>
        <row r="2000">
          <cell r="W2000" t="str">
            <v>QBAYC01</v>
          </cell>
          <cell r="AD2000">
            <v>60000</v>
          </cell>
        </row>
        <row r="2001">
          <cell r="W2001" t="str">
            <v>QBAYC01</v>
          </cell>
          <cell r="AD2001">
            <v>60000</v>
          </cell>
        </row>
        <row r="2002">
          <cell r="W2002" t="str">
            <v>QBAYC01</v>
          </cell>
          <cell r="AD2002">
            <v>60000</v>
          </cell>
        </row>
        <row r="2003">
          <cell r="W2003" t="str">
            <v>QBAYC01</v>
          </cell>
          <cell r="AD2003">
            <v>60000</v>
          </cell>
        </row>
        <row r="2004">
          <cell r="W2004" t="str">
            <v>QBAYC01</v>
          </cell>
          <cell r="AD2004">
            <v>60000</v>
          </cell>
        </row>
        <row r="2005">
          <cell r="W2005" t="str">
            <v>QBAYC01</v>
          </cell>
          <cell r="AD2005">
            <v>60000</v>
          </cell>
        </row>
        <row r="2006">
          <cell r="W2006" t="str">
            <v>QBAYC01</v>
          </cell>
          <cell r="AD2006">
            <v>60000</v>
          </cell>
        </row>
        <row r="2007">
          <cell r="W2007" t="str">
            <v>QBAYC01</v>
          </cell>
          <cell r="AD2007">
            <v>60000</v>
          </cell>
        </row>
        <row r="2008">
          <cell r="W2008" t="str">
            <v>QBAYC01</v>
          </cell>
          <cell r="AD2008">
            <v>60000</v>
          </cell>
        </row>
        <row r="2009">
          <cell r="W2009" t="str">
            <v>QBAYC01</v>
          </cell>
          <cell r="AD2009">
            <v>60000</v>
          </cell>
        </row>
        <row r="2010">
          <cell r="W2010" t="str">
            <v>QBAYC01</v>
          </cell>
          <cell r="AD2010">
            <v>60000</v>
          </cell>
        </row>
        <row r="2011">
          <cell r="W2011" t="str">
            <v>QBAYC01</v>
          </cell>
          <cell r="AD2011">
            <v>60000</v>
          </cell>
        </row>
        <row r="2012">
          <cell r="W2012" t="str">
            <v>QBAYC01</v>
          </cell>
          <cell r="AD2012">
            <v>60000</v>
          </cell>
        </row>
        <row r="2013">
          <cell r="W2013" t="str">
            <v>QBAYC01</v>
          </cell>
          <cell r="AD2013">
            <v>60000</v>
          </cell>
        </row>
        <row r="2014">
          <cell r="W2014" t="str">
            <v>QBAYC01</v>
          </cell>
          <cell r="AD2014">
            <v>26500</v>
          </cell>
        </row>
        <row r="2015">
          <cell r="W2015" t="str">
            <v>QBAYF01</v>
          </cell>
          <cell r="AD2015">
            <v>25500</v>
          </cell>
        </row>
        <row r="2016">
          <cell r="W2016" t="str">
            <v>QBAYF01</v>
          </cell>
          <cell r="AD2016">
            <v>26000</v>
          </cell>
        </row>
        <row r="2017">
          <cell r="W2017" t="str">
            <v>QBAYF01</v>
          </cell>
          <cell r="AD2017">
            <v>26000</v>
          </cell>
        </row>
        <row r="2018">
          <cell r="W2018" t="str">
            <v>QBAYF01</v>
          </cell>
          <cell r="AD2018">
            <v>26000</v>
          </cell>
        </row>
        <row r="2019">
          <cell r="W2019" t="str">
            <v>QBAYF01</v>
          </cell>
          <cell r="AD2019">
            <v>26000</v>
          </cell>
        </row>
        <row r="2020">
          <cell r="W2020" t="str">
            <v>QBAYF01</v>
          </cell>
          <cell r="AD2020">
            <v>26000</v>
          </cell>
        </row>
        <row r="2021">
          <cell r="W2021" t="str">
            <v>QBAYF01</v>
          </cell>
          <cell r="AD2021">
            <v>26000</v>
          </cell>
        </row>
        <row r="2022">
          <cell r="W2022" t="str">
            <v>QBAYF01</v>
          </cell>
          <cell r="AD2022">
            <v>26000</v>
          </cell>
        </row>
        <row r="2023">
          <cell r="W2023" t="str">
            <v>QBAYF01</v>
          </cell>
          <cell r="AD2023">
            <v>26000</v>
          </cell>
        </row>
        <row r="2024">
          <cell r="W2024" t="str">
            <v>QBAYF01</v>
          </cell>
          <cell r="AD2024">
            <v>26000</v>
          </cell>
        </row>
        <row r="2025">
          <cell r="W2025" t="str">
            <v>QBAYF01</v>
          </cell>
          <cell r="AD2025">
            <v>26500</v>
          </cell>
        </row>
        <row r="2026">
          <cell r="W2026" t="str">
            <v>QBAYF01</v>
          </cell>
          <cell r="AD2026">
            <v>26500</v>
          </cell>
        </row>
        <row r="2027">
          <cell r="W2027" t="str">
            <v>QBAYF01</v>
          </cell>
          <cell r="AD2027">
            <v>26500</v>
          </cell>
        </row>
        <row r="2028">
          <cell r="W2028" t="str">
            <v>QBAYF01</v>
          </cell>
          <cell r="AD2028">
            <v>26500</v>
          </cell>
        </row>
        <row r="2029">
          <cell r="W2029" t="str">
            <v>QBAYF01</v>
          </cell>
          <cell r="AD2029">
            <v>26500</v>
          </cell>
        </row>
        <row r="2030">
          <cell r="W2030" t="str">
            <v>QBAYF01</v>
          </cell>
          <cell r="AD2030">
            <v>26500</v>
          </cell>
        </row>
        <row r="2031">
          <cell r="W2031" t="str">
            <v>QBAYF01</v>
          </cell>
          <cell r="AD2031">
            <v>26500</v>
          </cell>
        </row>
        <row r="2032">
          <cell r="W2032" t="str">
            <v>QBAYF01</v>
          </cell>
          <cell r="AD2032">
            <v>26500</v>
          </cell>
        </row>
        <row r="2033">
          <cell r="W2033" t="str">
            <v>QBAYF01</v>
          </cell>
          <cell r="AD2033">
            <v>26500</v>
          </cell>
        </row>
        <row r="2034">
          <cell r="W2034" t="str">
            <v>QBAYF01</v>
          </cell>
          <cell r="AD2034">
            <v>26500</v>
          </cell>
        </row>
        <row r="2035">
          <cell r="W2035" t="str">
            <v>QBAYF01</v>
          </cell>
          <cell r="AD2035">
            <v>26500</v>
          </cell>
        </row>
        <row r="2036">
          <cell r="W2036" t="str">
            <v>QBAYF01</v>
          </cell>
          <cell r="AD2036">
            <v>26500</v>
          </cell>
        </row>
        <row r="2037">
          <cell r="W2037" t="str">
            <v>QBAYF01</v>
          </cell>
          <cell r="AD2037">
            <v>26500</v>
          </cell>
        </row>
        <row r="2038">
          <cell r="W2038" t="str">
            <v>QBAYF01</v>
          </cell>
          <cell r="AD2038">
            <v>26500</v>
          </cell>
        </row>
        <row r="2039">
          <cell r="W2039" t="str">
            <v>QBAYF01</v>
          </cell>
          <cell r="AD2039">
            <v>26500</v>
          </cell>
        </row>
        <row r="2040">
          <cell r="W2040" t="str">
            <v>QBAYF01</v>
          </cell>
          <cell r="AD2040">
            <v>26500</v>
          </cell>
        </row>
        <row r="2041">
          <cell r="W2041" t="str">
            <v>QBAYF01</v>
          </cell>
          <cell r="AD2041">
            <v>26500</v>
          </cell>
        </row>
        <row r="2042">
          <cell r="W2042" t="str">
            <v>QBAYF01</v>
          </cell>
          <cell r="AD2042">
            <v>26500</v>
          </cell>
        </row>
        <row r="2043">
          <cell r="W2043" t="str">
            <v>QBAYF01</v>
          </cell>
          <cell r="AD2043">
            <v>26500</v>
          </cell>
        </row>
        <row r="2044">
          <cell r="W2044" t="str">
            <v>QBAYF01</v>
          </cell>
          <cell r="AD2044">
            <v>26500</v>
          </cell>
        </row>
        <row r="2045">
          <cell r="W2045" t="str">
            <v>QBAYF01</v>
          </cell>
          <cell r="AD2045">
            <v>26500</v>
          </cell>
        </row>
        <row r="2046">
          <cell r="W2046" t="str">
            <v>QBAYF01</v>
          </cell>
          <cell r="AD2046">
            <v>26500</v>
          </cell>
        </row>
        <row r="2047">
          <cell r="W2047" t="str">
            <v>QBAYF01</v>
          </cell>
          <cell r="AD2047">
            <v>26500</v>
          </cell>
        </row>
        <row r="2048">
          <cell r="W2048" t="str">
            <v>QBAYF01</v>
          </cell>
          <cell r="AD2048">
            <v>26500</v>
          </cell>
        </row>
        <row r="2049">
          <cell r="W2049" t="str">
            <v>QBAYF02</v>
          </cell>
          <cell r="AD2049">
            <v>13500</v>
          </cell>
        </row>
        <row r="2050">
          <cell r="W2050" t="str">
            <v>QBAYF02</v>
          </cell>
          <cell r="AD2050">
            <v>13500</v>
          </cell>
        </row>
        <row r="2051">
          <cell r="W2051" t="str">
            <v>QBAYF02</v>
          </cell>
          <cell r="AD2051">
            <v>13500</v>
          </cell>
        </row>
        <row r="2052">
          <cell r="W2052" t="str">
            <v>QBAYF02</v>
          </cell>
          <cell r="AD2052">
            <v>13500</v>
          </cell>
        </row>
        <row r="2053">
          <cell r="W2053" t="str">
            <v>QBAYF02</v>
          </cell>
          <cell r="AD2053">
            <v>14000</v>
          </cell>
        </row>
        <row r="2054">
          <cell r="W2054" t="str">
            <v>QBAYF02</v>
          </cell>
          <cell r="AD2054">
            <v>14000</v>
          </cell>
        </row>
        <row r="2055">
          <cell r="W2055" t="str">
            <v>QBAYF02</v>
          </cell>
          <cell r="AD2055">
            <v>14000</v>
          </cell>
        </row>
        <row r="2056">
          <cell r="W2056" t="str">
            <v>QBAYF02</v>
          </cell>
          <cell r="AD2056">
            <v>14000</v>
          </cell>
        </row>
        <row r="2057">
          <cell r="W2057" t="str">
            <v>QBEKA01</v>
          </cell>
          <cell r="AD2057">
            <v>28000</v>
          </cell>
        </row>
        <row r="2058">
          <cell r="W2058" t="str">
            <v>QBELT01</v>
          </cell>
          <cell r="AD2058">
            <v>131000</v>
          </cell>
        </row>
        <row r="2059">
          <cell r="W2059" t="str">
            <v>QBELT01</v>
          </cell>
          <cell r="AD2059">
            <v>131000</v>
          </cell>
        </row>
        <row r="2060">
          <cell r="W2060" t="str">
            <v>QBELT02</v>
          </cell>
          <cell r="AD2060">
            <v>295000</v>
          </cell>
        </row>
        <row r="2061">
          <cell r="W2061" t="str">
            <v>QBELT02</v>
          </cell>
          <cell r="AD2061">
            <v>300000</v>
          </cell>
        </row>
        <row r="2062">
          <cell r="W2062" t="str">
            <v>QBELT02</v>
          </cell>
          <cell r="AD2062">
            <v>300000</v>
          </cell>
        </row>
        <row r="2063">
          <cell r="W2063" t="str">
            <v>QBELT02</v>
          </cell>
          <cell r="AD2063">
            <v>307500</v>
          </cell>
        </row>
        <row r="2064">
          <cell r="W2064" t="str">
            <v>QBELT02</v>
          </cell>
          <cell r="AD2064">
            <v>307500</v>
          </cell>
        </row>
        <row r="2065">
          <cell r="W2065" t="str">
            <v>QBELT02</v>
          </cell>
          <cell r="AD2065">
            <v>307500</v>
          </cell>
        </row>
        <row r="2066">
          <cell r="W2066" t="str">
            <v>QBELT02</v>
          </cell>
          <cell r="AD2066">
            <v>311000</v>
          </cell>
        </row>
        <row r="2067">
          <cell r="W2067" t="str">
            <v>ABENA01</v>
          </cell>
          <cell r="AD2067">
            <v>32000</v>
          </cell>
        </row>
        <row r="2068">
          <cell r="W2068" t="str">
            <v>ABENTO01</v>
          </cell>
          <cell r="AD2068">
            <v>1</v>
          </cell>
        </row>
        <row r="2069">
          <cell r="W2069" t="str">
            <v>QBENT06</v>
          </cell>
          <cell r="AD2069">
            <v>663636.36</v>
          </cell>
        </row>
        <row r="2070">
          <cell r="W2070" t="str">
            <v>QBERN03</v>
          </cell>
          <cell r="AD2070">
            <v>105000</v>
          </cell>
        </row>
        <row r="2071">
          <cell r="W2071" t="str">
            <v>QBESM01</v>
          </cell>
          <cell r="AD2071">
            <v>17500</v>
          </cell>
        </row>
        <row r="2072">
          <cell r="W2072" t="str">
            <v>QBESM01</v>
          </cell>
          <cell r="AD2072">
            <v>17500</v>
          </cell>
        </row>
        <row r="2073">
          <cell r="W2073" t="str">
            <v>QBESM01</v>
          </cell>
          <cell r="AD2073">
            <v>17500</v>
          </cell>
        </row>
        <row r="2074">
          <cell r="W2074" t="str">
            <v>QBEST05</v>
          </cell>
          <cell r="AD2074">
            <v>860000</v>
          </cell>
        </row>
        <row r="2075">
          <cell r="W2075" t="str">
            <v>QBEST05</v>
          </cell>
          <cell r="AD2075">
            <v>860000</v>
          </cell>
        </row>
        <row r="2076">
          <cell r="W2076" t="str">
            <v>QBEST05</v>
          </cell>
          <cell r="AD2076">
            <v>860000</v>
          </cell>
        </row>
        <row r="2077">
          <cell r="W2077" t="str">
            <v>QBEST05</v>
          </cell>
          <cell r="AD2077">
            <v>860000</v>
          </cell>
        </row>
        <row r="2078">
          <cell r="W2078" t="str">
            <v>QBEST05</v>
          </cell>
          <cell r="AD2078">
            <v>860000</v>
          </cell>
        </row>
        <row r="2079">
          <cell r="W2079" t="str">
            <v>QBEST03</v>
          </cell>
          <cell r="AD2079">
            <v>44500</v>
          </cell>
        </row>
        <row r="2080">
          <cell r="W2080" t="str">
            <v>QBEST03</v>
          </cell>
          <cell r="AD2080">
            <v>44500</v>
          </cell>
        </row>
        <row r="2081">
          <cell r="W2081" t="str">
            <v>QBEST03</v>
          </cell>
          <cell r="AD2081">
            <v>45000</v>
          </cell>
        </row>
        <row r="2082">
          <cell r="W2082" t="str">
            <v>QBEST03</v>
          </cell>
          <cell r="AD2082">
            <v>45000</v>
          </cell>
        </row>
        <row r="2083">
          <cell r="W2083" t="str">
            <v>QBEST03</v>
          </cell>
          <cell r="AD2083">
            <v>45000</v>
          </cell>
        </row>
        <row r="2084">
          <cell r="W2084" t="str">
            <v>QBEST03</v>
          </cell>
          <cell r="AD2084">
            <v>45000</v>
          </cell>
        </row>
        <row r="2085">
          <cell r="W2085" t="str">
            <v>QBEST03</v>
          </cell>
          <cell r="AD2085">
            <v>45000</v>
          </cell>
        </row>
        <row r="2086">
          <cell r="W2086" t="str">
            <v>QBEST03</v>
          </cell>
          <cell r="AD2086">
            <v>45000</v>
          </cell>
        </row>
        <row r="2087">
          <cell r="W2087" t="str">
            <v>QBEST04</v>
          </cell>
          <cell r="AD2087">
            <v>217500</v>
          </cell>
        </row>
        <row r="2088">
          <cell r="W2088" t="str">
            <v>QBEST04</v>
          </cell>
          <cell r="AD2088">
            <v>220000</v>
          </cell>
        </row>
        <row r="2089">
          <cell r="W2089" t="str">
            <v>QBIGG02</v>
          </cell>
          <cell r="AD2089">
            <v>43000</v>
          </cell>
        </row>
        <row r="2090">
          <cell r="W2090" t="str">
            <v>QBIGG02</v>
          </cell>
          <cell r="AD2090">
            <v>43000</v>
          </cell>
        </row>
        <row r="2091">
          <cell r="W2091" t="str">
            <v>QBIGG02</v>
          </cell>
          <cell r="AD2091">
            <v>43000</v>
          </cell>
        </row>
        <row r="2092">
          <cell r="W2092" t="str">
            <v>QBIGG02</v>
          </cell>
          <cell r="AD2092">
            <v>45000</v>
          </cell>
        </row>
        <row r="2093">
          <cell r="W2093" t="str">
            <v>QBIGG02</v>
          </cell>
          <cell r="AD2093">
            <v>47000</v>
          </cell>
        </row>
        <row r="2094">
          <cell r="W2094" t="str">
            <v>QBIGG02</v>
          </cell>
          <cell r="AD2094">
            <v>47000</v>
          </cell>
        </row>
        <row r="2095">
          <cell r="W2095" t="str">
            <v>QBIGG02</v>
          </cell>
          <cell r="AD2095">
            <v>47500</v>
          </cell>
        </row>
        <row r="2096">
          <cell r="W2096" t="str">
            <v>QBIGG02</v>
          </cell>
          <cell r="AD2096">
            <v>47500</v>
          </cell>
        </row>
        <row r="2097">
          <cell r="W2097" t="str">
            <v>QBIGG02</v>
          </cell>
          <cell r="AD2097">
            <v>47500</v>
          </cell>
        </row>
        <row r="2098">
          <cell r="W2098" t="str">
            <v>QBIGG02</v>
          </cell>
          <cell r="AD2098">
            <v>47500</v>
          </cell>
        </row>
        <row r="2099">
          <cell r="W2099" t="str">
            <v>QBIGG02</v>
          </cell>
          <cell r="AD2099">
            <v>47500</v>
          </cell>
        </row>
        <row r="2100">
          <cell r="W2100" t="str">
            <v>QBIGG02</v>
          </cell>
          <cell r="AD2100">
            <v>47500</v>
          </cell>
        </row>
        <row r="2101">
          <cell r="W2101" t="str">
            <v>QBIGG02</v>
          </cell>
          <cell r="AD2101">
            <v>47500</v>
          </cell>
        </row>
        <row r="2102">
          <cell r="W2102" t="str">
            <v>QBIGG02</v>
          </cell>
          <cell r="AD2102">
            <v>47500</v>
          </cell>
        </row>
        <row r="2103">
          <cell r="W2103" t="str">
            <v>QBIGG02</v>
          </cell>
          <cell r="AD2103">
            <v>47500</v>
          </cell>
        </row>
        <row r="2104">
          <cell r="W2104" t="str">
            <v>QBIGG01</v>
          </cell>
          <cell r="AD2104">
            <v>14000</v>
          </cell>
        </row>
        <row r="2105">
          <cell r="W2105" t="str">
            <v>QBIGG01</v>
          </cell>
          <cell r="AD2105">
            <v>14000</v>
          </cell>
        </row>
        <row r="2106">
          <cell r="W2106" t="str">
            <v>QBIGG01</v>
          </cell>
          <cell r="AD2106">
            <v>14000</v>
          </cell>
        </row>
        <row r="2107">
          <cell r="W2107" t="str">
            <v>QBIGG01</v>
          </cell>
          <cell r="AD2107">
            <v>15000</v>
          </cell>
        </row>
        <row r="2108">
          <cell r="W2108" t="str">
            <v>QBIGG03</v>
          </cell>
          <cell r="AD2108">
            <v>39500</v>
          </cell>
        </row>
        <row r="2109">
          <cell r="W2109" t="str">
            <v>QBIGG03</v>
          </cell>
          <cell r="AD2109">
            <v>40000</v>
          </cell>
        </row>
        <row r="2110">
          <cell r="W2110" t="str">
            <v>QBIGG03</v>
          </cell>
          <cell r="AD2110">
            <v>40000</v>
          </cell>
        </row>
        <row r="2111">
          <cell r="W2111" t="str">
            <v>QBIGG03</v>
          </cell>
          <cell r="AD2111">
            <v>40000</v>
          </cell>
        </row>
        <row r="2112">
          <cell r="W2112" t="str">
            <v>QBIGG03</v>
          </cell>
          <cell r="AD2112">
            <v>40000</v>
          </cell>
        </row>
        <row r="2113">
          <cell r="W2113" t="str">
            <v>QBIGG03</v>
          </cell>
          <cell r="AD2113">
            <v>40000</v>
          </cell>
        </row>
        <row r="2114">
          <cell r="W2114" t="str">
            <v>QBIGG03</v>
          </cell>
          <cell r="AD2114">
            <v>40000</v>
          </cell>
        </row>
        <row r="2115">
          <cell r="W2115" t="str">
            <v>QBIGG03</v>
          </cell>
          <cell r="AD2115">
            <v>40000</v>
          </cell>
        </row>
        <row r="2116">
          <cell r="W2116" t="str">
            <v>QBIGG03</v>
          </cell>
          <cell r="AD2116">
            <v>40000</v>
          </cell>
        </row>
        <row r="2117">
          <cell r="W2117" t="str">
            <v>QBIGG03</v>
          </cell>
          <cell r="AD2117">
            <v>40000</v>
          </cell>
        </row>
        <row r="2118">
          <cell r="W2118" t="str">
            <v>QBIGG03</v>
          </cell>
          <cell r="AD2118">
            <v>40000</v>
          </cell>
        </row>
        <row r="2119">
          <cell r="W2119" t="str">
            <v>QBIGG03</v>
          </cell>
          <cell r="AD2119">
            <v>40000</v>
          </cell>
        </row>
        <row r="2120">
          <cell r="W2120" t="str">
            <v>QBIGG03</v>
          </cell>
          <cell r="AD2120">
            <v>40000</v>
          </cell>
        </row>
        <row r="2121">
          <cell r="W2121" t="str">
            <v>QBIGG03</v>
          </cell>
          <cell r="AD2121">
            <v>40000</v>
          </cell>
        </row>
        <row r="2122">
          <cell r="W2122" t="str">
            <v>QBIGG03</v>
          </cell>
          <cell r="AD2122">
            <v>40000</v>
          </cell>
        </row>
        <row r="2123">
          <cell r="W2123" t="str">
            <v>QBIGG03</v>
          </cell>
          <cell r="AD2123">
            <v>40000</v>
          </cell>
        </row>
        <row r="2124">
          <cell r="W2124" t="str">
            <v>QBIGG03</v>
          </cell>
          <cell r="AD2124">
            <v>40000</v>
          </cell>
        </row>
        <row r="2125">
          <cell r="W2125" t="str">
            <v>QBIGG03</v>
          </cell>
          <cell r="AD2125">
            <v>40000</v>
          </cell>
        </row>
        <row r="2126">
          <cell r="W2126" t="str">
            <v>QBIGG03</v>
          </cell>
          <cell r="AD2126">
            <v>40000</v>
          </cell>
        </row>
        <row r="2127">
          <cell r="W2127" t="str">
            <v>QBIGG03</v>
          </cell>
          <cell r="AD2127">
            <v>40000</v>
          </cell>
        </row>
        <row r="2128">
          <cell r="W2128" t="str">
            <v>QBIGG03</v>
          </cell>
          <cell r="AD2128">
            <v>40000</v>
          </cell>
        </row>
        <row r="2129">
          <cell r="W2129" t="str">
            <v>QBIGG03</v>
          </cell>
          <cell r="AD2129">
            <v>40000</v>
          </cell>
        </row>
        <row r="2130">
          <cell r="W2130" t="str">
            <v>QBIGG03</v>
          </cell>
          <cell r="AD2130">
            <v>40000</v>
          </cell>
        </row>
        <row r="2131">
          <cell r="W2131" t="str">
            <v>QBIGG03</v>
          </cell>
          <cell r="AD2131">
            <v>40000</v>
          </cell>
        </row>
        <row r="2132">
          <cell r="W2132" t="str">
            <v>QBIGG03</v>
          </cell>
          <cell r="AD2132">
            <v>40000</v>
          </cell>
        </row>
        <row r="2133">
          <cell r="W2133" t="str">
            <v>QBIGG03</v>
          </cell>
          <cell r="AD2133">
            <v>40000</v>
          </cell>
        </row>
        <row r="2134">
          <cell r="W2134" t="str">
            <v>QBIGG03</v>
          </cell>
          <cell r="AD2134">
            <v>40000</v>
          </cell>
        </row>
        <row r="2135">
          <cell r="W2135" t="str">
            <v>QBIGG04</v>
          </cell>
          <cell r="AD2135">
            <v>4500</v>
          </cell>
        </row>
        <row r="2136">
          <cell r="W2136" t="str">
            <v>QBIGG04</v>
          </cell>
          <cell r="AD2136">
            <v>4500</v>
          </cell>
        </row>
        <row r="2137">
          <cell r="W2137" t="str">
            <v>QBIGG04</v>
          </cell>
          <cell r="AD2137">
            <v>4500</v>
          </cell>
        </row>
        <row r="2138">
          <cell r="W2138" t="str">
            <v>QBIGG04</v>
          </cell>
          <cell r="AD2138">
            <v>4500</v>
          </cell>
        </row>
        <row r="2139">
          <cell r="W2139" t="str">
            <v>QBIGG04</v>
          </cell>
          <cell r="AD2139">
            <v>4500</v>
          </cell>
        </row>
        <row r="2140">
          <cell r="W2140" t="str">
            <v>QBIGG04</v>
          </cell>
          <cell r="AD2140">
            <v>4500</v>
          </cell>
        </row>
        <row r="2141">
          <cell r="W2141" t="str">
            <v>QBIGG04</v>
          </cell>
          <cell r="AD2141">
            <v>4500</v>
          </cell>
        </row>
        <row r="2142">
          <cell r="W2142" t="str">
            <v>ABIGG05</v>
          </cell>
          <cell r="AD2142">
            <v>4500</v>
          </cell>
        </row>
        <row r="2143">
          <cell r="W2143" t="str">
            <v>QBIGG04</v>
          </cell>
          <cell r="AD2143">
            <v>4500</v>
          </cell>
        </row>
        <row r="2144">
          <cell r="W2144" t="str">
            <v>QBIGG04</v>
          </cell>
          <cell r="AD2144">
            <v>4500</v>
          </cell>
        </row>
        <row r="2145">
          <cell r="W2145" t="str">
            <v>QBIGG04</v>
          </cell>
          <cell r="AD2145">
            <v>5000</v>
          </cell>
        </row>
        <row r="2146">
          <cell r="W2146" t="str">
            <v>QBIGG04</v>
          </cell>
          <cell r="AD2146">
            <v>5000</v>
          </cell>
        </row>
        <row r="2147">
          <cell r="W2147" t="str">
            <v>QBIGG04</v>
          </cell>
          <cell r="AD2147">
            <v>5000</v>
          </cell>
        </row>
        <row r="2148">
          <cell r="W2148" t="str">
            <v>QBIGG04</v>
          </cell>
          <cell r="AD2148">
            <v>5000</v>
          </cell>
        </row>
        <row r="2149">
          <cell r="W2149" t="str">
            <v>QBIGG04</v>
          </cell>
          <cell r="AD2149">
            <v>5000</v>
          </cell>
        </row>
        <row r="2150">
          <cell r="W2150" t="str">
            <v>QBIGG04</v>
          </cell>
          <cell r="AD2150">
            <v>5000</v>
          </cell>
        </row>
        <row r="2151">
          <cell r="W2151" t="str">
            <v>QBIGG04</v>
          </cell>
          <cell r="AD2151">
            <v>5000</v>
          </cell>
        </row>
        <row r="2152">
          <cell r="W2152" t="str">
            <v>ABIGG05</v>
          </cell>
          <cell r="AD2152">
            <v>5000</v>
          </cell>
        </row>
        <row r="2153">
          <cell r="W2153" t="str">
            <v>ABIGG05</v>
          </cell>
          <cell r="AD2153">
            <v>5000</v>
          </cell>
        </row>
        <row r="2154">
          <cell r="W2154" t="str">
            <v>QBIGG04</v>
          </cell>
          <cell r="AD2154">
            <v>5000</v>
          </cell>
        </row>
        <row r="2155">
          <cell r="W2155" t="str">
            <v>QBIGG04</v>
          </cell>
          <cell r="AD2155">
            <v>5000</v>
          </cell>
        </row>
        <row r="2156">
          <cell r="W2156" t="str">
            <v>QBIGG04</v>
          </cell>
          <cell r="AD2156">
            <v>5000</v>
          </cell>
        </row>
        <row r="2157">
          <cell r="W2157" t="str">
            <v>QBIGG04</v>
          </cell>
          <cell r="AD2157">
            <v>5000</v>
          </cell>
        </row>
        <row r="2158">
          <cell r="W2158" t="str">
            <v>QBIOC02</v>
          </cell>
          <cell r="AD2158">
            <v>12500</v>
          </cell>
        </row>
        <row r="2159">
          <cell r="W2159" t="str">
            <v>QBIOC01</v>
          </cell>
          <cell r="AD2159">
            <v>13500</v>
          </cell>
        </row>
        <row r="2160">
          <cell r="W2160" t="str">
            <v>QBIOC01</v>
          </cell>
          <cell r="AD2160">
            <v>13500</v>
          </cell>
        </row>
        <row r="2161">
          <cell r="W2161" t="str">
            <v>QBIOC01</v>
          </cell>
          <cell r="AD2161">
            <v>13500</v>
          </cell>
        </row>
        <row r="2162">
          <cell r="W2162" t="str">
            <v>QBIOC01</v>
          </cell>
          <cell r="AD2162">
            <v>13500</v>
          </cell>
        </row>
        <row r="2163">
          <cell r="W2163" t="str">
            <v>QBIOC01</v>
          </cell>
          <cell r="AD2163">
            <v>13500</v>
          </cell>
        </row>
        <row r="2164">
          <cell r="W2164" t="str">
            <v>QBION01</v>
          </cell>
          <cell r="AD2164">
            <v>165000</v>
          </cell>
        </row>
        <row r="2165">
          <cell r="W2165" t="str">
            <v>QBION01</v>
          </cell>
          <cell r="AD2165">
            <v>168850</v>
          </cell>
        </row>
        <row r="2166">
          <cell r="W2166" t="str">
            <v>QBION01</v>
          </cell>
          <cell r="AD2166">
            <v>168850</v>
          </cell>
        </row>
        <row r="2167">
          <cell r="W2167" t="str">
            <v>QBION01</v>
          </cell>
          <cell r="AD2167">
            <v>168850</v>
          </cell>
        </row>
        <row r="2168">
          <cell r="W2168" t="str">
            <v>QBION01</v>
          </cell>
          <cell r="AD2168">
            <v>169000</v>
          </cell>
        </row>
        <row r="2169">
          <cell r="W2169" t="str">
            <v>QBION01</v>
          </cell>
          <cell r="AD2169">
            <v>169000</v>
          </cell>
        </row>
        <row r="2170">
          <cell r="W2170" t="str">
            <v>QBION01</v>
          </cell>
          <cell r="AD2170">
            <v>169000</v>
          </cell>
        </row>
        <row r="2171">
          <cell r="W2171" t="str">
            <v>QBION01</v>
          </cell>
          <cell r="AD2171">
            <v>169000</v>
          </cell>
        </row>
        <row r="2172">
          <cell r="W2172" t="str">
            <v>QBION01</v>
          </cell>
          <cell r="AD2172">
            <v>169000</v>
          </cell>
        </row>
        <row r="2173">
          <cell r="W2173" t="str">
            <v>QBION01</v>
          </cell>
          <cell r="AD2173">
            <v>169000</v>
          </cell>
        </row>
        <row r="2174">
          <cell r="W2174" t="str">
            <v>QBION01</v>
          </cell>
          <cell r="AD2174">
            <v>169000</v>
          </cell>
        </row>
        <row r="2175">
          <cell r="W2175" t="str">
            <v>QBION01</v>
          </cell>
          <cell r="AD2175">
            <v>169500</v>
          </cell>
        </row>
        <row r="2176">
          <cell r="W2176" t="str">
            <v>QBION01</v>
          </cell>
          <cell r="AD2176">
            <v>170000</v>
          </cell>
        </row>
        <row r="2177">
          <cell r="W2177" t="str">
            <v>QBION01</v>
          </cell>
          <cell r="AD2177">
            <v>171000</v>
          </cell>
        </row>
        <row r="2178">
          <cell r="W2178" t="str">
            <v>QBION01</v>
          </cell>
          <cell r="AD2178">
            <v>171000</v>
          </cell>
        </row>
        <row r="2179">
          <cell r="W2179" t="str">
            <v>QBION02</v>
          </cell>
          <cell r="AD2179">
            <v>70000</v>
          </cell>
        </row>
        <row r="2180">
          <cell r="W2180" t="str">
            <v>QBION02</v>
          </cell>
          <cell r="AD2180">
            <v>75500</v>
          </cell>
        </row>
        <row r="2181">
          <cell r="W2181" t="str">
            <v>QBION02</v>
          </cell>
          <cell r="AD2181">
            <v>75500</v>
          </cell>
        </row>
        <row r="2182">
          <cell r="W2182" t="str">
            <v>QBION02</v>
          </cell>
          <cell r="AD2182">
            <v>75500</v>
          </cell>
        </row>
        <row r="2183">
          <cell r="W2183" t="str">
            <v>QBION02</v>
          </cell>
          <cell r="AD2183">
            <v>76500</v>
          </cell>
        </row>
        <row r="2184">
          <cell r="W2184" t="str">
            <v>QBION02</v>
          </cell>
          <cell r="AD2184">
            <v>76500</v>
          </cell>
        </row>
        <row r="2185">
          <cell r="W2185" t="str">
            <v>QBION02</v>
          </cell>
          <cell r="AD2185">
            <v>76500</v>
          </cell>
        </row>
        <row r="2186">
          <cell r="W2186" t="str">
            <v>QBION02</v>
          </cell>
          <cell r="AD2186">
            <v>76500</v>
          </cell>
        </row>
        <row r="2187">
          <cell r="W2187" t="str">
            <v>QBION02</v>
          </cell>
          <cell r="AD2187">
            <v>76500</v>
          </cell>
        </row>
        <row r="2188">
          <cell r="W2188" t="str">
            <v>QBION02</v>
          </cell>
          <cell r="AD2188">
            <v>76500</v>
          </cell>
        </row>
        <row r="2189">
          <cell r="W2189" t="str">
            <v>QBION02</v>
          </cell>
          <cell r="AD2189">
            <v>76500</v>
          </cell>
        </row>
        <row r="2190">
          <cell r="W2190" t="str">
            <v>QBION02</v>
          </cell>
          <cell r="AD2190">
            <v>76500</v>
          </cell>
        </row>
        <row r="2191">
          <cell r="W2191" t="str">
            <v>QBION02</v>
          </cell>
          <cell r="AD2191">
            <v>76500</v>
          </cell>
        </row>
        <row r="2192">
          <cell r="W2192" t="str">
            <v>QBION02</v>
          </cell>
          <cell r="AD2192">
            <v>76500</v>
          </cell>
        </row>
        <row r="2193">
          <cell r="W2193" t="str">
            <v>QBION02</v>
          </cell>
          <cell r="AD2193">
            <v>76500</v>
          </cell>
        </row>
        <row r="2194">
          <cell r="W2194" t="str">
            <v>QBION02</v>
          </cell>
          <cell r="AD2194">
            <v>76500</v>
          </cell>
        </row>
        <row r="2195">
          <cell r="W2195" t="str">
            <v>QBION02</v>
          </cell>
          <cell r="AD2195">
            <v>76500</v>
          </cell>
        </row>
        <row r="2196">
          <cell r="W2196" t="str">
            <v>QBION02</v>
          </cell>
          <cell r="AD2196">
            <v>76500</v>
          </cell>
        </row>
        <row r="2197">
          <cell r="W2197" t="str">
            <v>QBION02</v>
          </cell>
          <cell r="AD2197">
            <v>76500</v>
          </cell>
        </row>
        <row r="2198">
          <cell r="W2198" t="str">
            <v>QBION02</v>
          </cell>
          <cell r="AD2198">
            <v>76500</v>
          </cell>
        </row>
        <row r="2199">
          <cell r="W2199" t="str">
            <v>QBION02</v>
          </cell>
          <cell r="AD2199">
            <v>76500</v>
          </cell>
        </row>
        <row r="2200">
          <cell r="W2200" t="str">
            <v>QBION02</v>
          </cell>
          <cell r="AD2200">
            <v>76500</v>
          </cell>
        </row>
        <row r="2201">
          <cell r="W2201" t="str">
            <v>QBION02</v>
          </cell>
          <cell r="AD2201">
            <v>76500</v>
          </cell>
        </row>
        <row r="2202">
          <cell r="W2202" t="str">
            <v>QBION02</v>
          </cell>
          <cell r="AD2202">
            <v>76500</v>
          </cell>
        </row>
        <row r="2203">
          <cell r="W2203" t="str">
            <v>QBION02</v>
          </cell>
          <cell r="AD2203">
            <v>76500</v>
          </cell>
        </row>
        <row r="2204">
          <cell r="W2204" t="str">
            <v>QBION02</v>
          </cell>
          <cell r="AD2204">
            <v>76500</v>
          </cell>
        </row>
        <row r="2205">
          <cell r="W2205" t="str">
            <v>QBION02</v>
          </cell>
          <cell r="AD2205">
            <v>76500</v>
          </cell>
        </row>
        <row r="2206">
          <cell r="W2206" t="str">
            <v>QBION02</v>
          </cell>
          <cell r="AD2206">
            <v>76500</v>
          </cell>
        </row>
        <row r="2207">
          <cell r="W2207" t="str">
            <v>QBION02</v>
          </cell>
          <cell r="AD2207">
            <v>76500</v>
          </cell>
        </row>
        <row r="2208">
          <cell r="W2208" t="str">
            <v>QBION02</v>
          </cell>
          <cell r="AD2208">
            <v>76500</v>
          </cell>
        </row>
        <row r="2209">
          <cell r="W2209" t="str">
            <v>QBION02</v>
          </cell>
          <cell r="AD2209">
            <v>76500</v>
          </cell>
        </row>
        <row r="2210">
          <cell r="W2210" t="str">
            <v>QBION02</v>
          </cell>
          <cell r="AD2210">
            <v>76500</v>
          </cell>
        </row>
        <row r="2211">
          <cell r="W2211" t="str">
            <v>QBION02</v>
          </cell>
          <cell r="AD2211">
            <v>76500</v>
          </cell>
        </row>
        <row r="2212">
          <cell r="W2212" t="str">
            <v>QBION02</v>
          </cell>
          <cell r="AD2212">
            <v>76500</v>
          </cell>
        </row>
        <row r="2213">
          <cell r="W2213" t="str">
            <v>QBION02</v>
          </cell>
          <cell r="AD2213">
            <v>76500</v>
          </cell>
        </row>
        <row r="2214">
          <cell r="W2214" t="str">
            <v>QBION02</v>
          </cell>
          <cell r="AD2214">
            <v>76500</v>
          </cell>
        </row>
        <row r="2215">
          <cell r="W2215" t="str">
            <v>QBION02</v>
          </cell>
          <cell r="AD2215">
            <v>76500</v>
          </cell>
        </row>
        <row r="2216">
          <cell r="W2216" t="str">
            <v>QBION02</v>
          </cell>
          <cell r="AD2216">
            <v>76500</v>
          </cell>
        </row>
        <row r="2217">
          <cell r="W2217" t="str">
            <v>QBION02</v>
          </cell>
          <cell r="AD2217">
            <v>76500</v>
          </cell>
        </row>
        <row r="2218">
          <cell r="W2218" t="str">
            <v>QBION02</v>
          </cell>
          <cell r="AD2218">
            <v>76500</v>
          </cell>
        </row>
        <row r="2219">
          <cell r="W2219" t="str">
            <v>QBION02</v>
          </cell>
          <cell r="AD2219">
            <v>76500</v>
          </cell>
        </row>
        <row r="2220">
          <cell r="W2220" t="str">
            <v>QBION02</v>
          </cell>
          <cell r="AD2220">
            <v>76500</v>
          </cell>
        </row>
        <row r="2221">
          <cell r="W2221" t="str">
            <v>QBION02</v>
          </cell>
          <cell r="AD2221">
            <v>76500</v>
          </cell>
        </row>
        <row r="2222">
          <cell r="W2222" t="str">
            <v>QBION02</v>
          </cell>
          <cell r="AD2222">
            <v>76500</v>
          </cell>
        </row>
        <row r="2223">
          <cell r="W2223" t="str">
            <v>QBION02</v>
          </cell>
          <cell r="AD2223">
            <v>76500</v>
          </cell>
        </row>
        <row r="2224">
          <cell r="W2224" t="str">
            <v>QBION02</v>
          </cell>
          <cell r="AD2224">
            <v>76500</v>
          </cell>
        </row>
        <row r="2225">
          <cell r="W2225" t="str">
            <v>QBION02</v>
          </cell>
          <cell r="AD2225">
            <v>76500</v>
          </cell>
        </row>
        <row r="2226">
          <cell r="W2226" t="str">
            <v>QBION02</v>
          </cell>
          <cell r="AD2226">
            <v>76500</v>
          </cell>
        </row>
        <row r="2227">
          <cell r="W2227" t="str">
            <v>QBION02</v>
          </cell>
          <cell r="AD2227">
            <v>76500</v>
          </cell>
        </row>
        <row r="2228">
          <cell r="W2228" t="str">
            <v>QBION02</v>
          </cell>
          <cell r="AD2228">
            <v>76500</v>
          </cell>
        </row>
        <row r="2229">
          <cell r="W2229" t="str">
            <v>QBION02</v>
          </cell>
          <cell r="AD2229">
            <v>76500</v>
          </cell>
        </row>
        <row r="2230">
          <cell r="W2230" t="str">
            <v>QBION02</v>
          </cell>
          <cell r="AD2230">
            <v>76500</v>
          </cell>
        </row>
        <row r="2231">
          <cell r="W2231" t="str">
            <v>QBION02</v>
          </cell>
          <cell r="AD2231">
            <v>76500</v>
          </cell>
        </row>
        <row r="2232">
          <cell r="W2232" t="str">
            <v>QBION02</v>
          </cell>
          <cell r="AD2232">
            <v>76500</v>
          </cell>
        </row>
        <row r="2233">
          <cell r="W2233" t="str">
            <v>QBION02</v>
          </cell>
          <cell r="AD2233">
            <v>76500</v>
          </cell>
        </row>
        <row r="2234">
          <cell r="W2234" t="str">
            <v>QBION02</v>
          </cell>
          <cell r="AD2234">
            <v>76500</v>
          </cell>
        </row>
        <row r="2235">
          <cell r="W2235" t="str">
            <v>QBION02</v>
          </cell>
          <cell r="AD2235">
            <v>76500</v>
          </cell>
        </row>
        <row r="2236">
          <cell r="W2236" t="str">
            <v>QBION02</v>
          </cell>
          <cell r="AD2236">
            <v>76500</v>
          </cell>
        </row>
        <row r="2237">
          <cell r="W2237" t="str">
            <v>QBION02</v>
          </cell>
          <cell r="AD2237">
            <v>76500</v>
          </cell>
        </row>
        <row r="2238">
          <cell r="W2238" t="str">
            <v>QBION02</v>
          </cell>
          <cell r="AD2238">
            <v>76500</v>
          </cell>
        </row>
        <row r="2239">
          <cell r="W2239" t="str">
            <v>QBION02</v>
          </cell>
          <cell r="AD2239">
            <v>76500</v>
          </cell>
        </row>
        <row r="2240">
          <cell r="W2240" t="str">
            <v>QBION02</v>
          </cell>
          <cell r="AD2240">
            <v>76500</v>
          </cell>
        </row>
        <row r="2241">
          <cell r="W2241" t="str">
            <v>QBION02</v>
          </cell>
          <cell r="AD2241">
            <v>76500</v>
          </cell>
        </row>
        <row r="2242">
          <cell r="W2242" t="str">
            <v>QBION02</v>
          </cell>
          <cell r="AD2242">
            <v>76500</v>
          </cell>
        </row>
        <row r="2243">
          <cell r="W2243" t="str">
            <v>QBION02</v>
          </cell>
          <cell r="AD2243">
            <v>76500</v>
          </cell>
        </row>
        <row r="2244">
          <cell r="W2244" t="str">
            <v>QBION02</v>
          </cell>
          <cell r="AD2244">
            <v>76500</v>
          </cell>
        </row>
        <row r="2245">
          <cell r="W2245" t="str">
            <v>QBION02</v>
          </cell>
          <cell r="AD2245">
            <v>76500</v>
          </cell>
        </row>
        <row r="2246">
          <cell r="W2246" t="str">
            <v>QBION02</v>
          </cell>
          <cell r="AD2246">
            <v>76500</v>
          </cell>
        </row>
        <row r="2247">
          <cell r="W2247" t="str">
            <v>QBION02</v>
          </cell>
          <cell r="AD2247">
            <v>76500</v>
          </cell>
        </row>
        <row r="2248">
          <cell r="W2248" t="str">
            <v>QBION02</v>
          </cell>
          <cell r="AD2248">
            <v>76500</v>
          </cell>
        </row>
        <row r="2249">
          <cell r="W2249" t="str">
            <v>QBION02</v>
          </cell>
          <cell r="AD2249">
            <v>76500</v>
          </cell>
        </row>
        <row r="2250">
          <cell r="W2250" t="str">
            <v>QBION02</v>
          </cell>
          <cell r="AD2250">
            <v>76500</v>
          </cell>
        </row>
        <row r="2251">
          <cell r="W2251" t="str">
            <v>QBION02</v>
          </cell>
          <cell r="AD2251">
            <v>76500</v>
          </cell>
        </row>
        <row r="2252">
          <cell r="W2252" t="str">
            <v>QBION02</v>
          </cell>
          <cell r="AD2252">
            <v>76500</v>
          </cell>
        </row>
        <row r="2253">
          <cell r="W2253" t="str">
            <v>QBION02</v>
          </cell>
          <cell r="AD2253">
            <v>76500</v>
          </cell>
        </row>
        <row r="2254">
          <cell r="W2254" t="str">
            <v>QBION02</v>
          </cell>
          <cell r="AD2254">
            <v>76500</v>
          </cell>
        </row>
        <row r="2255">
          <cell r="W2255" t="str">
            <v>QBION02</v>
          </cell>
          <cell r="AD2255">
            <v>76500</v>
          </cell>
        </row>
        <row r="2256">
          <cell r="W2256" t="str">
            <v>QBION02</v>
          </cell>
          <cell r="AD2256">
            <v>76500</v>
          </cell>
        </row>
        <row r="2257">
          <cell r="W2257" t="str">
            <v>QBION02</v>
          </cell>
          <cell r="AD2257">
            <v>76500</v>
          </cell>
        </row>
        <row r="2258">
          <cell r="W2258" t="str">
            <v>QBION02</v>
          </cell>
          <cell r="AD2258">
            <v>76500</v>
          </cell>
        </row>
        <row r="2259">
          <cell r="W2259" t="str">
            <v>QBION02</v>
          </cell>
          <cell r="AD2259">
            <v>76500</v>
          </cell>
        </row>
        <row r="2260">
          <cell r="W2260" t="str">
            <v>QBION02</v>
          </cell>
          <cell r="AD2260">
            <v>76500</v>
          </cell>
        </row>
        <row r="2261">
          <cell r="W2261" t="str">
            <v>QBION02</v>
          </cell>
          <cell r="AD2261">
            <v>77000</v>
          </cell>
        </row>
        <row r="2262">
          <cell r="W2262" t="str">
            <v>QBION03</v>
          </cell>
          <cell r="AD2262">
            <v>15500</v>
          </cell>
        </row>
        <row r="2263">
          <cell r="W2263" t="str">
            <v>QBION03</v>
          </cell>
          <cell r="AD2263">
            <v>16000</v>
          </cell>
        </row>
        <row r="2264">
          <cell r="W2264" t="str">
            <v>QBION03</v>
          </cell>
          <cell r="AD2264">
            <v>16000</v>
          </cell>
        </row>
        <row r="2265">
          <cell r="W2265" t="str">
            <v>QBION03</v>
          </cell>
          <cell r="AD2265">
            <v>16000</v>
          </cell>
        </row>
        <row r="2266">
          <cell r="W2266" t="str">
            <v>QBION03</v>
          </cell>
          <cell r="AD2266">
            <v>16000</v>
          </cell>
        </row>
        <row r="2267">
          <cell r="W2267" t="str">
            <v>QBION03</v>
          </cell>
          <cell r="AD2267">
            <v>16000</v>
          </cell>
        </row>
        <row r="2268">
          <cell r="W2268" t="str">
            <v>QBION03</v>
          </cell>
          <cell r="AD2268">
            <v>16000</v>
          </cell>
        </row>
        <row r="2269">
          <cell r="W2269" t="str">
            <v>QBION03</v>
          </cell>
          <cell r="AD2269">
            <v>16000</v>
          </cell>
        </row>
        <row r="2270">
          <cell r="W2270" t="str">
            <v>QBION03</v>
          </cell>
          <cell r="AD2270">
            <v>16000</v>
          </cell>
        </row>
        <row r="2271">
          <cell r="W2271" t="str">
            <v>QBION03</v>
          </cell>
          <cell r="AD2271">
            <v>16000</v>
          </cell>
        </row>
        <row r="2272">
          <cell r="W2272" t="str">
            <v>QBION03</v>
          </cell>
          <cell r="AD2272">
            <v>16000</v>
          </cell>
        </row>
        <row r="2273">
          <cell r="W2273" t="str">
            <v>QBION03</v>
          </cell>
          <cell r="AD2273">
            <v>16000</v>
          </cell>
        </row>
        <row r="2274">
          <cell r="W2274" t="str">
            <v>QBION03</v>
          </cell>
          <cell r="AD2274">
            <v>16000</v>
          </cell>
        </row>
        <row r="2275">
          <cell r="W2275" t="str">
            <v>QBION03</v>
          </cell>
          <cell r="AD2275">
            <v>16000</v>
          </cell>
        </row>
        <row r="2276">
          <cell r="W2276" t="str">
            <v>QBION03</v>
          </cell>
          <cell r="AD2276">
            <v>16000</v>
          </cell>
        </row>
        <row r="2277">
          <cell r="W2277" t="str">
            <v>QBION03</v>
          </cell>
          <cell r="AD2277">
            <v>16000</v>
          </cell>
        </row>
        <row r="2278">
          <cell r="W2278" t="str">
            <v>QBION03</v>
          </cell>
          <cell r="AD2278">
            <v>16000</v>
          </cell>
        </row>
        <row r="2279">
          <cell r="W2279" t="str">
            <v>QBION03</v>
          </cell>
          <cell r="AD2279">
            <v>16500</v>
          </cell>
        </row>
        <row r="2280">
          <cell r="W2280" t="str">
            <v>QBION03</v>
          </cell>
          <cell r="AD2280">
            <v>16500</v>
          </cell>
        </row>
        <row r="2281">
          <cell r="W2281" t="str">
            <v>QBION03</v>
          </cell>
          <cell r="AD2281">
            <v>16500</v>
          </cell>
        </row>
        <row r="2282">
          <cell r="W2282" t="str">
            <v>QBION03</v>
          </cell>
          <cell r="AD2282">
            <v>16500</v>
          </cell>
        </row>
        <row r="2283">
          <cell r="W2283" t="str">
            <v>QBIOS01</v>
          </cell>
          <cell r="AD2283">
            <v>137000</v>
          </cell>
        </row>
        <row r="2284">
          <cell r="W2284" t="str">
            <v>QBIOS01</v>
          </cell>
          <cell r="AD2284">
            <v>137000</v>
          </cell>
        </row>
        <row r="2285">
          <cell r="W2285" t="str">
            <v>QBIOS01</v>
          </cell>
          <cell r="AD2285">
            <v>140000</v>
          </cell>
        </row>
        <row r="2286">
          <cell r="W2286" t="str">
            <v>QBIOS02</v>
          </cell>
          <cell r="AD2286">
            <v>83000</v>
          </cell>
        </row>
        <row r="2287">
          <cell r="W2287" t="str">
            <v>QBIOS02</v>
          </cell>
          <cell r="AD2287">
            <v>83000</v>
          </cell>
        </row>
        <row r="2288">
          <cell r="W2288" t="str">
            <v>QBIOS02</v>
          </cell>
          <cell r="AD2288">
            <v>83000</v>
          </cell>
        </row>
        <row r="2289">
          <cell r="W2289" t="str">
            <v>QBIOS02</v>
          </cell>
          <cell r="AD2289">
            <v>83000</v>
          </cell>
        </row>
        <row r="2290">
          <cell r="W2290" t="str">
            <v>QBLAC01</v>
          </cell>
          <cell r="AD2290">
            <v>44500</v>
          </cell>
        </row>
        <row r="2291">
          <cell r="W2291" t="str">
            <v>QBLAC01</v>
          </cell>
          <cell r="AD2291">
            <v>44500</v>
          </cell>
        </row>
        <row r="2292">
          <cell r="W2292" t="str">
            <v>QBLAC01</v>
          </cell>
          <cell r="AD2292">
            <v>46000</v>
          </cell>
        </row>
        <row r="2293">
          <cell r="W2293" t="str">
            <v>QBLAC01</v>
          </cell>
          <cell r="AD2293">
            <v>46500</v>
          </cell>
        </row>
        <row r="2294">
          <cell r="W2294" t="str">
            <v>QBLAC01</v>
          </cell>
          <cell r="AD2294">
            <v>46500</v>
          </cell>
        </row>
        <row r="2295">
          <cell r="W2295" t="str">
            <v>QBLAC01</v>
          </cell>
          <cell r="AD2295">
            <v>46500</v>
          </cell>
        </row>
        <row r="2296">
          <cell r="W2296" t="str">
            <v>QBLAC01</v>
          </cell>
          <cell r="AD2296">
            <v>46500</v>
          </cell>
        </row>
        <row r="2297">
          <cell r="W2297" t="str">
            <v>QBLAC02</v>
          </cell>
          <cell r="AD2297">
            <v>46500</v>
          </cell>
        </row>
        <row r="2298">
          <cell r="W2298" t="str">
            <v>QBLAC02</v>
          </cell>
          <cell r="AD2298">
            <v>46500</v>
          </cell>
        </row>
        <row r="2299">
          <cell r="W2299" t="str">
            <v>QBLAC02</v>
          </cell>
          <cell r="AD2299">
            <v>46500</v>
          </cell>
        </row>
        <row r="2300">
          <cell r="W2300" t="str">
            <v>QBLAC02</v>
          </cell>
          <cell r="AD2300">
            <v>46500</v>
          </cell>
        </row>
        <row r="2301">
          <cell r="W2301" t="str">
            <v>ABLAC01</v>
          </cell>
          <cell r="AD2301">
            <v>13500</v>
          </cell>
        </row>
        <row r="2302">
          <cell r="W2302" t="str">
            <v>QBLAS01</v>
          </cell>
          <cell r="AD2302">
            <v>67500</v>
          </cell>
        </row>
        <row r="2303">
          <cell r="W2303" t="str">
            <v>QBLAS01</v>
          </cell>
          <cell r="AD2303">
            <v>68000</v>
          </cell>
        </row>
        <row r="2304">
          <cell r="W2304" t="str">
            <v>QBLAS01</v>
          </cell>
          <cell r="AD2304">
            <v>68000</v>
          </cell>
        </row>
        <row r="2305">
          <cell r="W2305" t="str">
            <v>QBLAS01</v>
          </cell>
          <cell r="AD2305">
            <v>68000</v>
          </cell>
        </row>
        <row r="2306">
          <cell r="W2306" t="str">
            <v>QBLAS01</v>
          </cell>
          <cell r="AD2306">
            <v>68000</v>
          </cell>
        </row>
        <row r="2307">
          <cell r="W2307" t="str">
            <v>QBLAS01</v>
          </cell>
          <cell r="AD2307">
            <v>70000</v>
          </cell>
        </row>
        <row r="2308">
          <cell r="W2308" t="str">
            <v>QBLAS01</v>
          </cell>
          <cell r="AD2308">
            <v>70000</v>
          </cell>
        </row>
        <row r="2309">
          <cell r="W2309" t="str">
            <v>QBLAS01</v>
          </cell>
          <cell r="AD2309">
            <v>70000</v>
          </cell>
        </row>
        <row r="2310">
          <cell r="W2310" t="str">
            <v>QBLAS01</v>
          </cell>
          <cell r="AD2310">
            <v>70000</v>
          </cell>
        </row>
        <row r="2311">
          <cell r="W2311" t="str">
            <v>QBLAS01</v>
          </cell>
          <cell r="AD2311">
            <v>70000</v>
          </cell>
        </row>
        <row r="2312">
          <cell r="W2312" t="str">
            <v>QBLAS01</v>
          </cell>
          <cell r="AD2312">
            <v>70000</v>
          </cell>
        </row>
        <row r="2313">
          <cell r="W2313" t="str">
            <v>QBLAS01</v>
          </cell>
          <cell r="AD2313">
            <v>70000</v>
          </cell>
        </row>
        <row r="2314">
          <cell r="W2314" t="str">
            <v>QBLAS01</v>
          </cell>
          <cell r="AD2314">
            <v>70000</v>
          </cell>
        </row>
        <row r="2315">
          <cell r="W2315" t="str">
            <v>QBLAS01</v>
          </cell>
          <cell r="AD2315">
            <v>70000</v>
          </cell>
        </row>
        <row r="2316">
          <cell r="W2316" t="str">
            <v>QBLAS01</v>
          </cell>
          <cell r="AD2316">
            <v>71000</v>
          </cell>
        </row>
        <row r="2317">
          <cell r="W2317" t="str">
            <v>QBLAS01</v>
          </cell>
          <cell r="AD2317">
            <v>71000</v>
          </cell>
        </row>
        <row r="2318">
          <cell r="W2318" t="str">
            <v>QBLAS01</v>
          </cell>
          <cell r="AD2318">
            <v>71000</v>
          </cell>
        </row>
        <row r="2319">
          <cell r="W2319" t="str">
            <v>QBLAS01</v>
          </cell>
          <cell r="AD2319">
            <v>71500</v>
          </cell>
        </row>
        <row r="2320">
          <cell r="W2320" t="str">
            <v>QBLAS01</v>
          </cell>
          <cell r="AD2320">
            <v>72000</v>
          </cell>
        </row>
        <row r="2321">
          <cell r="W2321" t="str">
            <v>QBLAS01</v>
          </cell>
          <cell r="AD2321">
            <v>72000</v>
          </cell>
        </row>
        <row r="2322">
          <cell r="W2322" t="str">
            <v>QBLAS01</v>
          </cell>
          <cell r="AD2322">
            <v>72500</v>
          </cell>
        </row>
        <row r="2323">
          <cell r="W2323" t="str">
            <v>QBLAS02</v>
          </cell>
          <cell r="AD2323">
            <v>23500</v>
          </cell>
        </row>
        <row r="2324">
          <cell r="W2324" t="str">
            <v>QBLAS02</v>
          </cell>
          <cell r="AD2324">
            <v>23500</v>
          </cell>
        </row>
        <row r="2325">
          <cell r="W2325" t="str">
            <v>QBLAS02</v>
          </cell>
          <cell r="AD2325">
            <v>23500</v>
          </cell>
        </row>
        <row r="2326">
          <cell r="W2326" t="str">
            <v>QBLEW02</v>
          </cell>
          <cell r="AD2326">
            <v>14000</v>
          </cell>
        </row>
        <row r="2327">
          <cell r="W2327" t="str">
            <v>QBLEW02</v>
          </cell>
          <cell r="AD2327">
            <v>14000</v>
          </cell>
        </row>
        <row r="2328">
          <cell r="W2328" t="str">
            <v>QBLEW02</v>
          </cell>
          <cell r="AD2328">
            <v>15000</v>
          </cell>
        </row>
        <row r="2329">
          <cell r="W2329" t="str">
            <v>QBLEW02</v>
          </cell>
          <cell r="AD2329">
            <v>15000</v>
          </cell>
        </row>
        <row r="2330">
          <cell r="W2330" t="str">
            <v>QBLEW02</v>
          </cell>
          <cell r="AD2330">
            <v>15000</v>
          </cell>
        </row>
        <row r="2331">
          <cell r="W2331" t="str">
            <v>QBLEW02</v>
          </cell>
          <cell r="AD2331">
            <v>15000</v>
          </cell>
        </row>
        <row r="2332">
          <cell r="W2332" t="str">
            <v>QBLEW02</v>
          </cell>
          <cell r="AD2332">
            <v>15000</v>
          </cell>
        </row>
        <row r="2333">
          <cell r="W2333" t="str">
            <v>QBLEW02</v>
          </cell>
          <cell r="AD2333">
            <v>15000</v>
          </cell>
        </row>
        <row r="2334">
          <cell r="W2334" t="str">
            <v>QBLEW02</v>
          </cell>
          <cell r="AD2334">
            <v>15000</v>
          </cell>
        </row>
        <row r="2335">
          <cell r="W2335" t="str">
            <v>QBLEW02</v>
          </cell>
          <cell r="AD2335">
            <v>15000</v>
          </cell>
        </row>
        <row r="2336">
          <cell r="W2336" t="str">
            <v>QBLUE01</v>
          </cell>
          <cell r="AD2336">
            <v>85000</v>
          </cell>
        </row>
        <row r="2337">
          <cell r="W2337" t="str">
            <v>QBLUE01</v>
          </cell>
          <cell r="AD2337">
            <v>85000</v>
          </cell>
        </row>
        <row r="2338">
          <cell r="W2338" t="str">
            <v>QBLUE01</v>
          </cell>
          <cell r="AD2338">
            <v>85000</v>
          </cell>
        </row>
        <row r="2339">
          <cell r="W2339" t="str">
            <v>QBLUE01</v>
          </cell>
          <cell r="AD2339">
            <v>85000</v>
          </cell>
        </row>
        <row r="2340">
          <cell r="W2340" t="str">
            <v>QBLUE01</v>
          </cell>
          <cell r="AD2340">
            <v>85000</v>
          </cell>
        </row>
        <row r="2341">
          <cell r="W2341" t="str">
            <v>QBLUE01</v>
          </cell>
          <cell r="AD2341">
            <v>85000</v>
          </cell>
        </row>
        <row r="2342">
          <cell r="W2342" t="str">
            <v>QBLUE01</v>
          </cell>
          <cell r="AD2342">
            <v>85000</v>
          </cell>
        </row>
        <row r="2343">
          <cell r="W2343" t="str">
            <v>QBLUE01</v>
          </cell>
          <cell r="AD2343">
            <v>85000</v>
          </cell>
        </row>
        <row r="2344">
          <cell r="W2344" t="str">
            <v>QBLUE01</v>
          </cell>
          <cell r="AD2344">
            <v>90000</v>
          </cell>
        </row>
        <row r="2345">
          <cell r="W2345" t="str">
            <v>QBLUE01</v>
          </cell>
          <cell r="AD2345">
            <v>90000</v>
          </cell>
        </row>
        <row r="2346">
          <cell r="W2346" t="str">
            <v>QBLUE01</v>
          </cell>
          <cell r="AD2346">
            <v>90000</v>
          </cell>
        </row>
        <row r="2347">
          <cell r="W2347" t="str">
            <v>QBLUE01</v>
          </cell>
          <cell r="AD2347">
            <v>90000</v>
          </cell>
        </row>
        <row r="2348">
          <cell r="W2348" t="str">
            <v>QBLUE01</v>
          </cell>
          <cell r="AD2348">
            <v>90000</v>
          </cell>
        </row>
        <row r="2349">
          <cell r="W2349" t="str">
            <v>QBM E01</v>
          </cell>
          <cell r="AD2349">
            <v>32500</v>
          </cell>
        </row>
        <row r="2350">
          <cell r="W2350" t="str">
            <v>QBM E01</v>
          </cell>
          <cell r="AD2350">
            <v>32500</v>
          </cell>
        </row>
        <row r="2351">
          <cell r="W2351" t="str">
            <v>QBM E01</v>
          </cell>
          <cell r="AD2351">
            <v>32500</v>
          </cell>
        </row>
        <row r="2352">
          <cell r="W2352" t="str">
            <v>QBM E01</v>
          </cell>
          <cell r="AD2352">
            <v>32500</v>
          </cell>
        </row>
        <row r="2353">
          <cell r="W2353" t="str">
            <v>QBM E01</v>
          </cell>
          <cell r="AD2353">
            <v>32500</v>
          </cell>
        </row>
        <row r="2354">
          <cell r="W2354" t="str">
            <v>QBM E01</v>
          </cell>
          <cell r="AD2354">
            <v>32500</v>
          </cell>
        </row>
        <row r="2355">
          <cell r="W2355" t="str">
            <v>QBM E01</v>
          </cell>
          <cell r="AD2355">
            <v>32500</v>
          </cell>
        </row>
        <row r="2356">
          <cell r="W2356" t="str">
            <v>QBM E01</v>
          </cell>
          <cell r="AD2356">
            <v>32500</v>
          </cell>
        </row>
        <row r="2357">
          <cell r="W2357" t="str">
            <v>QBM E01</v>
          </cell>
          <cell r="AD2357">
            <v>32500</v>
          </cell>
        </row>
        <row r="2358">
          <cell r="W2358" t="str">
            <v>QBM E01</v>
          </cell>
          <cell r="AD2358">
            <v>32500</v>
          </cell>
        </row>
        <row r="2359">
          <cell r="W2359" t="str">
            <v>QBM E01</v>
          </cell>
          <cell r="AD2359">
            <v>33000</v>
          </cell>
        </row>
        <row r="2360">
          <cell r="W2360" t="str">
            <v>QBM E01</v>
          </cell>
          <cell r="AD2360">
            <v>33000</v>
          </cell>
        </row>
        <row r="2361">
          <cell r="W2361" t="str">
            <v>QBM E01</v>
          </cell>
          <cell r="AD2361">
            <v>33000</v>
          </cell>
        </row>
        <row r="2362">
          <cell r="W2362" t="str">
            <v>QBM E01</v>
          </cell>
          <cell r="AD2362">
            <v>33000</v>
          </cell>
        </row>
        <row r="2363">
          <cell r="W2363" t="str">
            <v>QBM E01</v>
          </cell>
          <cell r="AD2363">
            <v>33000</v>
          </cell>
        </row>
        <row r="2364">
          <cell r="W2364" t="str">
            <v>QBM E01</v>
          </cell>
          <cell r="AD2364">
            <v>33000</v>
          </cell>
        </row>
        <row r="2365">
          <cell r="W2365" t="str">
            <v>QBM E01</v>
          </cell>
          <cell r="AD2365">
            <v>33000</v>
          </cell>
        </row>
        <row r="2366">
          <cell r="W2366" t="str">
            <v>QBM E01</v>
          </cell>
          <cell r="AD2366">
            <v>40000</v>
          </cell>
        </row>
        <row r="2367">
          <cell r="W2367" t="str">
            <v>QBM E01</v>
          </cell>
          <cell r="AD2367">
            <v>45000</v>
          </cell>
        </row>
        <row r="2368">
          <cell r="W2368" t="str">
            <v>QBM L01</v>
          </cell>
          <cell r="AD2368">
            <v>65500</v>
          </cell>
        </row>
        <row r="2369">
          <cell r="W2369" t="str">
            <v>QBM L01</v>
          </cell>
          <cell r="AD2369">
            <v>67000</v>
          </cell>
        </row>
        <row r="2370">
          <cell r="W2370" t="str">
            <v>QBM L01</v>
          </cell>
          <cell r="AD2370">
            <v>67000</v>
          </cell>
        </row>
        <row r="2371">
          <cell r="W2371" t="str">
            <v>QBOOM03</v>
          </cell>
          <cell r="AD2371">
            <v>65000</v>
          </cell>
        </row>
        <row r="2372">
          <cell r="W2372" t="str">
            <v>QBOOM03</v>
          </cell>
          <cell r="AD2372">
            <v>65000</v>
          </cell>
        </row>
        <row r="2373">
          <cell r="W2373" t="str">
            <v>QBOOM03</v>
          </cell>
          <cell r="AD2373">
            <v>68000</v>
          </cell>
        </row>
        <row r="2374">
          <cell r="W2374" t="str">
            <v>QBOOM03</v>
          </cell>
          <cell r="AD2374">
            <v>68000</v>
          </cell>
        </row>
        <row r="2375">
          <cell r="W2375" t="str">
            <v>QBOOM03</v>
          </cell>
          <cell r="AD2375">
            <v>69000</v>
          </cell>
        </row>
        <row r="2376">
          <cell r="W2376" t="str">
            <v>QBOOM03</v>
          </cell>
          <cell r="AD2376">
            <v>69000</v>
          </cell>
        </row>
        <row r="2377">
          <cell r="W2377" t="str">
            <v>QBOOM03</v>
          </cell>
          <cell r="AD2377">
            <v>69000</v>
          </cell>
        </row>
        <row r="2378">
          <cell r="W2378" t="str">
            <v>QBOOM03</v>
          </cell>
          <cell r="AD2378">
            <v>69000</v>
          </cell>
        </row>
        <row r="2379">
          <cell r="W2379" t="str">
            <v>QBOOM03</v>
          </cell>
          <cell r="AD2379">
            <v>69000</v>
          </cell>
        </row>
        <row r="2380">
          <cell r="W2380" t="str">
            <v>QBOOM03</v>
          </cell>
          <cell r="AD2380">
            <v>69000</v>
          </cell>
        </row>
        <row r="2381">
          <cell r="W2381" t="str">
            <v>QBOOM03</v>
          </cell>
          <cell r="AD2381">
            <v>69500</v>
          </cell>
        </row>
        <row r="2382">
          <cell r="W2382" t="str">
            <v>QBOOM03</v>
          </cell>
          <cell r="AD2382">
            <v>70000</v>
          </cell>
        </row>
        <row r="2383">
          <cell r="W2383" t="str">
            <v>QBOOM03</v>
          </cell>
          <cell r="AD2383">
            <v>70000</v>
          </cell>
        </row>
        <row r="2384">
          <cell r="W2384" t="str">
            <v>QBOOM03</v>
          </cell>
          <cell r="AD2384">
            <v>70000</v>
          </cell>
        </row>
        <row r="2385">
          <cell r="W2385" t="str">
            <v>QBOOM03</v>
          </cell>
          <cell r="AD2385">
            <v>70000</v>
          </cell>
        </row>
        <row r="2386">
          <cell r="W2386" t="str">
            <v>QBOOM03</v>
          </cell>
          <cell r="AD2386">
            <v>70000</v>
          </cell>
        </row>
        <row r="2387">
          <cell r="W2387" t="str">
            <v>QBOOM03</v>
          </cell>
          <cell r="AD2387">
            <v>70000</v>
          </cell>
        </row>
        <row r="2388">
          <cell r="W2388" t="str">
            <v>QBOOM03</v>
          </cell>
          <cell r="AD2388">
            <v>70000</v>
          </cell>
        </row>
        <row r="2389">
          <cell r="W2389" t="str">
            <v>QBOOM03</v>
          </cell>
          <cell r="AD2389">
            <v>70000</v>
          </cell>
        </row>
        <row r="2390">
          <cell r="W2390" t="str">
            <v>QBOOM03</v>
          </cell>
          <cell r="AD2390">
            <v>70000</v>
          </cell>
        </row>
        <row r="2391">
          <cell r="W2391" t="str">
            <v>QBORA01</v>
          </cell>
          <cell r="AD2391">
            <v>59000</v>
          </cell>
        </row>
        <row r="2392">
          <cell r="W2392" t="str">
            <v>QBORA01</v>
          </cell>
          <cell r="AD2392">
            <v>68000</v>
          </cell>
        </row>
        <row r="2393">
          <cell r="W2393" t="str">
            <v>QBORA03</v>
          </cell>
          <cell r="AD2393">
            <v>189454.55</v>
          </cell>
        </row>
        <row r="2394">
          <cell r="W2394" t="str">
            <v>QBORA03</v>
          </cell>
          <cell r="AD2394">
            <v>189454.55</v>
          </cell>
        </row>
        <row r="2395">
          <cell r="W2395" t="str">
            <v>QBORO01</v>
          </cell>
          <cell r="AD2395">
            <v>6250</v>
          </cell>
        </row>
        <row r="2396">
          <cell r="W2396" t="str">
            <v>QBORO01</v>
          </cell>
          <cell r="AD2396">
            <v>6500</v>
          </cell>
        </row>
        <row r="2397">
          <cell r="W2397" t="str">
            <v>QBORO01</v>
          </cell>
          <cell r="AD2397">
            <v>6500</v>
          </cell>
        </row>
        <row r="2398">
          <cell r="W2398" t="str">
            <v>QBORO01</v>
          </cell>
          <cell r="AD2398">
            <v>6500</v>
          </cell>
        </row>
        <row r="2399">
          <cell r="W2399" t="str">
            <v>QBORO01</v>
          </cell>
          <cell r="AD2399">
            <v>6500</v>
          </cell>
        </row>
        <row r="2400">
          <cell r="W2400" t="str">
            <v>QBORO01</v>
          </cell>
          <cell r="AD2400">
            <v>6500</v>
          </cell>
        </row>
        <row r="2401">
          <cell r="W2401" t="str">
            <v>QBORO01</v>
          </cell>
          <cell r="AD2401">
            <v>6500</v>
          </cell>
        </row>
        <row r="2402">
          <cell r="W2402" t="str">
            <v>QBORO01</v>
          </cell>
          <cell r="AD2402">
            <v>6500</v>
          </cell>
        </row>
        <row r="2403">
          <cell r="W2403" t="str">
            <v>QBORO01</v>
          </cell>
          <cell r="AD2403">
            <v>6500</v>
          </cell>
        </row>
        <row r="2404">
          <cell r="W2404" t="str">
            <v>QBRAP02</v>
          </cell>
          <cell r="AD2404">
            <v>49000</v>
          </cell>
        </row>
        <row r="2405">
          <cell r="W2405" t="str">
            <v>QBRAP01</v>
          </cell>
          <cell r="AD2405">
            <v>15000</v>
          </cell>
        </row>
        <row r="2406">
          <cell r="W2406" t="str">
            <v>QBRAP01</v>
          </cell>
          <cell r="AD2406">
            <v>23500</v>
          </cell>
        </row>
        <row r="2407">
          <cell r="W2407" t="str">
            <v>QBRAP01</v>
          </cell>
          <cell r="AD2407">
            <v>23500</v>
          </cell>
        </row>
        <row r="2408">
          <cell r="W2408" t="str">
            <v>QBRAP01</v>
          </cell>
          <cell r="AD2408">
            <v>23500</v>
          </cell>
        </row>
        <row r="2409">
          <cell r="W2409" t="str">
            <v>QBRAP01</v>
          </cell>
          <cell r="AD2409">
            <v>23500</v>
          </cell>
        </row>
        <row r="2410">
          <cell r="W2410" t="str">
            <v>QBRAP01</v>
          </cell>
          <cell r="AD2410">
            <v>23500</v>
          </cell>
        </row>
        <row r="2411">
          <cell r="W2411" t="str">
            <v>QBRAP01</v>
          </cell>
          <cell r="AD2411">
            <v>23500</v>
          </cell>
        </row>
        <row r="2412">
          <cell r="W2412" t="str">
            <v>QBRAP01</v>
          </cell>
          <cell r="AD2412">
            <v>23500</v>
          </cell>
        </row>
        <row r="2413">
          <cell r="W2413" t="str">
            <v>QBRAP01</v>
          </cell>
          <cell r="AD2413">
            <v>23500</v>
          </cell>
        </row>
        <row r="2414">
          <cell r="W2414" t="str">
            <v>QBRAP01</v>
          </cell>
          <cell r="AD2414">
            <v>23500</v>
          </cell>
        </row>
        <row r="2415">
          <cell r="W2415" t="str">
            <v>QBRAP01</v>
          </cell>
          <cell r="AD2415">
            <v>23500</v>
          </cell>
        </row>
        <row r="2416">
          <cell r="W2416" t="str">
            <v>QBRAP01</v>
          </cell>
          <cell r="AD2416">
            <v>23500</v>
          </cell>
        </row>
        <row r="2417">
          <cell r="W2417" t="str">
            <v>QBRAP01</v>
          </cell>
          <cell r="AD2417">
            <v>23500</v>
          </cell>
        </row>
        <row r="2418">
          <cell r="W2418" t="str">
            <v>QBRAP01</v>
          </cell>
          <cell r="AD2418">
            <v>23500</v>
          </cell>
        </row>
        <row r="2419">
          <cell r="W2419" t="str">
            <v>QBRAP01</v>
          </cell>
          <cell r="AD2419">
            <v>23500</v>
          </cell>
        </row>
        <row r="2420">
          <cell r="W2420" t="str">
            <v>QBRAP01</v>
          </cell>
          <cell r="AD2420">
            <v>23500</v>
          </cell>
        </row>
        <row r="2421">
          <cell r="W2421" t="str">
            <v>QBRAP01</v>
          </cell>
          <cell r="AD2421">
            <v>23500</v>
          </cell>
        </row>
        <row r="2422">
          <cell r="W2422" t="str">
            <v>QBRAP01</v>
          </cell>
          <cell r="AD2422">
            <v>23500</v>
          </cell>
        </row>
        <row r="2423">
          <cell r="W2423" t="str">
            <v>QBRAP01</v>
          </cell>
          <cell r="AD2423">
            <v>24000</v>
          </cell>
        </row>
        <row r="2424">
          <cell r="W2424" t="str">
            <v>QBRAP01</v>
          </cell>
          <cell r="AD2424">
            <v>24000</v>
          </cell>
        </row>
        <row r="2425">
          <cell r="W2425" t="str">
            <v>QBRAP01</v>
          </cell>
          <cell r="AD2425">
            <v>24000</v>
          </cell>
        </row>
        <row r="2426">
          <cell r="W2426" t="str">
            <v>QBRAP01</v>
          </cell>
          <cell r="AD2426">
            <v>25000</v>
          </cell>
        </row>
        <row r="2427">
          <cell r="W2427" t="str">
            <v>QBRAS01</v>
          </cell>
          <cell r="AD2427">
            <v>45000</v>
          </cell>
        </row>
        <row r="2428">
          <cell r="W2428" t="str">
            <v>QBRAS01</v>
          </cell>
          <cell r="AD2428">
            <v>51000</v>
          </cell>
        </row>
        <row r="2429">
          <cell r="W2429" t="str">
            <v>QBRAS01</v>
          </cell>
          <cell r="AD2429">
            <v>51000</v>
          </cell>
        </row>
        <row r="2430">
          <cell r="W2430" t="str">
            <v>QBRAS01</v>
          </cell>
          <cell r="AD2430">
            <v>51000</v>
          </cell>
        </row>
        <row r="2431">
          <cell r="W2431" t="str">
            <v>QBRAS02</v>
          </cell>
          <cell r="AD2431">
            <v>65000</v>
          </cell>
        </row>
        <row r="2432">
          <cell r="W2432" t="str">
            <v>QBRAS02</v>
          </cell>
          <cell r="AD2432">
            <v>65000</v>
          </cell>
        </row>
        <row r="2433">
          <cell r="W2433" t="str">
            <v>QBRAS02</v>
          </cell>
          <cell r="AD2433">
            <v>65000</v>
          </cell>
        </row>
        <row r="2434">
          <cell r="W2434" t="str">
            <v>QBRAS03</v>
          </cell>
          <cell r="AD2434">
            <v>18000</v>
          </cell>
        </row>
        <row r="2435">
          <cell r="W2435" t="str">
            <v>QBRAV01</v>
          </cell>
          <cell r="AD2435">
            <v>940000</v>
          </cell>
        </row>
        <row r="2436">
          <cell r="W2436" t="str">
            <v>QBRAV01</v>
          </cell>
          <cell r="AD2436">
            <v>960000</v>
          </cell>
        </row>
        <row r="2437">
          <cell r="W2437" t="str">
            <v>QBRAV01</v>
          </cell>
          <cell r="AD2437">
            <v>960000</v>
          </cell>
        </row>
        <row r="2438">
          <cell r="W2438" t="str">
            <v>QBRAV05</v>
          </cell>
          <cell r="AD2438">
            <v>45000</v>
          </cell>
        </row>
        <row r="2439">
          <cell r="W2439" t="str">
            <v>QBRAV05</v>
          </cell>
          <cell r="AD2439">
            <v>49000</v>
          </cell>
        </row>
        <row r="2440">
          <cell r="W2440" t="str">
            <v>QBRAV05</v>
          </cell>
          <cell r="AD2440">
            <v>49000</v>
          </cell>
        </row>
        <row r="2441">
          <cell r="W2441" t="str">
            <v>QBRAV05</v>
          </cell>
          <cell r="AD2441">
            <v>50000</v>
          </cell>
        </row>
        <row r="2442">
          <cell r="W2442" t="str">
            <v>QBRAV05</v>
          </cell>
          <cell r="AD2442">
            <v>51000</v>
          </cell>
        </row>
        <row r="2443">
          <cell r="W2443" t="str">
            <v>QBRAV03</v>
          </cell>
          <cell r="AD2443">
            <v>220000</v>
          </cell>
        </row>
        <row r="2444">
          <cell r="W2444" t="str">
            <v>QBRAV03</v>
          </cell>
          <cell r="AD2444">
            <v>235000</v>
          </cell>
        </row>
        <row r="2445">
          <cell r="W2445" t="str">
            <v>QBRAV03</v>
          </cell>
          <cell r="AD2445">
            <v>240000</v>
          </cell>
        </row>
        <row r="2446">
          <cell r="W2446" t="str">
            <v>QBRAV03</v>
          </cell>
          <cell r="AD2446">
            <v>245000</v>
          </cell>
        </row>
        <row r="2447">
          <cell r="W2447" t="str">
            <v>QBRAV03</v>
          </cell>
          <cell r="AD2447">
            <v>245000</v>
          </cell>
        </row>
        <row r="2448">
          <cell r="W2448" t="str">
            <v>QBRAV03</v>
          </cell>
          <cell r="AD2448">
            <v>245000</v>
          </cell>
        </row>
        <row r="2449">
          <cell r="W2449" t="str">
            <v>QBRAV03</v>
          </cell>
          <cell r="AD2449">
            <v>245000</v>
          </cell>
        </row>
        <row r="2450">
          <cell r="W2450" t="str">
            <v>QBRAV03</v>
          </cell>
          <cell r="AD2450">
            <v>250000</v>
          </cell>
        </row>
        <row r="2451">
          <cell r="W2451" t="str">
            <v>QBUNC05</v>
          </cell>
          <cell r="AD2451">
            <v>41000</v>
          </cell>
        </row>
        <row r="2452">
          <cell r="W2452" t="str">
            <v>QBUNC05</v>
          </cell>
          <cell r="AD2452">
            <v>41000</v>
          </cell>
        </row>
        <row r="2453">
          <cell r="W2453" t="str">
            <v>QBUNC05</v>
          </cell>
          <cell r="AD2453">
            <v>42000</v>
          </cell>
        </row>
        <row r="2454">
          <cell r="W2454" t="str">
            <v>QBUNC01</v>
          </cell>
          <cell r="AD2454">
            <v>37000</v>
          </cell>
        </row>
        <row r="2455">
          <cell r="W2455" t="str">
            <v>QBUNC01</v>
          </cell>
          <cell r="AD2455">
            <v>37000</v>
          </cell>
        </row>
        <row r="2456">
          <cell r="W2456" t="str">
            <v>QBUNC01</v>
          </cell>
          <cell r="AD2456">
            <v>37500</v>
          </cell>
        </row>
        <row r="2457">
          <cell r="W2457" t="str">
            <v>QBUNC01</v>
          </cell>
          <cell r="AD2457">
            <v>37500</v>
          </cell>
        </row>
        <row r="2458">
          <cell r="W2458" t="str">
            <v>QBUNC01</v>
          </cell>
          <cell r="AD2458">
            <v>37500</v>
          </cell>
        </row>
        <row r="2459">
          <cell r="W2459" t="str">
            <v>QBUNC01</v>
          </cell>
          <cell r="AD2459">
            <v>37500</v>
          </cell>
        </row>
        <row r="2460">
          <cell r="W2460" t="str">
            <v>QBUNC01</v>
          </cell>
          <cell r="AD2460">
            <v>37500</v>
          </cell>
        </row>
        <row r="2461">
          <cell r="W2461" t="str">
            <v>QBUNC01</v>
          </cell>
          <cell r="AD2461">
            <v>37500</v>
          </cell>
        </row>
        <row r="2462">
          <cell r="W2462" t="str">
            <v>QBUNC01</v>
          </cell>
          <cell r="AD2462">
            <v>37500</v>
          </cell>
        </row>
        <row r="2463">
          <cell r="W2463" t="str">
            <v>QBUNC01</v>
          </cell>
          <cell r="AD2463">
            <v>40000</v>
          </cell>
        </row>
        <row r="2464">
          <cell r="W2464" t="str">
            <v>QBUNC07</v>
          </cell>
          <cell r="AD2464">
            <v>12000</v>
          </cell>
        </row>
        <row r="2465">
          <cell r="W2465" t="str">
            <v>QCABE41</v>
          </cell>
          <cell r="AD2465">
            <v>140000</v>
          </cell>
        </row>
        <row r="2466">
          <cell r="W2466" t="str">
            <v>QCABE41</v>
          </cell>
          <cell r="AD2466">
            <v>140000</v>
          </cell>
        </row>
        <row r="2467">
          <cell r="W2467" t="str">
            <v>QCABE41</v>
          </cell>
          <cell r="AD2467">
            <v>145000</v>
          </cell>
        </row>
        <row r="2468">
          <cell r="W2468" t="str">
            <v>QCABE41</v>
          </cell>
          <cell r="AD2468">
            <v>145000</v>
          </cell>
        </row>
        <row r="2469">
          <cell r="W2469" t="str">
            <v>QCABE41</v>
          </cell>
          <cell r="AD2469">
            <v>145000</v>
          </cell>
        </row>
        <row r="2470">
          <cell r="W2470" t="str">
            <v>QCABE41</v>
          </cell>
          <cell r="AD2470">
            <v>145000</v>
          </cell>
        </row>
        <row r="2471">
          <cell r="W2471" t="str">
            <v>QCABE41</v>
          </cell>
          <cell r="AD2471">
            <v>145000</v>
          </cell>
        </row>
        <row r="2472">
          <cell r="W2472" t="str">
            <v>QCABE41</v>
          </cell>
          <cell r="AD2472">
            <v>145000</v>
          </cell>
        </row>
        <row r="2473">
          <cell r="W2473" t="str">
            <v>QCABE41</v>
          </cell>
          <cell r="AD2473">
            <v>145000</v>
          </cell>
        </row>
        <row r="2474">
          <cell r="W2474" t="str">
            <v>QCABE41</v>
          </cell>
          <cell r="AD2474">
            <v>145000</v>
          </cell>
        </row>
        <row r="2475">
          <cell r="W2475" t="str">
            <v>QCABE41</v>
          </cell>
          <cell r="AD2475">
            <v>145000</v>
          </cell>
        </row>
        <row r="2476">
          <cell r="W2476" t="str">
            <v>QCABE41</v>
          </cell>
          <cell r="AD2476">
            <v>155000</v>
          </cell>
        </row>
        <row r="2477">
          <cell r="W2477" t="str">
            <v>QCABE39</v>
          </cell>
          <cell r="AD2477">
            <v>90000</v>
          </cell>
        </row>
        <row r="2478">
          <cell r="W2478" t="str">
            <v>QCABE39</v>
          </cell>
          <cell r="AD2478">
            <v>90000</v>
          </cell>
        </row>
        <row r="2479">
          <cell r="W2479" t="str">
            <v>QCABE40</v>
          </cell>
          <cell r="AD2479">
            <v>84000</v>
          </cell>
        </row>
        <row r="2480">
          <cell r="W2480" t="str">
            <v>QCABE46</v>
          </cell>
          <cell r="AD2480">
            <v>25000</v>
          </cell>
        </row>
        <row r="2481">
          <cell r="W2481" t="str">
            <v>QCABE46</v>
          </cell>
          <cell r="AD2481">
            <v>25000</v>
          </cell>
        </row>
        <row r="2482">
          <cell r="W2482" t="str">
            <v>QCABE46</v>
          </cell>
          <cell r="AD2482">
            <v>26000</v>
          </cell>
        </row>
        <row r="2483">
          <cell r="W2483" t="str">
            <v>QCABE46</v>
          </cell>
          <cell r="AD2483">
            <v>26000</v>
          </cell>
        </row>
        <row r="2484">
          <cell r="W2484" t="str">
            <v>QCABE46</v>
          </cell>
          <cell r="AD2484">
            <v>26000</v>
          </cell>
        </row>
        <row r="2485">
          <cell r="W2485" t="str">
            <v>QCABE46</v>
          </cell>
          <cell r="AD2485">
            <v>26000</v>
          </cell>
        </row>
        <row r="2486">
          <cell r="W2486" t="str">
            <v>ACABE55</v>
          </cell>
          <cell r="AD2486">
            <v>26000</v>
          </cell>
        </row>
        <row r="2487">
          <cell r="W2487" t="str">
            <v>ACABE55</v>
          </cell>
          <cell r="AD2487">
            <v>26000</v>
          </cell>
        </row>
        <row r="2488">
          <cell r="W2488" t="str">
            <v>QCABE46</v>
          </cell>
          <cell r="AD2488">
            <v>26000</v>
          </cell>
        </row>
        <row r="2489">
          <cell r="W2489" t="str">
            <v>QCABE46</v>
          </cell>
          <cell r="AD2489">
            <v>26500</v>
          </cell>
        </row>
        <row r="2490">
          <cell r="W2490" t="str">
            <v>QCABE46</v>
          </cell>
          <cell r="AD2490">
            <v>26500</v>
          </cell>
        </row>
        <row r="2491">
          <cell r="W2491" t="str">
            <v>QCABE21</v>
          </cell>
          <cell r="AD2491">
            <v>126000</v>
          </cell>
        </row>
        <row r="2492">
          <cell r="W2492" t="str">
            <v>QCABE21</v>
          </cell>
          <cell r="AD2492">
            <v>126000</v>
          </cell>
        </row>
        <row r="2493">
          <cell r="W2493" t="str">
            <v>QCABE21</v>
          </cell>
          <cell r="AD2493">
            <v>127000</v>
          </cell>
        </row>
        <row r="2494">
          <cell r="W2494" t="str">
            <v>QCABE21</v>
          </cell>
          <cell r="AD2494">
            <v>127500</v>
          </cell>
        </row>
        <row r="2495">
          <cell r="W2495" t="str">
            <v>QCABE21</v>
          </cell>
          <cell r="AD2495">
            <v>127500</v>
          </cell>
        </row>
        <row r="2496">
          <cell r="W2496" t="str">
            <v>QCABE21</v>
          </cell>
          <cell r="AD2496">
            <v>127500</v>
          </cell>
        </row>
        <row r="2497">
          <cell r="W2497" t="str">
            <v>QCABE21</v>
          </cell>
          <cell r="AD2497">
            <v>127500</v>
          </cell>
        </row>
        <row r="2498">
          <cell r="W2498" t="str">
            <v>QCABE21</v>
          </cell>
          <cell r="AD2498">
            <v>127500</v>
          </cell>
        </row>
        <row r="2499">
          <cell r="W2499" t="str">
            <v>QCABE21</v>
          </cell>
          <cell r="AD2499">
            <v>127500</v>
          </cell>
        </row>
        <row r="2500">
          <cell r="W2500" t="str">
            <v>QCABE21</v>
          </cell>
          <cell r="AD2500">
            <v>127500</v>
          </cell>
        </row>
        <row r="2501">
          <cell r="W2501" t="str">
            <v>QCABE21</v>
          </cell>
          <cell r="AD2501">
            <v>127500</v>
          </cell>
        </row>
        <row r="2502">
          <cell r="W2502" t="str">
            <v>QCABE21</v>
          </cell>
          <cell r="AD2502">
            <v>127500</v>
          </cell>
        </row>
        <row r="2503">
          <cell r="W2503" t="str">
            <v>QCABE21</v>
          </cell>
          <cell r="AD2503">
            <v>127500</v>
          </cell>
        </row>
        <row r="2504">
          <cell r="W2504" t="str">
            <v>QCABE06</v>
          </cell>
          <cell r="AD2504">
            <v>15000</v>
          </cell>
        </row>
        <row r="2505">
          <cell r="W2505" t="str">
            <v>QCABE06</v>
          </cell>
          <cell r="AD2505">
            <v>15000</v>
          </cell>
        </row>
        <row r="2506">
          <cell r="W2506" t="str">
            <v>QCABE06</v>
          </cell>
          <cell r="AD2506">
            <v>15000</v>
          </cell>
        </row>
        <row r="2507">
          <cell r="W2507" t="str">
            <v>QCABE06</v>
          </cell>
          <cell r="AD2507">
            <v>15000</v>
          </cell>
        </row>
        <row r="2508">
          <cell r="W2508" t="str">
            <v>QCABE06</v>
          </cell>
          <cell r="AD2508">
            <v>15000</v>
          </cell>
        </row>
        <row r="2509">
          <cell r="W2509" t="str">
            <v>QCABE06</v>
          </cell>
          <cell r="AD2509">
            <v>15000</v>
          </cell>
        </row>
        <row r="2510">
          <cell r="W2510" t="str">
            <v>QCABE06</v>
          </cell>
          <cell r="AD2510">
            <v>15000</v>
          </cell>
        </row>
        <row r="2511">
          <cell r="W2511" t="str">
            <v>QCABE06</v>
          </cell>
          <cell r="AD2511">
            <v>15000</v>
          </cell>
        </row>
        <row r="2512">
          <cell r="W2512" t="str">
            <v>QCABE06</v>
          </cell>
          <cell r="AD2512">
            <v>15000</v>
          </cell>
        </row>
        <row r="2513">
          <cell r="W2513" t="str">
            <v>QCABE06</v>
          </cell>
          <cell r="AD2513">
            <v>15000</v>
          </cell>
        </row>
        <row r="2514">
          <cell r="W2514" t="str">
            <v>QCABE06</v>
          </cell>
          <cell r="AD2514">
            <v>15000</v>
          </cell>
        </row>
        <row r="2515">
          <cell r="W2515" t="str">
            <v>QCABE06</v>
          </cell>
          <cell r="AD2515">
            <v>15000</v>
          </cell>
        </row>
        <row r="2516">
          <cell r="W2516" t="str">
            <v>QCABE06</v>
          </cell>
          <cell r="AD2516">
            <v>16000</v>
          </cell>
        </row>
        <row r="2517">
          <cell r="W2517" t="str">
            <v>QCABE07</v>
          </cell>
          <cell r="AD2517">
            <v>105000</v>
          </cell>
        </row>
        <row r="2518">
          <cell r="W2518" t="str">
            <v>QCABE07</v>
          </cell>
          <cell r="AD2518">
            <v>105000</v>
          </cell>
        </row>
        <row r="2519">
          <cell r="W2519" t="str">
            <v>QCABE07</v>
          </cell>
          <cell r="AD2519">
            <v>105000</v>
          </cell>
        </row>
        <row r="2520">
          <cell r="W2520" t="str">
            <v>QCABE07</v>
          </cell>
          <cell r="AD2520">
            <v>107000</v>
          </cell>
        </row>
        <row r="2521">
          <cell r="W2521" t="str">
            <v>QCABE09</v>
          </cell>
          <cell r="AD2521">
            <v>131000</v>
          </cell>
        </row>
        <row r="2522">
          <cell r="W2522" t="str">
            <v>QCABE09</v>
          </cell>
          <cell r="AD2522">
            <v>131000</v>
          </cell>
        </row>
        <row r="2523">
          <cell r="W2523" t="str">
            <v>QCABE09</v>
          </cell>
          <cell r="AD2523">
            <v>132000</v>
          </cell>
        </row>
        <row r="2524">
          <cell r="W2524" t="str">
            <v>QCABE44</v>
          </cell>
          <cell r="AD2524">
            <v>23000</v>
          </cell>
        </row>
        <row r="2525">
          <cell r="W2525" t="str">
            <v>QCABE36</v>
          </cell>
          <cell r="AD2525">
            <v>18000</v>
          </cell>
        </row>
        <row r="2526">
          <cell r="W2526" t="str">
            <v>QCABE36</v>
          </cell>
          <cell r="AD2526">
            <v>21000</v>
          </cell>
        </row>
        <row r="2527">
          <cell r="W2527" t="str">
            <v>QCABE36</v>
          </cell>
          <cell r="AD2527">
            <v>21000</v>
          </cell>
        </row>
        <row r="2528">
          <cell r="W2528" t="str">
            <v>QCABE36</v>
          </cell>
          <cell r="AD2528">
            <v>21000</v>
          </cell>
        </row>
        <row r="2529">
          <cell r="W2529" t="str">
            <v>QCABE36</v>
          </cell>
          <cell r="AD2529">
            <v>22000</v>
          </cell>
        </row>
        <row r="2530">
          <cell r="W2530" t="str">
            <v>QCABE36</v>
          </cell>
          <cell r="AD2530">
            <v>22000</v>
          </cell>
        </row>
        <row r="2531">
          <cell r="W2531" t="str">
            <v>QCABE36</v>
          </cell>
          <cell r="AD2531">
            <v>22000</v>
          </cell>
        </row>
        <row r="2532">
          <cell r="W2532" t="str">
            <v>ACABE15</v>
          </cell>
          <cell r="AD2532">
            <v>17000</v>
          </cell>
        </row>
        <row r="2533">
          <cell r="W2533" t="str">
            <v>QCABE17</v>
          </cell>
          <cell r="AD2533">
            <v>17000</v>
          </cell>
        </row>
        <row r="2534">
          <cell r="W2534" t="str">
            <v>QCABE17</v>
          </cell>
          <cell r="AD2534">
            <v>18000</v>
          </cell>
        </row>
        <row r="2535">
          <cell r="W2535" t="str">
            <v>QCABE17</v>
          </cell>
          <cell r="AD2535">
            <v>18000</v>
          </cell>
        </row>
        <row r="2536">
          <cell r="W2536" t="str">
            <v>ACABE15</v>
          </cell>
          <cell r="AD2536">
            <v>18000</v>
          </cell>
        </row>
        <row r="2537">
          <cell r="W2537" t="str">
            <v>ACABE15</v>
          </cell>
          <cell r="AD2537">
            <v>18000</v>
          </cell>
        </row>
        <row r="2538">
          <cell r="W2538" t="str">
            <v>ACABE15</v>
          </cell>
          <cell r="AD2538">
            <v>18000</v>
          </cell>
        </row>
        <row r="2539">
          <cell r="W2539" t="str">
            <v>ACABE15</v>
          </cell>
          <cell r="AD2539">
            <v>18000</v>
          </cell>
        </row>
        <row r="2540">
          <cell r="W2540" t="str">
            <v>ACABE15</v>
          </cell>
          <cell r="AD2540">
            <v>18000</v>
          </cell>
        </row>
        <row r="2541">
          <cell r="W2541" t="str">
            <v>QCABE17</v>
          </cell>
          <cell r="AD2541">
            <v>18000</v>
          </cell>
        </row>
        <row r="2542">
          <cell r="W2542" t="str">
            <v>QCABE17</v>
          </cell>
          <cell r="AD2542">
            <v>18000</v>
          </cell>
        </row>
        <row r="2543">
          <cell r="W2543" t="str">
            <v>QCABE17</v>
          </cell>
          <cell r="AD2543">
            <v>18000</v>
          </cell>
        </row>
        <row r="2544">
          <cell r="W2544" t="str">
            <v>QCABE17</v>
          </cell>
          <cell r="AD2544">
            <v>18000</v>
          </cell>
        </row>
        <row r="2545">
          <cell r="W2545" t="str">
            <v>QCABR01</v>
          </cell>
          <cell r="AD2545">
            <v>160000</v>
          </cell>
        </row>
        <row r="2546">
          <cell r="W2546" t="str">
            <v>QCABR01</v>
          </cell>
          <cell r="AD2546">
            <v>163500</v>
          </cell>
        </row>
        <row r="2547">
          <cell r="W2547" t="str">
            <v>QCABR01</v>
          </cell>
          <cell r="AD2547">
            <v>163500</v>
          </cell>
        </row>
        <row r="2548">
          <cell r="W2548" t="str">
            <v>QCABR01</v>
          </cell>
          <cell r="AD2548">
            <v>163500</v>
          </cell>
        </row>
        <row r="2549">
          <cell r="W2549" t="str">
            <v>QCABR01</v>
          </cell>
          <cell r="AD2549">
            <v>163500</v>
          </cell>
        </row>
        <row r="2550">
          <cell r="W2550" t="str">
            <v>QCABR01</v>
          </cell>
          <cell r="AD2550">
            <v>163500</v>
          </cell>
        </row>
        <row r="2551">
          <cell r="W2551" t="str">
            <v>QCABR01</v>
          </cell>
          <cell r="AD2551">
            <v>164000</v>
          </cell>
        </row>
        <row r="2552">
          <cell r="W2552" t="str">
            <v>QCABR01</v>
          </cell>
          <cell r="AD2552">
            <v>164000</v>
          </cell>
        </row>
        <row r="2553">
          <cell r="W2553" t="str">
            <v>QCABR01</v>
          </cell>
          <cell r="AD2553">
            <v>164000</v>
          </cell>
        </row>
        <row r="2554">
          <cell r="W2554" t="str">
            <v>QCABR01</v>
          </cell>
          <cell r="AD2554">
            <v>164000</v>
          </cell>
        </row>
        <row r="2555">
          <cell r="W2555" t="str">
            <v>QCABR01</v>
          </cell>
          <cell r="AD2555">
            <v>164000</v>
          </cell>
        </row>
        <row r="2556">
          <cell r="W2556" t="str">
            <v>QCABR01</v>
          </cell>
          <cell r="AD2556">
            <v>164500</v>
          </cell>
        </row>
        <row r="2557">
          <cell r="W2557" t="str">
            <v>QCABR01</v>
          </cell>
          <cell r="AD2557">
            <v>164500</v>
          </cell>
        </row>
        <row r="2558">
          <cell r="W2558" t="str">
            <v>QCABR01</v>
          </cell>
          <cell r="AD2558">
            <v>165000</v>
          </cell>
        </row>
        <row r="2559">
          <cell r="W2559" t="str">
            <v>QCABR01</v>
          </cell>
          <cell r="AD2559">
            <v>165000</v>
          </cell>
        </row>
        <row r="2560">
          <cell r="W2560" t="str">
            <v>QCABR01</v>
          </cell>
          <cell r="AD2560">
            <v>165000</v>
          </cell>
        </row>
        <row r="2561">
          <cell r="W2561" t="str">
            <v>QCABR01</v>
          </cell>
          <cell r="AD2561">
            <v>165000</v>
          </cell>
        </row>
        <row r="2562">
          <cell r="W2562" t="str">
            <v>QCABR01</v>
          </cell>
          <cell r="AD2562">
            <v>165000</v>
          </cell>
        </row>
        <row r="2563">
          <cell r="W2563" t="str">
            <v>QCABR01</v>
          </cell>
          <cell r="AD2563">
            <v>165500</v>
          </cell>
        </row>
        <row r="2564">
          <cell r="W2564" t="str">
            <v>QCABR01</v>
          </cell>
          <cell r="AD2564">
            <v>165500</v>
          </cell>
        </row>
        <row r="2565">
          <cell r="W2565" t="str">
            <v>QCABR01</v>
          </cell>
          <cell r="AD2565">
            <v>167000</v>
          </cell>
        </row>
        <row r="2566">
          <cell r="W2566" t="str">
            <v>QCABR01</v>
          </cell>
          <cell r="AD2566">
            <v>167000</v>
          </cell>
        </row>
        <row r="2567">
          <cell r="W2567" t="str">
            <v>QCABR01</v>
          </cell>
          <cell r="AD2567">
            <v>167000</v>
          </cell>
        </row>
        <row r="2568">
          <cell r="W2568" t="str">
            <v>QCABR01</v>
          </cell>
          <cell r="AD2568">
            <v>167000</v>
          </cell>
        </row>
        <row r="2569">
          <cell r="W2569" t="str">
            <v>QCABR01</v>
          </cell>
          <cell r="AD2569">
            <v>167500</v>
          </cell>
        </row>
        <row r="2570">
          <cell r="W2570" t="str">
            <v>QCABR01</v>
          </cell>
          <cell r="AD2570">
            <v>168000</v>
          </cell>
        </row>
        <row r="2571">
          <cell r="W2571" t="str">
            <v>QCABR01</v>
          </cell>
          <cell r="AD2571">
            <v>168000</v>
          </cell>
        </row>
        <row r="2572">
          <cell r="W2572" t="str">
            <v>QCABR01</v>
          </cell>
          <cell r="AD2572">
            <v>168000</v>
          </cell>
        </row>
        <row r="2573">
          <cell r="W2573" t="str">
            <v>QCABR01</v>
          </cell>
          <cell r="AD2573">
            <v>168000</v>
          </cell>
        </row>
        <row r="2574">
          <cell r="W2574" t="str">
            <v>QCABR01</v>
          </cell>
          <cell r="AD2574">
            <v>184250</v>
          </cell>
        </row>
        <row r="2575">
          <cell r="W2575" t="str">
            <v>QCABR02</v>
          </cell>
          <cell r="AD2575">
            <v>70000</v>
          </cell>
        </row>
        <row r="2576">
          <cell r="W2576" t="str">
            <v>QCABR02</v>
          </cell>
          <cell r="AD2576">
            <v>71000</v>
          </cell>
        </row>
        <row r="2577">
          <cell r="W2577" t="str">
            <v>QCABR02</v>
          </cell>
          <cell r="AD2577">
            <v>71000</v>
          </cell>
        </row>
        <row r="2578">
          <cell r="W2578" t="str">
            <v>QCABR02</v>
          </cell>
          <cell r="AD2578">
            <v>71000</v>
          </cell>
        </row>
        <row r="2579">
          <cell r="W2579" t="str">
            <v>QCABR02</v>
          </cell>
          <cell r="AD2579">
            <v>71000</v>
          </cell>
        </row>
        <row r="2580">
          <cell r="W2580" t="str">
            <v>QCABR02</v>
          </cell>
          <cell r="AD2580">
            <v>71000</v>
          </cell>
        </row>
        <row r="2581">
          <cell r="W2581" t="str">
            <v>QCABR02</v>
          </cell>
          <cell r="AD2581">
            <v>71000</v>
          </cell>
        </row>
        <row r="2582">
          <cell r="W2582" t="str">
            <v>QCABR02</v>
          </cell>
          <cell r="AD2582">
            <v>71500</v>
          </cell>
        </row>
        <row r="2583">
          <cell r="W2583" t="str">
            <v>QCABR02</v>
          </cell>
          <cell r="AD2583">
            <v>71500</v>
          </cell>
        </row>
        <row r="2584">
          <cell r="W2584" t="str">
            <v>QCABR02</v>
          </cell>
          <cell r="AD2584">
            <v>71500</v>
          </cell>
        </row>
        <row r="2585">
          <cell r="W2585" t="str">
            <v>QCABR02</v>
          </cell>
          <cell r="AD2585">
            <v>71500</v>
          </cell>
        </row>
        <row r="2586">
          <cell r="W2586" t="str">
            <v>QCABR02</v>
          </cell>
          <cell r="AD2586">
            <v>71500</v>
          </cell>
        </row>
        <row r="2587">
          <cell r="W2587" t="str">
            <v>QCABR02</v>
          </cell>
          <cell r="AD2587">
            <v>71500</v>
          </cell>
        </row>
        <row r="2588">
          <cell r="W2588" t="str">
            <v>QCABR02</v>
          </cell>
          <cell r="AD2588">
            <v>71500</v>
          </cell>
        </row>
        <row r="2589">
          <cell r="W2589" t="str">
            <v>QCABR02</v>
          </cell>
          <cell r="AD2589">
            <v>71500</v>
          </cell>
        </row>
        <row r="2590">
          <cell r="W2590" t="str">
            <v>QCABR02</v>
          </cell>
          <cell r="AD2590">
            <v>72000</v>
          </cell>
        </row>
        <row r="2591">
          <cell r="W2591" t="str">
            <v>QCABR02</v>
          </cell>
          <cell r="AD2591">
            <v>72000</v>
          </cell>
        </row>
        <row r="2592">
          <cell r="W2592" t="str">
            <v>QCABR02</v>
          </cell>
          <cell r="AD2592">
            <v>72000</v>
          </cell>
        </row>
        <row r="2593">
          <cell r="W2593" t="str">
            <v>QCABR02</v>
          </cell>
          <cell r="AD2593">
            <v>72000</v>
          </cell>
        </row>
        <row r="2594">
          <cell r="W2594" t="str">
            <v>QCABR02</v>
          </cell>
          <cell r="AD2594">
            <v>72500</v>
          </cell>
        </row>
        <row r="2595">
          <cell r="W2595" t="str">
            <v>QCABR04</v>
          </cell>
          <cell r="AD2595">
            <v>115000</v>
          </cell>
        </row>
        <row r="2596">
          <cell r="W2596" t="str">
            <v>QCABR04</v>
          </cell>
          <cell r="AD2596">
            <v>115500</v>
          </cell>
        </row>
        <row r="2597">
          <cell r="W2597" t="str">
            <v>QCABR04</v>
          </cell>
          <cell r="AD2597">
            <v>115500</v>
          </cell>
        </row>
        <row r="2598">
          <cell r="W2598" t="str">
            <v>QCABR04</v>
          </cell>
          <cell r="AD2598">
            <v>115500</v>
          </cell>
        </row>
        <row r="2599">
          <cell r="W2599" t="str">
            <v>QCABR04</v>
          </cell>
          <cell r="AD2599">
            <v>115500</v>
          </cell>
        </row>
        <row r="2600">
          <cell r="W2600" t="str">
            <v>ACABR07</v>
          </cell>
          <cell r="AD2600">
            <v>115500</v>
          </cell>
        </row>
        <row r="2601">
          <cell r="W2601" t="str">
            <v>QCABR04</v>
          </cell>
          <cell r="AD2601">
            <v>116000</v>
          </cell>
        </row>
        <row r="2602">
          <cell r="W2602" t="str">
            <v>QCABR04</v>
          </cell>
          <cell r="AD2602">
            <v>116000</v>
          </cell>
        </row>
        <row r="2603">
          <cell r="W2603" t="str">
            <v>QCABR04</v>
          </cell>
          <cell r="AD2603">
            <v>116000</v>
          </cell>
        </row>
        <row r="2604">
          <cell r="W2604" t="str">
            <v>QCABR04</v>
          </cell>
          <cell r="AD2604">
            <v>116000</v>
          </cell>
        </row>
        <row r="2605">
          <cell r="W2605" t="str">
            <v>QCABR04</v>
          </cell>
          <cell r="AD2605">
            <v>116000</v>
          </cell>
        </row>
        <row r="2606">
          <cell r="W2606" t="str">
            <v>QCABR04</v>
          </cell>
          <cell r="AD2606">
            <v>116000</v>
          </cell>
        </row>
        <row r="2607">
          <cell r="W2607" t="str">
            <v>QCABR04</v>
          </cell>
          <cell r="AD2607">
            <v>116000</v>
          </cell>
        </row>
        <row r="2608">
          <cell r="W2608" t="str">
            <v>QCABR04</v>
          </cell>
          <cell r="AD2608">
            <v>116000</v>
          </cell>
        </row>
        <row r="2609">
          <cell r="W2609" t="str">
            <v>QCABR04</v>
          </cell>
          <cell r="AD2609">
            <v>116000</v>
          </cell>
        </row>
        <row r="2610">
          <cell r="W2610" t="str">
            <v>QCABR04</v>
          </cell>
          <cell r="AD2610">
            <v>116000</v>
          </cell>
        </row>
        <row r="2611">
          <cell r="W2611" t="str">
            <v>QCABR04</v>
          </cell>
          <cell r="AD2611">
            <v>116000</v>
          </cell>
        </row>
        <row r="2612">
          <cell r="W2612" t="str">
            <v>QCABR04</v>
          </cell>
          <cell r="AD2612">
            <v>116000</v>
          </cell>
        </row>
        <row r="2613">
          <cell r="W2613" t="str">
            <v>QCABR04</v>
          </cell>
          <cell r="AD2613">
            <v>116000</v>
          </cell>
        </row>
        <row r="2614">
          <cell r="W2614" t="str">
            <v>QCABR04</v>
          </cell>
          <cell r="AD2614">
            <v>116500</v>
          </cell>
        </row>
        <row r="2615">
          <cell r="W2615" t="str">
            <v>QCABR04</v>
          </cell>
          <cell r="AD2615">
            <v>116500</v>
          </cell>
        </row>
        <row r="2616">
          <cell r="W2616" t="str">
            <v>QCABR04</v>
          </cell>
          <cell r="AD2616">
            <v>116500</v>
          </cell>
        </row>
        <row r="2617">
          <cell r="W2617" t="str">
            <v>QCABR04</v>
          </cell>
          <cell r="AD2617">
            <v>116500</v>
          </cell>
        </row>
        <row r="2618">
          <cell r="W2618" t="str">
            <v>QCABR04</v>
          </cell>
          <cell r="AD2618">
            <v>116500</v>
          </cell>
        </row>
        <row r="2619">
          <cell r="W2619" t="str">
            <v>QCABR04</v>
          </cell>
          <cell r="AD2619">
            <v>117000</v>
          </cell>
        </row>
        <row r="2620">
          <cell r="W2620" t="str">
            <v>QCABR04</v>
          </cell>
          <cell r="AD2620">
            <v>117000</v>
          </cell>
        </row>
        <row r="2621">
          <cell r="W2621" t="str">
            <v>QCABR04</v>
          </cell>
          <cell r="AD2621">
            <v>117500</v>
          </cell>
        </row>
        <row r="2622">
          <cell r="W2622" t="str">
            <v>QCABR04</v>
          </cell>
          <cell r="AD2622">
            <v>120000</v>
          </cell>
        </row>
        <row r="2623">
          <cell r="W2623" t="str">
            <v>QCABR05</v>
          </cell>
          <cell r="AD2623">
            <v>55000</v>
          </cell>
        </row>
        <row r="2624">
          <cell r="W2624" t="str">
            <v>QCABR05</v>
          </cell>
          <cell r="AD2624">
            <v>55500</v>
          </cell>
        </row>
        <row r="2625">
          <cell r="W2625" t="str">
            <v>QCABR05</v>
          </cell>
          <cell r="AD2625">
            <v>55500</v>
          </cell>
        </row>
        <row r="2626">
          <cell r="W2626" t="str">
            <v>QCABR05</v>
          </cell>
          <cell r="AD2626">
            <v>55500</v>
          </cell>
        </row>
        <row r="2627">
          <cell r="W2627" t="str">
            <v>QCABR05</v>
          </cell>
          <cell r="AD2627">
            <v>56000</v>
          </cell>
        </row>
        <row r="2628">
          <cell r="W2628" t="str">
            <v>QCABR05</v>
          </cell>
          <cell r="AD2628">
            <v>56000</v>
          </cell>
        </row>
        <row r="2629">
          <cell r="W2629" t="str">
            <v>QCABR05</v>
          </cell>
          <cell r="AD2629">
            <v>56000</v>
          </cell>
        </row>
        <row r="2630">
          <cell r="W2630" t="str">
            <v>QCABR05</v>
          </cell>
          <cell r="AD2630">
            <v>56000</v>
          </cell>
        </row>
        <row r="2631">
          <cell r="W2631" t="str">
            <v>QCABR05</v>
          </cell>
          <cell r="AD2631">
            <v>56500</v>
          </cell>
        </row>
        <row r="2632">
          <cell r="W2632" t="str">
            <v>QCABR05</v>
          </cell>
          <cell r="AD2632">
            <v>56500</v>
          </cell>
        </row>
        <row r="2633">
          <cell r="W2633" t="str">
            <v>QCABZ01</v>
          </cell>
          <cell r="AD2633">
            <v>21000</v>
          </cell>
        </row>
        <row r="2634">
          <cell r="W2634" t="str">
            <v>QCALA01</v>
          </cell>
          <cell r="AD2634">
            <v>278000</v>
          </cell>
        </row>
        <row r="2635">
          <cell r="W2635" t="str">
            <v>QCALA01</v>
          </cell>
          <cell r="AD2635">
            <v>278000</v>
          </cell>
        </row>
        <row r="2636">
          <cell r="W2636" t="str">
            <v>QCALA01</v>
          </cell>
          <cell r="AD2636">
            <v>278900</v>
          </cell>
        </row>
        <row r="2637">
          <cell r="W2637" t="str">
            <v>QCALA01</v>
          </cell>
          <cell r="AD2637">
            <v>279000</v>
          </cell>
        </row>
        <row r="2638">
          <cell r="W2638" t="str">
            <v>QCALA01</v>
          </cell>
          <cell r="AD2638">
            <v>279000</v>
          </cell>
        </row>
        <row r="2639">
          <cell r="W2639" t="str">
            <v>QCALA01</v>
          </cell>
          <cell r="AD2639">
            <v>279000</v>
          </cell>
        </row>
        <row r="2640">
          <cell r="W2640" t="str">
            <v>QCALA01</v>
          </cell>
          <cell r="AD2640">
            <v>279000</v>
          </cell>
        </row>
        <row r="2641">
          <cell r="W2641" t="str">
            <v>QCALA01</v>
          </cell>
          <cell r="AD2641">
            <v>279500</v>
          </cell>
        </row>
        <row r="2642">
          <cell r="W2642" t="str">
            <v>QCALA01</v>
          </cell>
          <cell r="AD2642">
            <v>280000</v>
          </cell>
        </row>
        <row r="2643">
          <cell r="W2643" t="str">
            <v>QCALA01</v>
          </cell>
          <cell r="AD2643">
            <v>280000</v>
          </cell>
        </row>
        <row r="2644">
          <cell r="W2644" t="str">
            <v>QCALA01</v>
          </cell>
          <cell r="AD2644">
            <v>290000</v>
          </cell>
        </row>
        <row r="2645">
          <cell r="W2645" t="str">
            <v>QCALA01</v>
          </cell>
          <cell r="AD2645">
            <v>290000</v>
          </cell>
        </row>
        <row r="2646">
          <cell r="W2646" t="str">
            <v>QCALA01</v>
          </cell>
          <cell r="AD2646">
            <v>300000</v>
          </cell>
        </row>
        <row r="2647">
          <cell r="W2647" t="str">
            <v>QCALA01</v>
          </cell>
          <cell r="AD2647">
            <v>300000</v>
          </cell>
        </row>
        <row r="2648">
          <cell r="W2648" t="str">
            <v>QCALA02</v>
          </cell>
          <cell r="AD2648">
            <v>75000</v>
          </cell>
        </row>
        <row r="2649">
          <cell r="W2649" t="str">
            <v>QCALA02</v>
          </cell>
          <cell r="AD2649">
            <v>75000</v>
          </cell>
        </row>
        <row r="2650">
          <cell r="W2650" t="str">
            <v>QCALA02</v>
          </cell>
          <cell r="AD2650">
            <v>75000</v>
          </cell>
        </row>
        <row r="2651">
          <cell r="W2651" t="str">
            <v>QCALA02</v>
          </cell>
          <cell r="AD2651">
            <v>75000</v>
          </cell>
        </row>
        <row r="2652">
          <cell r="W2652" t="str">
            <v>QCALA02</v>
          </cell>
          <cell r="AD2652">
            <v>75000</v>
          </cell>
        </row>
        <row r="2653">
          <cell r="W2653" t="str">
            <v>QCALA02</v>
          </cell>
          <cell r="AD2653">
            <v>75000</v>
          </cell>
        </row>
        <row r="2654">
          <cell r="W2654" t="str">
            <v>QCALA02</v>
          </cell>
          <cell r="AD2654">
            <v>75500</v>
          </cell>
        </row>
        <row r="2655">
          <cell r="W2655" t="str">
            <v>QCALA02</v>
          </cell>
          <cell r="AD2655">
            <v>75500</v>
          </cell>
        </row>
        <row r="2656">
          <cell r="W2656" t="str">
            <v>QCALA02</v>
          </cell>
          <cell r="AD2656">
            <v>75500</v>
          </cell>
        </row>
        <row r="2657">
          <cell r="W2657" t="str">
            <v>QCALA02</v>
          </cell>
          <cell r="AD2657">
            <v>76000</v>
          </cell>
        </row>
        <row r="2658">
          <cell r="W2658" t="str">
            <v>QCALA02</v>
          </cell>
          <cell r="AD2658">
            <v>76000</v>
          </cell>
        </row>
        <row r="2659">
          <cell r="W2659" t="str">
            <v>QCALA02</v>
          </cell>
          <cell r="AD2659">
            <v>76000</v>
          </cell>
        </row>
        <row r="2660">
          <cell r="W2660" t="str">
            <v>QCALA02</v>
          </cell>
          <cell r="AD2660">
            <v>76000</v>
          </cell>
        </row>
        <row r="2661">
          <cell r="W2661" t="str">
            <v>QCALA02</v>
          </cell>
          <cell r="AD2661">
            <v>76000</v>
          </cell>
        </row>
        <row r="2662">
          <cell r="W2662" t="str">
            <v>QCALA02</v>
          </cell>
          <cell r="AD2662">
            <v>76000</v>
          </cell>
        </row>
        <row r="2663">
          <cell r="W2663" t="str">
            <v>QCALA02</v>
          </cell>
          <cell r="AD2663">
            <v>76000</v>
          </cell>
        </row>
        <row r="2664">
          <cell r="W2664" t="str">
            <v>QCALA02</v>
          </cell>
          <cell r="AD2664">
            <v>76000</v>
          </cell>
        </row>
        <row r="2665">
          <cell r="W2665" t="str">
            <v>QCALA02</v>
          </cell>
          <cell r="AD2665">
            <v>76000</v>
          </cell>
        </row>
        <row r="2666">
          <cell r="W2666" t="str">
            <v>QCALA02</v>
          </cell>
          <cell r="AD2666">
            <v>76000</v>
          </cell>
        </row>
        <row r="2667">
          <cell r="W2667" t="str">
            <v>QCALA02</v>
          </cell>
          <cell r="AD2667">
            <v>76000</v>
          </cell>
        </row>
        <row r="2668">
          <cell r="W2668" t="str">
            <v>QCALA02</v>
          </cell>
          <cell r="AD2668">
            <v>76000</v>
          </cell>
        </row>
        <row r="2669">
          <cell r="W2669" t="str">
            <v>QCALA02</v>
          </cell>
          <cell r="AD2669">
            <v>76000</v>
          </cell>
        </row>
        <row r="2670">
          <cell r="W2670" t="str">
            <v>QCALA02</v>
          </cell>
          <cell r="AD2670">
            <v>76000</v>
          </cell>
        </row>
        <row r="2671">
          <cell r="W2671" t="str">
            <v>QCALA02</v>
          </cell>
          <cell r="AD2671">
            <v>76000</v>
          </cell>
        </row>
        <row r="2672">
          <cell r="W2672" t="str">
            <v>QCALA02</v>
          </cell>
          <cell r="AD2672">
            <v>76000</v>
          </cell>
        </row>
        <row r="2673">
          <cell r="W2673" t="str">
            <v>QCALA02</v>
          </cell>
          <cell r="AD2673">
            <v>76000</v>
          </cell>
        </row>
        <row r="2674">
          <cell r="W2674" t="str">
            <v>QCALA02</v>
          </cell>
          <cell r="AD2674">
            <v>76000</v>
          </cell>
        </row>
        <row r="2675">
          <cell r="W2675" t="str">
            <v>QCALA02</v>
          </cell>
          <cell r="AD2675">
            <v>76000</v>
          </cell>
        </row>
        <row r="2676">
          <cell r="W2676" t="str">
            <v>QCALA02</v>
          </cell>
          <cell r="AD2676">
            <v>76000</v>
          </cell>
        </row>
        <row r="2677">
          <cell r="W2677" t="str">
            <v>QCALA02</v>
          </cell>
          <cell r="AD2677">
            <v>76000</v>
          </cell>
        </row>
        <row r="2678">
          <cell r="W2678" t="str">
            <v>QCALA02</v>
          </cell>
          <cell r="AD2678">
            <v>76000</v>
          </cell>
        </row>
        <row r="2679">
          <cell r="W2679" t="str">
            <v>QCALA02</v>
          </cell>
          <cell r="AD2679">
            <v>76000</v>
          </cell>
        </row>
        <row r="2680">
          <cell r="W2680" t="str">
            <v>QCALA02</v>
          </cell>
          <cell r="AD2680">
            <v>76000</v>
          </cell>
        </row>
        <row r="2681">
          <cell r="W2681" t="str">
            <v>QCALA02</v>
          </cell>
          <cell r="AD2681">
            <v>76000</v>
          </cell>
        </row>
        <row r="2682">
          <cell r="W2682" t="str">
            <v>QCALA02</v>
          </cell>
          <cell r="AD2682">
            <v>76000</v>
          </cell>
        </row>
        <row r="2683">
          <cell r="W2683" t="str">
            <v>QCALA02</v>
          </cell>
          <cell r="AD2683">
            <v>76000</v>
          </cell>
        </row>
        <row r="2684">
          <cell r="W2684" t="str">
            <v>QCALA02</v>
          </cell>
          <cell r="AD2684">
            <v>76000</v>
          </cell>
        </row>
        <row r="2685">
          <cell r="W2685" t="str">
            <v>QCALA02</v>
          </cell>
          <cell r="AD2685">
            <v>76000</v>
          </cell>
        </row>
        <row r="2686">
          <cell r="W2686" t="str">
            <v>QCALA02</v>
          </cell>
          <cell r="AD2686">
            <v>76000</v>
          </cell>
        </row>
        <row r="2687">
          <cell r="W2687" t="str">
            <v>QCALA02</v>
          </cell>
          <cell r="AD2687">
            <v>76000</v>
          </cell>
        </row>
        <row r="2688">
          <cell r="W2688" t="str">
            <v>QCALA02</v>
          </cell>
          <cell r="AD2688">
            <v>76000</v>
          </cell>
        </row>
        <row r="2689">
          <cell r="W2689" t="str">
            <v>QCALA02</v>
          </cell>
          <cell r="AD2689">
            <v>76000</v>
          </cell>
        </row>
        <row r="2690">
          <cell r="W2690" t="str">
            <v>QCALA02</v>
          </cell>
          <cell r="AD2690">
            <v>76000</v>
          </cell>
        </row>
        <row r="2691">
          <cell r="W2691" t="str">
            <v>QCALA02</v>
          </cell>
          <cell r="AD2691">
            <v>76000</v>
          </cell>
        </row>
        <row r="2692">
          <cell r="W2692" t="str">
            <v>QCALA02</v>
          </cell>
          <cell r="AD2692">
            <v>76000</v>
          </cell>
        </row>
        <row r="2693">
          <cell r="W2693" t="str">
            <v>QCALA02</v>
          </cell>
          <cell r="AD2693">
            <v>76000</v>
          </cell>
        </row>
        <row r="2694">
          <cell r="W2694" t="str">
            <v>QCALA02</v>
          </cell>
          <cell r="AD2694">
            <v>76000</v>
          </cell>
        </row>
        <row r="2695">
          <cell r="W2695" t="str">
            <v>QCALA02</v>
          </cell>
          <cell r="AD2695">
            <v>76000</v>
          </cell>
        </row>
        <row r="2696">
          <cell r="W2696" t="str">
            <v>QCALA02</v>
          </cell>
          <cell r="AD2696">
            <v>76000</v>
          </cell>
        </row>
        <row r="2697">
          <cell r="W2697" t="str">
            <v>QCALA02</v>
          </cell>
          <cell r="AD2697">
            <v>76000</v>
          </cell>
        </row>
        <row r="2698">
          <cell r="W2698" t="str">
            <v>QCALA02</v>
          </cell>
          <cell r="AD2698">
            <v>76250</v>
          </cell>
        </row>
        <row r="2699">
          <cell r="W2699" t="str">
            <v>QCALA02</v>
          </cell>
          <cell r="AD2699">
            <v>76500</v>
          </cell>
        </row>
        <row r="2700">
          <cell r="W2700" t="str">
            <v>QCALA02</v>
          </cell>
          <cell r="AD2700">
            <v>76500</v>
          </cell>
        </row>
        <row r="2701">
          <cell r="W2701" t="str">
            <v>QCALA02</v>
          </cell>
          <cell r="AD2701">
            <v>76500</v>
          </cell>
        </row>
        <row r="2702">
          <cell r="W2702" t="str">
            <v>QCALA02</v>
          </cell>
          <cell r="AD2702">
            <v>76500</v>
          </cell>
        </row>
        <row r="2703">
          <cell r="W2703" t="str">
            <v>QCALA02</v>
          </cell>
          <cell r="AD2703">
            <v>77000</v>
          </cell>
        </row>
        <row r="2704">
          <cell r="W2704" t="str">
            <v>QCALA02</v>
          </cell>
          <cell r="AD2704">
            <v>77000</v>
          </cell>
        </row>
        <row r="2705">
          <cell r="W2705" t="str">
            <v>QCALA02</v>
          </cell>
          <cell r="AD2705">
            <v>77000</v>
          </cell>
        </row>
        <row r="2706">
          <cell r="W2706" t="str">
            <v>QCALA02</v>
          </cell>
          <cell r="AD2706">
            <v>77000</v>
          </cell>
        </row>
        <row r="2707">
          <cell r="W2707" t="str">
            <v>QCALA02</v>
          </cell>
          <cell r="AD2707">
            <v>77000</v>
          </cell>
        </row>
        <row r="2708">
          <cell r="W2708" t="str">
            <v>QCALA02</v>
          </cell>
          <cell r="AD2708">
            <v>77000</v>
          </cell>
        </row>
        <row r="2709">
          <cell r="W2709" t="str">
            <v>QCALA02</v>
          </cell>
          <cell r="AD2709">
            <v>77000</v>
          </cell>
        </row>
        <row r="2710">
          <cell r="W2710" t="str">
            <v>QCALA02</v>
          </cell>
          <cell r="AD2710">
            <v>77000</v>
          </cell>
        </row>
        <row r="2711">
          <cell r="W2711" t="str">
            <v>QCALA02</v>
          </cell>
          <cell r="AD2711">
            <v>77500</v>
          </cell>
        </row>
        <row r="2712">
          <cell r="W2712" t="str">
            <v>QCALA02</v>
          </cell>
          <cell r="AD2712">
            <v>78000</v>
          </cell>
        </row>
        <row r="2713">
          <cell r="W2713" t="str">
            <v>QCALA02</v>
          </cell>
          <cell r="AD2713">
            <v>78000</v>
          </cell>
        </row>
        <row r="2714">
          <cell r="W2714" t="str">
            <v>QCALA02</v>
          </cell>
          <cell r="AD2714">
            <v>78000</v>
          </cell>
        </row>
        <row r="2715">
          <cell r="W2715" t="str">
            <v>QCALA02</v>
          </cell>
          <cell r="AD2715">
            <v>78000</v>
          </cell>
        </row>
        <row r="2716">
          <cell r="W2716" t="str">
            <v>QCALA02</v>
          </cell>
          <cell r="AD2716">
            <v>78000</v>
          </cell>
        </row>
        <row r="2717">
          <cell r="W2717" t="str">
            <v>QCALA02</v>
          </cell>
          <cell r="AD2717">
            <v>80500</v>
          </cell>
        </row>
        <row r="2718">
          <cell r="W2718" t="str">
            <v>QCALA02</v>
          </cell>
          <cell r="AD2718">
            <v>80500</v>
          </cell>
        </row>
        <row r="2719">
          <cell r="W2719" t="str">
            <v>QCALA02</v>
          </cell>
          <cell r="AD2719">
            <v>80500</v>
          </cell>
        </row>
        <row r="2720">
          <cell r="W2720" t="str">
            <v>QCALA02</v>
          </cell>
          <cell r="AD2720">
            <v>80500</v>
          </cell>
        </row>
        <row r="2721">
          <cell r="W2721" t="str">
            <v>QCALA02</v>
          </cell>
          <cell r="AD2721">
            <v>80500</v>
          </cell>
        </row>
        <row r="2722">
          <cell r="W2722" t="str">
            <v>QCALA02</v>
          </cell>
          <cell r="AD2722">
            <v>80500</v>
          </cell>
        </row>
        <row r="2723">
          <cell r="W2723" t="str">
            <v>QCALA02</v>
          </cell>
          <cell r="AD2723">
            <v>80500</v>
          </cell>
        </row>
        <row r="2724">
          <cell r="W2724" t="str">
            <v>QCALA02</v>
          </cell>
          <cell r="AD2724">
            <v>80500</v>
          </cell>
        </row>
        <row r="2725">
          <cell r="W2725" t="str">
            <v>QCALA02</v>
          </cell>
          <cell r="AD2725">
            <v>80500</v>
          </cell>
        </row>
        <row r="2726">
          <cell r="W2726" t="str">
            <v>QCALA02</v>
          </cell>
          <cell r="AD2726">
            <v>80500</v>
          </cell>
        </row>
        <row r="2727">
          <cell r="W2727" t="str">
            <v>QCALA02</v>
          </cell>
          <cell r="AD2727">
            <v>80500</v>
          </cell>
        </row>
        <row r="2728">
          <cell r="W2728" t="str">
            <v>QCALA02</v>
          </cell>
          <cell r="AD2728">
            <v>80500</v>
          </cell>
        </row>
        <row r="2729">
          <cell r="W2729" t="str">
            <v>QCALA02</v>
          </cell>
          <cell r="AD2729">
            <v>80500</v>
          </cell>
        </row>
        <row r="2730">
          <cell r="W2730" t="str">
            <v>QCALA02</v>
          </cell>
          <cell r="AD2730">
            <v>80500</v>
          </cell>
        </row>
        <row r="2731">
          <cell r="W2731" t="str">
            <v>QCALA02</v>
          </cell>
          <cell r="AD2731">
            <v>80500</v>
          </cell>
        </row>
        <row r="2732">
          <cell r="W2732" t="str">
            <v>QCALA02</v>
          </cell>
          <cell r="AD2732">
            <v>80500</v>
          </cell>
        </row>
        <row r="2733">
          <cell r="W2733" t="str">
            <v>QCALA02</v>
          </cell>
          <cell r="AD2733">
            <v>80500</v>
          </cell>
        </row>
        <row r="2734">
          <cell r="W2734" t="str">
            <v>QCALA02</v>
          </cell>
          <cell r="AD2734">
            <v>80500</v>
          </cell>
        </row>
        <row r="2735">
          <cell r="W2735" t="str">
            <v>QCALA02</v>
          </cell>
          <cell r="AD2735">
            <v>80500</v>
          </cell>
        </row>
        <row r="2736">
          <cell r="W2736" t="str">
            <v>QCALA02</v>
          </cell>
          <cell r="AD2736">
            <v>80500</v>
          </cell>
        </row>
        <row r="2737">
          <cell r="W2737" t="str">
            <v>QCALA03</v>
          </cell>
          <cell r="AD2737">
            <v>144000</v>
          </cell>
        </row>
        <row r="2738">
          <cell r="W2738" t="str">
            <v>QCALA03</v>
          </cell>
          <cell r="AD2738">
            <v>145000</v>
          </cell>
        </row>
        <row r="2739">
          <cell r="W2739" t="str">
            <v>QCALA03</v>
          </cell>
          <cell r="AD2739">
            <v>145750</v>
          </cell>
        </row>
        <row r="2740">
          <cell r="W2740" t="str">
            <v>QCALA03</v>
          </cell>
          <cell r="AD2740">
            <v>145750</v>
          </cell>
        </row>
        <row r="2741">
          <cell r="W2741" t="str">
            <v>QCALA03</v>
          </cell>
          <cell r="AD2741">
            <v>145750</v>
          </cell>
        </row>
        <row r="2742">
          <cell r="W2742" t="str">
            <v>QCALA03</v>
          </cell>
          <cell r="AD2742">
            <v>145750</v>
          </cell>
        </row>
        <row r="2743">
          <cell r="W2743" t="str">
            <v>QCALA03</v>
          </cell>
          <cell r="AD2743">
            <v>145750</v>
          </cell>
        </row>
        <row r="2744">
          <cell r="W2744" t="str">
            <v>QCALA03</v>
          </cell>
          <cell r="AD2744">
            <v>145750</v>
          </cell>
        </row>
        <row r="2745">
          <cell r="W2745" t="str">
            <v>QCALA03</v>
          </cell>
          <cell r="AD2745">
            <v>145800</v>
          </cell>
        </row>
        <row r="2746">
          <cell r="W2746" t="str">
            <v>QCALA03</v>
          </cell>
          <cell r="AD2746">
            <v>146000</v>
          </cell>
        </row>
        <row r="2747">
          <cell r="W2747" t="str">
            <v>QCALA03</v>
          </cell>
          <cell r="AD2747">
            <v>146000</v>
          </cell>
        </row>
        <row r="2748">
          <cell r="W2748" t="str">
            <v>QCALA03</v>
          </cell>
          <cell r="AD2748">
            <v>146000</v>
          </cell>
        </row>
        <row r="2749">
          <cell r="W2749" t="str">
            <v>QCALA03</v>
          </cell>
          <cell r="AD2749">
            <v>146000</v>
          </cell>
        </row>
        <row r="2750">
          <cell r="W2750" t="str">
            <v>QCALA03</v>
          </cell>
          <cell r="AD2750">
            <v>146000</v>
          </cell>
        </row>
        <row r="2751">
          <cell r="W2751" t="str">
            <v>QCALA03</v>
          </cell>
          <cell r="AD2751">
            <v>146000</v>
          </cell>
        </row>
        <row r="2752">
          <cell r="W2752" t="str">
            <v>QCALA03</v>
          </cell>
          <cell r="AD2752">
            <v>146000</v>
          </cell>
        </row>
        <row r="2753">
          <cell r="W2753" t="str">
            <v>QCALA03</v>
          </cell>
          <cell r="AD2753">
            <v>146000</v>
          </cell>
        </row>
        <row r="2754">
          <cell r="W2754" t="str">
            <v>QCALA03</v>
          </cell>
          <cell r="AD2754">
            <v>146000</v>
          </cell>
        </row>
        <row r="2755">
          <cell r="W2755" t="str">
            <v>QCALA03</v>
          </cell>
          <cell r="AD2755">
            <v>146000</v>
          </cell>
        </row>
        <row r="2756">
          <cell r="W2756" t="str">
            <v>QCALA03</v>
          </cell>
          <cell r="AD2756">
            <v>146000</v>
          </cell>
        </row>
        <row r="2757">
          <cell r="W2757" t="str">
            <v>QCALA03</v>
          </cell>
          <cell r="AD2757">
            <v>146000</v>
          </cell>
        </row>
        <row r="2758">
          <cell r="W2758" t="str">
            <v>QCALA03</v>
          </cell>
          <cell r="AD2758">
            <v>146000</v>
          </cell>
        </row>
        <row r="2759">
          <cell r="W2759" t="str">
            <v>QCALA03</v>
          </cell>
          <cell r="AD2759">
            <v>146000</v>
          </cell>
        </row>
        <row r="2760">
          <cell r="W2760" t="str">
            <v>QCALA03</v>
          </cell>
          <cell r="AD2760">
            <v>146000</v>
          </cell>
        </row>
        <row r="2761">
          <cell r="W2761" t="str">
            <v>QCALA03</v>
          </cell>
          <cell r="AD2761">
            <v>146000</v>
          </cell>
        </row>
        <row r="2762">
          <cell r="W2762" t="str">
            <v>QCALA03</v>
          </cell>
          <cell r="AD2762">
            <v>146000</v>
          </cell>
        </row>
        <row r="2763">
          <cell r="W2763" t="str">
            <v>QCALA03</v>
          </cell>
          <cell r="AD2763">
            <v>146000</v>
          </cell>
        </row>
        <row r="2764">
          <cell r="W2764" t="str">
            <v>QCALA03</v>
          </cell>
          <cell r="AD2764">
            <v>146500</v>
          </cell>
        </row>
        <row r="2765">
          <cell r="W2765" t="str">
            <v>QCALA03</v>
          </cell>
          <cell r="AD2765">
            <v>146500</v>
          </cell>
        </row>
        <row r="2766">
          <cell r="W2766" t="str">
            <v>QCALA03</v>
          </cell>
          <cell r="AD2766">
            <v>147000</v>
          </cell>
        </row>
        <row r="2767">
          <cell r="W2767" t="str">
            <v>QCALA03</v>
          </cell>
          <cell r="AD2767">
            <v>147000</v>
          </cell>
        </row>
        <row r="2768">
          <cell r="W2768" t="str">
            <v>QCALA03</v>
          </cell>
          <cell r="AD2768">
            <v>148000</v>
          </cell>
        </row>
        <row r="2769">
          <cell r="W2769" t="str">
            <v>QCALA03</v>
          </cell>
          <cell r="AD2769">
            <v>150000</v>
          </cell>
        </row>
        <row r="2770">
          <cell r="W2770" t="str">
            <v>QCALA03</v>
          </cell>
          <cell r="AD2770">
            <v>154000</v>
          </cell>
        </row>
        <row r="2771">
          <cell r="W2771" t="str">
            <v>QCALA03</v>
          </cell>
          <cell r="AD2771">
            <v>154000</v>
          </cell>
        </row>
        <row r="2772">
          <cell r="W2772" t="str">
            <v>QCALA03</v>
          </cell>
          <cell r="AD2772">
            <v>154000</v>
          </cell>
        </row>
        <row r="2773">
          <cell r="W2773" t="str">
            <v>QCALA03</v>
          </cell>
          <cell r="AD2773">
            <v>154000</v>
          </cell>
        </row>
        <row r="2774">
          <cell r="W2774" t="str">
            <v>QCALA03</v>
          </cell>
          <cell r="AD2774">
            <v>154000</v>
          </cell>
        </row>
        <row r="2775">
          <cell r="W2775" t="str">
            <v>QCALA03</v>
          </cell>
          <cell r="AD2775">
            <v>154000</v>
          </cell>
        </row>
        <row r="2776">
          <cell r="W2776" t="str">
            <v>QCALA03</v>
          </cell>
          <cell r="AD2776">
            <v>154000</v>
          </cell>
        </row>
        <row r="2777">
          <cell r="W2777" t="str">
            <v>QCALA03</v>
          </cell>
          <cell r="AD2777">
            <v>154000</v>
          </cell>
        </row>
        <row r="2778">
          <cell r="W2778" t="str">
            <v>QCALA03</v>
          </cell>
          <cell r="AD2778">
            <v>154000</v>
          </cell>
        </row>
        <row r="2779">
          <cell r="W2779" t="str">
            <v>QCALA03</v>
          </cell>
          <cell r="AD2779">
            <v>154000</v>
          </cell>
        </row>
        <row r="2780">
          <cell r="W2780" t="str">
            <v>QCALA03</v>
          </cell>
          <cell r="AD2780">
            <v>155000</v>
          </cell>
        </row>
        <row r="2781">
          <cell r="W2781" t="str">
            <v>QCALA03</v>
          </cell>
          <cell r="AD2781">
            <v>155000</v>
          </cell>
        </row>
        <row r="2782">
          <cell r="W2782" t="str">
            <v>ACALC01</v>
          </cell>
          <cell r="AD2782">
            <v>1</v>
          </cell>
        </row>
        <row r="2783">
          <cell r="W2783" t="str">
            <v>QCALC02</v>
          </cell>
          <cell r="AD2783">
            <v>15000</v>
          </cell>
        </row>
        <row r="2784">
          <cell r="W2784" t="str">
            <v>QCALC02</v>
          </cell>
          <cell r="AD2784">
            <v>15000</v>
          </cell>
        </row>
        <row r="2785">
          <cell r="W2785" t="str">
            <v>QCALC02</v>
          </cell>
          <cell r="AD2785">
            <v>15000</v>
          </cell>
        </row>
        <row r="2786">
          <cell r="W2786" t="str">
            <v>QCALC02</v>
          </cell>
          <cell r="AD2786">
            <v>15000</v>
          </cell>
        </row>
        <row r="2787">
          <cell r="W2787" t="str">
            <v>QCALC02</v>
          </cell>
          <cell r="AD2787">
            <v>15000</v>
          </cell>
        </row>
        <row r="2788">
          <cell r="W2788" t="str">
            <v>QCALC02</v>
          </cell>
          <cell r="AD2788">
            <v>15000</v>
          </cell>
        </row>
        <row r="2789">
          <cell r="W2789" t="str">
            <v>QCALC02</v>
          </cell>
          <cell r="AD2789">
            <v>15000</v>
          </cell>
        </row>
        <row r="2790">
          <cell r="W2790" t="str">
            <v>QCALC02</v>
          </cell>
          <cell r="AD2790">
            <v>15000</v>
          </cell>
        </row>
        <row r="2791">
          <cell r="W2791" t="str">
            <v>QCALC02</v>
          </cell>
          <cell r="AD2791">
            <v>15000</v>
          </cell>
        </row>
        <row r="2792">
          <cell r="W2792" t="str">
            <v>QCALC02</v>
          </cell>
          <cell r="AD2792">
            <v>15000</v>
          </cell>
        </row>
        <row r="2793">
          <cell r="W2793" t="str">
            <v>QCALC02</v>
          </cell>
          <cell r="AD2793">
            <v>15000</v>
          </cell>
        </row>
        <row r="2794">
          <cell r="W2794" t="str">
            <v>QCALC02</v>
          </cell>
          <cell r="AD2794">
            <v>15000</v>
          </cell>
        </row>
        <row r="2795">
          <cell r="W2795" t="str">
            <v>QCALC02</v>
          </cell>
          <cell r="AD2795">
            <v>15000</v>
          </cell>
        </row>
        <row r="2796">
          <cell r="W2796" t="str">
            <v>QCALC02</v>
          </cell>
          <cell r="AD2796">
            <v>15000</v>
          </cell>
        </row>
        <row r="2797">
          <cell r="W2797" t="str">
            <v>QCALC02</v>
          </cell>
          <cell r="AD2797">
            <v>15000</v>
          </cell>
        </row>
        <row r="2798">
          <cell r="W2798" t="str">
            <v>QCALC02</v>
          </cell>
          <cell r="AD2798">
            <v>15000</v>
          </cell>
        </row>
        <row r="2799">
          <cell r="W2799" t="str">
            <v>QCALC02</v>
          </cell>
          <cell r="AD2799">
            <v>15000</v>
          </cell>
        </row>
        <row r="2800">
          <cell r="W2800" t="str">
            <v>QCALC02</v>
          </cell>
          <cell r="AD2800">
            <v>15000</v>
          </cell>
        </row>
        <row r="2801">
          <cell r="W2801" t="str">
            <v>QCALC02</v>
          </cell>
          <cell r="AD2801">
            <v>16000</v>
          </cell>
        </row>
        <row r="2802">
          <cell r="W2802" t="str">
            <v>QCALC02</v>
          </cell>
          <cell r="AD2802">
            <v>16000</v>
          </cell>
        </row>
        <row r="2803">
          <cell r="W2803" t="str">
            <v>QCALC02</v>
          </cell>
          <cell r="AD2803">
            <v>18000</v>
          </cell>
        </row>
        <row r="2804">
          <cell r="W2804" t="str">
            <v>QCALC02</v>
          </cell>
          <cell r="AD2804">
            <v>18000</v>
          </cell>
        </row>
        <row r="2805">
          <cell r="W2805" t="str">
            <v>QCALC02</v>
          </cell>
          <cell r="AD2805">
            <v>18000</v>
          </cell>
        </row>
        <row r="2806">
          <cell r="W2806" t="str">
            <v>QCALP02</v>
          </cell>
          <cell r="AD2806">
            <v>31000</v>
          </cell>
        </row>
        <row r="2807">
          <cell r="W2807" t="str">
            <v>QCALP02</v>
          </cell>
          <cell r="AD2807">
            <v>31000</v>
          </cell>
        </row>
        <row r="2808">
          <cell r="W2808" t="str">
            <v>QCALP02</v>
          </cell>
          <cell r="AD2808">
            <v>31000</v>
          </cell>
        </row>
        <row r="2809">
          <cell r="W2809" t="str">
            <v>QCALP02</v>
          </cell>
          <cell r="AD2809">
            <v>31000</v>
          </cell>
        </row>
        <row r="2810">
          <cell r="W2810" t="str">
            <v>QCALP02</v>
          </cell>
          <cell r="AD2810">
            <v>31000</v>
          </cell>
        </row>
        <row r="2811">
          <cell r="W2811" t="str">
            <v>QCALP02</v>
          </cell>
          <cell r="AD2811">
            <v>31000</v>
          </cell>
        </row>
        <row r="2812">
          <cell r="W2812" t="str">
            <v>QCALP02</v>
          </cell>
          <cell r="AD2812">
            <v>31000</v>
          </cell>
        </row>
        <row r="2813">
          <cell r="W2813" t="str">
            <v>QCALP02</v>
          </cell>
          <cell r="AD2813">
            <v>31000</v>
          </cell>
        </row>
        <row r="2814">
          <cell r="W2814" t="str">
            <v>QCALP02</v>
          </cell>
          <cell r="AD2814">
            <v>31000</v>
          </cell>
        </row>
        <row r="2815">
          <cell r="W2815" t="str">
            <v>QCALP02</v>
          </cell>
          <cell r="AD2815">
            <v>31000</v>
          </cell>
        </row>
        <row r="2816">
          <cell r="W2816" t="str">
            <v>QCALP02</v>
          </cell>
          <cell r="AD2816">
            <v>31000</v>
          </cell>
        </row>
        <row r="2817">
          <cell r="W2817" t="str">
            <v>QCALP02</v>
          </cell>
          <cell r="AD2817">
            <v>31500</v>
          </cell>
        </row>
        <row r="2818">
          <cell r="W2818" t="str">
            <v>QCALP02</v>
          </cell>
          <cell r="AD2818">
            <v>31500</v>
          </cell>
        </row>
        <row r="2819">
          <cell r="W2819" t="str">
            <v>QCALP02</v>
          </cell>
          <cell r="AD2819">
            <v>31500</v>
          </cell>
        </row>
        <row r="2820">
          <cell r="W2820" t="str">
            <v>QCALP02</v>
          </cell>
          <cell r="AD2820">
            <v>31500</v>
          </cell>
        </row>
        <row r="2821">
          <cell r="W2821" t="str">
            <v>QCALP02</v>
          </cell>
          <cell r="AD2821">
            <v>31500</v>
          </cell>
        </row>
        <row r="2822">
          <cell r="W2822" t="str">
            <v>QCAUL02</v>
          </cell>
          <cell r="AD2822">
            <v>70000</v>
          </cell>
        </row>
        <row r="2823">
          <cell r="W2823" t="str">
            <v>QCAUL02</v>
          </cell>
          <cell r="AD2823">
            <v>75000</v>
          </cell>
        </row>
        <row r="2824">
          <cell r="W2824" t="str">
            <v>QCAUL02</v>
          </cell>
          <cell r="AD2824">
            <v>75000</v>
          </cell>
        </row>
        <row r="2825">
          <cell r="W2825" t="str">
            <v>QCAUL04</v>
          </cell>
          <cell r="AD2825">
            <v>80000</v>
          </cell>
        </row>
        <row r="2826">
          <cell r="W2826" t="str">
            <v>QCAUL03</v>
          </cell>
          <cell r="AD2826">
            <v>107500</v>
          </cell>
        </row>
        <row r="2827">
          <cell r="W2827" t="str">
            <v>QCAUL03</v>
          </cell>
          <cell r="AD2827">
            <v>110000</v>
          </cell>
        </row>
        <row r="2828">
          <cell r="W2828" t="str">
            <v>QCAUL03</v>
          </cell>
          <cell r="AD2828">
            <v>112500</v>
          </cell>
        </row>
        <row r="2829">
          <cell r="W2829" t="str">
            <v>QCAUL03</v>
          </cell>
          <cell r="AD2829">
            <v>112500</v>
          </cell>
        </row>
        <row r="2830">
          <cell r="W2830" t="str">
            <v>QCAUL03</v>
          </cell>
          <cell r="AD2830">
            <v>112500</v>
          </cell>
        </row>
        <row r="2831">
          <cell r="W2831" t="str">
            <v>QCAUL03</v>
          </cell>
          <cell r="AD2831">
            <v>112500</v>
          </cell>
        </row>
        <row r="2832">
          <cell r="W2832" t="str">
            <v>QCAUL03</v>
          </cell>
          <cell r="AD2832">
            <v>112500</v>
          </cell>
        </row>
        <row r="2833">
          <cell r="W2833" t="str">
            <v>QCAUL03</v>
          </cell>
          <cell r="AD2833">
            <v>112500</v>
          </cell>
        </row>
        <row r="2834">
          <cell r="W2834" t="str">
            <v>QCAUL03</v>
          </cell>
          <cell r="AD2834">
            <v>112500</v>
          </cell>
        </row>
        <row r="2835">
          <cell r="W2835" t="str">
            <v>QCAUL03</v>
          </cell>
          <cell r="AD2835">
            <v>112500</v>
          </cell>
        </row>
        <row r="2836">
          <cell r="W2836" t="str">
            <v>QCAUL03</v>
          </cell>
          <cell r="AD2836">
            <v>112500</v>
          </cell>
        </row>
        <row r="2837">
          <cell r="W2837" t="str">
            <v>QCEBA02</v>
          </cell>
          <cell r="AD2837">
            <v>96500</v>
          </cell>
        </row>
        <row r="2838">
          <cell r="W2838" t="str">
            <v>QCEBA02</v>
          </cell>
          <cell r="AD2838">
            <v>96500</v>
          </cell>
        </row>
        <row r="2839">
          <cell r="W2839" t="str">
            <v>QCEBA02</v>
          </cell>
          <cell r="AD2839">
            <v>96500</v>
          </cell>
        </row>
        <row r="2840">
          <cell r="W2840" t="str">
            <v>QCEBA03</v>
          </cell>
          <cell r="AD2840">
            <v>190000</v>
          </cell>
        </row>
        <row r="2841">
          <cell r="W2841" t="str">
            <v>QCEBA03</v>
          </cell>
          <cell r="AD2841">
            <v>190000</v>
          </cell>
        </row>
        <row r="2842">
          <cell r="W2842" t="str">
            <v>ACEBA03</v>
          </cell>
          <cell r="AD2842">
            <v>190000</v>
          </cell>
        </row>
        <row r="2843">
          <cell r="W2843" t="str">
            <v>ACEBA03</v>
          </cell>
          <cell r="AD2843">
            <v>190000</v>
          </cell>
        </row>
        <row r="2844">
          <cell r="W2844" t="str">
            <v>QCEBA01</v>
          </cell>
          <cell r="AD2844">
            <v>49500</v>
          </cell>
        </row>
        <row r="2845">
          <cell r="W2845" t="str">
            <v>QCEBA01</v>
          </cell>
          <cell r="AD2845">
            <v>49500</v>
          </cell>
        </row>
        <row r="2846">
          <cell r="W2846" t="str">
            <v>ACEBA01</v>
          </cell>
          <cell r="AD2846">
            <v>49500</v>
          </cell>
        </row>
        <row r="2847">
          <cell r="W2847" t="str">
            <v>ACEBA01</v>
          </cell>
          <cell r="AD2847">
            <v>49500</v>
          </cell>
        </row>
        <row r="2848">
          <cell r="W2848" t="str">
            <v>QCENT06</v>
          </cell>
          <cell r="AD2848">
            <v>130000</v>
          </cell>
        </row>
        <row r="2849">
          <cell r="W2849" t="str">
            <v>QCENT06</v>
          </cell>
          <cell r="AD2849">
            <v>130000</v>
          </cell>
        </row>
        <row r="2850">
          <cell r="W2850" t="str">
            <v>QCENT04</v>
          </cell>
          <cell r="AD2850">
            <v>800000</v>
          </cell>
        </row>
        <row r="2851">
          <cell r="W2851" t="str">
            <v>QCENT04</v>
          </cell>
          <cell r="AD2851">
            <v>800000</v>
          </cell>
        </row>
        <row r="2852">
          <cell r="W2852" t="str">
            <v>QCENT04</v>
          </cell>
          <cell r="AD2852">
            <v>830000</v>
          </cell>
        </row>
        <row r="2853">
          <cell r="W2853" t="str">
            <v>QCENT04</v>
          </cell>
          <cell r="AD2853">
            <v>840000</v>
          </cell>
        </row>
        <row r="2854">
          <cell r="W2854" t="str">
            <v>QCENT04</v>
          </cell>
          <cell r="AD2854">
            <v>840000</v>
          </cell>
        </row>
        <row r="2855">
          <cell r="W2855" t="str">
            <v>QCENT04</v>
          </cell>
          <cell r="AD2855">
            <v>840000</v>
          </cell>
        </row>
        <row r="2856">
          <cell r="W2856" t="str">
            <v>QCENT05</v>
          </cell>
          <cell r="AD2856">
            <v>45000</v>
          </cell>
        </row>
        <row r="2857">
          <cell r="W2857" t="str">
            <v>QCENT05</v>
          </cell>
          <cell r="AD2857">
            <v>48000</v>
          </cell>
        </row>
        <row r="2858">
          <cell r="W2858" t="str">
            <v>QCENT05</v>
          </cell>
          <cell r="AD2858">
            <v>48000</v>
          </cell>
        </row>
        <row r="2859">
          <cell r="W2859" t="str">
            <v>QCENT05</v>
          </cell>
          <cell r="AD2859">
            <v>48000</v>
          </cell>
        </row>
        <row r="2860">
          <cell r="W2860" t="str">
            <v>QCENT05</v>
          </cell>
          <cell r="AD2860">
            <v>48000</v>
          </cell>
        </row>
        <row r="2861">
          <cell r="W2861" t="str">
            <v>QCENT05</v>
          </cell>
          <cell r="AD2861">
            <v>48000</v>
          </cell>
        </row>
        <row r="2862">
          <cell r="W2862" t="str">
            <v>QCENT05</v>
          </cell>
          <cell r="AD2862">
            <v>48000</v>
          </cell>
        </row>
        <row r="2863">
          <cell r="W2863" t="str">
            <v>QCENT05</v>
          </cell>
          <cell r="AD2863">
            <v>48000</v>
          </cell>
        </row>
        <row r="2864">
          <cell r="W2864" t="str">
            <v>QCENT05</v>
          </cell>
          <cell r="AD2864">
            <v>48000</v>
          </cell>
        </row>
        <row r="2865">
          <cell r="W2865" t="str">
            <v>QCENT05</v>
          </cell>
          <cell r="AD2865">
            <v>48000</v>
          </cell>
        </row>
        <row r="2866">
          <cell r="W2866" t="str">
            <v>QCENT05</v>
          </cell>
          <cell r="AD2866">
            <v>48000</v>
          </cell>
        </row>
        <row r="2867">
          <cell r="W2867" t="str">
            <v>QCENT05</v>
          </cell>
          <cell r="AD2867">
            <v>48000</v>
          </cell>
        </row>
        <row r="2868">
          <cell r="W2868" t="str">
            <v>QCENT03</v>
          </cell>
          <cell r="AD2868">
            <v>215000</v>
          </cell>
        </row>
        <row r="2869">
          <cell r="W2869" t="str">
            <v>QCENT03</v>
          </cell>
          <cell r="AD2869">
            <v>215000</v>
          </cell>
        </row>
        <row r="2870">
          <cell r="W2870" t="str">
            <v>QCHAM01</v>
          </cell>
          <cell r="AD2870">
            <v>193500</v>
          </cell>
        </row>
        <row r="2871">
          <cell r="W2871" t="str">
            <v>QCHAM01</v>
          </cell>
          <cell r="AD2871">
            <v>193500</v>
          </cell>
        </row>
        <row r="2872">
          <cell r="W2872" t="str">
            <v>QCHAM01</v>
          </cell>
          <cell r="AD2872">
            <v>203000</v>
          </cell>
        </row>
        <row r="2873">
          <cell r="W2873" t="str">
            <v>QCHAM01</v>
          </cell>
          <cell r="AD2873">
            <v>203000</v>
          </cell>
        </row>
        <row r="2874">
          <cell r="W2874" t="str">
            <v>QCHAM01</v>
          </cell>
          <cell r="AD2874">
            <v>203000</v>
          </cell>
        </row>
        <row r="2875">
          <cell r="W2875" t="str">
            <v>QCHAM01</v>
          </cell>
          <cell r="AD2875">
            <v>203000</v>
          </cell>
        </row>
        <row r="2876">
          <cell r="W2876" t="str">
            <v>QCHAM01</v>
          </cell>
          <cell r="AD2876">
            <v>203000</v>
          </cell>
        </row>
        <row r="2877">
          <cell r="W2877" t="str">
            <v>QCHAM01</v>
          </cell>
          <cell r="AD2877">
            <v>203000</v>
          </cell>
        </row>
        <row r="2878">
          <cell r="W2878" t="str">
            <v>QCHAM01</v>
          </cell>
          <cell r="AD2878">
            <v>203000</v>
          </cell>
        </row>
        <row r="2879">
          <cell r="W2879" t="str">
            <v>QCHAM01</v>
          </cell>
          <cell r="AD2879">
            <v>203500</v>
          </cell>
        </row>
        <row r="2880">
          <cell r="W2880" t="str">
            <v>QCHAM01</v>
          </cell>
          <cell r="AD2880">
            <v>205000</v>
          </cell>
        </row>
        <row r="2881">
          <cell r="W2881" t="str">
            <v>QCHAM01</v>
          </cell>
          <cell r="AD2881">
            <v>205000</v>
          </cell>
        </row>
        <row r="2882">
          <cell r="W2882" t="str">
            <v>QCHAM01</v>
          </cell>
          <cell r="AD2882">
            <v>225000</v>
          </cell>
        </row>
        <row r="2883">
          <cell r="W2883" t="str">
            <v>QCLEA01</v>
          </cell>
          <cell r="AD2883">
            <v>70000</v>
          </cell>
        </row>
        <row r="2884">
          <cell r="W2884" t="str">
            <v>QCLEA01</v>
          </cell>
          <cell r="AD2884">
            <v>70000</v>
          </cell>
        </row>
        <row r="2885">
          <cell r="W2885" t="str">
            <v>QCLEA01</v>
          </cell>
          <cell r="AD2885">
            <v>70000</v>
          </cell>
        </row>
        <row r="2886">
          <cell r="W2886" t="str">
            <v>QCLEA01</v>
          </cell>
          <cell r="AD2886">
            <v>70000</v>
          </cell>
        </row>
        <row r="2887">
          <cell r="W2887" t="str">
            <v>QCLEA01</v>
          </cell>
          <cell r="AD2887">
            <v>70000</v>
          </cell>
        </row>
        <row r="2888">
          <cell r="W2888" t="str">
            <v>QCLEA01</v>
          </cell>
          <cell r="AD2888">
            <v>70000</v>
          </cell>
        </row>
        <row r="2889">
          <cell r="W2889" t="str">
            <v>QCLEA01</v>
          </cell>
          <cell r="AD2889">
            <v>70000</v>
          </cell>
        </row>
        <row r="2890">
          <cell r="W2890" t="str">
            <v>QCLEA01</v>
          </cell>
          <cell r="AD2890">
            <v>70000</v>
          </cell>
        </row>
        <row r="2891">
          <cell r="W2891" t="str">
            <v>QCLEA01</v>
          </cell>
          <cell r="AD2891">
            <v>70000</v>
          </cell>
        </row>
        <row r="2892">
          <cell r="W2892" t="str">
            <v>QCLEA01</v>
          </cell>
          <cell r="AD2892">
            <v>70000</v>
          </cell>
        </row>
        <row r="2893">
          <cell r="W2893" t="str">
            <v>QCLEA01</v>
          </cell>
          <cell r="AD2893">
            <v>70000</v>
          </cell>
        </row>
        <row r="2894">
          <cell r="W2894" t="str">
            <v>QCLEA01</v>
          </cell>
          <cell r="AD2894">
            <v>70000</v>
          </cell>
        </row>
        <row r="2895">
          <cell r="W2895" t="str">
            <v>QCLEA01</v>
          </cell>
          <cell r="AD2895">
            <v>70000</v>
          </cell>
        </row>
        <row r="2896">
          <cell r="W2896" t="str">
            <v>QCLEA01</v>
          </cell>
          <cell r="AD2896">
            <v>75000</v>
          </cell>
        </row>
        <row r="2897">
          <cell r="W2897" t="str">
            <v>QCLEA01</v>
          </cell>
          <cell r="AD2897">
            <v>75000</v>
          </cell>
        </row>
        <row r="2898">
          <cell r="W2898" t="str">
            <v>QCLEA01</v>
          </cell>
          <cell r="AD2898">
            <v>75000</v>
          </cell>
        </row>
        <row r="2899">
          <cell r="W2899" t="str">
            <v>QCLEA01</v>
          </cell>
          <cell r="AD2899">
            <v>75000</v>
          </cell>
        </row>
        <row r="2900">
          <cell r="W2900" t="str">
            <v>QCLEA01</v>
          </cell>
          <cell r="AD2900">
            <v>75000</v>
          </cell>
        </row>
        <row r="2901">
          <cell r="W2901" t="str">
            <v>QCLEA02</v>
          </cell>
          <cell r="AD2901">
            <v>510000</v>
          </cell>
        </row>
        <row r="2902">
          <cell r="W2902" t="str">
            <v>QCLIP03</v>
          </cell>
          <cell r="AD2902">
            <v>159000</v>
          </cell>
        </row>
        <row r="2903">
          <cell r="W2903" t="str">
            <v>QCLIP03</v>
          </cell>
          <cell r="AD2903">
            <v>160000</v>
          </cell>
        </row>
        <row r="2904">
          <cell r="W2904" t="str">
            <v>QCLIP03</v>
          </cell>
          <cell r="AD2904">
            <v>160000</v>
          </cell>
        </row>
        <row r="2905">
          <cell r="W2905" t="str">
            <v>QCLIP03</v>
          </cell>
          <cell r="AD2905">
            <v>160000</v>
          </cell>
        </row>
        <row r="2906">
          <cell r="W2906" t="str">
            <v>QCLIP03</v>
          </cell>
          <cell r="AD2906">
            <v>160000</v>
          </cell>
        </row>
        <row r="2907">
          <cell r="W2907" t="str">
            <v>QCLIP03</v>
          </cell>
          <cell r="AD2907">
            <v>160000</v>
          </cell>
        </row>
        <row r="2908">
          <cell r="W2908" t="str">
            <v>QCLIP03</v>
          </cell>
          <cell r="AD2908">
            <v>162500</v>
          </cell>
        </row>
        <row r="2909">
          <cell r="W2909" t="str">
            <v>QCLIP03</v>
          </cell>
          <cell r="AD2909">
            <v>163000</v>
          </cell>
        </row>
        <row r="2910">
          <cell r="W2910" t="str">
            <v>QCLIP01</v>
          </cell>
          <cell r="AD2910">
            <v>85500</v>
          </cell>
        </row>
        <row r="2911">
          <cell r="W2911" t="str">
            <v>QCLIP01</v>
          </cell>
          <cell r="AD2911">
            <v>85500</v>
          </cell>
        </row>
        <row r="2912">
          <cell r="W2912" t="str">
            <v>QCLIP01</v>
          </cell>
          <cell r="AD2912">
            <v>85500</v>
          </cell>
        </row>
        <row r="2913">
          <cell r="W2913" t="str">
            <v>QCLIP01</v>
          </cell>
          <cell r="AD2913">
            <v>85500</v>
          </cell>
        </row>
        <row r="2914">
          <cell r="W2914" t="str">
            <v>QCLIP01</v>
          </cell>
          <cell r="AD2914">
            <v>85500</v>
          </cell>
        </row>
        <row r="2915">
          <cell r="W2915" t="str">
            <v>QCLIP01</v>
          </cell>
          <cell r="AD2915">
            <v>85500</v>
          </cell>
        </row>
        <row r="2916">
          <cell r="W2916" t="str">
            <v>QCLIP01</v>
          </cell>
          <cell r="AD2916">
            <v>85500</v>
          </cell>
        </row>
        <row r="2917">
          <cell r="W2917" t="str">
            <v>QCLIP01</v>
          </cell>
          <cell r="AD2917">
            <v>85500</v>
          </cell>
        </row>
        <row r="2918">
          <cell r="W2918" t="str">
            <v>QCLIP01</v>
          </cell>
          <cell r="AD2918">
            <v>85500</v>
          </cell>
        </row>
        <row r="2919">
          <cell r="W2919" t="str">
            <v>QCLIP01</v>
          </cell>
          <cell r="AD2919">
            <v>85500</v>
          </cell>
        </row>
        <row r="2920">
          <cell r="W2920" t="str">
            <v>QCLIP01</v>
          </cell>
          <cell r="AD2920">
            <v>92500</v>
          </cell>
        </row>
        <row r="2921">
          <cell r="W2921" t="str">
            <v>ACOBR05</v>
          </cell>
          <cell r="AD2921">
            <v>75000</v>
          </cell>
        </row>
        <row r="2922">
          <cell r="W2922" t="str">
            <v>ACOBR02</v>
          </cell>
          <cell r="AD2922">
            <v>8000</v>
          </cell>
        </row>
        <row r="2923">
          <cell r="W2923" t="str">
            <v>ACOBR02</v>
          </cell>
          <cell r="AD2923">
            <v>8000</v>
          </cell>
        </row>
        <row r="2924">
          <cell r="W2924" t="str">
            <v>ACOBR02</v>
          </cell>
          <cell r="AD2924">
            <v>9000</v>
          </cell>
        </row>
        <row r="2925">
          <cell r="W2925" t="str">
            <v>ACOBR02</v>
          </cell>
          <cell r="AD2925">
            <v>10000</v>
          </cell>
        </row>
        <row r="2926">
          <cell r="W2926" t="str">
            <v>QCONF02</v>
          </cell>
          <cell r="AD2926">
            <v>45000</v>
          </cell>
        </row>
        <row r="2927">
          <cell r="W2927" t="str">
            <v>QCONF02</v>
          </cell>
          <cell r="AD2927">
            <v>45000</v>
          </cell>
        </row>
        <row r="2928">
          <cell r="W2928" t="str">
            <v>QCONF02</v>
          </cell>
          <cell r="AD2928">
            <v>45000</v>
          </cell>
        </row>
        <row r="2929">
          <cell r="W2929" t="str">
            <v>QCONF02</v>
          </cell>
          <cell r="AD2929">
            <v>45000</v>
          </cell>
        </row>
        <row r="2930">
          <cell r="W2930" t="str">
            <v>QCONF02</v>
          </cell>
          <cell r="AD2930">
            <v>45000</v>
          </cell>
        </row>
        <row r="2931">
          <cell r="W2931" t="str">
            <v>QCONF02</v>
          </cell>
          <cell r="AD2931">
            <v>45000</v>
          </cell>
        </row>
        <row r="2932">
          <cell r="W2932" t="str">
            <v>QCONF02</v>
          </cell>
          <cell r="AD2932">
            <v>45000</v>
          </cell>
        </row>
        <row r="2933">
          <cell r="W2933" t="str">
            <v>QCONF02</v>
          </cell>
          <cell r="AD2933">
            <v>45000</v>
          </cell>
        </row>
        <row r="2934">
          <cell r="W2934" t="str">
            <v>QCONF02</v>
          </cell>
          <cell r="AD2934">
            <v>45000</v>
          </cell>
        </row>
        <row r="2935">
          <cell r="W2935" t="str">
            <v>QCONF02</v>
          </cell>
          <cell r="AD2935">
            <v>45000</v>
          </cell>
        </row>
        <row r="2936">
          <cell r="W2936" t="str">
            <v>QCONF02</v>
          </cell>
          <cell r="AD2936">
            <v>45000</v>
          </cell>
        </row>
        <row r="2937">
          <cell r="W2937" t="str">
            <v>QCONF02</v>
          </cell>
          <cell r="AD2937">
            <v>45000</v>
          </cell>
        </row>
        <row r="2938">
          <cell r="W2938" t="str">
            <v>QCONF02</v>
          </cell>
          <cell r="AD2938">
            <v>45100</v>
          </cell>
        </row>
        <row r="2939">
          <cell r="W2939" t="str">
            <v>QCONF02</v>
          </cell>
          <cell r="AD2939">
            <v>45500</v>
          </cell>
        </row>
        <row r="2940">
          <cell r="W2940" t="str">
            <v>QCONF02</v>
          </cell>
          <cell r="AD2940">
            <v>48500</v>
          </cell>
        </row>
        <row r="2941">
          <cell r="W2941" t="str">
            <v>QCONF02</v>
          </cell>
          <cell r="AD2941">
            <v>48500</v>
          </cell>
        </row>
        <row r="2942">
          <cell r="W2942" t="str">
            <v>QCONF02</v>
          </cell>
          <cell r="AD2942">
            <v>48500</v>
          </cell>
        </row>
        <row r="2943">
          <cell r="W2943" t="str">
            <v>QCONF03</v>
          </cell>
          <cell r="AD2943">
            <v>27250</v>
          </cell>
        </row>
        <row r="2944">
          <cell r="W2944" t="str">
            <v>QCONF03</v>
          </cell>
          <cell r="AD2944">
            <v>27250</v>
          </cell>
        </row>
        <row r="2945">
          <cell r="W2945" t="str">
            <v>QCONF03</v>
          </cell>
          <cell r="AD2945">
            <v>27500</v>
          </cell>
        </row>
        <row r="2946">
          <cell r="W2946" t="str">
            <v>QCONF03</v>
          </cell>
          <cell r="AD2946">
            <v>27500</v>
          </cell>
        </row>
        <row r="2947">
          <cell r="W2947" t="str">
            <v>QCONF03</v>
          </cell>
          <cell r="AD2947">
            <v>27500</v>
          </cell>
        </row>
        <row r="2948">
          <cell r="W2948" t="str">
            <v>QCONF03</v>
          </cell>
          <cell r="AD2948">
            <v>27500</v>
          </cell>
        </row>
        <row r="2949">
          <cell r="W2949" t="str">
            <v>QCONF03</v>
          </cell>
          <cell r="AD2949">
            <v>27500</v>
          </cell>
        </row>
        <row r="2950">
          <cell r="W2950" t="str">
            <v>QCONF03</v>
          </cell>
          <cell r="AD2950">
            <v>27500</v>
          </cell>
        </row>
        <row r="2951">
          <cell r="W2951" t="str">
            <v>QCONF03</v>
          </cell>
          <cell r="AD2951">
            <v>27500</v>
          </cell>
        </row>
        <row r="2952">
          <cell r="W2952" t="str">
            <v>QCONF03</v>
          </cell>
          <cell r="AD2952">
            <v>27500</v>
          </cell>
        </row>
        <row r="2953">
          <cell r="W2953" t="str">
            <v>QCONF03</v>
          </cell>
          <cell r="AD2953">
            <v>27500</v>
          </cell>
        </row>
        <row r="2954">
          <cell r="W2954" t="str">
            <v>QCONF03</v>
          </cell>
          <cell r="AD2954">
            <v>27500</v>
          </cell>
        </row>
        <row r="2955">
          <cell r="W2955" t="str">
            <v>QCONF03</v>
          </cell>
          <cell r="AD2955">
            <v>27500</v>
          </cell>
        </row>
        <row r="2956">
          <cell r="W2956" t="str">
            <v>QCONF03</v>
          </cell>
          <cell r="AD2956">
            <v>27500</v>
          </cell>
        </row>
        <row r="2957">
          <cell r="W2957" t="str">
            <v>QCONF03</v>
          </cell>
          <cell r="AD2957">
            <v>27500</v>
          </cell>
        </row>
        <row r="2958">
          <cell r="W2958" t="str">
            <v>QCONF03</v>
          </cell>
          <cell r="AD2958">
            <v>27500</v>
          </cell>
        </row>
        <row r="2959">
          <cell r="W2959" t="str">
            <v>QCONF03</v>
          </cell>
          <cell r="AD2959">
            <v>27500</v>
          </cell>
        </row>
        <row r="2960">
          <cell r="W2960" t="str">
            <v>QCONF03</v>
          </cell>
          <cell r="AD2960">
            <v>27500</v>
          </cell>
        </row>
        <row r="2961">
          <cell r="W2961" t="str">
            <v>QCONF03</v>
          </cell>
          <cell r="AD2961">
            <v>27500</v>
          </cell>
        </row>
        <row r="2962">
          <cell r="W2962" t="str">
            <v>QCONF03</v>
          </cell>
          <cell r="AD2962">
            <v>27500</v>
          </cell>
        </row>
        <row r="2963">
          <cell r="W2963" t="str">
            <v>QCONF03</v>
          </cell>
          <cell r="AD2963">
            <v>27500</v>
          </cell>
        </row>
        <row r="2964">
          <cell r="W2964" t="str">
            <v>QCONF03</v>
          </cell>
          <cell r="AD2964">
            <v>27500</v>
          </cell>
        </row>
        <row r="2965">
          <cell r="W2965" t="str">
            <v>QCONF03</v>
          </cell>
          <cell r="AD2965">
            <v>27500</v>
          </cell>
        </row>
        <row r="2966">
          <cell r="W2966" t="str">
            <v>QCONF03</v>
          </cell>
          <cell r="AD2966">
            <v>27500</v>
          </cell>
        </row>
        <row r="2967">
          <cell r="W2967" t="str">
            <v>QCONF03</v>
          </cell>
          <cell r="AD2967">
            <v>27500</v>
          </cell>
        </row>
        <row r="2968">
          <cell r="W2968" t="str">
            <v>QCONF03</v>
          </cell>
          <cell r="AD2968">
            <v>27500</v>
          </cell>
        </row>
        <row r="2969">
          <cell r="W2969" t="str">
            <v>QCONF03</v>
          </cell>
          <cell r="AD2969">
            <v>27500</v>
          </cell>
        </row>
        <row r="2970">
          <cell r="W2970" t="str">
            <v>QCONF03</v>
          </cell>
          <cell r="AD2970">
            <v>27500</v>
          </cell>
        </row>
        <row r="2971">
          <cell r="W2971" t="str">
            <v>QCONF03</v>
          </cell>
          <cell r="AD2971">
            <v>27500</v>
          </cell>
        </row>
        <row r="2972">
          <cell r="W2972" t="str">
            <v>QCONF03</v>
          </cell>
          <cell r="AD2972">
            <v>27500</v>
          </cell>
        </row>
        <row r="2973">
          <cell r="W2973" t="str">
            <v>QCONF03</v>
          </cell>
          <cell r="AD2973">
            <v>27500</v>
          </cell>
        </row>
        <row r="2974">
          <cell r="W2974" t="str">
            <v>QCONF03</v>
          </cell>
          <cell r="AD2974">
            <v>27500</v>
          </cell>
        </row>
        <row r="2975">
          <cell r="W2975" t="str">
            <v>QCONF03</v>
          </cell>
          <cell r="AD2975">
            <v>28000</v>
          </cell>
        </row>
        <row r="2976">
          <cell r="W2976" t="str">
            <v>QCONF03</v>
          </cell>
          <cell r="AD2976">
            <v>28000</v>
          </cell>
        </row>
        <row r="2977">
          <cell r="W2977" t="str">
            <v>QCONF03</v>
          </cell>
          <cell r="AD2977">
            <v>28000</v>
          </cell>
        </row>
        <row r="2978">
          <cell r="W2978" t="str">
            <v>QCONF03</v>
          </cell>
          <cell r="AD2978">
            <v>28000</v>
          </cell>
        </row>
        <row r="2979">
          <cell r="W2979" t="str">
            <v>QCONF03</v>
          </cell>
          <cell r="AD2979">
            <v>28000</v>
          </cell>
        </row>
        <row r="2980">
          <cell r="W2980" t="str">
            <v>QCONF03</v>
          </cell>
          <cell r="AD2980">
            <v>28000</v>
          </cell>
        </row>
        <row r="2981">
          <cell r="W2981" t="str">
            <v>QCONF03</v>
          </cell>
          <cell r="AD2981">
            <v>28000</v>
          </cell>
        </row>
        <row r="2982">
          <cell r="W2982" t="str">
            <v>QCONF03</v>
          </cell>
          <cell r="AD2982">
            <v>28000</v>
          </cell>
        </row>
        <row r="2983">
          <cell r="W2983" t="str">
            <v>QCONF03</v>
          </cell>
          <cell r="AD2983">
            <v>28000</v>
          </cell>
        </row>
        <row r="2984">
          <cell r="W2984" t="str">
            <v>QCONF03</v>
          </cell>
          <cell r="AD2984">
            <v>28000</v>
          </cell>
        </row>
        <row r="2985">
          <cell r="W2985" t="str">
            <v>QCONF03</v>
          </cell>
          <cell r="AD2985">
            <v>28000</v>
          </cell>
        </row>
        <row r="2986">
          <cell r="W2986" t="str">
            <v>QCONF03</v>
          </cell>
          <cell r="AD2986">
            <v>28000</v>
          </cell>
        </row>
        <row r="2987">
          <cell r="W2987" t="str">
            <v>QCONF03</v>
          </cell>
          <cell r="AD2987">
            <v>28000</v>
          </cell>
        </row>
        <row r="2988">
          <cell r="W2988" t="str">
            <v>QCONF03</v>
          </cell>
          <cell r="AD2988">
            <v>28000</v>
          </cell>
        </row>
        <row r="2989">
          <cell r="W2989" t="str">
            <v>QCONF03</v>
          </cell>
          <cell r="AD2989">
            <v>28000</v>
          </cell>
        </row>
        <row r="2990">
          <cell r="W2990" t="str">
            <v>QCONF03</v>
          </cell>
          <cell r="AD2990">
            <v>28000</v>
          </cell>
        </row>
        <row r="2991">
          <cell r="W2991" t="str">
            <v>QCONF03</v>
          </cell>
          <cell r="AD2991">
            <v>28000</v>
          </cell>
        </row>
        <row r="2992">
          <cell r="W2992" t="str">
            <v>QCONF03</v>
          </cell>
          <cell r="AD2992">
            <v>28000</v>
          </cell>
        </row>
        <row r="2993">
          <cell r="W2993" t="str">
            <v>QCONF03</v>
          </cell>
          <cell r="AD2993">
            <v>28000</v>
          </cell>
        </row>
        <row r="2994">
          <cell r="W2994" t="str">
            <v>QCONF03</v>
          </cell>
          <cell r="AD2994">
            <v>28000</v>
          </cell>
        </row>
        <row r="2995">
          <cell r="W2995" t="str">
            <v>QCONF03</v>
          </cell>
          <cell r="AD2995">
            <v>28000</v>
          </cell>
        </row>
        <row r="2996">
          <cell r="W2996" t="str">
            <v>QCONF03</v>
          </cell>
          <cell r="AD2996">
            <v>28000</v>
          </cell>
        </row>
        <row r="2997">
          <cell r="W2997" t="str">
            <v>QCONF03</v>
          </cell>
          <cell r="AD2997">
            <v>28000</v>
          </cell>
        </row>
        <row r="2998">
          <cell r="W2998" t="str">
            <v>QCONF03</v>
          </cell>
          <cell r="AD2998">
            <v>28000</v>
          </cell>
        </row>
        <row r="2999">
          <cell r="W2999" t="str">
            <v>QCONF03</v>
          </cell>
          <cell r="AD2999">
            <v>28000</v>
          </cell>
        </row>
        <row r="3000">
          <cell r="W3000" t="str">
            <v>QCONF03</v>
          </cell>
          <cell r="AD3000">
            <v>28000</v>
          </cell>
        </row>
        <row r="3001">
          <cell r="W3001" t="str">
            <v>QCONF03</v>
          </cell>
          <cell r="AD3001">
            <v>28000</v>
          </cell>
        </row>
        <row r="3002">
          <cell r="W3002" t="str">
            <v>QCONF03</v>
          </cell>
          <cell r="AD3002">
            <v>28000</v>
          </cell>
        </row>
        <row r="3003">
          <cell r="W3003" t="str">
            <v>QCONF03</v>
          </cell>
          <cell r="AD3003">
            <v>28000</v>
          </cell>
        </row>
        <row r="3004">
          <cell r="W3004" t="str">
            <v>QCONF03</v>
          </cell>
          <cell r="AD3004">
            <v>28000</v>
          </cell>
        </row>
        <row r="3005">
          <cell r="W3005" t="str">
            <v>QCONF03</v>
          </cell>
          <cell r="AD3005">
            <v>28000</v>
          </cell>
        </row>
        <row r="3006">
          <cell r="W3006" t="str">
            <v>QCONF03</v>
          </cell>
          <cell r="AD3006">
            <v>28000</v>
          </cell>
        </row>
        <row r="3007">
          <cell r="W3007" t="str">
            <v>QCONF03</v>
          </cell>
          <cell r="AD3007">
            <v>28000</v>
          </cell>
        </row>
        <row r="3008">
          <cell r="W3008" t="str">
            <v>QCONF03</v>
          </cell>
          <cell r="AD3008">
            <v>28000</v>
          </cell>
        </row>
        <row r="3009">
          <cell r="W3009" t="str">
            <v>QCONF03</v>
          </cell>
          <cell r="AD3009">
            <v>28500</v>
          </cell>
        </row>
        <row r="3010">
          <cell r="W3010" t="str">
            <v>QCONF03</v>
          </cell>
          <cell r="AD3010">
            <v>28500</v>
          </cell>
        </row>
        <row r="3011">
          <cell r="W3011" t="str">
            <v>QCONF03</v>
          </cell>
          <cell r="AD3011">
            <v>28500</v>
          </cell>
        </row>
        <row r="3012">
          <cell r="W3012" t="str">
            <v>QCONF03</v>
          </cell>
          <cell r="AD3012">
            <v>28500</v>
          </cell>
        </row>
        <row r="3013">
          <cell r="W3013" t="str">
            <v>QCONF03</v>
          </cell>
          <cell r="AD3013">
            <v>28500</v>
          </cell>
        </row>
        <row r="3014">
          <cell r="W3014" t="str">
            <v>QCONF03</v>
          </cell>
          <cell r="AD3014">
            <v>28500</v>
          </cell>
        </row>
        <row r="3015">
          <cell r="W3015" t="str">
            <v>QCONF03</v>
          </cell>
          <cell r="AD3015">
            <v>28500</v>
          </cell>
        </row>
        <row r="3016">
          <cell r="W3016" t="str">
            <v>QCONF03</v>
          </cell>
          <cell r="AD3016">
            <v>28500</v>
          </cell>
        </row>
        <row r="3017">
          <cell r="W3017" t="str">
            <v>QCONF03</v>
          </cell>
          <cell r="AD3017">
            <v>28500</v>
          </cell>
        </row>
        <row r="3018">
          <cell r="W3018" t="str">
            <v>QCONF03</v>
          </cell>
          <cell r="AD3018">
            <v>28500</v>
          </cell>
        </row>
        <row r="3019">
          <cell r="W3019" t="str">
            <v>QCONF03</v>
          </cell>
          <cell r="AD3019">
            <v>28500</v>
          </cell>
        </row>
        <row r="3020">
          <cell r="W3020" t="str">
            <v>QCONF03</v>
          </cell>
          <cell r="AD3020">
            <v>28500</v>
          </cell>
        </row>
        <row r="3021">
          <cell r="W3021" t="str">
            <v>QCONF03</v>
          </cell>
          <cell r="AD3021">
            <v>28500</v>
          </cell>
        </row>
        <row r="3022">
          <cell r="W3022" t="str">
            <v>QCONF03</v>
          </cell>
          <cell r="AD3022">
            <v>28500</v>
          </cell>
        </row>
        <row r="3023">
          <cell r="W3023" t="str">
            <v>QCONF03</v>
          </cell>
          <cell r="AD3023">
            <v>28500</v>
          </cell>
        </row>
        <row r="3024">
          <cell r="W3024" t="str">
            <v>QCONF03</v>
          </cell>
          <cell r="AD3024">
            <v>28500</v>
          </cell>
        </row>
        <row r="3025">
          <cell r="W3025" t="str">
            <v>QCONF03</v>
          </cell>
          <cell r="AD3025">
            <v>28750</v>
          </cell>
        </row>
        <row r="3026">
          <cell r="W3026" t="str">
            <v>QCONF03</v>
          </cell>
          <cell r="AD3026">
            <v>29000</v>
          </cell>
        </row>
        <row r="3027">
          <cell r="W3027" t="str">
            <v>QCONF05</v>
          </cell>
          <cell r="AD3027">
            <v>75000</v>
          </cell>
        </row>
        <row r="3028">
          <cell r="W3028" t="str">
            <v>QCONF05</v>
          </cell>
          <cell r="AD3028">
            <v>75000</v>
          </cell>
        </row>
        <row r="3029">
          <cell r="W3029" t="str">
            <v>QCONF05</v>
          </cell>
          <cell r="AD3029">
            <v>75000</v>
          </cell>
        </row>
        <row r="3030">
          <cell r="W3030" t="str">
            <v>QCONF05</v>
          </cell>
          <cell r="AD3030">
            <v>75000</v>
          </cell>
        </row>
        <row r="3031">
          <cell r="W3031" t="str">
            <v>QCONF05</v>
          </cell>
          <cell r="AD3031">
            <v>80000</v>
          </cell>
        </row>
        <row r="3032">
          <cell r="W3032" t="str">
            <v>QCONF05</v>
          </cell>
          <cell r="AD3032">
            <v>80000</v>
          </cell>
        </row>
        <row r="3033">
          <cell r="W3033" t="str">
            <v>QCONF05</v>
          </cell>
          <cell r="AD3033">
            <v>80000</v>
          </cell>
        </row>
        <row r="3034">
          <cell r="W3034" t="str">
            <v>QCONF05</v>
          </cell>
          <cell r="AD3034">
            <v>80000</v>
          </cell>
        </row>
        <row r="3035">
          <cell r="W3035" t="str">
            <v>QCONF05</v>
          </cell>
          <cell r="AD3035">
            <v>82500</v>
          </cell>
        </row>
        <row r="3036">
          <cell r="W3036" t="str">
            <v>QCONF04</v>
          </cell>
          <cell r="AD3036">
            <v>42500</v>
          </cell>
        </row>
        <row r="3037">
          <cell r="W3037" t="str">
            <v>QCONF04</v>
          </cell>
          <cell r="AD3037">
            <v>42500</v>
          </cell>
        </row>
        <row r="3038">
          <cell r="W3038" t="str">
            <v>QCONF04</v>
          </cell>
          <cell r="AD3038">
            <v>42500</v>
          </cell>
        </row>
        <row r="3039">
          <cell r="W3039" t="str">
            <v>QCONF04</v>
          </cell>
          <cell r="AD3039">
            <v>42500</v>
          </cell>
        </row>
        <row r="3040">
          <cell r="W3040" t="str">
            <v>QCONF04</v>
          </cell>
          <cell r="AD3040">
            <v>42500</v>
          </cell>
        </row>
        <row r="3041">
          <cell r="W3041" t="str">
            <v>QCOPC06</v>
          </cell>
          <cell r="AD3041">
            <v>18500</v>
          </cell>
        </row>
        <row r="3042">
          <cell r="W3042" t="str">
            <v>QCOPC06</v>
          </cell>
          <cell r="AD3042">
            <v>18500</v>
          </cell>
        </row>
        <row r="3043">
          <cell r="W3043" t="str">
            <v>QCOPC06</v>
          </cell>
          <cell r="AD3043">
            <v>18500</v>
          </cell>
        </row>
        <row r="3044">
          <cell r="W3044" t="str">
            <v>QCOPC06</v>
          </cell>
          <cell r="AD3044">
            <v>24000</v>
          </cell>
        </row>
        <row r="3045">
          <cell r="W3045" t="str">
            <v>QCOPC06</v>
          </cell>
          <cell r="AD3045">
            <v>27500</v>
          </cell>
        </row>
        <row r="3046">
          <cell r="W3046" t="str">
            <v>QCOPC06</v>
          </cell>
          <cell r="AD3046">
            <v>27500</v>
          </cell>
        </row>
        <row r="3047">
          <cell r="W3047" t="str">
            <v>QCOPC06</v>
          </cell>
          <cell r="AD3047">
            <v>27500</v>
          </cell>
        </row>
        <row r="3048">
          <cell r="W3048" t="str">
            <v>QCOPC02</v>
          </cell>
          <cell r="AD3048">
            <v>150000</v>
          </cell>
        </row>
        <row r="3049">
          <cell r="W3049" t="str">
            <v>QCOPC03</v>
          </cell>
          <cell r="AD3049">
            <v>66000</v>
          </cell>
        </row>
        <row r="3050">
          <cell r="W3050" t="str">
            <v>QCOPC03</v>
          </cell>
          <cell r="AD3050">
            <v>75000</v>
          </cell>
        </row>
        <row r="3051">
          <cell r="W3051" t="str">
            <v>QCOUN03</v>
          </cell>
          <cell r="AD3051">
            <v>170000</v>
          </cell>
        </row>
        <row r="3052">
          <cell r="W3052" t="str">
            <v>QCOUN04</v>
          </cell>
          <cell r="AD3052">
            <v>88000</v>
          </cell>
        </row>
        <row r="3053">
          <cell r="W3053" t="str">
            <v>QCOUN04</v>
          </cell>
          <cell r="AD3053">
            <v>88000</v>
          </cell>
        </row>
        <row r="3054">
          <cell r="W3054" t="str">
            <v>QCRUI01</v>
          </cell>
          <cell r="AD3054">
            <v>26000</v>
          </cell>
        </row>
        <row r="3055">
          <cell r="W3055" t="str">
            <v>QCRUI01</v>
          </cell>
          <cell r="AD3055">
            <v>26000</v>
          </cell>
        </row>
        <row r="3056">
          <cell r="W3056" t="str">
            <v>QCRUI01</v>
          </cell>
          <cell r="AD3056">
            <v>26500</v>
          </cell>
        </row>
        <row r="3057">
          <cell r="W3057" t="str">
            <v>QCRUI01</v>
          </cell>
          <cell r="AD3057">
            <v>26500</v>
          </cell>
        </row>
        <row r="3058">
          <cell r="W3058" t="str">
            <v>QCRUI01</v>
          </cell>
          <cell r="AD3058">
            <v>26500</v>
          </cell>
        </row>
        <row r="3059">
          <cell r="W3059" t="str">
            <v>QCRUI01</v>
          </cell>
          <cell r="AD3059">
            <v>26500</v>
          </cell>
        </row>
        <row r="3060">
          <cell r="W3060" t="str">
            <v>QCRUI01</v>
          </cell>
          <cell r="AD3060">
            <v>26500</v>
          </cell>
        </row>
        <row r="3061">
          <cell r="W3061" t="str">
            <v>QCRUI01</v>
          </cell>
          <cell r="AD3061">
            <v>26500</v>
          </cell>
        </row>
        <row r="3062">
          <cell r="W3062" t="str">
            <v>QCRUI01</v>
          </cell>
          <cell r="AD3062">
            <v>27000</v>
          </cell>
        </row>
        <row r="3063">
          <cell r="W3063" t="str">
            <v>QCRUI01</v>
          </cell>
          <cell r="AD3063">
            <v>27000</v>
          </cell>
        </row>
        <row r="3064">
          <cell r="W3064" t="str">
            <v>QCURA01</v>
          </cell>
          <cell r="AD3064">
            <v>124500</v>
          </cell>
        </row>
        <row r="3065">
          <cell r="W3065" t="str">
            <v>QCURA01</v>
          </cell>
          <cell r="AD3065">
            <v>125000</v>
          </cell>
        </row>
        <row r="3066">
          <cell r="W3066" t="str">
            <v>QCURA01</v>
          </cell>
          <cell r="AD3066">
            <v>125000</v>
          </cell>
        </row>
        <row r="3067">
          <cell r="W3067" t="str">
            <v>QCURA01</v>
          </cell>
          <cell r="AD3067">
            <v>125500</v>
          </cell>
        </row>
        <row r="3068">
          <cell r="W3068" t="str">
            <v>QCURA01</v>
          </cell>
          <cell r="AD3068">
            <v>126000</v>
          </cell>
        </row>
        <row r="3069">
          <cell r="W3069" t="str">
            <v>QCURA01</v>
          </cell>
          <cell r="AD3069">
            <v>126000</v>
          </cell>
        </row>
        <row r="3070">
          <cell r="W3070" t="str">
            <v>QCURA01</v>
          </cell>
          <cell r="AD3070">
            <v>126000</v>
          </cell>
        </row>
        <row r="3071">
          <cell r="W3071" t="str">
            <v>QCURA01</v>
          </cell>
          <cell r="AD3071">
            <v>126000</v>
          </cell>
        </row>
        <row r="3072">
          <cell r="W3072" t="str">
            <v>QCURA01</v>
          </cell>
          <cell r="AD3072">
            <v>126500</v>
          </cell>
        </row>
        <row r="3073">
          <cell r="W3073" t="str">
            <v>QCURA01</v>
          </cell>
          <cell r="AD3073">
            <v>126750</v>
          </cell>
        </row>
        <row r="3074">
          <cell r="W3074" t="str">
            <v>QCURA01</v>
          </cell>
          <cell r="AD3074">
            <v>126750</v>
          </cell>
        </row>
        <row r="3075">
          <cell r="W3075" t="str">
            <v>QCURA01</v>
          </cell>
          <cell r="AD3075">
            <v>126750</v>
          </cell>
        </row>
        <row r="3076">
          <cell r="W3076" t="str">
            <v>QCURA01</v>
          </cell>
          <cell r="AD3076">
            <v>126750</v>
          </cell>
        </row>
        <row r="3077">
          <cell r="W3077" t="str">
            <v>QCURA01</v>
          </cell>
          <cell r="AD3077">
            <v>127000</v>
          </cell>
        </row>
        <row r="3078">
          <cell r="W3078" t="str">
            <v>QCURA01</v>
          </cell>
          <cell r="AD3078">
            <v>127750</v>
          </cell>
        </row>
        <row r="3079">
          <cell r="W3079" t="str">
            <v>QCURA01</v>
          </cell>
          <cell r="AD3079">
            <v>127750</v>
          </cell>
        </row>
        <row r="3080">
          <cell r="W3080" t="str">
            <v>QCURA01</v>
          </cell>
          <cell r="AD3080">
            <v>127750</v>
          </cell>
        </row>
        <row r="3081">
          <cell r="W3081" t="str">
            <v>QCURA01</v>
          </cell>
          <cell r="AD3081">
            <v>127750</v>
          </cell>
        </row>
        <row r="3082">
          <cell r="W3082" t="str">
            <v>QCURA01</v>
          </cell>
          <cell r="AD3082">
            <v>127800</v>
          </cell>
        </row>
        <row r="3083">
          <cell r="W3083" t="str">
            <v>QCURA01</v>
          </cell>
          <cell r="AD3083">
            <v>127800</v>
          </cell>
        </row>
        <row r="3084">
          <cell r="W3084" t="str">
            <v>QCURA01</v>
          </cell>
          <cell r="AD3084">
            <v>127800</v>
          </cell>
        </row>
        <row r="3085">
          <cell r="W3085" t="str">
            <v>QCURA01</v>
          </cell>
          <cell r="AD3085">
            <v>127800</v>
          </cell>
        </row>
        <row r="3086">
          <cell r="W3086" t="str">
            <v>QCURA01</v>
          </cell>
          <cell r="AD3086">
            <v>127800</v>
          </cell>
        </row>
        <row r="3087">
          <cell r="W3087" t="str">
            <v>QCURA01</v>
          </cell>
          <cell r="AD3087">
            <v>128000</v>
          </cell>
        </row>
        <row r="3088">
          <cell r="W3088" t="str">
            <v>QCURA01</v>
          </cell>
          <cell r="AD3088">
            <v>128000</v>
          </cell>
        </row>
        <row r="3089">
          <cell r="W3089" t="str">
            <v>QCURA01</v>
          </cell>
          <cell r="AD3089">
            <v>128000</v>
          </cell>
        </row>
        <row r="3090">
          <cell r="W3090" t="str">
            <v>QCURA01</v>
          </cell>
          <cell r="AD3090">
            <v>128000</v>
          </cell>
        </row>
        <row r="3091">
          <cell r="W3091" t="str">
            <v>QCURA01</v>
          </cell>
          <cell r="AD3091">
            <v>128000</v>
          </cell>
        </row>
        <row r="3092">
          <cell r="W3092" t="str">
            <v>QCURA01</v>
          </cell>
          <cell r="AD3092">
            <v>128500</v>
          </cell>
        </row>
        <row r="3093">
          <cell r="W3093" t="str">
            <v>QCURA01</v>
          </cell>
          <cell r="AD3093">
            <v>129000</v>
          </cell>
        </row>
        <row r="3094">
          <cell r="W3094" t="str">
            <v>ACURA01</v>
          </cell>
          <cell r="AD3094">
            <v>130000</v>
          </cell>
        </row>
        <row r="3095">
          <cell r="W3095" t="str">
            <v>QCURA02</v>
          </cell>
          <cell r="AD3095">
            <v>63500</v>
          </cell>
        </row>
        <row r="3096">
          <cell r="W3096" t="str">
            <v>QCURA02</v>
          </cell>
          <cell r="AD3096">
            <v>63500</v>
          </cell>
        </row>
        <row r="3097">
          <cell r="W3097" t="str">
            <v>QCURA02</v>
          </cell>
          <cell r="AD3097">
            <v>64000</v>
          </cell>
        </row>
        <row r="3098">
          <cell r="W3098" t="str">
            <v>QCURA02</v>
          </cell>
          <cell r="AD3098">
            <v>64000</v>
          </cell>
        </row>
        <row r="3099">
          <cell r="W3099" t="str">
            <v>QCURA02</v>
          </cell>
          <cell r="AD3099">
            <v>64000</v>
          </cell>
        </row>
        <row r="3100">
          <cell r="W3100" t="str">
            <v>QCURA02</v>
          </cell>
          <cell r="AD3100">
            <v>64500</v>
          </cell>
        </row>
        <row r="3101">
          <cell r="W3101" t="str">
            <v>QCURA02</v>
          </cell>
          <cell r="AD3101">
            <v>64500</v>
          </cell>
        </row>
        <row r="3102">
          <cell r="W3102" t="str">
            <v>QCURA02</v>
          </cell>
          <cell r="AD3102">
            <v>64500</v>
          </cell>
        </row>
        <row r="3103">
          <cell r="W3103" t="str">
            <v>QCURA02</v>
          </cell>
          <cell r="AD3103">
            <v>64500</v>
          </cell>
        </row>
        <row r="3104">
          <cell r="W3104" t="str">
            <v>QCURA02</v>
          </cell>
          <cell r="AD3104">
            <v>64500</v>
          </cell>
        </row>
        <row r="3105">
          <cell r="W3105" t="str">
            <v>QCURA02</v>
          </cell>
          <cell r="AD3105">
            <v>64500</v>
          </cell>
        </row>
        <row r="3106">
          <cell r="W3106" t="str">
            <v>QCURA02</v>
          </cell>
          <cell r="AD3106">
            <v>64750</v>
          </cell>
        </row>
        <row r="3107">
          <cell r="W3107" t="str">
            <v>QCURA02</v>
          </cell>
          <cell r="AD3107">
            <v>64750</v>
          </cell>
        </row>
        <row r="3108">
          <cell r="W3108" t="str">
            <v>QCURA02</v>
          </cell>
          <cell r="AD3108">
            <v>64750</v>
          </cell>
        </row>
        <row r="3109">
          <cell r="W3109" t="str">
            <v>QCURA02</v>
          </cell>
          <cell r="AD3109">
            <v>64750</v>
          </cell>
        </row>
        <row r="3110">
          <cell r="W3110" t="str">
            <v>QCURA02</v>
          </cell>
          <cell r="AD3110">
            <v>64750</v>
          </cell>
        </row>
        <row r="3111">
          <cell r="W3111" t="str">
            <v>QCURA02</v>
          </cell>
          <cell r="AD3111">
            <v>65000</v>
          </cell>
        </row>
        <row r="3112">
          <cell r="W3112" t="str">
            <v>QCURA02</v>
          </cell>
          <cell r="AD3112">
            <v>65000</v>
          </cell>
        </row>
        <row r="3113">
          <cell r="W3113" t="str">
            <v>QCURA02</v>
          </cell>
          <cell r="AD3113">
            <v>65000</v>
          </cell>
        </row>
        <row r="3114">
          <cell r="W3114" t="str">
            <v>QCURA02</v>
          </cell>
          <cell r="AD3114">
            <v>65000</v>
          </cell>
        </row>
        <row r="3115">
          <cell r="W3115" t="str">
            <v>QCURA02</v>
          </cell>
          <cell r="AD3115">
            <v>65000</v>
          </cell>
        </row>
        <row r="3116">
          <cell r="W3116" t="str">
            <v>QCURA02</v>
          </cell>
          <cell r="AD3116">
            <v>65000</v>
          </cell>
        </row>
        <row r="3117">
          <cell r="W3117" t="str">
            <v>QCURA02</v>
          </cell>
          <cell r="AD3117">
            <v>65200</v>
          </cell>
        </row>
        <row r="3118">
          <cell r="W3118" t="str">
            <v>QCURA02</v>
          </cell>
          <cell r="AD3118">
            <v>65250</v>
          </cell>
        </row>
        <row r="3119">
          <cell r="W3119" t="str">
            <v>QCURA02</v>
          </cell>
          <cell r="AD3119">
            <v>65250</v>
          </cell>
        </row>
        <row r="3120">
          <cell r="W3120" t="str">
            <v>QCURA02</v>
          </cell>
          <cell r="AD3120">
            <v>65250</v>
          </cell>
        </row>
        <row r="3121">
          <cell r="W3121" t="str">
            <v>QCURA02</v>
          </cell>
          <cell r="AD3121">
            <v>65250</v>
          </cell>
        </row>
        <row r="3122">
          <cell r="W3122" t="str">
            <v>QCURA02</v>
          </cell>
          <cell r="AD3122">
            <v>65250</v>
          </cell>
        </row>
        <row r="3123">
          <cell r="W3123" t="str">
            <v>QCURA02</v>
          </cell>
          <cell r="AD3123">
            <v>65300</v>
          </cell>
        </row>
        <row r="3124">
          <cell r="W3124" t="str">
            <v>QCURA02</v>
          </cell>
          <cell r="AD3124">
            <v>65500</v>
          </cell>
        </row>
        <row r="3125">
          <cell r="W3125" t="str">
            <v>QCURA02</v>
          </cell>
          <cell r="AD3125">
            <v>65500</v>
          </cell>
        </row>
        <row r="3126">
          <cell r="W3126" t="str">
            <v>QCURA02</v>
          </cell>
          <cell r="AD3126">
            <v>65500</v>
          </cell>
        </row>
        <row r="3127">
          <cell r="W3127" t="str">
            <v>QCURA02</v>
          </cell>
          <cell r="AD3127">
            <v>65500</v>
          </cell>
        </row>
        <row r="3128">
          <cell r="W3128" t="str">
            <v>QCURA02</v>
          </cell>
          <cell r="AD3128">
            <v>65500</v>
          </cell>
        </row>
        <row r="3129">
          <cell r="W3129" t="str">
            <v>QCURA02</v>
          </cell>
          <cell r="AD3129">
            <v>65500</v>
          </cell>
        </row>
        <row r="3130">
          <cell r="W3130" t="str">
            <v>QCURA02</v>
          </cell>
          <cell r="AD3130">
            <v>66000</v>
          </cell>
        </row>
        <row r="3131">
          <cell r="W3131" t="str">
            <v>QCURA02</v>
          </cell>
          <cell r="AD3131">
            <v>66000</v>
          </cell>
        </row>
        <row r="3132">
          <cell r="W3132" t="str">
            <v>QCURA03</v>
          </cell>
          <cell r="AD3132">
            <v>27270</v>
          </cell>
        </row>
        <row r="3133">
          <cell r="W3133" t="str">
            <v>QCURA03</v>
          </cell>
          <cell r="AD3133">
            <v>27500</v>
          </cell>
        </row>
        <row r="3134">
          <cell r="W3134" t="str">
            <v>QCURA03</v>
          </cell>
          <cell r="AD3134">
            <v>27500</v>
          </cell>
        </row>
        <row r="3135">
          <cell r="W3135" t="str">
            <v>QCURA03</v>
          </cell>
          <cell r="AD3135">
            <v>27500</v>
          </cell>
        </row>
        <row r="3136">
          <cell r="W3136" t="str">
            <v>QCURA03</v>
          </cell>
          <cell r="AD3136">
            <v>27500</v>
          </cell>
        </row>
        <row r="3137">
          <cell r="W3137" t="str">
            <v>QCURA03</v>
          </cell>
          <cell r="AD3137">
            <v>27750</v>
          </cell>
        </row>
        <row r="3138">
          <cell r="W3138" t="str">
            <v>QCURA03</v>
          </cell>
          <cell r="AD3138">
            <v>27750</v>
          </cell>
        </row>
        <row r="3139">
          <cell r="W3139" t="str">
            <v>QCURA03</v>
          </cell>
          <cell r="AD3139">
            <v>27750</v>
          </cell>
        </row>
        <row r="3140">
          <cell r="W3140" t="str">
            <v>QCURA03</v>
          </cell>
          <cell r="AD3140">
            <v>27750</v>
          </cell>
        </row>
        <row r="3141">
          <cell r="W3141" t="str">
            <v>QCURA03</v>
          </cell>
          <cell r="AD3141">
            <v>27750</v>
          </cell>
        </row>
        <row r="3142">
          <cell r="W3142" t="str">
            <v>QCURA03</v>
          </cell>
          <cell r="AD3142">
            <v>27750</v>
          </cell>
        </row>
        <row r="3143">
          <cell r="W3143" t="str">
            <v>QCURA03</v>
          </cell>
          <cell r="AD3143">
            <v>27750</v>
          </cell>
        </row>
        <row r="3144">
          <cell r="W3144" t="str">
            <v>QCURA03</v>
          </cell>
          <cell r="AD3144">
            <v>27750</v>
          </cell>
        </row>
        <row r="3145">
          <cell r="W3145" t="str">
            <v>QCURA03</v>
          </cell>
          <cell r="AD3145">
            <v>27750</v>
          </cell>
        </row>
        <row r="3146">
          <cell r="W3146" t="str">
            <v>QCURA03</v>
          </cell>
          <cell r="AD3146">
            <v>27750</v>
          </cell>
        </row>
        <row r="3147">
          <cell r="W3147" t="str">
            <v>QCURA03</v>
          </cell>
          <cell r="AD3147">
            <v>27750</v>
          </cell>
        </row>
        <row r="3148">
          <cell r="W3148" t="str">
            <v>QCURA03</v>
          </cell>
          <cell r="AD3148">
            <v>27750</v>
          </cell>
        </row>
        <row r="3149">
          <cell r="W3149" t="str">
            <v>QCURA03</v>
          </cell>
          <cell r="AD3149">
            <v>27750</v>
          </cell>
        </row>
        <row r="3150">
          <cell r="W3150" t="str">
            <v>QCURA03</v>
          </cell>
          <cell r="AD3150">
            <v>27750</v>
          </cell>
        </row>
        <row r="3151">
          <cell r="W3151" t="str">
            <v>QCURA03</v>
          </cell>
          <cell r="AD3151">
            <v>27750</v>
          </cell>
        </row>
        <row r="3152">
          <cell r="W3152" t="str">
            <v>QCURA03</v>
          </cell>
          <cell r="AD3152">
            <v>27800</v>
          </cell>
        </row>
        <row r="3153">
          <cell r="W3153" t="str">
            <v>QCURA03</v>
          </cell>
          <cell r="AD3153">
            <v>28000</v>
          </cell>
        </row>
        <row r="3154">
          <cell r="W3154" t="str">
            <v>QCURA03</v>
          </cell>
          <cell r="AD3154">
            <v>28000</v>
          </cell>
        </row>
        <row r="3155">
          <cell r="W3155" t="str">
            <v>QCURA03</v>
          </cell>
          <cell r="AD3155">
            <v>28000</v>
          </cell>
        </row>
        <row r="3156">
          <cell r="W3156" t="str">
            <v>QCURA03</v>
          </cell>
          <cell r="AD3156">
            <v>28000</v>
          </cell>
        </row>
        <row r="3157">
          <cell r="W3157" t="str">
            <v>QCURA03</v>
          </cell>
          <cell r="AD3157">
            <v>28000</v>
          </cell>
        </row>
        <row r="3158">
          <cell r="W3158" t="str">
            <v>QCURA03</v>
          </cell>
          <cell r="AD3158">
            <v>28000</v>
          </cell>
        </row>
        <row r="3159">
          <cell r="W3159" t="str">
            <v>QCURA03</v>
          </cell>
          <cell r="AD3159">
            <v>28000</v>
          </cell>
        </row>
        <row r="3160">
          <cell r="W3160" t="str">
            <v>QCURA03</v>
          </cell>
          <cell r="AD3160">
            <v>28000</v>
          </cell>
        </row>
        <row r="3161">
          <cell r="W3161" t="str">
            <v>QCURA03</v>
          </cell>
          <cell r="AD3161">
            <v>28000</v>
          </cell>
        </row>
        <row r="3162">
          <cell r="W3162" t="str">
            <v>QCURA03</v>
          </cell>
          <cell r="AD3162">
            <v>28000</v>
          </cell>
        </row>
        <row r="3163">
          <cell r="W3163" t="str">
            <v>QCURA03</v>
          </cell>
          <cell r="AD3163">
            <v>28000</v>
          </cell>
        </row>
        <row r="3164">
          <cell r="W3164" t="str">
            <v>QCURA03</v>
          </cell>
          <cell r="AD3164">
            <v>28000</v>
          </cell>
        </row>
        <row r="3165">
          <cell r="W3165" t="str">
            <v>QCURA03</v>
          </cell>
          <cell r="AD3165">
            <v>28000</v>
          </cell>
        </row>
        <row r="3166">
          <cell r="W3166" t="str">
            <v>QCURA03</v>
          </cell>
          <cell r="AD3166">
            <v>28000</v>
          </cell>
        </row>
        <row r="3167">
          <cell r="W3167" t="str">
            <v>QCURA03</v>
          </cell>
          <cell r="AD3167">
            <v>28000</v>
          </cell>
        </row>
        <row r="3168">
          <cell r="W3168" t="str">
            <v>QCURA03</v>
          </cell>
          <cell r="AD3168">
            <v>28000</v>
          </cell>
        </row>
        <row r="3169">
          <cell r="W3169" t="str">
            <v>QCURA03</v>
          </cell>
          <cell r="AD3169">
            <v>28000</v>
          </cell>
        </row>
        <row r="3170">
          <cell r="W3170" t="str">
            <v>QCURA03</v>
          </cell>
          <cell r="AD3170">
            <v>28000</v>
          </cell>
        </row>
        <row r="3171">
          <cell r="W3171" t="str">
            <v>QCURA03</v>
          </cell>
          <cell r="AD3171">
            <v>28000</v>
          </cell>
        </row>
        <row r="3172">
          <cell r="W3172" t="str">
            <v>QCURA03</v>
          </cell>
          <cell r="AD3172">
            <v>28000</v>
          </cell>
        </row>
        <row r="3173">
          <cell r="W3173" t="str">
            <v>QCURA03</v>
          </cell>
          <cell r="AD3173">
            <v>28000</v>
          </cell>
        </row>
        <row r="3174">
          <cell r="W3174" t="str">
            <v>QCURA03</v>
          </cell>
          <cell r="AD3174">
            <v>28000</v>
          </cell>
        </row>
        <row r="3175">
          <cell r="W3175" t="str">
            <v>QCURA03</v>
          </cell>
          <cell r="AD3175">
            <v>28000</v>
          </cell>
        </row>
        <row r="3176">
          <cell r="W3176" t="str">
            <v>QCURA03</v>
          </cell>
          <cell r="AD3176">
            <v>28000</v>
          </cell>
        </row>
        <row r="3177">
          <cell r="W3177" t="str">
            <v>QCURA03</v>
          </cell>
          <cell r="AD3177">
            <v>28000</v>
          </cell>
        </row>
        <row r="3178">
          <cell r="W3178" t="str">
            <v>QCURA03</v>
          </cell>
          <cell r="AD3178">
            <v>28000</v>
          </cell>
        </row>
        <row r="3179">
          <cell r="W3179" t="str">
            <v>QCURA03</v>
          </cell>
          <cell r="AD3179">
            <v>28000</v>
          </cell>
        </row>
        <row r="3180">
          <cell r="W3180" t="str">
            <v>QCURA03</v>
          </cell>
          <cell r="AD3180">
            <v>28000</v>
          </cell>
        </row>
        <row r="3181">
          <cell r="W3181" t="str">
            <v>QCURA03</v>
          </cell>
          <cell r="AD3181">
            <v>28250</v>
          </cell>
        </row>
        <row r="3182">
          <cell r="W3182" t="str">
            <v>QCURA03</v>
          </cell>
          <cell r="AD3182">
            <v>28250</v>
          </cell>
        </row>
        <row r="3183">
          <cell r="W3183" t="str">
            <v>QCURA03</v>
          </cell>
          <cell r="AD3183">
            <v>28250</v>
          </cell>
        </row>
        <row r="3184">
          <cell r="W3184" t="str">
            <v>QCURA03</v>
          </cell>
          <cell r="AD3184">
            <v>28500</v>
          </cell>
        </row>
        <row r="3185">
          <cell r="W3185" t="str">
            <v>QCURA03</v>
          </cell>
          <cell r="AD3185">
            <v>28500</v>
          </cell>
        </row>
        <row r="3186">
          <cell r="W3186" t="str">
            <v>QCURA03</v>
          </cell>
          <cell r="AD3186">
            <v>28500</v>
          </cell>
        </row>
        <row r="3187">
          <cell r="W3187" t="str">
            <v>QCURA04</v>
          </cell>
          <cell r="AD3187">
            <v>41000</v>
          </cell>
        </row>
        <row r="3188">
          <cell r="W3188" t="str">
            <v>QCURA04</v>
          </cell>
          <cell r="AD3188">
            <v>41000</v>
          </cell>
        </row>
        <row r="3189">
          <cell r="W3189" t="str">
            <v>QCYMA02</v>
          </cell>
          <cell r="AD3189">
            <v>52500</v>
          </cell>
        </row>
        <row r="3190">
          <cell r="W3190" t="str">
            <v>QCYMA02</v>
          </cell>
          <cell r="AD3190">
            <v>52500</v>
          </cell>
        </row>
        <row r="3191">
          <cell r="W3191" t="str">
            <v>QCYMA02</v>
          </cell>
          <cell r="AD3191">
            <v>52500</v>
          </cell>
        </row>
        <row r="3192">
          <cell r="W3192" t="str">
            <v>QCYMA01</v>
          </cell>
          <cell r="AD3192">
            <v>31500</v>
          </cell>
        </row>
        <row r="3193">
          <cell r="W3193" t="str">
            <v>QCYMB01</v>
          </cell>
          <cell r="AD3193">
            <v>18450</v>
          </cell>
        </row>
        <row r="3194">
          <cell r="W3194" t="str">
            <v>QCYMB01</v>
          </cell>
          <cell r="AD3194">
            <v>18450</v>
          </cell>
        </row>
        <row r="3195">
          <cell r="W3195" t="str">
            <v>QCYMB01</v>
          </cell>
          <cell r="AD3195">
            <v>19000</v>
          </cell>
        </row>
        <row r="3196">
          <cell r="W3196" t="str">
            <v>QCYMB03</v>
          </cell>
          <cell r="AD3196">
            <v>45700</v>
          </cell>
        </row>
        <row r="3197">
          <cell r="W3197" t="str">
            <v>QCYMO02</v>
          </cell>
          <cell r="AD3197">
            <v>34000</v>
          </cell>
        </row>
        <row r="3198">
          <cell r="W3198" t="str">
            <v>QCYMO02</v>
          </cell>
          <cell r="AD3198">
            <v>34500</v>
          </cell>
        </row>
        <row r="3199">
          <cell r="W3199" t="str">
            <v>QCYMO02</v>
          </cell>
          <cell r="AD3199">
            <v>34500</v>
          </cell>
        </row>
        <row r="3200">
          <cell r="W3200" t="str">
            <v>QCYMO02</v>
          </cell>
          <cell r="AD3200">
            <v>34500</v>
          </cell>
        </row>
        <row r="3201">
          <cell r="W3201" t="str">
            <v>QCYMO02</v>
          </cell>
          <cell r="AD3201">
            <v>35000</v>
          </cell>
        </row>
        <row r="3202">
          <cell r="W3202" t="str">
            <v>QCYMO02</v>
          </cell>
          <cell r="AD3202">
            <v>36500</v>
          </cell>
        </row>
        <row r="3203">
          <cell r="W3203" t="str">
            <v>QCYPR01</v>
          </cell>
          <cell r="AD3203">
            <v>190000</v>
          </cell>
        </row>
        <row r="3204">
          <cell r="W3204" t="str">
            <v>QDAME01</v>
          </cell>
          <cell r="AD3204">
            <v>200000</v>
          </cell>
        </row>
        <row r="3205">
          <cell r="W3205" t="str">
            <v>QDAME01</v>
          </cell>
          <cell r="AD3205">
            <v>200000</v>
          </cell>
        </row>
        <row r="3206">
          <cell r="W3206" t="str">
            <v>QDAME01</v>
          </cell>
          <cell r="AD3206">
            <v>208000</v>
          </cell>
        </row>
        <row r="3207">
          <cell r="W3207" t="str">
            <v>QDAME01</v>
          </cell>
          <cell r="AD3207">
            <v>210000</v>
          </cell>
        </row>
        <row r="3208">
          <cell r="W3208" t="str">
            <v>QDAME01</v>
          </cell>
          <cell r="AD3208">
            <v>210000</v>
          </cell>
        </row>
        <row r="3209">
          <cell r="W3209" t="str">
            <v>QDAME01</v>
          </cell>
          <cell r="AD3209">
            <v>210000</v>
          </cell>
        </row>
        <row r="3210">
          <cell r="W3210" t="str">
            <v>QDAME01</v>
          </cell>
          <cell r="AD3210">
            <v>210000</v>
          </cell>
        </row>
        <row r="3211">
          <cell r="W3211" t="str">
            <v>QDAME01</v>
          </cell>
          <cell r="AD3211">
            <v>210000</v>
          </cell>
        </row>
        <row r="3212">
          <cell r="W3212" t="str">
            <v>QDAME01</v>
          </cell>
          <cell r="AD3212">
            <v>210000</v>
          </cell>
        </row>
        <row r="3213">
          <cell r="W3213" t="str">
            <v>QDAME01</v>
          </cell>
          <cell r="AD3213">
            <v>210000</v>
          </cell>
        </row>
        <row r="3214">
          <cell r="W3214" t="str">
            <v>QDAME01</v>
          </cell>
          <cell r="AD3214">
            <v>210000</v>
          </cell>
        </row>
        <row r="3215">
          <cell r="W3215" t="str">
            <v>QDAME01</v>
          </cell>
          <cell r="AD3215">
            <v>210000</v>
          </cell>
        </row>
        <row r="3216">
          <cell r="W3216" t="str">
            <v>QDAME01</v>
          </cell>
          <cell r="AD3216">
            <v>210000</v>
          </cell>
        </row>
        <row r="3217">
          <cell r="W3217" t="str">
            <v>QDAME02</v>
          </cell>
          <cell r="AD3217">
            <v>115000</v>
          </cell>
        </row>
        <row r="3218">
          <cell r="W3218" t="str">
            <v>QDAME02</v>
          </cell>
          <cell r="AD3218">
            <v>115000</v>
          </cell>
        </row>
        <row r="3219">
          <cell r="W3219" t="str">
            <v>QDAPP01</v>
          </cell>
          <cell r="AD3219">
            <v>77000</v>
          </cell>
        </row>
        <row r="3220">
          <cell r="W3220" t="str">
            <v>QDAPP01</v>
          </cell>
          <cell r="AD3220">
            <v>77000</v>
          </cell>
        </row>
        <row r="3221">
          <cell r="W3221" t="str">
            <v>QDAPP01</v>
          </cell>
          <cell r="AD3221">
            <v>86000</v>
          </cell>
        </row>
        <row r="3222">
          <cell r="W3222" t="str">
            <v>QDAPP01</v>
          </cell>
          <cell r="AD3222">
            <v>88500</v>
          </cell>
        </row>
        <row r="3223">
          <cell r="W3223" t="str">
            <v>QDECI01</v>
          </cell>
          <cell r="AD3223">
            <v>23300</v>
          </cell>
        </row>
        <row r="3224">
          <cell r="W3224" t="str">
            <v>QDECI01</v>
          </cell>
          <cell r="AD3224">
            <v>23300</v>
          </cell>
        </row>
        <row r="3225">
          <cell r="W3225" t="str">
            <v>QDECI01</v>
          </cell>
          <cell r="AD3225">
            <v>23300</v>
          </cell>
        </row>
        <row r="3226">
          <cell r="W3226" t="str">
            <v>QDECI01</v>
          </cell>
          <cell r="AD3226">
            <v>23300</v>
          </cell>
        </row>
        <row r="3227">
          <cell r="W3227" t="str">
            <v>QDECI01</v>
          </cell>
          <cell r="AD3227">
            <v>23500</v>
          </cell>
        </row>
        <row r="3228">
          <cell r="W3228" t="str">
            <v>QDECI01</v>
          </cell>
          <cell r="AD3228">
            <v>23500</v>
          </cell>
        </row>
        <row r="3229">
          <cell r="W3229" t="str">
            <v>QDECI01</v>
          </cell>
          <cell r="AD3229">
            <v>23500</v>
          </cell>
        </row>
        <row r="3230">
          <cell r="W3230" t="str">
            <v>QDECI01</v>
          </cell>
          <cell r="AD3230">
            <v>23500</v>
          </cell>
        </row>
        <row r="3231">
          <cell r="W3231" t="str">
            <v>QDECI01</v>
          </cell>
          <cell r="AD3231">
            <v>23500</v>
          </cell>
        </row>
        <row r="3232">
          <cell r="W3232" t="str">
            <v>QDECI01</v>
          </cell>
          <cell r="AD3232">
            <v>23500</v>
          </cell>
        </row>
        <row r="3233">
          <cell r="W3233" t="str">
            <v>QDECI01</v>
          </cell>
          <cell r="AD3233">
            <v>23500</v>
          </cell>
        </row>
        <row r="3234">
          <cell r="W3234" t="str">
            <v>QDECI01</v>
          </cell>
          <cell r="AD3234">
            <v>23500</v>
          </cell>
        </row>
        <row r="3235">
          <cell r="W3235" t="str">
            <v>QDECI01</v>
          </cell>
          <cell r="AD3235">
            <v>23500</v>
          </cell>
        </row>
        <row r="3236">
          <cell r="W3236" t="str">
            <v>QDECI01</v>
          </cell>
          <cell r="AD3236">
            <v>23500</v>
          </cell>
        </row>
        <row r="3237">
          <cell r="W3237" t="str">
            <v>QDECI01</v>
          </cell>
          <cell r="AD3237">
            <v>23500</v>
          </cell>
        </row>
        <row r="3238">
          <cell r="W3238" t="str">
            <v>QDECI01</v>
          </cell>
          <cell r="AD3238">
            <v>23500</v>
          </cell>
        </row>
        <row r="3239">
          <cell r="W3239" t="str">
            <v>QDECI01</v>
          </cell>
          <cell r="AD3239">
            <v>23500</v>
          </cell>
        </row>
        <row r="3240">
          <cell r="W3240" t="str">
            <v>QDECI01</v>
          </cell>
          <cell r="AD3240">
            <v>23500</v>
          </cell>
        </row>
        <row r="3241">
          <cell r="W3241" t="str">
            <v>QDECI01</v>
          </cell>
          <cell r="AD3241">
            <v>23500</v>
          </cell>
        </row>
        <row r="3242">
          <cell r="W3242" t="str">
            <v>QDECI01</v>
          </cell>
          <cell r="AD3242">
            <v>23500</v>
          </cell>
        </row>
        <row r="3243">
          <cell r="W3243" t="str">
            <v>QDECI01</v>
          </cell>
          <cell r="AD3243">
            <v>23500</v>
          </cell>
        </row>
        <row r="3244">
          <cell r="W3244" t="str">
            <v>QDECI01</v>
          </cell>
          <cell r="AD3244">
            <v>23500</v>
          </cell>
        </row>
        <row r="3245">
          <cell r="W3245" t="str">
            <v>QDECI01</v>
          </cell>
          <cell r="AD3245">
            <v>23500</v>
          </cell>
        </row>
        <row r="3246">
          <cell r="W3246" t="str">
            <v>QDECI01</v>
          </cell>
          <cell r="AD3246">
            <v>23500</v>
          </cell>
        </row>
        <row r="3247">
          <cell r="W3247" t="str">
            <v>QDECI01</v>
          </cell>
          <cell r="AD3247">
            <v>23500</v>
          </cell>
        </row>
        <row r="3248">
          <cell r="W3248" t="str">
            <v>QDECI01</v>
          </cell>
          <cell r="AD3248">
            <v>23500</v>
          </cell>
        </row>
        <row r="3249">
          <cell r="W3249" t="str">
            <v>QDECI01</v>
          </cell>
          <cell r="AD3249">
            <v>23500</v>
          </cell>
        </row>
        <row r="3250">
          <cell r="W3250" t="str">
            <v>QDECI01</v>
          </cell>
          <cell r="AD3250">
            <v>23500</v>
          </cell>
        </row>
        <row r="3251">
          <cell r="W3251" t="str">
            <v>QDECI01</v>
          </cell>
          <cell r="AD3251">
            <v>23500</v>
          </cell>
        </row>
        <row r="3252">
          <cell r="W3252" t="str">
            <v>QDECI01</v>
          </cell>
          <cell r="AD3252">
            <v>23500</v>
          </cell>
        </row>
        <row r="3253">
          <cell r="W3253" t="str">
            <v>QDECI01</v>
          </cell>
          <cell r="AD3253">
            <v>23500</v>
          </cell>
        </row>
        <row r="3254">
          <cell r="W3254" t="str">
            <v>QDECI01</v>
          </cell>
          <cell r="AD3254">
            <v>23500</v>
          </cell>
        </row>
        <row r="3255">
          <cell r="W3255" t="str">
            <v>QDECI01</v>
          </cell>
          <cell r="AD3255">
            <v>23500</v>
          </cell>
        </row>
        <row r="3256">
          <cell r="W3256" t="str">
            <v>QDECI01</v>
          </cell>
          <cell r="AD3256">
            <v>23500</v>
          </cell>
        </row>
        <row r="3257">
          <cell r="W3257" t="str">
            <v>QDECI01</v>
          </cell>
          <cell r="AD3257">
            <v>23500</v>
          </cell>
        </row>
        <row r="3258">
          <cell r="W3258" t="str">
            <v>QDECI01</v>
          </cell>
          <cell r="AD3258">
            <v>23500</v>
          </cell>
        </row>
        <row r="3259">
          <cell r="W3259" t="str">
            <v>QDECI01</v>
          </cell>
          <cell r="AD3259">
            <v>23500</v>
          </cell>
        </row>
        <row r="3260">
          <cell r="W3260" t="str">
            <v>QDECI01</v>
          </cell>
          <cell r="AD3260">
            <v>23500</v>
          </cell>
        </row>
        <row r="3261">
          <cell r="W3261" t="str">
            <v>QDECI01</v>
          </cell>
          <cell r="AD3261">
            <v>23500</v>
          </cell>
        </row>
        <row r="3262">
          <cell r="W3262" t="str">
            <v>QDECI01</v>
          </cell>
          <cell r="AD3262">
            <v>23500</v>
          </cell>
        </row>
        <row r="3263">
          <cell r="W3263" t="str">
            <v>QDECI01</v>
          </cell>
          <cell r="AD3263">
            <v>23500</v>
          </cell>
        </row>
        <row r="3264">
          <cell r="W3264" t="str">
            <v>QDECI01</v>
          </cell>
          <cell r="AD3264">
            <v>23500</v>
          </cell>
        </row>
        <row r="3265">
          <cell r="W3265" t="str">
            <v>QDECI01</v>
          </cell>
          <cell r="AD3265">
            <v>23500</v>
          </cell>
        </row>
        <row r="3266">
          <cell r="W3266" t="str">
            <v>QDECI01</v>
          </cell>
          <cell r="AD3266">
            <v>23500</v>
          </cell>
        </row>
        <row r="3267">
          <cell r="W3267" t="str">
            <v>QDECI01</v>
          </cell>
          <cell r="AD3267">
            <v>23500</v>
          </cell>
        </row>
        <row r="3268">
          <cell r="W3268" t="str">
            <v>QDECI01</v>
          </cell>
          <cell r="AD3268">
            <v>23500</v>
          </cell>
        </row>
        <row r="3269">
          <cell r="W3269" t="str">
            <v>QDECI01</v>
          </cell>
          <cell r="AD3269">
            <v>23500</v>
          </cell>
        </row>
        <row r="3270">
          <cell r="W3270" t="str">
            <v>QDECI01</v>
          </cell>
          <cell r="AD3270">
            <v>23500</v>
          </cell>
        </row>
        <row r="3271">
          <cell r="W3271" t="str">
            <v>QDECI01</v>
          </cell>
          <cell r="AD3271">
            <v>23500</v>
          </cell>
        </row>
        <row r="3272">
          <cell r="W3272" t="str">
            <v>QDECI01</v>
          </cell>
          <cell r="AD3272">
            <v>23500</v>
          </cell>
        </row>
        <row r="3273">
          <cell r="W3273" t="str">
            <v>QDECI01</v>
          </cell>
          <cell r="AD3273">
            <v>23500</v>
          </cell>
        </row>
        <row r="3274">
          <cell r="W3274" t="str">
            <v>QDECI01</v>
          </cell>
          <cell r="AD3274">
            <v>23500</v>
          </cell>
        </row>
        <row r="3275">
          <cell r="W3275" t="str">
            <v>QDECI01</v>
          </cell>
          <cell r="AD3275">
            <v>23500</v>
          </cell>
        </row>
        <row r="3276">
          <cell r="W3276" t="str">
            <v>QDECI01</v>
          </cell>
          <cell r="AD3276">
            <v>23500</v>
          </cell>
        </row>
        <row r="3277">
          <cell r="W3277" t="str">
            <v>QDECI01</v>
          </cell>
          <cell r="AD3277">
            <v>23500</v>
          </cell>
        </row>
        <row r="3278">
          <cell r="W3278" t="str">
            <v>QDECI01</v>
          </cell>
          <cell r="AD3278">
            <v>23500</v>
          </cell>
        </row>
        <row r="3279">
          <cell r="W3279" t="str">
            <v>QDECI01</v>
          </cell>
          <cell r="AD3279">
            <v>23500</v>
          </cell>
        </row>
        <row r="3280">
          <cell r="W3280" t="str">
            <v>QDECI01</v>
          </cell>
          <cell r="AD3280">
            <v>23500</v>
          </cell>
        </row>
        <row r="3281">
          <cell r="W3281" t="str">
            <v>QDECI01</v>
          </cell>
          <cell r="AD3281">
            <v>23500</v>
          </cell>
        </row>
        <row r="3282">
          <cell r="W3282" t="str">
            <v>QDECI01</v>
          </cell>
          <cell r="AD3282">
            <v>23500</v>
          </cell>
        </row>
        <row r="3283">
          <cell r="W3283" t="str">
            <v>QDECI01</v>
          </cell>
          <cell r="AD3283">
            <v>23500</v>
          </cell>
        </row>
        <row r="3284">
          <cell r="W3284" t="str">
            <v>QDECI01</v>
          </cell>
          <cell r="AD3284">
            <v>23500</v>
          </cell>
        </row>
        <row r="3285">
          <cell r="W3285" t="str">
            <v>QDECI01</v>
          </cell>
          <cell r="AD3285">
            <v>23750</v>
          </cell>
        </row>
        <row r="3286">
          <cell r="W3286" t="str">
            <v>QDECI01</v>
          </cell>
          <cell r="AD3286">
            <v>23750</v>
          </cell>
        </row>
        <row r="3287">
          <cell r="W3287" t="str">
            <v>QDECI01</v>
          </cell>
          <cell r="AD3287">
            <v>23750</v>
          </cell>
        </row>
        <row r="3288">
          <cell r="W3288" t="str">
            <v>QDECI01</v>
          </cell>
          <cell r="AD3288">
            <v>23750</v>
          </cell>
        </row>
        <row r="3289">
          <cell r="W3289" t="str">
            <v>QDECI01</v>
          </cell>
          <cell r="AD3289">
            <v>23750</v>
          </cell>
        </row>
        <row r="3290">
          <cell r="W3290" t="str">
            <v>QDECI01</v>
          </cell>
          <cell r="AD3290">
            <v>23750</v>
          </cell>
        </row>
        <row r="3291">
          <cell r="W3291" t="str">
            <v>QDECI01</v>
          </cell>
          <cell r="AD3291">
            <v>23750</v>
          </cell>
        </row>
        <row r="3292">
          <cell r="W3292" t="str">
            <v>QDECI01</v>
          </cell>
          <cell r="AD3292">
            <v>23750</v>
          </cell>
        </row>
        <row r="3293">
          <cell r="W3293" t="str">
            <v>QDECI01</v>
          </cell>
          <cell r="AD3293">
            <v>23750</v>
          </cell>
        </row>
        <row r="3294">
          <cell r="W3294" t="str">
            <v>QDECI01</v>
          </cell>
          <cell r="AD3294">
            <v>23750</v>
          </cell>
        </row>
        <row r="3295">
          <cell r="W3295" t="str">
            <v>QDECI01</v>
          </cell>
          <cell r="AD3295">
            <v>23750</v>
          </cell>
        </row>
        <row r="3296">
          <cell r="W3296" t="str">
            <v>QDECI01</v>
          </cell>
          <cell r="AD3296">
            <v>23800</v>
          </cell>
        </row>
        <row r="3297">
          <cell r="W3297" t="str">
            <v>QDECI02</v>
          </cell>
          <cell r="AD3297">
            <v>12900</v>
          </cell>
        </row>
        <row r="3298">
          <cell r="W3298" t="str">
            <v>QDECI02</v>
          </cell>
          <cell r="AD3298">
            <v>12900</v>
          </cell>
        </row>
        <row r="3299">
          <cell r="W3299" t="str">
            <v>QDECI02</v>
          </cell>
          <cell r="AD3299">
            <v>12950</v>
          </cell>
        </row>
        <row r="3300">
          <cell r="W3300" t="str">
            <v>QDECI02</v>
          </cell>
          <cell r="AD3300">
            <v>13000</v>
          </cell>
        </row>
        <row r="3301">
          <cell r="W3301" t="str">
            <v>QDECI02</v>
          </cell>
          <cell r="AD3301">
            <v>13000</v>
          </cell>
        </row>
        <row r="3302">
          <cell r="W3302" t="str">
            <v>QDECI02</v>
          </cell>
          <cell r="AD3302">
            <v>13000</v>
          </cell>
        </row>
        <row r="3303">
          <cell r="W3303" t="str">
            <v>QDECI02</v>
          </cell>
          <cell r="AD3303">
            <v>13000</v>
          </cell>
        </row>
        <row r="3304">
          <cell r="W3304" t="str">
            <v>QDECI02</v>
          </cell>
          <cell r="AD3304">
            <v>13000</v>
          </cell>
        </row>
        <row r="3305">
          <cell r="W3305" t="str">
            <v>QDECI02</v>
          </cell>
          <cell r="AD3305">
            <v>13000</v>
          </cell>
        </row>
        <row r="3306">
          <cell r="W3306" t="str">
            <v>QDECI02</v>
          </cell>
          <cell r="AD3306">
            <v>13050</v>
          </cell>
        </row>
        <row r="3307">
          <cell r="W3307" t="str">
            <v>QDECI02</v>
          </cell>
          <cell r="AD3307">
            <v>13050</v>
          </cell>
        </row>
        <row r="3308">
          <cell r="W3308" t="str">
            <v>QDECI02</v>
          </cell>
          <cell r="AD3308">
            <v>13050</v>
          </cell>
        </row>
        <row r="3309">
          <cell r="W3309" t="str">
            <v>QDECI02</v>
          </cell>
          <cell r="AD3309">
            <v>13050</v>
          </cell>
        </row>
        <row r="3310">
          <cell r="W3310" t="str">
            <v>QDECI02</v>
          </cell>
          <cell r="AD3310">
            <v>13050</v>
          </cell>
        </row>
        <row r="3311">
          <cell r="W3311" t="str">
            <v>QDECI02</v>
          </cell>
          <cell r="AD3311">
            <v>13050</v>
          </cell>
        </row>
        <row r="3312">
          <cell r="W3312" t="str">
            <v>QDECI02</v>
          </cell>
          <cell r="AD3312">
            <v>13050</v>
          </cell>
        </row>
        <row r="3313">
          <cell r="W3313" t="str">
            <v>QDECI02</v>
          </cell>
          <cell r="AD3313">
            <v>13050</v>
          </cell>
        </row>
        <row r="3314">
          <cell r="W3314" t="str">
            <v>QDECI02</v>
          </cell>
          <cell r="AD3314">
            <v>13050</v>
          </cell>
        </row>
        <row r="3315">
          <cell r="W3315" t="str">
            <v>QDECI02</v>
          </cell>
          <cell r="AD3315">
            <v>13050</v>
          </cell>
        </row>
        <row r="3316">
          <cell r="W3316" t="str">
            <v>QDECI02</v>
          </cell>
          <cell r="AD3316">
            <v>13050</v>
          </cell>
        </row>
        <row r="3317">
          <cell r="W3317" t="str">
            <v>QDECI02</v>
          </cell>
          <cell r="AD3317">
            <v>13050</v>
          </cell>
        </row>
        <row r="3318">
          <cell r="W3318" t="str">
            <v>QDECI02</v>
          </cell>
          <cell r="AD3318">
            <v>13050</v>
          </cell>
        </row>
        <row r="3319">
          <cell r="W3319" t="str">
            <v>QDECI02</v>
          </cell>
          <cell r="AD3319">
            <v>13050</v>
          </cell>
        </row>
        <row r="3320">
          <cell r="W3320" t="str">
            <v>QDECI02</v>
          </cell>
          <cell r="AD3320">
            <v>13050</v>
          </cell>
        </row>
        <row r="3321">
          <cell r="W3321" t="str">
            <v>QDECI02</v>
          </cell>
          <cell r="AD3321">
            <v>13050</v>
          </cell>
        </row>
        <row r="3322">
          <cell r="W3322" t="str">
            <v>QDECI02</v>
          </cell>
          <cell r="AD3322">
            <v>13050</v>
          </cell>
        </row>
        <row r="3323">
          <cell r="W3323" t="str">
            <v>QDECI02</v>
          </cell>
          <cell r="AD3323">
            <v>13050</v>
          </cell>
        </row>
        <row r="3324">
          <cell r="W3324" t="str">
            <v>QDECI02</v>
          </cell>
          <cell r="AD3324">
            <v>13050</v>
          </cell>
        </row>
        <row r="3325">
          <cell r="W3325" t="str">
            <v>QDECI02</v>
          </cell>
          <cell r="AD3325">
            <v>13050</v>
          </cell>
        </row>
        <row r="3326">
          <cell r="W3326" t="str">
            <v>QDECI02</v>
          </cell>
          <cell r="AD3326">
            <v>13050</v>
          </cell>
        </row>
        <row r="3327">
          <cell r="W3327" t="str">
            <v>QDECI02</v>
          </cell>
          <cell r="AD3327">
            <v>13050</v>
          </cell>
        </row>
        <row r="3328">
          <cell r="W3328" t="str">
            <v>QDECI02</v>
          </cell>
          <cell r="AD3328">
            <v>13050</v>
          </cell>
        </row>
        <row r="3329">
          <cell r="W3329" t="str">
            <v>QDECI02</v>
          </cell>
          <cell r="AD3329">
            <v>13050</v>
          </cell>
        </row>
        <row r="3330">
          <cell r="W3330" t="str">
            <v>QDECI02</v>
          </cell>
          <cell r="AD3330">
            <v>13050</v>
          </cell>
        </row>
        <row r="3331">
          <cell r="W3331" t="str">
            <v>QDECI02</v>
          </cell>
          <cell r="AD3331">
            <v>13050</v>
          </cell>
        </row>
        <row r="3332">
          <cell r="W3332" t="str">
            <v>QDECI02</v>
          </cell>
          <cell r="AD3332">
            <v>13050</v>
          </cell>
        </row>
        <row r="3333">
          <cell r="W3333" t="str">
            <v>QDECI02</v>
          </cell>
          <cell r="AD3333">
            <v>13050</v>
          </cell>
        </row>
        <row r="3334">
          <cell r="W3334" t="str">
            <v>QDECI02</v>
          </cell>
          <cell r="AD3334">
            <v>13050</v>
          </cell>
        </row>
        <row r="3335">
          <cell r="W3335" t="str">
            <v>QDECI02</v>
          </cell>
          <cell r="AD3335">
            <v>13050</v>
          </cell>
        </row>
        <row r="3336">
          <cell r="W3336" t="str">
            <v>QDECI02</v>
          </cell>
          <cell r="AD3336">
            <v>13050</v>
          </cell>
        </row>
        <row r="3337">
          <cell r="W3337" t="str">
            <v>QDECI02</v>
          </cell>
          <cell r="AD3337">
            <v>13050</v>
          </cell>
        </row>
        <row r="3338">
          <cell r="W3338" t="str">
            <v>QDECI02</v>
          </cell>
          <cell r="AD3338">
            <v>13050</v>
          </cell>
        </row>
        <row r="3339">
          <cell r="W3339" t="str">
            <v>QDECI02</v>
          </cell>
          <cell r="AD3339">
            <v>13050</v>
          </cell>
        </row>
        <row r="3340">
          <cell r="W3340" t="str">
            <v>QDECI02</v>
          </cell>
          <cell r="AD3340">
            <v>13050</v>
          </cell>
        </row>
        <row r="3341">
          <cell r="W3341" t="str">
            <v>QDECI02</v>
          </cell>
          <cell r="AD3341">
            <v>13050</v>
          </cell>
        </row>
        <row r="3342">
          <cell r="W3342" t="str">
            <v>QDECI02</v>
          </cell>
          <cell r="AD3342">
            <v>13050</v>
          </cell>
        </row>
        <row r="3343">
          <cell r="W3343" t="str">
            <v>QDECI02</v>
          </cell>
          <cell r="AD3343">
            <v>13050</v>
          </cell>
        </row>
        <row r="3344">
          <cell r="W3344" t="str">
            <v>QDECI02</v>
          </cell>
          <cell r="AD3344">
            <v>13050</v>
          </cell>
        </row>
        <row r="3345">
          <cell r="W3345" t="str">
            <v>QDECI02</v>
          </cell>
          <cell r="AD3345">
            <v>13050</v>
          </cell>
        </row>
        <row r="3346">
          <cell r="W3346" t="str">
            <v>QDECI02</v>
          </cell>
          <cell r="AD3346">
            <v>13050</v>
          </cell>
        </row>
        <row r="3347">
          <cell r="W3347" t="str">
            <v>QDECI02</v>
          </cell>
          <cell r="AD3347">
            <v>13050</v>
          </cell>
        </row>
        <row r="3348">
          <cell r="W3348" t="str">
            <v>QDECI02</v>
          </cell>
          <cell r="AD3348">
            <v>13050</v>
          </cell>
        </row>
        <row r="3349">
          <cell r="W3349" t="str">
            <v>QDECI02</v>
          </cell>
          <cell r="AD3349">
            <v>13050</v>
          </cell>
        </row>
        <row r="3350">
          <cell r="W3350" t="str">
            <v>QDECI02</v>
          </cell>
          <cell r="AD3350">
            <v>13050</v>
          </cell>
        </row>
        <row r="3351">
          <cell r="W3351" t="str">
            <v>QDECI02</v>
          </cell>
          <cell r="AD3351">
            <v>13050</v>
          </cell>
        </row>
        <row r="3352">
          <cell r="W3352" t="str">
            <v>QDECI02</v>
          </cell>
          <cell r="AD3352">
            <v>13050</v>
          </cell>
        </row>
        <row r="3353">
          <cell r="W3353" t="str">
            <v>QDECI02</v>
          </cell>
          <cell r="AD3353">
            <v>13050</v>
          </cell>
        </row>
        <row r="3354">
          <cell r="W3354" t="str">
            <v>QDECI02</v>
          </cell>
          <cell r="AD3354">
            <v>13100</v>
          </cell>
        </row>
        <row r="3355">
          <cell r="W3355" t="str">
            <v>QDECI02</v>
          </cell>
          <cell r="AD3355">
            <v>13100</v>
          </cell>
        </row>
        <row r="3356">
          <cell r="W3356" t="str">
            <v>QDECI02</v>
          </cell>
          <cell r="AD3356">
            <v>13100</v>
          </cell>
        </row>
        <row r="3357">
          <cell r="W3357" t="str">
            <v>QDECI02</v>
          </cell>
          <cell r="AD3357">
            <v>13100</v>
          </cell>
        </row>
        <row r="3358">
          <cell r="W3358" t="str">
            <v>QDECI02</v>
          </cell>
          <cell r="AD3358">
            <v>13100</v>
          </cell>
        </row>
        <row r="3359">
          <cell r="W3359" t="str">
            <v>QDECI02</v>
          </cell>
          <cell r="AD3359">
            <v>13100</v>
          </cell>
        </row>
        <row r="3360">
          <cell r="W3360" t="str">
            <v>QDECI02</v>
          </cell>
          <cell r="AD3360">
            <v>13100</v>
          </cell>
        </row>
        <row r="3361">
          <cell r="W3361" t="str">
            <v>QDECI02</v>
          </cell>
          <cell r="AD3361">
            <v>13100</v>
          </cell>
        </row>
        <row r="3362">
          <cell r="W3362" t="str">
            <v>QDECI02</v>
          </cell>
          <cell r="AD3362">
            <v>13100</v>
          </cell>
        </row>
        <row r="3363">
          <cell r="W3363" t="str">
            <v>QDECI02</v>
          </cell>
          <cell r="AD3363">
            <v>13100</v>
          </cell>
        </row>
        <row r="3364">
          <cell r="W3364" t="str">
            <v>QDECI02</v>
          </cell>
          <cell r="AD3364">
            <v>13100</v>
          </cell>
        </row>
        <row r="3365">
          <cell r="W3365" t="str">
            <v>QDECI02</v>
          </cell>
          <cell r="AD3365">
            <v>13100</v>
          </cell>
        </row>
        <row r="3366">
          <cell r="W3366" t="str">
            <v>QDECI02</v>
          </cell>
          <cell r="AD3366">
            <v>13100</v>
          </cell>
        </row>
        <row r="3367">
          <cell r="W3367" t="str">
            <v>QDECI02</v>
          </cell>
          <cell r="AD3367">
            <v>13100</v>
          </cell>
        </row>
        <row r="3368">
          <cell r="W3368" t="str">
            <v>QDECI02</v>
          </cell>
          <cell r="AD3368">
            <v>13100</v>
          </cell>
        </row>
        <row r="3369">
          <cell r="W3369" t="str">
            <v>QDECI02</v>
          </cell>
          <cell r="AD3369">
            <v>13100</v>
          </cell>
        </row>
        <row r="3370">
          <cell r="W3370" t="str">
            <v>QDECI02</v>
          </cell>
          <cell r="AD3370">
            <v>13100</v>
          </cell>
        </row>
        <row r="3371">
          <cell r="W3371" t="str">
            <v>QDECI02</v>
          </cell>
          <cell r="AD3371">
            <v>13100</v>
          </cell>
        </row>
        <row r="3372">
          <cell r="W3372" t="str">
            <v>QDECI02</v>
          </cell>
          <cell r="AD3372">
            <v>13100</v>
          </cell>
        </row>
        <row r="3373">
          <cell r="W3373" t="str">
            <v>QDECI02</v>
          </cell>
          <cell r="AD3373">
            <v>13100</v>
          </cell>
        </row>
        <row r="3374">
          <cell r="W3374" t="str">
            <v>QDECI02</v>
          </cell>
          <cell r="AD3374">
            <v>13100</v>
          </cell>
        </row>
        <row r="3375">
          <cell r="W3375" t="str">
            <v>QDECI02</v>
          </cell>
          <cell r="AD3375">
            <v>13100</v>
          </cell>
        </row>
        <row r="3376">
          <cell r="W3376" t="str">
            <v>QDECI02</v>
          </cell>
          <cell r="AD3376">
            <v>13100</v>
          </cell>
        </row>
        <row r="3377">
          <cell r="W3377" t="str">
            <v>QDECI02</v>
          </cell>
          <cell r="AD3377">
            <v>13100</v>
          </cell>
        </row>
        <row r="3378">
          <cell r="W3378" t="str">
            <v>QDECI02</v>
          </cell>
          <cell r="AD3378">
            <v>13100</v>
          </cell>
        </row>
        <row r="3379">
          <cell r="W3379" t="str">
            <v>QDECI02</v>
          </cell>
          <cell r="AD3379">
            <v>13100</v>
          </cell>
        </row>
        <row r="3380">
          <cell r="W3380" t="str">
            <v>QDECI02</v>
          </cell>
          <cell r="AD3380">
            <v>13100</v>
          </cell>
        </row>
        <row r="3381">
          <cell r="W3381" t="str">
            <v>QDECI02</v>
          </cell>
          <cell r="AD3381">
            <v>13100</v>
          </cell>
        </row>
        <row r="3382">
          <cell r="W3382" t="str">
            <v>QDECI02</v>
          </cell>
          <cell r="AD3382">
            <v>13150</v>
          </cell>
        </row>
        <row r="3383">
          <cell r="W3383" t="str">
            <v>QDECI02</v>
          </cell>
          <cell r="AD3383">
            <v>13250</v>
          </cell>
        </row>
        <row r="3384">
          <cell r="W3384" t="str">
            <v>QDECI02</v>
          </cell>
          <cell r="AD3384">
            <v>13250</v>
          </cell>
        </row>
        <row r="3385">
          <cell r="W3385" t="str">
            <v>QDECI02</v>
          </cell>
          <cell r="AD3385">
            <v>13250</v>
          </cell>
        </row>
        <row r="3386">
          <cell r="W3386" t="str">
            <v>QDECI02</v>
          </cell>
          <cell r="AD3386">
            <v>13250</v>
          </cell>
        </row>
        <row r="3387">
          <cell r="W3387" t="str">
            <v>QDECI02</v>
          </cell>
          <cell r="AD3387">
            <v>13250</v>
          </cell>
        </row>
        <row r="3388">
          <cell r="W3388" t="str">
            <v>QDECI02</v>
          </cell>
          <cell r="AD3388">
            <v>13250</v>
          </cell>
        </row>
        <row r="3389">
          <cell r="W3389" t="str">
            <v>QDECI02</v>
          </cell>
          <cell r="AD3389">
            <v>13250</v>
          </cell>
        </row>
        <row r="3390">
          <cell r="W3390" t="str">
            <v>QDECI02</v>
          </cell>
          <cell r="AD3390">
            <v>13250</v>
          </cell>
        </row>
        <row r="3391">
          <cell r="W3391" t="str">
            <v>QDECI02</v>
          </cell>
          <cell r="AD3391">
            <v>13250</v>
          </cell>
        </row>
        <row r="3392">
          <cell r="W3392" t="str">
            <v>QDECI02</v>
          </cell>
          <cell r="AD3392">
            <v>13500</v>
          </cell>
        </row>
        <row r="3393">
          <cell r="W3393" t="str">
            <v>QDECI03</v>
          </cell>
          <cell r="AD3393">
            <v>106500</v>
          </cell>
        </row>
        <row r="3394">
          <cell r="W3394" t="str">
            <v>QDECI03</v>
          </cell>
          <cell r="AD3394">
            <v>107250</v>
          </cell>
        </row>
        <row r="3395">
          <cell r="W3395" t="str">
            <v>QDECI03</v>
          </cell>
          <cell r="AD3395">
            <v>107500</v>
          </cell>
        </row>
        <row r="3396">
          <cell r="W3396" t="str">
            <v>QDECI03</v>
          </cell>
          <cell r="AD3396">
            <v>107500</v>
          </cell>
        </row>
        <row r="3397">
          <cell r="W3397" t="str">
            <v>QDECI03</v>
          </cell>
          <cell r="AD3397">
            <v>107500</v>
          </cell>
        </row>
        <row r="3398">
          <cell r="W3398" t="str">
            <v>QDECI03</v>
          </cell>
          <cell r="AD3398">
            <v>107500</v>
          </cell>
        </row>
        <row r="3399">
          <cell r="W3399" t="str">
            <v>QDECI03</v>
          </cell>
          <cell r="AD3399">
            <v>107500</v>
          </cell>
        </row>
        <row r="3400">
          <cell r="W3400" t="str">
            <v>QDECI03</v>
          </cell>
          <cell r="AD3400">
            <v>107500</v>
          </cell>
        </row>
        <row r="3401">
          <cell r="W3401" t="str">
            <v>QDECI03</v>
          </cell>
          <cell r="AD3401">
            <v>107500</v>
          </cell>
        </row>
        <row r="3402">
          <cell r="W3402" t="str">
            <v>QDECI03</v>
          </cell>
          <cell r="AD3402">
            <v>107500</v>
          </cell>
        </row>
        <row r="3403">
          <cell r="W3403" t="str">
            <v>QDECI03</v>
          </cell>
          <cell r="AD3403">
            <v>107500</v>
          </cell>
        </row>
        <row r="3404">
          <cell r="W3404" t="str">
            <v>QDECI03</v>
          </cell>
          <cell r="AD3404">
            <v>107500</v>
          </cell>
        </row>
        <row r="3405">
          <cell r="W3405" t="str">
            <v>QDECI03</v>
          </cell>
          <cell r="AD3405">
            <v>107500</v>
          </cell>
        </row>
        <row r="3406">
          <cell r="W3406" t="str">
            <v>QDECI03</v>
          </cell>
          <cell r="AD3406">
            <v>107500</v>
          </cell>
        </row>
        <row r="3407">
          <cell r="W3407" t="str">
            <v>QDECI03</v>
          </cell>
          <cell r="AD3407">
            <v>107500</v>
          </cell>
        </row>
        <row r="3408">
          <cell r="W3408" t="str">
            <v>QDECI03</v>
          </cell>
          <cell r="AD3408">
            <v>107500</v>
          </cell>
        </row>
        <row r="3409">
          <cell r="W3409" t="str">
            <v>QDECI03</v>
          </cell>
          <cell r="AD3409">
            <v>107500</v>
          </cell>
        </row>
        <row r="3410">
          <cell r="W3410" t="str">
            <v>QDECI03</v>
          </cell>
          <cell r="AD3410">
            <v>107500</v>
          </cell>
        </row>
        <row r="3411">
          <cell r="W3411" t="str">
            <v>QDECI03</v>
          </cell>
          <cell r="AD3411">
            <v>107500</v>
          </cell>
        </row>
        <row r="3412">
          <cell r="W3412" t="str">
            <v>QDECI03</v>
          </cell>
          <cell r="AD3412">
            <v>107500</v>
          </cell>
        </row>
        <row r="3413">
          <cell r="W3413" t="str">
            <v>QDECI03</v>
          </cell>
          <cell r="AD3413">
            <v>107500</v>
          </cell>
        </row>
        <row r="3414">
          <cell r="W3414" t="str">
            <v>QDECI03</v>
          </cell>
          <cell r="AD3414">
            <v>107500</v>
          </cell>
        </row>
        <row r="3415">
          <cell r="W3415" t="str">
            <v>QDECI03</v>
          </cell>
          <cell r="AD3415">
            <v>107500</v>
          </cell>
        </row>
        <row r="3416">
          <cell r="W3416" t="str">
            <v>QDECI03</v>
          </cell>
          <cell r="AD3416">
            <v>107500</v>
          </cell>
        </row>
        <row r="3417">
          <cell r="W3417" t="str">
            <v>QDECI03</v>
          </cell>
          <cell r="AD3417">
            <v>107500</v>
          </cell>
        </row>
        <row r="3418">
          <cell r="W3418" t="str">
            <v>QDECI03</v>
          </cell>
          <cell r="AD3418">
            <v>107500</v>
          </cell>
        </row>
        <row r="3419">
          <cell r="W3419" t="str">
            <v>QDECI03</v>
          </cell>
          <cell r="AD3419">
            <v>107500</v>
          </cell>
        </row>
        <row r="3420">
          <cell r="W3420" t="str">
            <v>QDECI03</v>
          </cell>
          <cell r="AD3420">
            <v>108000</v>
          </cell>
        </row>
        <row r="3421">
          <cell r="W3421" t="str">
            <v>QDECI03</v>
          </cell>
          <cell r="AD3421">
            <v>108000</v>
          </cell>
        </row>
        <row r="3422">
          <cell r="W3422" t="str">
            <v>QDECI03</v>
          </cell>
          <cell r="AD3422">
            <v>110000</v>
          </cell>
        </row>
        <row r="3423">
          <cell r="W3423" t="str">
            <v>QDECI03</v>
          </cell>
          <cell r="AD3423">
            <v>110500</v>
          </cell>
        </row>
        <row r="3424">
          <cell r="W3424" t="str">
            <v>QDECI05</v>
          </cell>
          <cell r="AD3424">
            <v>57500</v>
          </cell>
        </row>
        <row r="3425">
          <cell r="W3425" t="str">
            <v>QDECI05</v>
          </cell>
          <cell r="AD3425">
            <v>57500</v>
          </cell>
        </row>
        <row r="3426">
          <cell r="W3426" t="str">
            <v>QDECI05</v>
          </cell>
          <cell r="AD3426">
            <v>57500</v>
          </cell>
        </row>
        <row r="3427">
          <cell r="W3427" t="str">
            <v>QDECI05</v>
          </cell>
          <cell r="AD3427">
            <v>57750</v>
          </cell>
        </row>
        <row r="3428">
          <cell r="W3428" t="str">
            <v>QDECI05</v>
          </cell>
          <cell r="AD3428">
            <v>58000</v>
          </cell>
        </row>
        <row r="3429">
          <cell r="W3429" t="str">
            <v>QDECI05</v>
          </cell>
          <cell r="AD3429">
            <v>58000</v>
          </cell>
        </row>
        <row r="3430">
          <cell r="W3430" t="str">
            <v>QDECI05</v>
          </cell>
          <cell r="AD3430">
            <v>58000</v>
          </cell>
        </row>
        <row r="3431">
          <cell r="W3431" t="str">
            <v>QDECI05</v>
          </cell>
          <cell r="AD3431">
            <v>58000</v>
          </cell>
        </row>
        <row r="3432">
          <cell r="W3432" t="str">
            <v>QDECI05</v>
          </cell>
          <cell r="AD3432">
            <v>58000</v>
          </cell>
        </row>
        <row r="3433">
          <cell r="W3433" t="str">
            <v>QDECI05</v>
          </cell>
          <cell r="AD3433">
            <v>58000</v>
          </cell>
        </row>
        <row r="3434">
          <cell r="W3434" t="str">
            <v>QDECI05</v>
          </cell>
          <cell r="AD3434">
            <v>58000</v>
          </cell>
        </row>
        <row r="3435">
          <cell r="W3435" t="str">
            <v>QDECI05</v>
          </cell>
          <cell r="AD3435">
            <v>58000</v>
          </cell>
        </row>
        <row r="3436">
          <cell r="W3436" t="str">
            <v>QDECI05</v>
          </cell>
          <cell r="AD3436">
            <v>58000</v>
          </cell>
        </row>
        <row r="3437">
          <cell r="W3437" t="str">
            <v>QDECI05</v>
          </cell>
          <cell r="AD3437">
            <v>58000</v>
          </cell>
        </row>
        <row r="3438">
          <cell r="W3438" t="str">
            <v>QDECI05</v>
          </cell>
          <cell r="AD3438">
            <v>58000</v>
          </cell>
        </row>
        <row r="3439">
          <cell r="W3439" t="str">
            <v>QDECI05</v>
          </cell>
          <cell r="AD3439">
            <v>58000</v>
          </cell>
        </row>
        <row r="3440">
          <cell r="W3440" t="str">
            <v>QDECI05</v>
          </cell>
          <cell r="AD3440">
            <v>58000</v>
          </cell>
        </row>
        <row r="3441">
          <cell r="W3441" t="str">
            <v>QDECI05</v>
          </cell>
          <cell r="AD3441">
            <v>58000</v>
          </cell>
        </row>
        <row r="3442">
          <cell r="W3442" t="str">
            <v>QDECI05</v>
          </cell>
          <cell r="AD3442">
            <v>58000</v>
          </cell>
        </row>
        <row r="3443">
          <cell r="W3443" t="str">
            <v>QDECI05</v>
          </cell>
          <cell r="AD3443">
            <v>58000</v>
          </cell>
        </row>
        <row r="3444">
          <cell r="W3444" t="str">
            <v>QDECI05</v>
          </cell>
          <cell r="AD3444">
            <v>58000</v>
          </cell>
        </row>
        <row r="3445">
          <cell r="W3445" t="str">
            <v>QDECI05</v>
          </cell>
          <cell r="AD3445">
            <v>58000</v>
          </cell>
        </row>
        <row r="3446">
          <cell r="W3446" t="str">
            <v>QDECI05</v>
          </cell>
          <cell r="AD3446">
            <v>58000</v>
          </cell>
        </row>
        <row r="3447">
          <cell r="W3447" t="str">
            <v>QDECI05</v>
          </cell>
          <cell r="AD3447">
            <v>58000</v>
          </cell>
        </row>
        <row r="3448">
          <cell r="W3448" t="str">
            <v>QDECI05</v>
          </cell>
          <cell r="AD3448">
            <v>58000</v>
          </cell>
        </row>
        <row r="3449">
          <cell r="W3449" t="str">
            <v>QDECI05</v>
          </cell>
          <cell r="AD3449">
            <v>58000</v>
          </cell>
        </row>
        <row r="3450">
          <cell r="W3450" t="str">
            <v>QDECI05</v>
          </cell>
          <cell r="AD3450">
            <v>58000</v>
          </cell>
        </row>
        <row r="3451">
          <cell r="W3451" t="str">
            <v>QDECI05</v>
          </cell>
          <cell r="AD3451">
            <v>58000</v>
          </cell>
        </row>
        <row r="3452">
          <cell r="W3452" t="str">
            <v>QDECI05</v>
          </cell>
          <cell r="AD3452">
            <v>58000</v>
          </cell>
        </row>
        <row r="3453">
          <cell r="W3453" t="str">
            <v>QDECI05</v>
          </cell>
          <cell r="AD3453">
            <v>58000</v>
          </cell>
        </row>
        <row r="3454">
          <cell r="W3454" t="str">
            <v>QDECI05</v>
          </cell>
          <cell r="AD3454">
            <v>58000</v>
          </cell>
        </row>
        <row r="3455">
          <cell r="W3455" t="str">
            <v>QDECI05</v>
          </cell>
          <cell r="AD3455">
            <v>58000</v>
          </cell>
        </row>
        <row r="3456">
          <cell r="W3456" t="str">
            <v>QDECI05</v>
          </cell>
          <cell r="AD3456">
            <v>58000</v>
          </cell>
        </row>
        <row r="3457">
          <cell r="W3457" t="str">
            <v>QDECI05</v>
          </cell>
          <cell r="AD3457">
            <v>58000</v>
          </cell>
        </row>
        <row r="3458">
          <cell r="W3458" t="str">
            <v>QDECI05</v>
          </cell>
          <cell r="AD3458">
            <v>58000</v>
          </cell>
        </row>
        <row r="3459">
          <cell r="W3459" t="str">
            <v>QDECI05</v>
          </cell>
          <cell r="AD3459">
            <v>58000</v>
          </cell>
        </row>
        <row r="3460">
          <cell r="W3460" t="str">
            <v>QDECI05</v>
          </cell>
          <cell r="AD3460">
            <v>58000</v>
          </cell>
        </row>
        <row r="3461">
          <cell r="W3461" t="str">
            <v>QDECI05</v>
          </cell>
          <cell r="AD3461">
            <v>58000</v>
          </cell>
        </row>
        <row r="3462">
          <cell r="W3462" t="str">
            <v>QDECI05</v>
          </cell>
          <cell r="AD3462">
            <v>58300</v>
          </cell>
        </row>
        <row r="3463">
          <cell r="W3463" t="str">
            <v>QDECI05</v>
          </cell>
          <cell r="AD3463">
            <v>58500</v>
          </cell>
        </row>
        <row r="3464">
          <cell r="W3464" t="str">
            <v>QDECI05</v>
          </cell>
          <cell r="AD3464">
            <v>58500</v>
          </cell>
        </row>
        <row r="3465">
          <cell r="W3465" t="str">
            <v>QDECI05</v>
          </cell>
          <cell r="AD3465">
            <v>58500</v>
          </cell>
        </row>
        <row r="3466">
          <cell r="W3466" t="str">
            <v>QDECI05</v>
          </cell>
          <cell r="AD3466">
            <v>58500</v>
          </cell>
        </row>
        <row r="3467">
          <cell r="W3467" t="str">
            <v>QDECI05</v>
          </cell>
          <cell r="AD3467">
            <v>59500</v>
          </cell>
        </row>
        <row r="3468">
          <cell r="W3468" t="str">
            <v>QDEKA01</v>
          </cell>
          <cell r="AD3468">
            <v>47000</v>
          </cell>
        </row>
        <row r="3469">
          <cell r="W3469" t="str">
            <v>QDEKA01</v>
          </cell>
          <cell r="AD3469">
            <v>49000</v>
          </cell>
        </row>
        <row r="3470">
          <cell r="W3470" t="str">
            <v>QDEKA01</v>
          </cell>
          <cell r="AD3470">
            <v>49000</v>
          </cell>
        </row>
        <row r="3471">
          <cell r="W3471" t="str">
            <v>QDEKA01</v>
          </cell>
          <cell r="AD3471">
            <v>49500</v>
          </cell>
        </row>
        <row r="3472">
          <cell r="W3472" t="str">
            <v>QDEKA01</v>
          </cell>
          <cell r="AD3472">
            <v>50000</v>
          </cell>
        </row>
        <row r="3473">
          <cell r="W3473" t="str">
            <v>QDEKA01</v>
          </cell>
          <cell r="AD3473">
            <v>50000</v>
          </cell>
        </row>
        <row r="3474">
          <cell r="W3474" t="str">
            <v>QDEKA01</v>
          </cell>
          <cell r="AD3474">
            <v>50000</v>
          </cell>
        </row>
        <row r="3475">
          <cell r="W3475" t="str">
            <v>QDEKA01</v>
          </cell>
          <cell r="AD3475">
            <v>50000</v>
          </cell>
        </row>
        <row r="3476">
          <cell r="W3476" t="str">
            <v>QDEKA01</v>
          </cell>
          <cell r="AD3476">
            <v>50000</v>
          </cell>
        </row>
        <row r="3477">
          <cell r="W3477" t="str">
            <v>QDEKA01</v>
          </cell>
          <cell r="AD3477">
            <v>50000</v>
          </cell>
        </row>
        <row r="3478">
          <cell r="W3478" t="str">
            <v>QDEKA01</v>
          </cell>
          <cell r="AD3478">
            <v>50000</v>
          </cell>
        </row>
        <row r="3479">
          <cell r="W3479" t="str">
            <v>QDEKA01</v>
          </cell>
          <cell r="AD3479">
            <v>50000</v>
          </cell>
        </row>
        <row r="3480">
          <cell r="W3480" t="str">
            <v>QDEKA01</v>
          </cell>
          <cell r="AD3480">
            <v>50000</v>
          </cell>
        </row>
        <row r="3481">
          <cell r="W3481" t="str">
            <v>QDEKA01</v>
          </cell>
          <cell r="AD3481">
            <v>50000</v>
          </cell>
        </row>
        <row r="3482">
          <cell r="W3482" t="str">
            <v>QDEKA01</v>
          </cell>
          <cell r="AD3482">
            <v>50000</v>
          </cell>
        </row>
        <row r="3483">
          <cell r="W3483" t="str">
            <v>QDEKA01</v>
          </cell>
          <cell r="AD3483">
            <v>50000</v>
          </cell>
        </row>
        <row r="3484">
          <cell r="W3484" t="str">
            <v>QDEKA01</v>
          </cell>
          <cell r="AD3484">
            <v>50000</v>
          </cell>
        </row>
        <row r="3485">
          <cell r="W3485" t="str">
            <v>QDEKA01</v>
          </cell>
          <cell r="AD3485">
            <v>50000</v>
          </cell>
        </row>
        <row r="3486">
          <cell r="W3486" t="str">
            <v>QDEKA01</v>
          </cell>
          <cell r="AD3486">
            <v>50000</v>
          </cell>
        </row>
        <row r="3487">
          <cell r="W3487" t="str">
            <v>QDEKA01</v>
          </cell>
          <cell r="AD3487">
            <v>50000</v>
          </cell>
        </row>
        <row r="3488">
          <cell r="W3488" t="str">
            <v>QDEKA01</v>
          </cell>
          <cell r="AD3488">
            <v>50000</v>
          </cell>
        </row>
        <row r="3489">
          <cell r="W3489" t="str">
            <v>QDEKA01</v>
          </cell>
          <cell r="AD3489">
            <v>50000</v>
          </cell>
        </row>
        <row r="3490">
          <cell r="W3490" t="str">
            <v>QDEKA01</v>
          </cell>
          <cell r="AD3490">
            <v>50000</v>
          </cell>
        </row>
        <row r="3491">
          <cell r="W3491" t="str">
            <v>QDEKA01</v>
          </cell>
          <cell r="AD3491">
            <v>50500</v>
          </cell>
        </row>
        <row r="3492">
          <cell r="W3492" t="str">
            <v>QDEKA01</v>
          </cell>
          <cell r="AD3492">
            <v>50500</v>
          </cell>
        </row>
        <row r="3493">
          <cell r="W3493" t="str">
            <v>QDEKA01</v>
          </cell>
          <cell r="AD3493">
            <v>50500</v>
          </cell>
        </row>
        <row r="3494">
          <cell r="W3494" t="str">
            <v>QDEKA01</v>
          </cell>
          <cell r="AD3494">
            <v>50500</v>
          </cell>
        </row>
        <row r="3495">
          <cell r="W3495" t="str">
            <v>QDEKA01</v>
          </cell>
          <cell r="AD3495">
            <v>50500</v>
          </cell>
        </row>
        <row r="3496">
          <cell r="W3496" t="str">
            <v>QDEKA01</v>
          </cell>
          <cell r="AD3496">
            <v>50500</v>
          </cell>
        </row>
        <row r="3497">
          <cell r="W3497" t="str">
            <v>QDEKA01</v>
          </cell>
          <cell r="AD3497">
            <v>50500</v>
          </cell>
        </row>
        <row r="3498">
          <cell r="W3498" t="str">
            <v>QDEKA01</v>
          </cell>
          <cell r="AD3498">
            <v>50500</v>
          </cell>
        </row>
        <row r="3499">
          <cell r="W3499" t="str">
            <v>QDEKA01</v>
          </cell>
          <cell r="AD3499">
            <v>50500</v>
          </cell>
        </row>
        <row r="3500">
          <cell r="W3500" t="str">
            <v>QDEKA01</v>
          </cell>
          <cell r="AD3500">
            <v>50500</v>
          </cell>
        </row>
        <row r="3501">
          <cell r="W3501" t="str">
            <v>QDEKA01</v>
          </cell>
          <cell r="AD3501">
            <v>50500</v>
          </cell>
        </row>
        <row r="3502">
          <cell r="W3502" t="str">
            <v>QDEKA01</v>
          </cell>
          <cell r="AD3502">
            <v>50500</v>
          </cell>
        </row>
        <row r="3503">
          <cell r="W3503" t="str">
            <v>QDEKA01</v>
          </cell>
          <cell r="AD3503">
            <v>50500</v>
          </cell>
        </row>
        <row r="3504">
          <cell r="W3504" t="str">
            <v>QDEKA01</v>
          </cell>
          <cell r="AD3504">
            <v>50750</v>
          </cell>
        </row>
        <row r="3505">
          <cell r="W3505" t="str">
            <v>QDEKA02</v>
          </cell>
          <cell r="AD3505">
            <v>11400</v>
          </cell>
        </row>
        <row r="3506">
          <cell r="W3506" t="str">
            <v>QDEKA02</v>
          </cell>
          <cell r="AD3506">
            <v>11400</v>
          </cell>
        </row>
        <row r="3507">
          <cell r="W3507" t="str">
            <v>QDEKA02</v>
          </cell>
          <cell r="AD3507">
            <v>11500</v>
          </cell>
        </row>
        <row r="3508">
          <cell r="W3508" t="str">
            <v>QDEKA02</v>
          </cell>
          <cell r="AD3508">
            <v>12000</v>
          </cell>
        </row>
        <row r="3509">
          <cell r="W3509" t="str">
            <v>QDEKA02</v>
          </cell>
          <cell r="AD3509">
            <v>12000</v>
          </cell>
        </row>
        <row r="3510">
          <cell r="W3510" t="str">
            <v>QDEKA02</v>
          </cell>
          <cell r="AD3510">
            <v>12000</v>
          </cell>
        </row>
        <row r="3511">
          <cell r="W3511" t="str">
            <v>QDEKA02</v>
          </cell>
          <cell r="AD3511">
            <v>12000</v>
          </cell>
        </row>
        <row r="3512">
          <cell r="W3512" t="str">
            <v>QDEKA02</v>
          </cell>
          <cell r="AD3512">
            <v>12000</v>
          </cell>
        </row>
        <row r="3513">
          <cell r="W3513" t="str">
            <v>QDEKA02</v>
          </cell>
          <cell r="AD3513">
            <v>12500</v>
          </cell>
        </row>
        <row r="3514">
          <cell r="W3514" t="str">
            <v>QDEKA04</v>
          </cell>
          <cell r="AD3514">
            <v>425000</v>
          </cell>
        </row>
        <row r="3515">
          <cell r="W3515" t="str">
            <v>QDEKA04</v>
          </cell>
          <cell r="AD3515">
            <v>425000</v>
          </cell>
        </row>
        <row r="3516">
          <cell r="W3516" t="str">
            <v>QDEKA05</v>
          </cell>
          <cell r="AD3516">
            <v>92500</v>
          </cell>
        </row>
        <row r="3517">
          <cell r="W3517" t="str">
            <v>QDEKA05</v>
          </cell>
          <cell r="AD3517">
            <v>92500</v>
          </cell>
        </row>
        <row r="3518">
          <cell r="W3518" t="str">
            <v>QDEKA05</v>
          </cell>
          <cell r="AD3518">
            <v>92500</v>
          </cell>
        </row>
        <row r="3519">
          <cell r="W3519" t="str">
            <v>QDEKA05</v>
          </cell>
          <cell r="AD3519">
            <v>92500</v>
          </cell>
        </row>
        <row r="3520">
          <cell r="W3520" t="str">
            <v>QDEKA05</v>
          </cell>
          <cell r="AD3520">
            <v>92500</v>
          </cell>
        </row>
        <row r="3521">
          <cell r="W3521" t="str">
            <v>QDEKA05</v>
          </cell>
          <cell r="AD3521">
            <v>92500</v>
          </cell>
        </row>
        <row r="3522">
          <cell r="W3522" t="str">
            <v>QDEKA05</v>
          </cell>
          <cell r="AD3522">
            <v>92500</v>
          </cell>
        </row>
        <row r="3523">
          <cell r="W3523" t="str">
            <v>QDEKA05</v>
          </cell>
          <cell r="AD3523">
            <v>92500</v>
          </cell>
        </row>
        <row r="3524">
          <cell r="W3524" t="str">
            <v>QDEKA05</v>
          </cell>
          <cell r="AD3524">
            <v>92500</v>
          </cell>
        </row>
        <row r="3525">
          <cell r="W3525" t="str">
            <v>QDEKT02</v>
          </cell>
          <cell r="AD3525">
            <v>75000</v>
          </cell>
        </row>
        <row r="3526">
          <cell r="W3526" t="str">
            <v>QDEKT02</v>
          </cell>
          <cell r="AD3526">
            <v>75000</v>
          </cell>
        </row>
        <row r="3527">
          <cell r="W3527" t="str">
            <v>QDEKT02</v>
          </cell>
          <cell r="AD3527">
            <v>75000</v>
          </cell>
        </row>
        <row r="3528">
          <cell r="W3528" t="str">
            <v>QDEKT02</v>
          </cell>
          <cell r="AD3528">
            <v>75000</v>
          </cell>
        </row>
        <row r="3529">
          <cell r="W3529" t="str">
            <v>QDEKT02</v>
          </cell>
          <cell r="AD3529">
            <v>75000</v>
          </cell>
        </row>
        <row r="3530">
          <cell r="W3530" t="str">
            <v>QDEKT02</v>
          </cell>
          <cell r="AD3530">
            <v>75000</v>
          </cell>
        </row>
        <row r="3531">
          <cell r="W3531" t="str">
            <v>QDEKT02</v>
          </cell>
          <cell r="AD3531">
            <v>75000</v>
          </cell>
        </row>
        <row r="3532">
          <cell r="W3532" t="str">
            <v>QDEKT02</v>
          </cell>
          <cell r="AD3532">
            <v>75000</v>
          </cell>
        </row>
        <row r="3533">
          <cell r="W3533" t="str">
            <v>QDEKT02</v>
          </cell>
          <cell r="AD3533">
            <v>75000</v>
          </cell>
        </row>
        <row r="3534">
          <cell r="W3534" t="str">
            <v>QDEKT02</v>
          </cell>
          <cell r="AD3534">
            <v>75000</v>
          </cell>
        </row>
        <row r="3535">
          <cell r="W3535" t="str">
            <v>QDEKT02</v>
          </cell>
          <cell r="AD3535">
            <v>75000</v>
          </cell>
        </row>
        <row r="3536">
          <cell r="W3536" t="str">
            <v>QDEKT02</v>
          </cell>
          <cell r="AD3536">
            <v>75000</v>
          </cell>
        </row>
        <row r="3537">
          <cell r="W3537" t="str">
            <v>QDEKT02</v>
          </cell>
          <cell r="AD3537">
            <v>75000</v>
          </cell>
        </row>
        <row r="3538">
          <cell r="W3538" t="str">
            <v>QDEKT02</v>
          </cell>
          <cell r="AD3538">
            <v>75000</v>
          </cell>
        </row>
        <row r="3539">
          <cell r="W3539" t="str">
            <v>QDEKT02</v>
          </cell>
          <cell r="AD3539">
            <v>75000</v>
          </cell>
        </row>
        <row r="3540">
          <cell r="W3540" t="str">
            <v>QDEKT02</v>
          </cell>
          <cell r="AD3540">
            <v>75000</v>
          </cell>
        </row>
        <row r="3541">
          <cell r="W3541" t="str">
            <v>QDELL03</v>
          </cell>
          <cell r="AD3541">
            <v>140000</v>
          </cell>
        </row>
        <row r="3542">
          <cell r="W3542" t="str">
            <v>QDELL03</v>
          </cell>
          <cell r="AD3542">
            <v>140000</v>
          </cell>
        </row>
        <row r="3543">
          <cell r="W3543" t="str">
            <v>QDELL03</v>
          </cell>
          <cell r="AD3543">
            <v>140000</v>
          </cell>
        </row>
        <row r="3544">
          <cell r="W3544" t="str">
            <v>QDELL03</v>
          </cell>
          <cell r="AD3544">
            <v>140000</v>
          </cell>
        </row>
        <row r="3545">
          <cell r="W3545" t="str">
            <v>QDELL03</v>
          </cell>
          <cell r="AD3545">
            <v>140000</v>
          </cell>
        </row>
        <row r="3546">
          <cell r="W3546" t="str">
            <v>QDELL03</v>
          </cell>
          <cell r="AD3546">
            <v>143000</v>
          </cell>
        </row>
        <row r="3547">
          <cell r="W3547" t="str">
            <v>QDELL04</v>
          </cell>
          <cell r="AD3547">
            <v>73500</v>
          </cell>
        </row>
        <row r="3548">
          <cell r="W3548" t="str">
            <v>QDELL04</v>
          </cell>
          <cell r="AD3548">
            <v>73500</v>
          </cell>
        </row>
        <row r="3549">
          <cell r="W3549" t="str">
            <v>QDELL04</v>
          </cell>
          <cell r="AD3549">
            <v>73500</v>
          </cell>
        </row>
        <row r="3550">
          <cell r="W3550" t="str">
            <v>QDELL04</v>
          </cell>
          <cell r="AD3550">
            <v>74000</v>
          </cell>
        </row>
        <row r="3551">
          <cell r="W3551" t="str">
            <v>QDELL04</v>
          </cell>
          <cell r="AD3551">
            <v>74000</v>
          </cell>
        </row>
        <row r="3552">
          <cell r="W3552" t="str">
            <v>QDELL04</v>
          </cell>
          <cell r="AD3552">
            <v>74000</v>
          </cell>
        </row>
        <row r="3553">
          <cell r="W3553" t="str">
            <v>QDELL04</v>
          </cell>
          <cell r="AD3553">
            <v>74000</v>
          </cell>
        </row>
        <row r="3554">
          <cell r="W3554" t="str">
            <v>QDELL04</v>
          </cell>
          <cell r="AD3554">
            <v>74000</v>
          </cell>
        </row>
        <row r="3555">
          <cell r="W3555" t="str">
            <v>QDELL04</v>
          </cell>
          <cell r="AD3555">
            <v>74000</v>
          </cell>
        </row>
        <row r="3556">
          <cell r="W3556" t="str">
            <v>QDELL04</v>
          </cell>
          <cell r="AD3556">
            <v>74000</v>
          </cell>
        </row>
        <row r="3557">
          <cell r="W3557" t="str">
            <v>QDELL04</v>
          </cell>
          <cell r="AD3557">
            <v>74000</v>
          </cell>
        </row>
        <row r="3558">
          <cell r="W3558" t="str">
            <v>QDELL01</v>
          </cell>
          <cell r="AD3558">
            <v>31500</v>
          </cell>
        </row>
        <row r="3559">
          <cell r="W3559" t="str">
            <v>QDELL01</v>
          </cell>
          <cell r="AD3559">
            <v>31500</v>
          </cell>
        </row>
        <row r="3560">
          <cell r="W3560" t="str">
            <v>QDELL01</v>
          </cell>
          <cell r="AD3560">
            <v>31500</v>
          </cell>
        </row>
        <row r="3561">
          <cell r="W3561" t="str">
            <v>QDELL01</v>
          </cell>
          <cell r="AD3561">
            <v>31500</v>
          </cell>
        </row>
        <row r="3562">
          <cell r="W3562" t="str">
            <v>QDELL01</v>
          </cell>
          <cell r="AD3562">
            <v>31500</v>
          </cell>
        </row>
        <row r="3563">
          <cell r="W3563" t="str">
            <v>QDELL01</v>
          </cell>
          <cell r="AD3563">
            <v>31500</v>
          </cell>
        </row>
        <row r="3564">
          <cell r="W3564" t="str">
            <v>QDELL01</v>
          </cell>
          <cell r="AD3564">
            <v>31500</v>
          </cell>
        </row>
        <row r="3565">
          <cell r="W3565" t="str">
            <v>QDELL01</v>
          </cell>
          <cell r="AD3565">
            <v>31500</v>
          </cell>
        </row>
        <row r="3566">
          <cell r="W3566" t="str">
            <v>ADESA01</v>
          </cell>
          <cell r="AD3566">
            <v>1</v>
          </cell>
        </row>
        <row r="3567">
          <cell r="W3567" t="str">
            <v>QDESA01</v>
          </cell>
          <cell r="AD3567">
            <v>35500</v>
          </cell>
        </row>
        <row r="3568">
          <cell r="W3568" t="str">
            <v>QDESA01</v>
          </cell>
          <cell r="AD3568">
            <v>35500</v>
          </cell>
        </row>
        <row r="3569">
          <cell r="W3569" t="str">
            <v>QDESA01</v>
          </cell>
          <cell r="AD3569">
            <v>35500</v>
          </cell>
        </row>
        <row r="3570">
          <cell r="W3570" t="str">
            <v>QDESA01</v>
          </cell>
          <cell r="AD3570">
            <v>35500</v>
          </cell>
        </row>
        <row r="3571">
          <cell r="W3571" t="str">
            <v>QDESA01</v>
          </cell>
          <cell r="AD3571">
            <v>35500</v>
          </cell>
        </row>
        <row r="3572">
          <cell r="W3572" t="str">
            <v>QDESA01</v>
          </cell>
          <cell r="AD3572">
            <v>35500</v>
          </cell>
        </row>
        <row r="3573">
          <cell r="W3573" t="str">
            <v>QDESA01</v>
          </cell>
          <cell r="AD3573">
            <v>35500</v>
          </cell>
        </row>
        <row r="3574">
          <cell r="W3574" t="str">
            <v>QDESA01</v>
          </cell>
          <cell r="AD3574">
            <v>44000</v>
          </cell>
        </row>
        <row r="3575">
          <cell r="W3575" t="str">
            <v>ADESA01</v>
          </cell>
          <cell r="AD3575">
            <v>44000</v>
          </cell>
        </row>
        <row r="3576">
          <cell r="W3576" t="str">
            <v>QDESA01</v>
          </cell>
          <cell r="AD3576">
            <v>46000</v>
          </cell>
        </row>
        <row r="3577">
          <cell r="W3577" t="str">
            <v>QDESA01</v>
          </cell>
          <cell r="AD3577">
            <v>46000</v>
          </cell>
        </row>
        <row r="3578">
          <cell r="W3578" t="str">
            <v>QDESA01</v>
          </cell>
          <cell r="AD3578">
            <v>46000</v>
          </cell>
        </row>
        <row r="3579">
          <cell r="W3579" t="str">
            <v>QDESA01</v>
          </cell>
          <cell r="AD3579">
            <v>48000</v>
          </cell>
        </row>
        <row r="3580">
          <cell r="W3580" t="str">
            <v>QDESA01</v>
          </cell>
          <cell r="AD3580">
            <v>48000</v>
          </cell>
        </row>
        <row r="3581">
          <cell r="W3581" t="str">
            <v>QDESA01</v>
          </cell>
          <cell r="AD3581">
            <v>48000</v>
          </cell>
        </row>
        <row r="3582">
          <cell r="W3582" t="str">
            <v>QDESA01</v>
          </cell>
          <cell r="AD3582">
            <v>48000</v>
          </cell>
        </row>
        <row r="3583">
          <cell r="W3583" t="str">
            <v>QDESA01</v>
          </cell>
          <cell r="AD3583">
            <v>48000</v>
          </cell>
        </row>
        <row r="3584">
          <cell r="W3584" t="str">
            <v>QDESA01</v>
          </cell>
          <cell r="AD3584">
            <v>48000</v>
          </cell>
        </row>
        <row r="3585">
          <cell r="W3585" t="str">
            <v>QDESA01</v>
          </cell>
          <cell r="AD3585">
            <v>48000</v>
          </cell>
        </row>
        <row r="3586">
          <cell r="W3586" t="str">
            <v>QDESA01</v>
          </cell>
          <cell r="AD3586">
            <v>48000</v>
          </cell>
        </row>
        <row r="3587">
          <cell r="W3587" t="str">
            <v>QDESA01</v>
          </cell>
          <cell r="AD3587">
            <v>48000</v>
          </cell>
        </row>
        <row r="3588">
          <cell r="W3588" t="str">
            <v>QDESA01</v>
          </cell>
          <cell r="AD3588">
            <v>48000</v>
          </cell>
        </row>
        <row r="3589">
          <cell r="W3589" t="str">
            <v>QDESA01</v>
          </cell>
          <cell r="AD3589">
            <v>48000</v>
          </cell>
        </row>
        <row r="3590">
          <cell r="W3590" t="str">
            <v>QDESA01</v>
          </cell>
          <cell r="AD3590">
            <v>48000</v>
          </cell>
        </row>
        <row r="3591">
          <cell r="W3591" t="str">
            <v>QDESA01</v>
          </cell>
          <cell r="AD3591">
            <v>48000</v>
          </cell>
        </row>
        <row r="3592">
          <cell r="W3592" t="str">
            <v>QDESA01</v>
          </cell>
          <cell r="AD3592">
            <v>48000</v>
          </cell>
        </row>
        <row r="3593">
          <cell r="W3593" t="str">
            <v>QDESA01</v>
          </cell>
          <cell r="AD3593">
            <v>48000</v>
          </cell>
        </row>
        <row r="3594">
          <cell r="W3594" t="str">
            <v>QDESA01</v>
          </cell>
          <cell r="AD3594">
            <v>48000</v>
          </cell>
        </row>
        <row r="3595">
          <cell r="W3595" t="str">
            <v>QDESA01</v>
          </cell>
          <cell r="AD3595">
            <v>48000</v>
          </cell>
        </row>
        <row r="3596">
          <cell r="W3596" t="str">
            <v>QDESA01</v>
          </cell>
          <cell r="AD3596">
            <v>48000</v>
          </cell>
        </row>
        <row r="3597">
          <cell r="W3597" t="str">
            <v>QDESA01</v>
          </cell>
          <cell r="AD3597">
            <v>48000</v>
          </cell>
        </row>
        <row r="3598">
          <cell r="W3598" t="str">
            <v>QDESA01</v>
          </cell>
          <cell r="AD3598">
            <v>48000</v>
          </cell>
        </row>
        <row r="3599">
          <cell r="W3599" t="str">
            <v>QDESA01</v>
          </cell>
          <cell r="AD3599">
            <v>48000</v>
          </cell>
        </row>
        <row r="3600">
          <cell r="W3600" t="str">
            <v>QDESA01</v>
          </cell>
          <cell r="AD3600">
            <v>48000</v>
          </cell>
        </row>
        <row r="3601">
          <cell r="W3601" t="str">
            <v>QDESA01</v>
          </cell>
          <cell r="AD3601">
            <v>48000</v>
          </cell>
        </row>
        <row r="3602">
          <cell r="W3602" t="str">
            <v>QDESA01</v>
          </cell>
          <cell r="AD3602">
            <v>48000</v>
          </cell>
        </row>
        <row r="3603">
          <cell r="W3603" t="str">
            <v>ADESA01</v>
          </cell>
          <cell r="AD3603">
            <v>48000</v>
          </cell>
        </row>
        <row r="3604">
          <cell r="W3604" t="str">
            <v>QDESA01</v>
          </cell>
          <cell r="AD3604">
            <v>48000</v>
          </cell>
        </row>
        <row r="3605">
          <cell r="W3605" t="str">
            <v>QDESA01</v>
          </cell>
          <cell r="AD3605">
            <v>48000</v>
          </cell>
        </row>
        <row r="3606">
          <cell r="W3606" t="str">
            <v>QDESA01</v>
          </cell>
          <cell r="AD3606">
            <v>48000</v>
          </cell>
        </row>
        <row r="3607">
          <cell r="W3607" t="str">
            <v>ADESA01</v>
          </cell>
          <cell r="AD3607">
            <v>48000</v>
          </cell>
        </row>
        <row r="3608">
          <cell r="W3608" t="str">
            <v>QDESA01</v>
          </cell>
          <cell r="AD3608">
            <v>48000</v>
          </cell>
        </row>
        <row r="3609">
          <cell r="W3609" t="str">
            <v>ADESA01</v>
          </cell>
          <cell r="AD3609">
            <v>48000</v>
          </cell>
        </row>
        <row r="3610">
          <cell r="W3610" t="str">
            <v>QDESA01</v>
          </cell>
          <cell r="AD3610">
            <v>48500</v>
          </cell>
        </row>
        <row r="3611">
          <cell r="W3611" t="str">
            <v>QDESA01</v>
          </cell>
          <cell r="AD3611">
            <v>48500</v>
          </cell>
        </row>
        <row r="3612">
          <cell r="W3612" t="str">
            <v>QDESA01</v>
          </cell>
          <cell r="AD3612">
            <v>50000</v>
          </cell>
        </row>
        <row r="3613">
          <cell r="W3613" t="str">
            <v>QDESA01</v>
          </cell>
          <cell r="AD3613">
            <v>50000</v>
          </cell>
        </row>
        <row r="3614">
          <cell r="W3614" t="str">
            <v>QDESA01</v>
          </cell>
          <cell r="AD3614">
            <v>50000</v>
          </cell>
        </row>
        <row r="3615">
          <cell r="W3615" t="str">
            <v>QDESA01</v>
          </cell>
          <cell r="AD3615">
            <v>50000</v>
          </cell>
        </row>
        <row r="3616">
          <cell r="W3616" t="str">
            <v>ADESA01</v>
          </cell>
          <cell r="AD3616">
            <v>55000</v>
          </cell>
        </row>
        <row r="3617">
          <cell r="W3617" t="str">
            <v>ADESA02</v>
          </cell>
          <cell r="AD3617">
            <v>115000</v>
          </cell>
        </row>
        <row r="3618">
          <cell r="W3618" t="str">
            <v>ADESA02</v>
          </cell>
          <cell r="AD3618">
            <v>115000</v>
          </cell>
        </row>
        <row r="3619">
          <cell r="W3619" t="str">
            <v>QDESA02</v>
          </cell>
          <cell r="AD3619">
            <v>115000</v>
          </cell>
        </row>
        <row r="3620">
          <cell r="W3620" t="str">
            <v>QDESA02</v>
          </cell>
          <cell r="AD3620">
            <v>115000</v>
          </cell>
        </row>
        <row r="3621">
          <cell r="W3621" t="str">
            <v>QDESA02</v>
          </cell>
          <cell r="AD3621">
            <v>115000</v>
          </cell>
        </row>
        <row r="3622">
          <cell r="W3622" t="str">
            <v>QDESA02</v>
          </cell>
          <cell r="AD3622">
            <v>115000</v>
          </cell>
        </row>
        <row r="3623">
          <cell r="W3623" t="str">
            <v>QDESA02</v>
          </cell>
          <cell r="AD3623">
            <v>115000</v>
          </cell>
        </row>
        <row r="3624">
          <cell r="W3624" t="str">
            <v>QDESA02</v>
          </cell>
          <cell r="AD3624">
            <v>115000</v>
          </cell>
        </row>
        <row r="3625">
          <cell r="W3625" t="str">
            <v>QDESA02</v>
          </cell>
          <cell r="AD3625">
            <v>115000</v>
          </cell>
        </row>
        <row r="3626">
          <cell r="W3626" t="str">
            <v>QDESA02</v>
          </cell>
          <cell r="AD3626">
            <v>115000</v>
          </cell>
        </row>
        <row r="3627">
          <cell r="W3627" t="str">
            <v>QDESA02</v>
          </cell>
          <cell r="AD3627">
            <v>115000</v>
          </cell>
        </row>
        <row r="3628">
          <cell r="W3628" t="str">
            <v>QDESA02</v>
          </cell>
          <cell r="AD3628">
            <v>115000</v>
          </cell>
        </row>
        <row r="3629">
          <cell r="W3629" t="str">
            <v>QDESA02</v>
          </cell>
          <cell r="AD3629">
            <v>115000</v>
          </cell>
        </row>
        <row r="3630">
          <cell r="W3630" t="str">
            <v>QDESA02</v>
          </cell>
          <cell r="AD3630">
            <v>115000</v>
          </cell>
        </row>
        <row r="3631">
          <cell r="W3631" t="str">
            <v>QDESA02</v>
          </cell>
          <cell r="AD3631">
            <v>115000</v>
          </cell>
        </row>
        <row r="3632">
          <cell r="W3632" t="str">
            <v>QDESA02</v>
          </cell>
          <cell r="AD3632">
            <v>115000</v>
          </cell>
        </row>
        <row r="3633">
          <cell r="W3633" t="str">
            <v>QDESA02</v>
          </cell>
          <cell r="AD3633">
            <v>115000</v>
          </cell>
        </row>
        <row r="3634">
          <cell r="W3634" t="str">
            <v>QDESA02</v>
          </cell>
          <cell r="AD3634">
            <v>115000</v>
          </cell>
        </row>
        <row r="3635">
          <cell r="W3635" t="str">
            <v>QDESA02</v>
          </cell>
          <cell r="AD3635">
            <v>115000</v>
          </cell>
        </row>
        <row r="3636">
          <cell r="W3636" t="str">
            <v>QDESA02</v>
          </cell>
          <cell r="AD3636">
            <v>115000</v>
          </cell>
        </row>
        <row r="3637">
          <cell r="W3637" t="str">
            <v>QDESA02</v>
          </cell>
          <cell r="AD3637">
            <v>115000</v>
          </cell>
        </row>
        <row r="3638">
          <cell r="W3638" t="str">
            <v>QDESA02</v>
          </cell>
          <cell r="AD3638">
            <v>115000</v>
          </cell>
        </row>
        <row r="3639">
          <cell r="W3639" t="str">
            <v>QDESA02</v>
          </cell>
          <cell r="AD3639">
            <v>115000</v>
          </cell>
        </row>
        <row r="3640">
          <cell r="W3640" t="str">
            <v>QDESA02</v>
          </cell>
          <cell r="AD3640">
            <v>115000</v>
          </cell>
        </row>
        <row r="3641">
          <cell r="W3641" t="str">
            <v>QDEST04</v>
          </cell>
          <cell r="AD3641">
            <v>46500</v>
          </cell>
        </row>
        <row r="3642">
          <cell r="W3642" t="str">
            <v>QDEST04</v>
          </cell>
          <cell r="AD3642">
            <v>46500</v>
          </cell>
        </row>
        <row r="3643">
          <cell r="W3643" t="str">
            <v>QDEST04</v>
          </cell>
          <cell r="AD3643">
            <v>46500</v>
          </cell>
        </row>
        <row r="3644">
          <cell r="W3644" t="str">
            <v>QDEST04</v>
          </cell>
          <cell r="AD3644">
            <v>46500</v>
          </cell>
        </row>
        <row r="3645">
          <cell r="W3645" t="str">
            <v>QDEWA01</v>
          </cell>
          <cell r="AD3645">
            <v>40000</v>
          </cell>
        </row>
        <row r="3646">
          <cell r="W3646" t="str">
            <v>QDEWA01</v>
          </cell>
          <cell r="AD3646">
            <v>40000</v>
          </cell>
        </row>
        <row r="3647">
          <cell r="W3647" t="str">
            <v>QDEWA01</v>
          </cell>
          <cell r="AD3647">
            <v>40000</v>
          </cell>
        </row>
        <row r="3648">
          <cell r="W3648" t="str">
            <v>QDEWA01</v>
          </cell>
          <cell r="AD3648">
            <v>40000</v>
          </cell>
        </row>
        <row r="3649">
          <cell r="W3649" t="str">
            <v>QDEWA01</v>
          </cell>
          <cell r="AD3649">
            <v>40000</v>
          </cell>
        </row>
        <row r="3650">
          <cell r="W3650" t="str">
            <v>QDEWA01</v>
          </cell>
          <cell r="AD3650">
            <v>40000</v>
          </cell>
        </row>
        <row r="3651">
          <cell r="W3651" t="str">
            <v>QDEWA01</v>
          </cell>
          <cell r="AD3651">
            <v>40000</v>
          </cell>
        </row>
        <row r="3652">
          <cell r="W3652" t="str">
            <v>QDEWA01</v>
          </cell>
          <cell r="AD3652">
            <v>40000</v>
          </cell>
        </row>
        <row r="3653">
          <cell r="W3653" t="str">
            <v>QDEWA01</v>
          </cell>
          <cell r="AD3653">
            <v>40000</v>
          </cell>
        </row>
        <row r="3654">
          <cell r="W3654" t="str">
            <v>QDEWA01</v>
          </cell>
          <cell r="AD3654">
            <v>40000</v>
          </cell>
        </row>
        <row r="3655">
          <cell r="W3655" t="str">
            <v>QDEWA01</v>
          </cell>
          <cell r="AD3655">
            <v>40000</v>
          </cell>
        </row>
        <row r="3656">
          <cell r="W3656" t="str">
            <v>QDEWA01</v>
          </cell>
          <cell r="AD3656">
            <v>40000</v>
          </cell>
        </row>
        <row r="3657">
          <cell r="W3657" t="str">
            <v>QDEWA01</v>
          </cell>
          <cell r="AD3657">
            <v>40000</v>
          </cell>
        </row>
        <row r="3658">
          <cell r="W3658" t="str">
            <v>QDEWA01</v>
          </cell>
          <cell r="AD3658">
            <v>40000</v>
          </cell>
        </row>
        <row r="3659">
          <cell r="W3659" t="str">
            <v>QDEWA01</v>
          </cell>
          <cell r="AD3659">
            <v>40000</v>
          </cell>
        </row>
        <row r="3660">
          <cell r="W3660" t="str">
            <v>QDEWA01</v>
          </cell>
          <cell r="AD3660">
            <v>40000</v>
          </cell>
        </row>
        <row r="3661">
          <cell r="W3661" t="str">
            <v>QDEWA01</v>
          </cell>
          <cell r="AD3661">
            <v>40000</v>
          </cell>
        </row>
        <row r="3662">
          <cell r="W3662" t="str">
            <v>QDEWA01</v>
          </cell>
          <cell r="AD3662">
            <v>40000</v>
          </cell>
        </row>
        <row r="3663">
          <cell r="W3663" t="str">
            <v>QDEWA01</v>
          </cell>
          <cell r="AD3663">
            <v>40000</v>
          </cell>
        </row>
        <row r="3664">
          <cell r="W3664" t="str">
            <v>QDEWA01</v>
          </cell>
          <cell r="AD3664">
            <v>40000</v>
          </cell>
        </row>
        <row r="3665">
          <cell r="W3665" t="str">
            <v>QDEWA01</v>
          </cell>
          <cell r="AD3665">
            <v>40000</v>
          </cell>
        </row>
        <row r="3666">
          <cell r="W3666" t="str">
            <v>QDEWA01</v>
          </cell>
          <cell r="AD3666">
            <v>40000</v>
          </cell>
        </row>
        <row r="3667">
          <cell r="W3667" t="str">
            <v>QDEWA01</v>
          </cell>
          <cell r="AD3667">
            <v>40000</v>
          </cell>
        </row>
        <row r="3668">
          <cell r="W3668" t="str">
            <v>QDEWA01</v>
          </cell>
          <cell r="AD3668">
            <v>40000</v>
          </cell>
        </row>
        <row r="3669">
          <cell r="W3669" t="str">
            <v>QDEWA01</v>
          </cell>
          <cell r="AD3669">
            <v>40000</v>
          </cell>
        </row>
        <row r="3670">
          <cell r="W3670" t="str">
            <v>QDEWA01</v>
          </cell>
          <cell r="AD3670">
            <v>40000</v>
          </cell>
        </row>
        <row r="3671">
          <cell r="W3671" t="str">
            <v>QDEWA01</v>
          </cell>
          <cell r="AD3671">
            <v>40000</v>
          </cell>
        </row>
        <row r="3672">
          <cell r="W3672" t="str">
            <v>QDEWA01</v>
          </cell>
          <cell r="AD3672">
            <v>40000</v>
          </cell>
        </row>
        <row r="3673">
          <cell r="W3673" t="str">
            <v>QDEWA01</v>
          </cell>
          <cell r="AD3673">
            <v>40000</v>
          </cell>
        </row>
        <row r="3674">
          <cell r="W3674" t="str">
            <v>QDEWA01</v>
          </cell>
          <cell r="AD3674">
            <v>40000</v>
          </cell>
        </row>
        <row r="3675">
          <cell r="W3675" t="str">
            <v>QDEWA01</v>
          </cell>
          <cell r="AD3675">
            <v>40000</v>
          </cell>
        </row>
        <row r="3676">
          <cell r="W3676" t="str">
            <v>QDEWA01</v>
          </cell>
          <cell r="AD3676">
            <v>40000</v>
          </cell>
        </row>
        <row r="3677">
          <cell r="W3677" t="str">
            <v>QDEWA01</v>
          </cell>
          <cell r="AD3677">
            <v>40000</v>
          </cell>
        </row>
        <row r="3678">
          <cell r="W3678" t="str">
            <v>QDEWA01</v>
          </cell>
          <cell r="AD3678">
            <v>40000</v>
          </cell>
        </row>
        <row r="3679">
          <cell r="W3679" t="str">
            <v>QDEWA01</v>
          </cell>
          <cell r="AD3679">
            <v>40000</v>
          </cell>
        </row>
        <row r="3680">
          <cell r="W3680" t="str">
            <v>QDEWA01</v>
          </cell>
          <cell r="AD3680">
            <v>40000</v>
          </cell>
        </row>
        <row r="3681">
          <cell r="W3681" t="str">
            <v>QDEWA01</v>
          </cell>
          <cell r="AD3681">
            <v>40000</v>
          </cell>
        </row>
        <row r="3682">
          <cell r="W3682" t="str">
            <v>QDEWA01</v>
          </cell>
          <cell r="AD3682">
            <v>40000</v>
          </cell>
        </row>
        <row r="3683">
          <cell r="W3683" t="str">
            <v>QDEWA01</v>
          </cell>
          <cell r="AD3683">
            <v>43000</v>
          </cell>
        </row>
        <row r="3684">
          <cell r="W3684" t="str">
            <v>QDEWA01</v>
          </cell>
          <cell r="AD3684">
            <v>43000</v>
          </cell>
        </row>
        <row r="3685">
          <cell r="W3685" t="str">
            <v>QDEWA01</v>
          </cell>
          <cell r="AD3685">
            <v>43000</v>
          </cell>
        </row>
        <row r="3686">
          <cell r="W3686" t="str">
            <v>QDEWA01</v>
          </cell>
          <cell r="AD3686">
            <v>43000</v>
          </cell>
        </row>
        <row r="3687">
          <cell r="W3687" t="str">
            <v>QDEWA01</v>
          </cell>
          <cell r="AD3687">
            <v>43000</v>
          </cell>
        </row>
        <row r="3688">
          <cell r="W3688" t="str">
            <v>QDEWA01</v>
          </cell>
          <cell r="AD3688">
            <v>43000</v>
          </cell>
        </row>
        <row r="3689">
          <cell r="W3689" t="str">
            <v>QDEWA01</v>
          </cell>
          <cell r="AD3689">
            <v>43000</v>
          </cell>
        </row>
        <row r="3690">
          <cell r="W3690" t="str">
            <v>QDEWA01</v>
          </cell>
          <cell r="AD3690">
            <v>43000</v>
          </cell>
        </row>
        <row r="3691">
          <cell r="W3691" t="str">
            <v>QDKDU01</v>
          </cell>
          <cell r="AD3691">
            <v>80000</v>
          </cell>
        </row>
        <row r="3692">
          <cell r="W3692" t="str">
            <v>QDKDU01</v>
          </cell>
          <cell r="AD3692">
            <v>80000</v>
          </cell>
        </row>
        <row r="3693">
          <cell r="W3693" t="str">
            <v>QDKDU01</v>
          </cell>
          <cell r="AD3693">
            <v>115000</v>
          </cell>
        </row>
        <row r="3694">
          <cell r="W3694" t="str">
            <v>QDKFE02</v>
          </cell>
          <cell r="AD3694">
            <v>150000</v>
          </cell>
        </row>
        <row r="3695">
          <cell r="W3695" t="str">
            <v>QDKFE02</v>
          </cell>
          <cell r="AD3695">
            <v>175000</v>
          </cell>
        </row>
        <row r="3696">
          <cell r="W3696" t="str">
            <v>QDKFE01</v>
          </cell>
          <cell r="AD3696">
            <v>77500</v>
          </cell>
        </row>
        <row r="3697">
          <cell r="W3697" t="str">
            <v>ADKFE01</v>
          </cell>
          <cell r="AD3697">
            <v>115000</v>
          </cell>
        </row>
        <row r="3698">
          <cell r="W3698" t="str">
            <v>QDKFE01</v>
          </cell>
          <cell r="AD3698">
            <v>115000</v>
          </cell>
        </row>
        <row r="3699">
          <cell r="W3699" t="str">
            <v>QDKFE01</v>
          </cell>
          <cell r="AD3699">
            <v>115000</v>
          </cell>
        </row>
        <row r="3700">
          <cell r="W3700" t="str">
            <v>QDKFE01</v>
          </cell>
          <cell r="AD3700">
            <v>115000</v>
          </cell>
        </row>
        <row r="3701">
          <cell r="W3701" t="str">
            <v>QDKFE01</v>
          </cell>
          <cell r="AD3701">
            <v>115000</v>
          </cell>
        </row>
        <row r="3702">
          <cell r="W3702" t="str">
            <v>QDKFE01</v>
          </cell>
          <cell r="AD3702">
            <v>115000</v>
          </cell>
        </row>
        <row r="3703">
          <cell r="W3703" t="str">
            <v>QDKFE01</v>
          </cell>
          <cell r="AD3703">
            <v>115000</v>
          </cell>
        </row>
        <row r="3704">
          <cell r="W3704" t="str">
            <v>QDKFE01</v>
          </cell>
          <cell r="AD3704">
            <v>115000</v>
          </cell>
        </row>
        <row r="3705">
          <cell r="W3705" t="str">
            <v>QDKFE01</v>
          </cell>
          <cell r="AD3705">
            <v>115000</v>
          </cell>
        </row>
        <row r="3706">
          <cell r="W3706" t="str">
            <v>QDKFE01</v>
          </cell>
          <cell r="AD3706">
            <v>115000</v>
          </cell>
        </row>
        <row r="3707">
          <cell r="W3707" t="str">
            <v>QDKFE01</v>
          </cell>
          <cell r="AD3707">
            <v>115000</v>
          </cell>
        </row>
        <row r="3708">
          <cell r="W3708" t="str">
            <v>QDKFE03</v>
          </cell>
          <cell r="AD3708">
            <v>35000</v>
          </cell>
        </row>
        <row r="3709">
          <cell r="W3709" t="str">
            <v>QDKFE03</v>
          </cell>
          <cell r="AD3709">
            <v>35000</v>
          </cell>
        </row>
        <row r="3710">
          <cell r="W3710" t="str">
            <v>QDKFE03</v>
          </cell>
          <cell r="AD3710">
            <v>51000</v>
          </cell>
        </row>
        <row r="3711">
          <cell r="W3711" t="str">
            <v>ADKFE03</v>
          </cell>
          <cell r="AD3711">
            <v>51000</v>
          </cell>
        </row>
        <row r="3712">
          <cell r="W3712" t="str">
            <v>ADKFE03</v>
          </cell>
          <cell r="AD3712">
            <v>51000</v>
          </cell>
        </row>
        <row r="3713">
          <cell r="W3713" t="str">
            <v>QDKFE03</v>
          </cell>
          <cell r="AD3713">
            <v>51000</v>
          </cell>
        </row>
        <row r="3714">
          <cell r="W3714" t="str">
            <v>QDKFE03</v>
          </cell>
          <cell r="AD3714">
            <v>51000</v>
          </cell>
        </row>
        <row r="3715">
          <cell r="W3715" t="str">
            <v>QDKFE03</v>
          </cell>
          <cell r="AD3715">
            <v>51000</v>
          </cell>
        </row>
        <row r="3716">
          <cell r="W3716" t="str">
            <v>QDKFI06</v>
          </cell>
          <cell r="AD3716">
            <v>24000</v>
          </cell>
        </row>
        <row r="3717">
          <cell r="W3717" t="str">
            <v>ADKFI01</v>
          </cell>
          <cell r="AD3717">
            <v>48000</v>
          </cell>
        </row>
        <row r="3718">
          <cell r="W3718" t="str">
            <v>ADKFI01</v>
          </cell>
          <cell r="AD3718">
            <v>50000</v>
          </cell>
        </row>
        <row r="3719">
          <cell r="W3719" t="str">
            <v>QDKGL10</v>
          </cell>
          <cell r="AD3719">
            <v>720000</v>
          </cell>
        </row>
        <row r="3720">
          <cell r="W3720" t="str">
            <v>QDKGL10</v>
          </cell>
          <cell r="AD3720">
            <v>740000</v>
          </cell>
        </row>
        <row r="3721">
          <cell r="W3721" t="str">
            <v>QDKGL10</v>
          </cell>
          <cell r="AD3721">
            <v>750000</v>
          </cell>
        </row>
        <row r="3722">
          <cell r="W3722" t="str">
            <v>QDKGL09</v>
          </cell>
          <cell r="AD3722">
            <v>215000</v>
          </cell>
        </row>
        <row r="3723">
          <cell r="W3723" t="str">
            <v>QDKME10</v>
          </cell>
          <cell r="AD3723">
            <v>30000</v>
          </cell>
        </row>
        <row r="3724">
          <cell r="W3724" t="str">
            <v>QDKME10</v>
          </cell>
          <cell r="AD3724">
            <v>30000</v>
          </cell>
        </row>
        <row r="3725">
          <cell r="W3725" t="str">
            <v>QDKME10</v>
          </cell>
          <cell r="AD3725">
            <v>30000</v>
          </cell>
        </row>
        <row r="3726">
          <cell r="W3726" t="str">
            <v>QDKME10</v>
          </cell>
          <cell r="AD3726">
            <v>30000</v>
          </cell>
        </row>
        <row r="3727">
          <cell r="W3727" t="str">
            <v>QDKME10</v>
          </cell>
          <cell r="AD3727">
            <v>30000</v>
          </cell>
        </row>
        <row r="3728">
          <cell r="W3728" t="str">
            <v>QDKME09</v>
          </cell>
          <cell r="AD3728">
            <v>105000</v>
          </cell>
        </row>
        <row r="3729">
          <cell r="W3729" t="str">
            <v>ADKME07</v>
          </cell>
          <cell r="AD3729">
            <v>105000</v>
          </cell>
        </row>
        <row r="3730">
          <cell r="W3730" t="str">
            <v>ADKME07</v>
          </cell>
          <cell r="AD3730">
            <v>105000</v>
          </cell>
        </row>
        <row r="3731">
          <cell r="W3731" t="str">
            <v>ADKME07</v>
          </cell>
          <cell r="AD3731">
            <v>105000</v>
          </cell>
        </row>
        <row r="3732">
          <cell r="W3732" t="str">
            <v>QDKME06</v>
          </cell>
          <cell r="AD3732">
            <v>180000</v>
          </cell>
        </row>
        <row r="3733">
          <cell r="W3733" t="str">
            <v>QDKME05</v>
          </cell>
          <cell r="AD3733">
            <v>95000</v>
          </cell>
        </row>
        <row r="3734">
          <cell r="W3734" t="str">
            <v>ADKME03</v>
          </cell>
          <cell r="AD3734">
            <v>95000</v>
          </cell>
        </row>
        <row r="3735">
          <cell r="W3735" t="str">
            <v>QDKME07</v>
          </cell>
          <cell r="AD3735">
            <v>50000</v>
          </cell>
        </row>
        <row r="3736">
          <cell r="W3736" t="str">
            <v>QDKME07</v>
          </cell>
          <cell r="AD3736">
            <v>50000</v>
          </cell>
        </row>
        <row r="3737">
          <cell r="W3737" t="str">
            <v>ADKME06</v>
          </cell>
          <cell r="AD3737">
            <v>50000</v>
          </cell>
        </row>
        <row r="3738">
          <cell r="W3738" t="str">
            <v>ADKME06</v>
          </cell>
          <cell r="AD3738">
            <v>50000</v>
          </cell>
        </row>
        <row r="3739">
          <cell r="W3739" t="str">
            <v>QDKME07</v>
          </cell>
          <cell r="AD3739">
            <v>55000</v>
          </cell>
        </row>
        <row r="3740">
          <cell r="W3740" t="str">
            <v>QDKME07</v>
          </cell>
          <cell r="AD3740">
            <v>55000</v>
          </cell>
        </row>
        <row r="3741">
          <cell r="W3741" t="str">
            <v>QDKME07</v>
          </cell>
          <cell r="AD3741">
            <v>55000</v>
          </cell>
        </row>
        <row r="3742">
          <cell r="W3742" t="str">
            <v>QDKME07</v>
          </cell>
          <cell r="AD3742">
            <v>55000</v>
          </cell>
        </row>
        <row r="3743">
          <cell r="W3743" t="str">
            <v>ADKME06</v>
          </cell>
          <cell r="AD3743">
            <v>55000</v>
          </cell>
        </row>
        <row r="3744">
          <cell r="W3744" t="str">
            <v>ADKME06</v>
          </cell>
          <cell r="AD3744">
            <v>55000</v>
          </cell>
        </row>
        <row r="3745">
          <cell r="W3745" t="str">
            <v>QDKME07</v>
          </cell>
          <cell r="AD3745">
            <v>55000</v>
          </cell>
        </row>
        <row r="3746">
          <cell r="W3746" t="str">
            <v>QDKME03</v>
          </cell>
          <cell r="AD3746">
            <v>1400000</v>
          </cell>
        </row>
        <row r="3747">
          <cell r="W3747" t="str">
            <v>QDKPR01</v>
          </cell>
          <cell r="AD3747">
            <v>22000</v>
          </cell>
        </row>
        <row r="3748">
          <cell r="W3748" t="str">
            <v>QDKPR01</v>
          </cell>
          <cell r="AD3748">
            <v>24000</v>
          </cell>
        </row>
        <row r="3749">
          <cell r="W3749" t="str">
            <v>QDKPR02</v>
          </cell>
          <cell r="AD3749">
            <v>48000</v>
          </cell>
        </row>
        <row r="3750">
          <cell r="W3750" t="str">
            <v>ADKPR02</v>
          </cell>
          <cell r="AD3750">
            <v>48000</v>
          </cell>
        </row>
        <row r="3751">
          <cell r="W3751" t="str">
            <v>QDKST03</v>
          </cell>
          <cell r="AD3751">
            <v>65000</v>
          </cell>
        </row>
        <row r="3752">
          <cell r="W3752" t="str">
            <v>QDKST03</v>
          </cell>
          <cell r="AD3752">
            <v>65000</v>
          </cell>
        </row>
        <row r="3753">
          <cell r="W3753" t="str">
            <v>QDKST03</v>
          </cell>
          <cell r="AD3753">
            <v>85000</v>
          </cell>
        </row>
        <row r="3754">
          <cell r="W3754" t="str">
            <v>QDKST03</v>
          </cell>
          <cell r="AD3754">
            <v>85000</v>
          </cell>
        </row>
        <row r="3755">
          <cell r="W3755" t="str">
            <v>QDKST03</v>
          </cell>
          <cell r="AD3755">
            <v>85000</v>
          </cell>
        </row>
        <row r="3756">
          <cell r="W3756" t="str">
            <v>QDKST03</v>
          </cell>
          <cell r="AD3756">
            <v>85000</v>
          </cell>
        </row>
        <row r="3757">
          <cell r="W3757" t="str">
            <v>QDKST03</v>
          </cell>
          <cell r="AD3757">
            <v>85000</v>
          </cell>
        </row>
        <row r="3758">
          <cell r="W3758" t="str">
            <v>QDKZO01</v>
          </cell>
          <cell r="AD3758">
            <v>31500</v>
          </cell>
        </row>
        <row r="3759">
          <cell r="W3759" t="str">
            <v>QDKZO01</v>
          </cell>
          <cell r="AD3759">
            <v>32000</v>
          </cell>
        </row>
        <row r="3760">
          <cell r="W3760" t="str">
            <v>QDKZO01</v>
          </cell>
          <cell r="AD3760">
            <v>35100</v>
          </cell>
        </row>
        <row r="3761">
          <cell r="W3761" t="str">
            <v>ADKZO02</v>
          </cell>
          <cell r="AD3761">
            <v>35100</v>
          </cell>
        </row>
        <row r="3762">
          <cell r="W3762" t="str">
            <v>QDKZO01</v>
          </cell>
          <cell r="AD3762">
            <v>35100</v>
          </cell>
        </row>
        <row r="3763">
          <cell r="W3763" t="str">
            <v>QDKZO01</v>
          </cell>
          <cell r="AD3763">
            <v>35100</v>
          </cell>
        </row>
        <row r="3764">
          <cell r="W3764" t="str">
            <v>ADKZO02</v>
          </cell>
          <cell r="AD3764">
            <v>35100</v>
          </cell>
        </row>
        <row r="3765">
          <cell r="W3765" t="str">
            <v>QDMA601</v>
          </cell>
          <cell r="AD3765">
            <v>52000</v>
          </cell>
        </row>
        <row r="3766">
          <cell r="W3766" t="str">
            <v>QDMA601</v>
          </cell>
          <cell r="AD3766">
            <v>52000</v>
          </cell>
        </row>
        <row r="3767">
          <cell r="W3767" t="str">
            <v>QDMA601</v>
          </cell>
          <cell r="AD3767">
            <v>52000</v>
          </cell>
        </row>
        <row r="3768">
          <cell r="W3768" t="str">
            <v>QDMA601</v>
          </cell>
          <cell r="AD3768">
            <v>52000</v>
          </cell>
        </row>
        <row r="3769">
          <cell r="W3769" t="str">
            <v>QDMA601</v>
          </cell>
          <cell r="AD3769">
            <v>52500</v>
          </cell>
        </row>
        <row r="3770">
          <cell r="W3770" t="str">
            <v>QDMA602</v>
          </cell>
          <cell r="AD3770">
            <v>27500</v>
          </cell>
        </row>
        <row r="3771">
          <cell r="W3771" t="str">
            <v>QDMA602</v>
          </cell>
          <cell r="AD3771">
            <v>27500</v>
          </cell>
        </row>
        <row r="3772">
          <cell r="W3772" t="str">
            <v>QDMA602</v>
          </cell>
          <cell r="AD3772">
            <v>27500</v>
          </cell>
        </row>
        <row r="3773">
          <cell r="W3773" t="str">
            <v>QDMA602</v>
          </cell>
          <cell r="AD3773">
            <v>27750</v>
          </cell>
        </row>
        <row r="3774">
          <cell r="W3774" t="str">
            <v>QDMA602</v>
          </cell>
          <cell r="AD3774">
            <v>27750</v>
          </cell>
        </row>
        <row r="3775">
          <cell r="W3775" t="str">
            <v>QDMA602</v>
          </cell>
          <cell r="AD3775">
            <v>27750</v>
          </cell>
        </row>
        <row r="3776">
          <cell r="W3776" t="str">
            <v>QDMA602</v>
          </cell>
          <cell r="AD3776">
            <v>27750</v>
          </cell>
        </row>
        <row r="3777">
          <cell r="W3777" t="str">
            <v>QDMA602</v>
          </cell>
          <cell r="AD3777">
            <v>27750</v>
          </cell>
        </row>
        <row r="3778">
          <cell r="W3778" t="str">
            <v>QDMA602</v>
          </cell>
          <cell r="AD3778">
            <v>27750</v>
          </cell>
        </row>
        <row r="3779">
          <cell r="W3779" t="str">
            <v>QDMA602</v>
          </cell>
          <cell r="AD3779">
            <v>27750</v>
          </cell>
        </row>
        <row r="3780">
          <cell r="W3780" t="str">
            <v>QDMA602</v>
          </cell>
          <cell r="AD3780">
            <v>27750</v>
          </cell>
        </row>
        <row r="3781">
          <cell r="W3781" t="str">
            <v>QDMA602</v>
          </cell>
          <cell r="AD3781">
            <v>27750</v>
          </cell>
        </row>
        <row r="3782">
          <cell r="W3782" t="str">
            <v>QDMA602</v>
          </cell>
          <cell r="AD3782">
            <v>27750</v>
          </cell>
        </row>
        <row r="3783">
          <cell r="W3783" t="str">
            <v>QDMA602</v>
          </cell>
          <cell r="AD3783">
            <v>27750</v>
          </cell>
        </row>
        <row r="3784">
          <cell r="W3784" t="str">
            <v>QDMA602</v>
          </cell>
          <cell r="AD3784">
            <v>28000</v>
          </cell>
        </row>
        <row r="3785">
          <cell r="W3785" t="str">
            <v>QDMA602</v>
          </cell>
          <cell r="AD3785">
            <v>28000</v>
          </cell>
        </row>
        <row r="3786">
          <cell r="W3786" t="str">
            <v>QDMA602</v>
          </cell>
          <cell r="AD3786">
            <v>28000</v>
          </cell>
        </row>
        <row r="3787">
          <cell r="W3787" t="str">
            <v>QDMA602</v>
          </cell>
          <cell r="AD3787">
            <v>28000</v>
          </cell>
        </row>
        <row r="3788">
          <cell r="W3788" t="str">
            <v>QDMA602</v>
          </cell>
          <cell r="AD3788">
            <v>28000</v>
          </cell>
        </row>
        <row r="3789">
          <cell r="W3789" t="str">
            <v>QDMA602</v>
          </cell>
          <cell r="AD3789">
            <v>28000</v>
          </cell>
        </row>
        <row r="3790">
          <cell r="W3790" t="str">
            <v>QDMA602</v>
          </cell>
          <cell r="AD3790">
            <v>28000</v>
          </cell>
        </row>
        <row r="3791">
          <cell r="W3791" t="str">
            <v>QDONK01</v>
          </cell>
          <cell r="AD3791">
            <v>13272.73</v>
          </cell>
        </row>
        <row r="3792">
          <cell r="W3792" t="str">
            <v>QDONK01</v>
          </cell>
          <cell r="AD3792">
            <v>13272.73</v>
          </cell>
        </row>
        <row r="3793">
          <cell r="W3793" t="str">
            <v>QDONK01</v>
          </cell>
          <cell r="AD3793">
            <v>18000</v>
          </cell>
        </row>
        <row r="3794">
          <cell r="W3794" t="str">
            <v>QDONK01</v>
          </cell>
          <cell r="AD3794">
            <v>18000</v>
          </cell>
        </row>
        <row r="3795">
          <cell r="W3795" t="str">
            <v>QDONK01</v>
          </cell>
          <cell r="AD3795">
            <v>18000</v>
          </cell>
        </row>
        <row r="3796">
          <cell r="W3796" t="str">
            <v>QDONK01</v>
          </cell>
          <cell r="AD3796">
            <v>18000</v>
          </cell>
        </row>
        <row r="3797">
          <cell r="W3797" t="str">
            <v>QDONK01</v>
          </cell>
          <cell r="AD3797">
            <v>18000</v>
          </cell>
        </row>
        <row r="3798">
          <cell r="W3798" t="str">
            <v>QDONK01</v>
          </cell>
          <cell r="AD3798">
            <v>18000</v>
          </cell>
        </row>
        <row r="3799">
          <cell r="W3799" t="str">
            <v>QDONK01</v>
          </cell>
          <cell r="AD3799">
            <v>18000</v>
          </cell>
        </row>
        <row r="3800">
          <cell r="W3800" t="str">
            <v>QDONK01</v>
          </cell>
          <cell r="AD3800">
            <v>18000</v>
          </cell>
        </row>
        <row r="3801">
          <cell r="W3801" t="str">
            <v>QDONK01</v>
          </cell>
          <cell r="AD3801">
            <v>18000</v>
          </cell>
        </row>
        <row r="3802">
          <cell r="W3802" t="str">
            <v>QDONK01</v>
          </cell>
          <cell r="AD3802">
            <v>18000</v>
          </cell>
        </row>
        <row r="3803">
          <cell r="W3803" t="str">
            <v>QDONK01</v>
          </cell>
          <cell r="AD3803">
            <v>18000</v>
          </cell>
        </row>
        <row r="3804">
          <cell r="W3804" t="str">
            <v>QDONK01</v>
          </cell>
          <cell r="AD3804">
            <v>18000</v>
          </cell>
        </row>
        <row r="3805">
          <cell r="W3805" t="str">
            <v>QDONK01</v>
          </cell>
          <cell r="AD3805">
            <v>18000</v>
          </cell>
        </row>
        <row r="3806">
          <cell r="W3806" t="str">
            <v>QDONK01</v>
          </cell>
          <cell r="AD3806">
            <v>18000</v>
          </cell>
        </row>
        <row r="3807">
          <cell r="W3807" t="str">
            <v>QDONK01</v>
          </cell>
          <cell r="AD3807">
            <v>18000</v>
          </cell>
        </row>
        <row r="3808">
          <cell r="W3808" t="str">
            <v>QDONK01</v>
          </cell>
          <cell r="AD3808">
            <v>18000</v>
          </cell>
        </row>
        <row r="3809">
          <cell r="W3809" t="str">
            <v>QDONK01</v>
          </cell>
          <cell r="AD3809">
            <v>18000</v>
          </cell>
        </row>
        <row r="3810">
          <cell r="W3810" t="str">
            <v>QDONK01</v>
          </cell>
          <cell r="AD3810">
            <v>18000</v>
          </cell>
        </row>
        <row r="3811">
          <cell r="W3811" t="str">
            <v>QDONK01</v>
          </cell>
          <cell r="AD3811">
            <v>18000</v>
          </cell>
        </row>
        <row r="3812">
          <cell r="W3812" t="str">
            <v>QDONK01</v>
          </cell>
          <cell r="AD3812">
            <v>18000</v>
          </cell>
        </row>
        <row r="3813">
          <cell r="W3813" t="str">
            <v>QDONK01</v>
          </cell>
          <cell r="AD3813">
            <v>18000</v>
          </cell>
        </row>
        <row r="3814">
          <cell r="W3814" t="str">
            <v>QDONK01</v>
          </cell>
          <cell r="AD3814">
            <v>18000</v>
          </cell>
        </row>
        <row r="3815">
          <cell r="W3815" t="str">
            <v>QDONK01</v>
          </cell>
          <cell r="AD3815">
            <v>18500</v>
          </cell>
        </row>
        <row r="3816">
          <cell r="W3816" t="str">
            <v>QDONK01</v>
          </cell>
          <cell r="AD3816">
            <v>18500</v>
          </cell>
        </row>
        <row r="3817">
          <cell r="W3817" t="str">
            <v>QDONK02</v>
          </cell>
          <cell r="AD3817">
            <v>35000</v>
          </cell>
        </row>
        <row r="3818">
          <cell r="W3818" t="str">
            <v>QDONK02</v>
          </cell>
          <cell r="AD3818">
            <v>35500</v>
          </cell>
        </row>
        <row r="3819">
          <cell r="W3819" t="str">
            <v>QDONK02</v>
          </cell>
          <cell r="AD3819">
            <v>35500</v>
          </cell>
        </row>
        <row r="3820">
          <cell r="W3820" t="str">
            <v>QDONK02</v>
          </cell>
          <cell r="AD3820">
            <v>35500</v>
          </cell>
        </row>
        <row r="3821">
          <cell r="W3821" t="str">
            <v>QDONK02</v>
          </cell>
          <cell r="AD3821">
            <v>35500</v>
          </cell>
        </row>
        <row r="3822">
          <cell r="W3822" t="str">
            <v>QDONK02</v>
          </cell>
          <cell r="AD3822">
            <v>35500</v>
          </cell>
        </row>
        <row r="3823">
          <cell r="W3823" t="str">
            <v>QDONK02</v>
          </cell>
          <cell r="AD3823">
            <v>35500</v>
          </cell>
        </row>
        <row r="3824">
          <cell r="W3824" t="str">
            <v>QDONK02</v>
          </cell>
          <cell r="AD3824">
            <v>35500</v>
          </cell>
        </row>
        <row r="3825">
          <cell r="W3825" t="str">
            <v>QDONK02</v>
          </cell>
          <cell r="AD3825">
            <v>35500</v>
          </cell>
        </row>
        <row r="3826">
          <cell r="W3826" t="str">
            <v>QDONK02</v>
          </cell>
          <cell r="AD3826">
            <v>35500</v>
          </cell>
        </row>
        <row r="3827">
          <cell r="W3827" t="str">
            <v>ADONK02</v>
          </cell>
          <cell r="AD3827">
            <v>35500</v>
          </cell>
        </row>
        <row r="3828">
          <cell r="W3828" t="str">
            <v>QDONK02</v>
          </cell>
          <cell r="AD3828">
            <v>35500</v>
          </cell>
        </row>
        <row r="3829">
          <cell r="W3829" t="str">
            <v>QDONK02</v>
          </cell>
          <cell r="AD3829">
            <v>35500</v>
          </cell>
        </row>
        <row r="3830">
          <cell r="W3830" t="str">
            <v>QDONK02</v>
          </cell>
          <cell r="AD3830">
            <v>35500</v>
          </cell>
        </row>
        <row r="3831">
          <cell r="W3831" t="str">
            <v>QDONK02</v>
          </cell>
          <cell r="AD3831">
            <v>35500</v>
          </cell>
        </row>
        <row r="3832">
          <cell r="W3832" t="str">
            <v>QDONK02</v>
          </cell>
          <cell r="AD3832">
            <v>35500</v>
          </cell>
        </row>
        <row r="3833">
          <cell r="W3833" t="str">
            <v>QDONK02</v>
          </cell>
          <cell r="AD3833">
            <v>35500</v>
          </cell>
        </row>
        <row r="3834">
          <cell r="W3834" t="str">
            <v>QDONK02</v>
          </cell>
          <cell r="AD3834">
            <v>35500</v>
          </cell>
        </row>
        <row r="3835">
          <cell r="W3835" t="str">
            <v>QDONK02</v>
          </cell>
          <cell r="AD3835">
            <v>35500</v>
          </cell>
        </row>
        <row r="3836">
          <cell r="W3836" t="str">
            <v>ADONK02</v>
          </cell>
          <cell r="AD3836">
            <v>35500</v>
          </cell>
        </row>
        <row r="3837">
          <cell r="W3837" t="str">
            <v>QDONK02</v>
          </cell>
          <cell r="AD3837">
            <v>35500</v>
          </cell>
        </row>
        <row r="3838">
          <cell r="W3838" t="str">
            <v>ADONK02</v>
          </cell>
          <cell r="AD3838">
            <v>35500</v>
          </cell>
        </row>
        <row r="3839">
          <cell r="W3839" t="str">
            <v>QDONK02</v>
          </cell>
          <cell r="AD3839">
            <v>35500</v>
          </cell>
        </row>
        <row r="3840">
          <cell r="W3840" t="str">
            <v>QDONK02</v>
          </cell>
          <cell r="AD3840">
            <v>35500</v>
          </cell>
        </row>
        <row r="3841">
          <cell r="W3841" t="str">
            <v>QDONK03</v>
          </cell>
          <cell r="AD3841">
            <v>68500</v>
          </cell>
        </row>
        <row r="3842">
          <cell r="W3842" t="str">
            <v>QDONK03</v>
          </cell>
          <cell r="AD3842">
            <v>68500</v>
          </cell>
        </row>
        <row r="3843">
          <cell r="W3843" t="str">
            <v>QDONK03</v>
          </cell>
          <cell r="AD3843">
            <v>68500</v>
          </cell>
        </row>
        <row r="3844">
          <cell r="W3844" t="str">
            <v>QDONK03</v>
          </cell>
          <cell r="AD3844">
            <v>68500</v>
          </cell>
        </row>
        <row r="3845">
          <cell r="W3845" t="str">
            <v>QDONK03</v>
          </cell>
          <cell r="AD3845">
            <v>68500</v>
          </cell>
        </row>
        <row r="3846">
          <cell r="W3846" t="str">
            <v>QDONK03</v>
          </cell>
          <cell r="AD3846">
            <v>68500</v>
          </cell>
        </row>
        <row r="3847">
          <cell r="W3847" t="str">
            <v>QDONK03</v>
          </cell>
          <cell r="AD3847">
            <v>68500</v>
          </cell>
        </row>
        <row r="3848">
          <cell r="W3848" t="str">
            <v>QDONK03</v>
          </cell>
          <cell r="AD3848">
            <v>68500</v>
          </cell>
        </row>
        <row r="3849">
          <cell r="W3849" t="str">
            <v>ADONK03</v>
          </cell>
          <cell r="AD3849">
            <v>68500</v>
          </cell>
        </row>
        <row r="3850">
          <cell r="W3850" t="str">
            <v>QDONK03</v>
          </cell>
          <cell r="AD3850">
            <v>68500</v>
          </cell>
        </row>
        <row r="3851">
          <cell r="W3851" t="str">
            <v>QDONK03</v>
          </cell>
          <cell r="AD3851">
            <v>68500</v>
          </cell>
        </row>
        <row r="3852">
          <cell r="W3852" t="str">
            <v>QDONK03</v>
          </cell>
          <cell r="AD3852">
            <v>68500</v>
          </cell>
        </row>
        <row r="3853">
          <cell r="W3853" t="str">
            <v>QDONK03</v>
          </cell>
          <cell r="AD3853">
            <v>68500</v>
          </cell>
        </row>
        <row r="3854">
          <cell r="W3854" t="str">
            <v>QDONK03</v>
          </cell>
          <cell r="AD3854">
            <v>68500</v>
          </cell>
        </row>
        <row r="3855">
          <cell r="W3855" t="str">
            <v>ADONK03</v>
          </cell>
          <cell r="AD3855">
            <v>68500</v>
          </cell>
        </row>
        <row r="3856">
          <cell r="W3856" t="str">
            <v>ADONK03</v>
          </cell>
          <cell r="AD3856">
            <v>68500</v>
          </cell>
        </row>
        <row r="3857">
          <cell r="W3857" t="str">
            <v>QDRYU02</v>
          </cell>
          <cell r="AD3857">
            <v>245000</v>
          </cell>
        </row>
        <row r="3858">
          <cell r="W3858" t="str">
            <v>QDUMI01</v>
          </cell>
          <cell r="AD3858">
            <v>19000</v>
          </cell>
        </row>
        <row r="3859">
          <cell r="W3859" t="str">
            <v>QDUMI01</v>
          </cell>
          <cell r="AD3859">
            <v>19000</v>
          </cell>
        </row>
        <row r="3860">
          <cell r="W3860" t="str">
            <v>QDUMI02</v>
          </cell>
          <cell r="AD3860">
            <v>76500</v>
          </cell>
        </row>
        <row r="3861">
          <cell r="W3861" t="str">
            <v>QDUMI02</v>
          </cell>
          <cell r="AD3861">
            <v>76500</v>
          </cell>
        </row>
        <row r="3862">
          <cell r="W3862" t="str">
            <v>QDUMI02</v>
          </cell>
          <cell r="AD3862">
            <v>76500</v>
          </cell>
        </row>
        <row r="3863">
          <cell r="W3863" t="str">
            <v>QDUMI02</v>
          </cell>
          <cell r="AD3863">
            <v>80000</v>
          </cell>
        </row>
        <row r="3864">
          <cell r="W3864" t="str">
            <v>QDUMI02</v>
          </cell>
          <cell r="AD3864">
            <v>80000</v>
          </cell>
        </row>
        <row r="3865">
          <cell r="W3865" t="str">
            <v>QDUMI02</v>
          </cell>
          <cell r="AD3865">
            <v>80000</v>
          </cell>
        </row>
        <row r="3866">
          <cell r="W3866" t="str">
            <v>QDUMI02</v>
          </cell>
          <cell r="AD3866">
            <v>80000</v>
          </cell>
        </row>
        <row r="3867">
          <cell r="W3867" t="str">
            <v>QDUMI02</v>
          </cell>
          <cell r="AD3867">
            <v>80000</v>
          </cell>
        </row>
        <row r="3868">
          <cell r="W3868" t="str">
            <v>QDUMI02</v>
          </cell>
          <cell r="AD3868">
            <v>80000</v>
          </cell>
        </row>
        <row r="3869">
          <cell r="W3869" t="str">
            <v>QDUMI02</v>
          </cell>
          <cell r="AD3869">
            <v>81000</v>
          </cell>
        </row>
        <row r="3870">
          <cell r="W3870" t="str">
            <v>QDUMI02</v>
          </cell>
          <cell r="AD3870">
            <v>83000</v>
          </cell>
        </row>
        <row r="3871">
          <cell r="W3871" t="str">
            <v>QDURS01</v>
          </cell>
          <cell r="AD3871">
            <v>85000</v>
          </cell>
        </row>
        <row r="3872">
          <cell r="W3872" t="str">
            <v>QDURS01</v>
          </cell>
          <cell r="AD3872">
            <v>85000</v>
          </cell>
        </row>
        <row r="3873">
          <cell r="W3873" t="str">
            <v>QDURS01</v>
          </cell>
          <cell r="AD3873">
            <v>85000</v>
          </cell>
        </row>
        <row r="3874">
          <cell r="W3874" t="str">
            <v>QDURS01</v>
          </cell>
          <cell r="AD3874">
            <v>85000</v>
          </cell>
        </row>
        <row r="3875">
          <cell r="W3875" t="str">
            <v>QDURS01</v>
          </cell>
          <cell r="AD3875">
            <v>85000</v>
          </cell>
        </row>
        <row r="3876">
          <cell r="W3876" t="str">
            <v>QDURS01</v>
          </cell>
          <cell r="AD3876">
            <v>85000</v>
          </cell>
        </row>
        <row r="3877">
          <cell r="W3877" t="str">
            <v>QDURS01</v>
          </cell>
          <cell r="AD3877">
            <v>85000</v>
          </cell>
        </row>
        <row r="3878">
          <cell r="W3878" t="str">
            <v>QDURS01</v>
          </cell>
          <cell r="AD3878">
            <v>85000</v>
          </cell>
        </row>
        <row r="3879">
          <cell r="W3879" t="str">
            <v>QDURS01</v>
          </cell>
          <cell r="AD3879">
            <v>85000</v>
          </cell>
        </row>
        <row r="3880">
          <cell r="W3880" t="str">
            <v>QDURS01</v>
          </cell>
          <cell r="AD3880">
            <v>85000</v>
          </cell>
        </row>
        <row r="3881">
          <cell r="W3881" t="str">
            <v>QDURS01</v>
          </cell>
          <cell r="AD3881">
            <v>85000</v>
          </cell>
        </row>
        <row r="3882">
          <cell r="W3882" t="str">
            <v>QDURS01</v>
          </cell>
          <cell r="AD3882">
            <v>85000</v>
          </cell>
        </row>
        <row r="3883">
          <cell r="W3883" t="str">
            <v>QDURS01</v>
          </cell>
          <cell r="AD3883">
            <v>85000</v>
          </cell>
        </row>
        <row r="3884">
          <cell r="W3884" t="str">
            <v>QDURS01</v>
          </cell>
          <cell r="AD3884">
            <v>85000</v>
          </cell>
        </row>
        <row r="3885">
          <cell r="W3885" t="str">
            <v>QDURS01</v>
          </cell>
          <cell r="AD3885">
            <v>85000</v>
          </cell>
        </row>
        <row r="3886">
          <cell r="W3886" t="str">
            <v>QDURS01</v>
          </cell>
          <cell r="AD3886">
            <v>85000</v>
          </cell>
        </row>
        <row r="3887">
          <cell r="W3887" t="str">
            <v>QDURS01</v>
          </cell>
          <cell r="AD3887">
            <v>85000</v>
          </cell>
        </row>
        <row r="3888">
          <cell r="W3888" t="str">
            <v>QDURS01</v>
          </cell>
          <cell r="AD3888">
            <v>85000</v>
          </cell>
        </row>
        <row r="3889">
          <cell r="W3889" t="str">
            <v>QDURS01</v>
          </cell>
          <cell r="AD3889">
            <v>85000</v>
          </cell>
        </row>
        <row r="3890">
          <cell r="W3890" t="str">
            <v>QDURS01</v>
          </cell>
          <cell r="AD3890">
            <v>85000</v>
          </cell>
        </row>
        <row r="3891">
          <cell r="W3891" t="str">
            <v>QDURS01</v>
          </cell>
          <cell r="AD3891">
            <v>85000</v>
          </cell>
        </row>
        <row r="3892">
          <cell r="W3892" t="str">
            <v>QDURS01</v>
          </cell>
          <cell r="AD3892">
            <v>85000</v>
          </cell>
        </row>
        <row r="3893">
          <cell r="W3893" t="str">
            <v>QDURS01</v>
          </cell>
          <cell r="AD3893">
            <v>85000</v>
          </cell>
        </row>
        <row r="3894">
          <cell r="W3894" t="str">
            <v>QDURS01</v>
          </cell>
          <cell r="AD3894">
            <v>85000</v>
          </cell>
        </row>
        <row r="3895">
          <cell r="W3895" t="str">
            <v>QDURS01</v>
          </cell>
          <cell r="AD3895">
            <v>85000</v>
          </cell>
        </row>
        <row r="3896">
          <cell r="W3896" t="str">
            <v>QDURS01</v>
          </cell>
          <cell r="AD3896">
            <v>85000</v>
          </cell>
        </row>
        <row r="3897">
          <cell r="W3897" t="str">
            <v>QDURS01</v>
          </cell>
          <cell r="AD3897">
            <v>85000</v>
          </cell>
        </row>
        <row r="3898">
          <cell r="W3898" t="str">
            <v>QDURS01</v>
          </cell>
          <cell r="AD3898">
            <v>85000</v>
          </cell>
        </row>
        <row r="3899">
          <cell r="W3899" t="str">
            <v>QDURS01</v>
          </cell>
          <cell r="AD3899">
            <v>85000</v>
          </cell>
        </row>
        <row r="3900">
          <cell r="W3900" t="str">
            <v>QDURS01</v>
          </cell>
          <cell r="AD3900">
            <v>85000</v>
          </cell>
        </row>
        <row r="3901">
          <cell r="W3901" t="str">
            <v>QDURS01</v>
          </cell>
          <cell r="AD3901">
            <v>85000</v>
          </cell>
        </row>
        <row r="3902">
          <cell r="W3902" t="str">
            <v>QDURS01</v>
          </cell>
          <cell r="AD3902">
            <v>85000</v>
          </cell>
        </row>
        <row r="3903">
          <cell r="W3903" t="str">
            <v>QDURS01</v>
          </cell>
          <cell r="AD3903">
            <v>85000</v>
          </cell>
        </row>
        <row r="3904">
          <cell r="W3904" t="str">
            <v>QDURS01</v>
          </cell>
          <cell r="AD3904">
            <v>85000</v>
          </cell>
        </row>
        <row r="3905">
          <cell r="W3905" t="str">
            <v>QDURS01</v>
          </cell>
          <cell r="AD3905">
            <v>85000</v>
          </cell>
        </row>
        <row r="3906">
          <cell r="W3906" t="str">
            <v>QDURS01</v>
          </cell>
          <cell r="AD3906">
            <v>85000</v>
          </cell>
        </row>
        <row r="3907">
          <cell r="W3907" t="str">
            <v>QDURS01</v>
          </cell>
          <cell r="AD3907">
            <v>85000</v>
          </cell>
        </row>
        <row r="3908">
          <cell r="W3908" t="str">
            <v>QDURS01</v>
          </cell>
          <cell r="AD3908">
            <v>85000</v>
          </cell>
        </row>
        <row r="3909">
          <cell r="W3909" t="str">
            <v>QDURS01</v>
          </cell>
          <cell r="AD3909">
            <v>85000</v>
          </cell>
        </row>
        <row r="3910">
          <cell r="W3910" t="str">
            <v>QDURS01</v>
          </cell>
          <cell r="AD3910">
            <v>85000</v>
          </cell>
        </row>
        <row r="3911">
          <cell r="W3911" t="str">
            <v>QDURS01</v>
          </cell>
          <cell r="AD3911">
            <v>85000</v>
          </cell>
        </row>
        <row r="3912">
          <cell r="W3912" t="str">
            <v>QDURS01</v>
          </cell>
          <cell r="AD3912">
            <v>85000</v>
          </cell>
        </row>
        <row r="3913">
          <cell r="W3913" t="str">
            <v>QDURS01</v>
          </cell>
          <cell r="AD3913">
            <v>85000</v>
          </cell>
        </row>
        <row r="3914">
          <cell r="W3914" t="str">
            <v>QDURS01</v>
          </cell>
          <cell r="AD3914">
            <v>85000</v>
          </cell>
        </row>
        <row r="3915">
          <cell r="W3915" t="str">
            <v>QDURS01</v>
          </cell>
          <cell r="AD3915">
            <v>85000</v>
          </cell>
        </row>
        <row r="3916">
          <cell r="W3916" t="str">
            <v>QDURS01</v>
          </cell>
          <cell r="AD3916">
            <v>85000</v>
          </cell>
        </row>
        <row r="3917">
          <cell r="W3917" t="str">
            <v>QDURS01</v>
          </cell>
          <cell r="AD3917">
            <v>85000</v>
          </cell>
        </row>
        <row r="3918">
          <cell r="W3918" t="str">
            <v>QDURS01</v>
          </cell>
          <cell r="AD3918">
            <v>85000</v>
          </cell>
        </row>
        <row r="3919">
          <cell r="W3919" t="str">
            <v>QDURS01</v>
          </cell>
          <cell r="AD3919">
            <v>85000</v>
          </cell>
        </row>
        <row r="3920">
          <cell r="W3920" t="str">
            <v>QDURS01</v>
          </cell>
          <cell r="AD3920">
            <v>85000</v>
          </cell>
        </row>
        <row r="3921">
          <cell r="W3921" t="str">
            <v>QDURS01</v>
          </cell>
          <cell r="AD3921">
            <v>85000</v>
          </cell>
        </row>
        <row r="3922">
          <cell r="W3922" t="str">
            <v>QDURS01</v>
          </cell>
          <cell r="AD3922">
            <v>85000</v>
          </cell>
        </row>
        <row r="3923">
          <cell r="W3923" t="str">
            <v>QDURS01</v>
          </cell>
          <cell r="AD3923">
            <v>85000</v>
          </cell>
        </row>
        <row r="3924">
          <cell r="W3924" t="str">
            <v>QDURS01</v>
          </cell>
          <cell r="AD3924">
            <v>85000</v>
          </cell>
        </row>
        <row r="3925">
          <cell r="W3925" t="str">
            <v>QDURS01</v>
          </cell>
          <cell r="AD3925">
            <v>85000</v>
          </cell>
        </row>
        <row r="3926">
          <cell r="W3926" t="str">
            <v>QDURS01</v>
          </cell>
          <cell r="AD3926">
            <v>85000</v>
          </cell>
        </row>
        <row r="3927">
          <cell r="W3927" t="str">
            <v>QDURS01</v>
          </cell>
          <cell r="AD3927">
            <v>85000</v>
          </cell>
        </row>
        <row r="3928">
          <cell r="W3928" t="str">
            <v>QDURS01</v>
          </cell>
          <cell r="AD3928">
            <v>85000</v>
          </cell>
        </row>
        <row r="3929">
          <cell r="W3929" t="str">
            <v>QDURS01</v>
          </cell>
          <cell r="AD3929">
            <v>85000</v>
          </cell>
        </row>
        <row r="3930">
          <cell r="W3930" t="str">
            <v>QDURS01</v>
          </cell>
          <cell r="AD3930">
            <v>85000</v>
          </cell>
        </row>
        <row r="3931">
          <cell r="W3931" t="str">
            <v>QDURS01</v>
          </cell>
          <cell r="AD3931">
            <v>85000</v>
          </cell>
        </row>
        <row r="3932">
          <cell r="W3932" t="str">
            <v>QDURS01</v>
          </cell>
          <cell r="AD3932">
            <v>85000</v>
          </cell>
        </row>
        <row r="3933">
          <cell r="W3933" t="str">
            <v>QDURS01</v>
          </cell>
          <cell r="AD3933">
            <v>85000</v>
          </cell>
        </row>
        <row r="3934">
          <cell r="W3934" t="str">
            <v>QDURS01</v>
          </cell>
          <cell r="AD3934">
            <v>85000</v>
          </cell>
        </row>
        <row r="3935">
          <cell r="W3935" t="str">
            <v>QDURS01</v>
          </cell>
          <cell r="AD3935">
            <v>85000</v>
          </cell>
        </row>
        <row r="3936">
          <cell r="W3936" t="str">
            <v>QDURS01</v>
          </cell>
          <cell r="AD3936">
            <v>85000</v>
          </cell>
        </row>
        <row r="3937">
          <cell r="W3937" t="str">
            <v>QDURS01</v>
          </cell>
          <cell r="AD3937">
            <v>85000</v>
          </cell>
        </row>
        <row r="3938">
          <cell r="W3938" t="str">
            <v>QDURS01</v>
          </cell>
          <cell r="AD3938">
            <v>86000</v>
          </cell>
        </row>
        <row r="3939">
          <cell r="W3939" t="str">
            <v>QDURS01</v>
          </cell>
          <cell r="AD3939">
            <v>86000</v>
          </cell>
        </row>
        <row r="3940">
          <cell r="W3940" t="str">
            <v>QDURS01</v>
          </cell>
          <cell r="AD3940">
            <v>86000</v>
          </cell>
        </row>
        <row r="3941">
          <cell r="W3941" t="str">
            <v>QDURS01</v>
          </cell>
          <cell r="AD3941">
            <v>90000</v>
          </cell>
        </row>
        <row r="3942">
          <cell r="W3942" t="str">
            <v>QDURS02</v>
          </cell>
          <cell r="AD3942">
            <v>44000</v>
          </cell>
        </row>
        <row r="3943">
          <cell r="W3943" t="str">
            <v>QDURS02</v>
          </cell>
          <cell r="AD3943">
            <v>44000</v>
          </cell>
        </row>
        <row r="3944">
          <cell r="W3944" t="str">
            <v>QDURS02</v>
          </cell>
          <cell r="AD3944">
            <v>44000</v>
          </cell>
        </row>
        <row r="3945">
          <cell r="W3945" t="str">
            <v>QDURS02</v>
          </cell>
          <cell r="AD3945">
            <v>45000</v>
          </cell>
        </row>
        <row r="3946">
          <cell r="W3946" t="str">
            <v>QDURS02</v>
          </cell>
          <cell r="AD3946">
            <v>45000</v>
          </cell>
        </row>
        <row r="3947">
          <cell r="W3947" t="str">
            <v>QDURS02</v>
          </cell>
          <cell r="AD3947">
            <v>45000</v>
          </cell>
        </row>
        <row r="3948">
          <cell r="W3948" t="str">
            <v>QDURS02</v>
          </cell>
          <cell r="AD3948">
            <v>45000</v>
          </cell>
        </row>
        <row r="3949">
          <cell r="W3949" t="str">
            <v>QDURS02</v>
          </cell>
          <cell r="AD3949">
            <v>45000</v>
          </cell>
        </row>
        <row r="3950">
          <cell r="W3950" t="str">
            <v>QDURS02</v>
          </cell>
          <cell r="AD3950">
            <v>45000</v>
          </cell>
        </row>
        <row r="3951">
          <cell r="W3951" t="str">
            <v>QDURS02</v>
          </cell>
          <cell r="AD3951">
            <v>45000</v>
          </cell>
        </row>
        <row r="3952">
          <cell r="W3952" t="str">
            <v>QDURS02</v>
          </cell>
          <cell r="AD3952">
            <v>45000</v>
          </cell>
        </row>
        <row r="3953">
          <cell r="W3953" t="str">
            <v>QDURS02</v>
          </cell>
          <cell r="AD3953">
            <v>45000</v>
          </cell>
        </row>
        <row r="3954">
          <cell r="W3954" t="str">
            <v>QDURS02</v>
          </cell>
          <cell r="AD3954">
            <v>45000</v>
          </cell>
        </row>
        <row r="3955">
          <cell r="W3955" t="str">
            <v>QDURS02</v>
          </cell>
          <cell r="AD3955">
            <v>45000</v>
          </cell>
        </row>
        <row r="3956">
          <cell r="W3956" t="str">
            <v>QDURS02</v>
          </cell>
          <cell r="AD3956">
            <v>45000</v>
          </cell>
        </row>
        <row r="3957">
          <cell r="W3957" t="str">
            <v>QDURS02</v>
          </cell>
          <cell r="AD3957">
            <v>45000</v>
          </cell>
        </row>
        <row r="3958">
          <cell r="W3958" t="str">
            <v>QDURS02</v>
          </cell>
          <cell r="AD3958">
            <v>45000</v>
          </cell>
        </row>
        <row r="3959">
          <cell r="W3959" t="str">
            <v>QDURS02</v>
          </cell>
          <cell r="AD3959">
            <v>45000</v>
          </cell>
        </row>
        <row r="3960">
          <cell r="W3960" t="str">
            <v>QDURS02</v>
          </cell>
          <cell r="AD3960">
            <v>45000</v>
          </cell>
        </row>
        <row r="3961">
          <cell r="W3961" t="str">
            <v>QDURS02</v>
          </cell>
          <cell r="AD3961">
            <v>45000</v>
          </cell>
        </row>
        <row r="3962">
          <cell r="W3962" t="str">
            <v>QDURS02</v>
          </cell>
          <cell r="AD3962">
            <v>45000</v>
          </cell>
        </row>
        <row r="3963">
          <cell r="W3963" t="str">
            <v>QDURS02</v>
          </cell>
          <cell r="AD3963">
            <v>45000</v>
          </cell>
        </row>
        <row r="3964">
          <cell r="W3964" t="str">
            <v>QDURS02</v>
          </cell>
          <cell r="AD3964">
            <v>45000</v>
          </cell>
        </row>
        <row r="3965">
          <cell r="W3965" t="str">
            <v>QDURS02</v>
          </cell>
          <cell r="AD3965">
            <v>45000</v>
          </cell>
        </row>
        <row r="3966">
          <cell r="W3966" t="str">
            <v>QDURS02</v>
          </cell>
          <cell r="AD3966">
            <v>45000</v>
          </cell>
        </row>
        <row r="3967">
          <cell r="W3967" t="str">
            <v>QDURS02</v>
          </cell>
          <cell r="AD3967">
            <v>45000</v>
          </cell>
        </row>
        <row r="3968">
          <cell r="W3968" t="str">
            <v>QDURS02</v>
          </cell>
          <cell r="AD3968">
            <v>45000</v>
          </cell>
        </row>
        <row r="3969">
          <cell r="W3969" t="str">
            <v>QDURS02</v>
          </cell>
          <cell r="AD3969">
            <v>45000</v>
          </cell>
        </row>
        <row r="3970">
          <cell r="W3970" t="str">
            <v>QDURS02</v>
          </cell>
          <cell r="AD3970">
            <v>45000</v>
          </cell>
        </row>
        <row r="3971">
          <cell r="W3971" t="str">
            <v>QDURS02</v>
          </cell>
          <cell r="AD3971">
            <v>45000</v>
          </cell>
        </row>
        <row r="3972">
          <cell r="W3972" t="str">
            <v>QDURS02</v>
          </cell>
          <cell r="AD3972">
            <v>45000</v>
          </cell>
        </row>
        <row r="3973">
          <cell r="W3973" t="str">
            <v>QDURS02</v>
          </cell>
          <cell r="AD3973">
            <v>45000</v>
          </cell>
        </row>
        <row r="3974">
          <cell r="W3974" t="str">
            <v>QDURS02</v>
          </cell>
          <cell r="AD3974">
            <v>45000</v>
          </cell>
        </row>
        <row r="3975">
          <cell r="W3975" t="str">
            <v>QDURS02</v>
          </cell>
          <cell r="AD3975">
            <v>45000</v>
          </cell>
        </row>
        <row r="3976">
          <cell r="W3976" t="str">
            <v>QDURS02</v>
          </cell>
          <cell r="AD3976">
            <v>45000</v>
          </cell>
        </row>
        <row r="3977">
          <cell r="W3977" t="str">
            <v>QDURS02</v>
          </cell>
          <cell r="AD3977">
            <v>45000</v>
          </cell>
        </row>
        <row r="3978">
          <cell r="W3978" t="str">
            <v>QDURS02</v>
          </cell>
          <cell r="AD3978">
            <v>45000</v>
          </cell>
        </row>
        <row r="3979">
          <cell r="W3979" t="str">
            <v>QDURS02</v>
          </cell>
          <cell r="AD3979">
            <v>45000</v>
          </cell>
        </row>
        <row r="3980">
          <cell r="W3980" t="str">
            <v>QDURS02</v>
          </cell>
          <cell r="AD3980">
            <v>45000</v>
          </cell>
        </row>
        <row r="3981">
          <cell r="W3981" t="str">
            <v>QDURS02</v>
          </cell>
          <cell r="AD3981">
            <v>45000</v>
          </cell>
        </row>
        <row r="3982">
          <cell r="W3982" t="str">
            <v>QDURS02</v>
          </cell>
          <cell r="AD3982">
            <v>45000</v>
          </cell>
        </row>
        <row r="3983">
          <cell r="W3983" t="str">
            <v>QDURS02</v>
          </cell>
          <cell r="AD3983">
            <v>45000</v>
          </cell>
        </row>
        <row r="3984">
          <cell r="W3984" t="str">
            <v>QDURS02</v>
          </cell>
          <cell r="AD3984">
            <v>45000</v>
          </cell>
        </row>
        <row r="3985">
          <cell r="W3985" t="str">
            <v>QDURS02</v>
          </cell>
          <cell r="AD3985">
            <v>45000</v>
          </cell>
        </row>
        <row r="3986">
          <cell r="W3986" t="str">
            <v>QDURS02</v>
          </cell>
          <cell r="AD3986">
            <v>45000</v>
          </cell>
        </row>
        <row r="3987">
          <cell r="W3987" t="str">
            <v>QDURS02</v>
          </cell>
          <cell r="AD3987">
            <v>45000</v>
          </cell>
        </row>
        <row r="3988">
          <cell r="W3988" t="str">
            <v>QDURS02</v>
          </cell>
          <cell r="AD3988">
            <v>45000</v>
          </cell>
        </row>
        <row r="3989">
          <cell r="W3989" t="str">
            <v>QDURS02</v>
          </cell>
          <cell r="AD3989">
            <v>45000</v>
          </cell>
        </row>
        <row r="3990">
          <cell r="W3990" t="str">
            <v>QDURS02</v>
          </cell>
          <cell r="AD3990">
            <v>45000</v>
          </cell>
        </row>
        <row r="3991">
          <cell r="W3991" t="str">
            <v>QDURS02</v>
          </cell>
          <cell r="AD3991">
            <v>45000</v>
          </cell>
        </row>
        <row r="3992">
          <cell r="W3992" t="str">
            <v>QDURS02</v>
          </cell>
          <cell r="AD3992">
            <v>45000</v>
          </cell>
        </row>
        <row r="3993">
          <cell r="W3993" t="str">
            <v>QDURS02</v>
          </cell>
          <cell r="AD3993">
            <v>45000</v>
          </cell>
        </row>
        <row r="3994">
          <cell r="W3994" t="str">
            <v>QDURS02</v>
          </cell>
          <cell r="AD3994">
            <v>45000</v>
          </cell>
        </row>
        <row r="3995">
          <cell r="W3995" t="str">
            <v>QDURS02</v>
          </cell>
          <cell r="AD3995">
            <v>45000</v>
          </cell>
        </row>
        <row r="3996">
          <cell r="W3996" t="str">
            <v>QDURS02</v>
          </cell>
          <cell r="AD3996">
            <v>45000</v>
          </cell>
        </row>
        <row r="3997">
          <cell r="W3997" t="str">
            <v>QDURS02</v>
          </cell>
          <cell r="AD3997">
            <v>45000</v>
          </cell>
        </row>
        <row r="3998">
          <cell r="W3998" t="str">
            <v>QDURS02</v>
          </cell>
          <cell r="AD3998">
            <v>45000</v>
          </cell>
        </row>
        <row r="3999">
          <cell r="W3999" t="str">
            <v>QDURS02</v>
          </cell>
          <cell r="AD3999">
            <v>45000</v>
          </cell>
        </row>
        <row r="4000">
          <cell r="W4000" t="str">
            <v>QDURS02</v>
          </cell>
          <cell r="AD4000">
            <v>45000</v>
          </cell>
        </row>
        <row r="4001">
          <cell r="W4001" t="str">
            <v>QDURS02</v>
          </cell>
          <cell r="AD4001">
            <v>45000</v>
          </cell>
        </row>
        <row r="4002">
          <cell r="W4002" t="str">
            <v>QDURS02</v>
          </cell>
          <cell r="AD4002">
            <v>45000</v>
          </cell>
        </row>
        <row r="4003">
          <cell r="W4003" t="str">
            <v>QDURS02</v>
          </cell>
          <cell r="AD4003">
            <v>45000</v>
          </cell>
        </row>
        <row r="4004">
          <cell r="W4004" t="str">
            <v>QDURS02</v>
          </cell>
          <cell r="AD4004">
            <v>45000</v>
          </cell>
        </row>
        <row r="4005">
          <cell r="W4005" t="str">
            <v>QDURS02</v>
          </cell>
          <cell r="AD4005">
            <v>45000</v>
          </cell>
        </row>
        <row r="4006">
          <cell r="W4006" t="str">
            <v>QDURS02</v>
          </cell>
          <cell r="AD4006">
            <v>46000</v>
          </cell>
        </row>
        <row r="4007">
          <cell r="W4007" t="str">
            <v>QDURS02</v>
          </cell>
          <cell r="AD4007">
            <v>46000</v>
          </cell>
        </row>
        <row r="4008">
          <cell r="W4008" t="str">
            <v>QDURS02</v>
          </cell>
          <cell r="AD4008">
            <v>46000</v>
          </cell>
        </row>
        <row r="4009">
          <cell r="W4009" t="str">
            <v>QDURS02</v>
          </cell>
          <cell r="AD4009">
            <v>46000</v>
          </cell>
        </row>
        <row r="4010">
          <cell r="W4010" t="str">
            <v>QDURS02</v>
          </cell>
          <cell r="AD4010">
            <v>46000</v>
          </cell>
        </row>
        <row r="4011">
          <cell r="W4011" t="str">
            <v>QDURS02</v>
          </cell>
          <cell r="AD4011">
            <v>46000</v>
          </cell>
        </row>
        <row r="4012">
          <cell r="W4012" t="str">
            <v>QDURS02</v>
          </cell>
          <cell r="AD4012">
            <v>46000</v>
          </cell>
        </row>
        <row r="4013">
          <cell r="W4013" t="str">
            <v>QDURS02</v>
          </cell>
          <cell r="AD4013">
            <v>46000</v>
          </cell>
        </row>
        <row r="4014">
          <cell r="W4014" t="str">
            <v>QDURS02</v>
          </cell>
          <cell r="AD4014">
            <v>46000</v>
          </cell>
        </row>
        <row r="4015">
          <cell r="W4015" t="str">
            <v>QDURS02</v>
          </cell>
          <cell r="AD4015">
            <v>46000</v>
          </cell>
        </row>
        <row r="4016">
          <cell r="W4016" t="str">
            <v>QDURS02</v>
          </cell>
          <cell r="AD4016">
            <v>46500</v>
          </cell>
        </row>
        <row r="4017">
          <cell r="W4017" t="str">
            <v>QDURS05</v>
          </cell>
          <cell r="AD4017">
            <v>30000</v>
          </cell>
        </row>
        <row r="4018">
          <cell r="W4018" t="str">
            <v>QDURS05</v>
          </cell>
          <cell r="AD4018">
            <v>30000</v>
          </cell>
        </row>
        <row r="4019">
          <cell r="W4019" t="str">
            <v>QDURS05</v>
          </cell>
          <cell r="AD4019">
            <v>30000</v>
          </cell>
        </row>
        <row r="4020">
          <cell r="W4020" t="str">
            <v>QDURS05</v>
          </cell>
          <cell r="AD4020">
            <v>30000</v>
          </cell>
        </row>
        <row r="4021">
          <cell r="W4021" t="str">
            <v>QDURS05</v>
          </cell>
          <cell r="AD4021">
            <v>30000</v>
          </cell>
        </row>
        <row r="4022">
          <cell r="W4022" t="str">
            <v>QDURS05</v>
          </cell>
          <cell r="AD4022">
            <v>30000</v>
          </cell>
        </row>
        <row r="4023">
          <cell r="W4023" t="str">
            <v>QDURS05</v>
          </cell>
          <cell r="AD4023">
            <v>30000</v>
          </cell>
        </row>
        <row r="4024">
          <cell r="W4024" t="str">
            <v>QDURS05</v>
          </cell>
          <cell r="AD4024">
            <v>30000</v>
          </cell>
        </row>
        <row r="4025">
          <cell r="W4025" t="str">
            <v>QDURS05</v>
          </cell>
          <cell r="AD4025">
            <v>30000</v>
          </cell>
        </row>
        <row r="4026">
          <cell r="W4026" t="str">
            <v>QDURS05</v>
          </cell>
          <cell r="AD4026">
            <v>30000</v>
          </cell>
        </row>
        <row r="4027">
          <cell r="W4027" t="str">
            <v>QDURS05</v>
          </cell>
          <cell r="AD4027">
            <v>30000</v>
          </cell>
        </row>
        <row r="4028">
          <cell r="W4028" t="str">
            <v>QDURS05</v>
          </cell>
          <cell r="AD4028">
            <v>30000</v>
          </cell>
        </row>
        <row r="4029">
          <cell r="W4029" t="str">
            <v>QDURS05</v>
          </cell>
          <cell r="AD4029">
            <v>30000</v>
          </cell>
        </row>
        <row r="4030">
          <cell r="W4030" t="str">
            <v>QDURS05</v>
          </cell>
          <cell r="AD4030">
            <v>30000</v>
          </cell>
        </row>
        <row r="4031">
          <cell r="W4031" t="str">
            <v>QDURS05</v>
          </cell>
          <cell r="AD4031">
            <v>30000</v>
          </cell>
        </row>
        <row r="4032">
          <cell r="W4032" t="str">
            <v>QDURS05</v>
          </cell>
          <cell r="AD4032">
            <v>30000</v>
          </cell>
        </row>
        <row r="4033">
          <cell r="W4033" t="str">
            <v>QDURS05</v>
          </cell>
          <cell r="AD4033">
            <v>30000</v>
          </cell>
        </row>
        <row r="4034">
          <cell r="W4034" t="str">
            <v>QDURS05</v>
          </cell>
          <cell r="AD4034">
            <v>30000</v>
          </cell>
        </row>
        <row r="4035">
          <cell r="W4035" t="str">
            <v>QDURS05</v>
          </cell>
          <cell r="AD4035">
            <v>30000</v>
          </cell>
        </row>
        <row r="4036">
          <cell r="W4036" t="str">
            <v>QDURS05</v>
          </cell>
          <cell r="AD4036">
            <v>30000</v>
          </cell>
        </row>
        <row r="4037">
          <cell r="W4037" t="str">
            <v>QDURS05</v>
          </cell>
          <cell r="AD4037">
            <v>30000</v>
          </cell>
        </row>
        <row r="4038">
          <cell r="W4038" t="str">
            <v>QDURS05</v>
          </cell>
          <cell r="AD4038">
            <v>30000</v>
          </cell>
        </row>
        <row r="4039">
          <cell r="W4039" t="str">
            <v>QDURS05</v>
          </cell>
          <cell r="AD4039">
            <v>30000</v>
          </cell>
        </row>
        <row r="4040">
          <cell r="W4040" t="str">
            <v>QDURS05</v>
          </cell>
          <cell r="AD4040">
            <v>30000</v>
          </cell>
        </row>
        <row r="4041">
          <cell r="W4041" t="str">
            <v>QDURS05</v>
          </cell>
          <cell r="AD4041">
            <v>30000</v>
          </cell>
        </row>
        <row r="4042">
          <cell r="W4042" t="str">
            <v>QDURS05</v>
          </cell>
          <cell r="AD4042">
            <v>30000</v>
          </cell>
        </row>
        <row r="4043">
          <cell r="W4043" t="str">
            <v>QDURS05</v>
          </cell>
          <cell r="AD4043">
            <v>30000</v>
          </cell>
        </row>
        <row r="4044">
          <cell r="W4044" t="str">
            <v>QDURS05</v>
          </cell>
          <cell r="AD4044">
            <v>30500</v>
          </cell>
        </row>
        <row r="4045">
          <cell r="W4045" t="str">
            <v>QDURS05</v>
          </cell>
          <cell r="AD4045">
            <v>30500</v>
          </cell>
        </row>
        <row r="4046">
          <cell r="W4046" t="str">
            <v>QDURS05</v>
          </cell>
          <cell r="AD4046">
            <v>30500</v>
          </cell>
        </row>
        <row r="4047">
          <cell r="W4047" t="str">
            <v>QDURS05</v>
          </cell>
          <cell r="AD4047">
            <v>30500</v>
          </cell>
        </row>
        <row r="4048">
          <cell r="W4048" t="str">
            <v>QDURS05</v>
          </cell>
          <cell r="AD4048">
            <v>30500</v>
          </cell>
        </row>
        <row r="4049">
          <cell r="W4049" t="str">
            <v>QDURS04</v>
          </cell>
          <cell r="AD4049">
            <v>13350</v>
          </cell>
        </row>
        <row r="4050">
          <cell r="W4050" t="str">
            <v>QDURS04</v>
          </cell>
          <cell r="AD4050">
            <v>13350</v>
          </cell>
        </row>
        <row r="4051">
          <cell r="W4051" t="str">
            <v>QDURS04</v>
          </cell>
          <cell r="AD4051">
            <v>13500</v>
          </cell>
        </row>
        <row r="4052">
          <cell r="W4052" t="str">
            <v>QDURS04</v>
          </cell>
          <cell r="AD4052">
            <v>13500</v>
          </cell>
        </row>
        <row r="4053">
          <cell r="W4053" t="str">
            <v>QDURS04</v>
          </cell>
          <cell r="AD4053">
            <v>13500</v>
          </cell>
        </row>
        <row r="4054">
          <cell r="W4054" t="str">
            <v>QDURS04</v>
          </cell>
          <cell r="AD4054">
            <v>13500</v>
          </cell>
        </row>
        <row r="4055">
          <cell r="W4055" t="str">
            <v>QDURS04</v>
          </cell>
          <cell r="AD4055">
            <v>13500</v>
          </cell>
        </row>
        <row r="4056">
          <cell r="W4056" t="str">
            <v>QDURS04</v>
          </cell>
          <cell r="AD4056">
            <v>13500</v>
          </cell>
        </row>
        <row r="4057">
          <cell r="W4057" t="str">
            <v>QDURS04</v>
          </cell>
          <cell r="AD4057">
            <v>13500</v>
          </cell>
        </row>
        <row r="4058">
          <cell r="W4058" t="str">
            <v>QDURS04</v>
          </cell>
          <cell r="AD4058">
            <v>13500</v>
          </cell>
        </row>
        <row r="4059">
          <cell r="W4059" t="str">
            <v>QDURS04</v>
          </cell>
          <cell r="AD4059">
            <v>13500</v>
          </cell>
        </row>
        <row r="4060">
          <cell r="W4060" t="str">
            <v>QDURS04</v>
          </cell>
          <cell r="AD4060">
            <v>13500</v>
          </cell>
        </row>
        <row r="4061">
          <cell r="W4061" t="str">
            <v>QDURS04</v>
          </cell>
          <cell r="AD4061">
            <v>13500</v>
          </cell>
        </row>
        <row r="4062">
          <cell r="W4062" t="str">
            <v>QDURS04</v>
          </cell>
          <cell r="AD4062">
            <v>13500</v>
          </cell>
        </row>
        <row r="4063">
          <cell r="W4063" t="str">
            <v>QDURS04</v>
          </cell>
          <cell r="AD4063">
            <v>13500</v>
          </cell>
        </row>
        <row r="4064">
          <cell r="W4064" t="str">
            <v>QDURS04</v>
          </cell>
          <cell r="AD4064">
            <v>13500</v>
          </cell>
        </row>
        <row r="4065">
          <cell r="W4065" t="str">
            <v>QDURS04</v>
          </cell>
          <cell r="AD4065">
            <v>13500</v>
          </cell>
        </row>
        <row r="4066">
          <cell r="W4066" t="str">
            <v>QDURS04</v>
          </cell>
          <cell r="AD4066">
            <v>13500</v>
          </cell>
        </row>
        <row r="4067">
          <cell r="W4067" t="str">
            <v>QDURS04</v>
          </cell>
          <cell r="AD4067">
            <v>13500</v>
          </cell>
        </row>
        <row r="4068">
          <cell r="W4068" t="str">
            <v>QDURS04</v>
          </cell>
          <cell r="AD4068">
            <v>13500</v>
          </cell>
        </row>
        <row r="4069">
          <cell r="W4069" t="str">
            <v>QDURS04</v>
          </cell>
          <cell r="AD4069">
            <v>13600</v>
          </cell>
        </row>
        <row r="4070">
          <cell r="W4070" t="str">
            <v>QDURS04</v>
          </cell>
          <cell r="AD4070">
            <v>13750</v>
          </cell>
        </row>
        <row r="4071">
          <cell r="W4071" t="str">
            <v>QELEC01</v>
          </cell>
          <cell r="AD4071">
            <v>135000</v>
          </cell>
        </row>
        <row r="4072">
          <cell r="W4072" t="str">
            <v>QELEC01</v>
          </cell>
          <cell r="AD4072">
            <v>135000</v>
          </cell>
        </row>
        <row r="4073">
          <cell r="W4073" t="str">
            <v>QELEC01</v>
          </cell>
          <cell r="AD4073">
            <v>135000</v>
          </cell>
        </row>
        <row r="4074">
          <cell r="W4074" t="str">
            <v>QELEC01</v>
          </cell>
          <cell r="AD4074">
            <v>135000</v>
          </cell>
        </row>
        <row r="4075">
          <cell r="W4075" t="str">
            <v>QELEC01</v>
          </cell>
          <cell r="AD4075">
            <v>135000</v>
          </cell>
        </row>
        <row r="4076">
          <cell r="W4076" t="str">
            <v>QELEC01</v>
          </cell>
          <cell r="AD4076">
            <v>135000</v>
          </cell>
        </row>
        <row r="4077">
          <cell r="W4077" t="str">
            <v>QELEC01</v>
          </cell>
          <cell r="AD4077">
            <v>135000</v>
          </cell>
        </row>
        <row r="4078">
          <cell r="W4078" t="str">
            <v>QELEC01</v>
          </cell>
          <cell r="AD4078">
            <v>135000</v>
          </cell>
        </row>
        <row r="4079">
          <cell r="W4079" t="str">
            <v>QELEC01</v>
          </cell>
          <cell r="AD4079">
            <v>135000</v>
          </cell>
        </row>
        <row r="4080">
          <cell r="W4080" t="str">
            <v>QELEC01</v>
          </cell>
          <cell r="AD4080">
            <v>135000</v>
          </cell>
        </row>
        <row r="4081">
          <cell r="W4081" t="str">
            <v>QELEC02</v>
          </cell>
          <cell r="AD4081">
            <v>150000</v>
          </cell>
        </row>
        <row r="4082">
          <cell r="W4082" t="str">
            <v>QELEC02</v>
          </cell>
          <cell r="AD4082">
            <v>150000</v>
          </cell>
        </row>
        <row r="4083">
          <cell r="W4083" t="str">
            <v>QELEC02</v>
          </cell>
          <cell r="AD4083">
            <v>150000</v>
          </cell>
        </row>
        <row r="4084">
          <cell r="W4084" t="str">
            <v>QELEC02</v>
          </cell>
          <cell r="AD4084">
            <v>150000</v>
          </cell>
        </row>
        <row r="4085">
          <cell r="W4085" t="str">
            <v>QELEC02</v>
          </cell>
          <cell r="AD4085">
            <v>150000</v>
          </cell>
        </row>
        <row r="4086">
          <cell r="W4086" t="str">
            <v>QELEC02</v>
          </cell>
          <cell r="AD4086">
            <v>150000</v>
          </cell>
        </row>
        <row r="4087">
          <cell r="W4087" t="str">
            <v>QELEC02</v>
          </cell>
          <cell r="AD4087">
            <v>150000</v>
          </cell>
        </row>
        <row r="4088">
          <cell r="W4088" t="str">
            <v>QELEC04</v>
          </cell>
          <cell r="AD4088">
            <v>61000</v>
          </cell>
        </row>
        <row r="4089">
          <cell r="W4089" t="str">
            <v>QELEC04</v>
          </cell>
          <cell r="AD4089">
            <v>61000</v>
          </cell>
        </row>
        <row r="4090">
          <cell r="W4090" t="str">
            <v>QELEC04</v>
          </cell>
          <cell r="AD4090">
            <v>61000</v>
          </cell>
        </row>
        <row r="4091">
          <cell r="W4091" t="str">
            <v>QELEC04</v>
          </cell>
          <cell r="AD4091">
            <v>61000</v>
          </cell>
        </row>
        <row r="4092">
          <cell r="W4092" t="str">
            <v>QELEC04</v>
          </cell>
          <cell r="AD4092">
            <v>61000</v>
          </cell>
        </row>
        <row r="4093">
          <cell r="W4093" t="str">
            <v>QELEC04</v>
          </cell>
          <cell r="AD4093">
            <v>64000</v>
          </cell>
        </row>
        <row r="4094">
          <cell r="W4094" t="str">
            <v>QELEC04</v>
          </cell>
          <cell r="AD4094">
            <v>64000</v>
          </cell>
        </row>
        <row r="4095">
          <cell r="W4095" t="str">
            <v>QELEC04</v>
          </cell>
          <cell r="AD4095">
            <v>64000</v>
          </cell>
        </row>
        <row r="4096">
          <cell r="W4096" t="str">
            <v>QELEC03</v>
          </cell>
          <cell r="AD4096">
            <v>32000</v>
          </cell>
        </row>
        <row r="4097">
          <cell r="W4097" t="str">
            <v>QELEC03</v>
          </cell>
          <cell r="AD4097">
            <v>32000</v>
          </cell>
        </row>
        <row r="4098">
          <cell r="W4098" t="str">
            <v>QELEC03</v>
          </cell>
          <cell r="AD4098">
            <v>32000</v>
          </cell>
        </row>
        <row r="4099">
          <cell r="W4099" t="str">
            <v>QELEC03</v>
          </cell>
          <cell r="AD4099">
            <v>34000</v>
          </cell>
        </row>
        <row r="4100">
          <cell r="W4100" t="str">
            <v>QEM-403</v>
          </cell>
          <cell r="AD4100">
            <v>16000</v>
          </cell>
        </row>
        <row r="4101">
          <cell r="W4101" t="str">
            <v>QEM-403</v>
          </cell>
          <cell r="AD4101">
            <v>16000</v>
          </cell>
        </row>
        <row r="4102">
          <cell r="W4102" t="str">
            <v>QEM-403</v>
          </cell>
          <cell r="AD4102">
            <v>16250</v>
          </cell>
        </row>
        <row r="4103">
          <cell r="W4103" t="str">
            <v>QEM-403</v>
          </cell>
          <cell r="AD4103">
            <v>16250</v>
          </cell>
        </row>
        <row r="4104">
          <cell r="W4104" t="str">
            <v>QEM-403</v>
          </cell>
          <cell r="AD4104">
            <v>16250</v>
          </cell>
        </row>
        <row r="4105">
          <cell r="W4105" t="str">
            <v>QEM-403</v>
          </cell>
          <cell r="AD4105">
            <v>16250</v>
          </cell>
        </row>
        <row r="4106">
          <cell r="W4106" t="str">
            <v>QEM-403</v>
          </cell>
          <cell r="AD4106">
            <v>16250</v>
          </cell>
        </row>
        <row r="4107">
          <cell r="W4107" t="str">
            <v>QEM-403</v>
          </cell>
          <cell r="AD4107">
            <v>16250</v>
          </cell>
        </row>
        <row r="4108">
          <cell r="W4108" t="str">
            <v>QEM-403</v>
          </cell>
          <cell r="AD4108">
            <v>16250</v>
          </cell>
        </row>
        <row r="4109">
          <cell r="W4109" t="str">
            <v>QEM-403</v>
          </cell>
          <cell r="AD4109">
            <v>16250</v>
          </cell>
        </row>
        <row r="4110">
          <cell r="W4110" t="str">
            <v>QEM-403</v>
          </cell>
          <cell r="AD4110">
            <v>16250</v>
          </cell>
        </row>
        <row r="4111">
          <cell r="W4111" t="str">
            <v>QEM-403</v>
          </cell>
          <cell r="AD4111">
            <v>16250</v>
          </cell>
        </row>
        <row r="4112">
          <cell r="W4112" t="str">
            <v>QEM-403</v>
          </cell>
          <cell r="AD4112">
            <v>16250</v>
          </cell>
        </row>
        <row r="4113">
          <cell r="W4113" t="str">
            <v>QEM-403</v>
          </cell>
          <cell r="AD4113">
            <v>16250</v>
          </cell>
        </row>
        <row r="4114">
          <cell r="W4114" t="str">
            <v>QEM-403</v>
          </cell>
          <cell r="AD4114">
            <v>16250</v>
          </cell>
        </row>
        <row r="4115">
          <cell r="W4115" t="str">
            <v>QEM-403</v>
          </cell>
          <cell r="AD4115">
            <v>16250</v>
          </cell>
        </row>
        <row r="4116">
          <cell r="W4116" t="str">
            <v>QEM-403</v>
          </cell>
          <cell r="AD4116">
            <v>16250</v>
          </cell>
        </row>
        <row r="4117">
          <cell r="W4117" t="str">
            <v>QEM-403</v>
          </cell>
          <cell r="AD4117">
            <v>16250</v>
          </cell>
        </row>
        <row r="4118">
          <cell r="W4118" t="str">
            <v>QEM-403</v>
          </cell>
          <cell r="AD4118">
            <v>16250</v>
          </cell>
        </row>
        <row r="4119">
          <cell r="W4119" t="str">
            <v>QEM-403</v>
          </cell>
          <cell r="AD4119">
            <v>16250</v>
          </cell>
        </row>
        <row r="4120">
          <cell r="W4120" t="str">
            <v>QEM-403</v>
          </cell>
          <cell r="AD4120">
            <v>16250</v>
          </cell>
        </row>
        <row r="4121">
          <cell r="W4121" t="str">
            <v>QEM-403</v>
          </cell>
          <cell r="AD4121">
            <v>16250</v>
          </cell>
        </row>
        <row r="4122">
          <cell r="W4122" t="str">
            <v>QEM-403</v>
          </cell>
          <cell r="AD4122">
            <v>16500</v>
          </cell>
        </row>
        <row r="4123">
          <cell r="W4123" t="str">
            <v>QEM-403</v>
          </cell>
          <cell r="AD4123">
            <v>16500</v>
          </cell>
        </row>
        <row r="4124">
          <cell r="W4124" t="str">
            <v>QEM-403</v>
          </cell>
          <cell r="AD4124">
            <v>16500</v>
          </cell>
        </row>
        <row r="4125">
          <cell r="W4125" t="str">
            <v>QEM-403</v>
          </cell>
          <cell r="AD4125">
            <v>16500</v>
          </cell>
        </row>
        <row r="4126">
          <cell r="W4126" t="str">
            <v>QEM-403</v>
          </cell>
          <cell r="AD4126">
            <v>16500</v>
          </cell>
        </row>
        <row r="4127">
          <cell r="W4127" t="str">
            <v>QEM-403</v>
          </cell>
          <cell r="AD4127">
            <v>16500</v>
          </cell>
        </row>
        <row r="4128">
          <cell r="W4128" t="str">
            <v>QEM-403</v>
          </cell>
          <cell r="AD4128">
            <v>16500</v>
          </cell>
        </row>
        <row r="4129">
          <cell r="W4129" t="str">
            <v>QEM-403</v>
          </cell>
          <cell r="AD4129">
            <v>16500</v>
          </cell>
        </row>
        <row r="4130">
          <cell r="W4130" t="str">
            <v>QEM-403</v>
          </cell>
          <cell r="AD4130">
            <v>16500</v>
          </cell>
        </row>
        <row r="4131">
          <cell r="W4131" t="str">
            <v>QEM-403</v>
          </cell>
          <cell r="AD4131">
            <v>16500</v>
          </cell>
        </row>
        <row r="4132">
          <cell r="W4132" t="str">
            <v>QEM-403</v>
          </cell>
          <cell r="AD4132">
            <v>16500</v>
          </cell>
        </row>
        <row r="4133">
          <cell r="W4133" t="str">
            <v>QEM-403</v>
          </cell>
          <cell r="AD4133">
            <v>16500</v>
          </cell>
        </row>
        <row r="4134">
          <cell r="W4134" t="str">
            <v>QEM-403</v>
          </cell>
          <cell r="AD4134">
            <v>16500</v>
          </cell>
        </row>
        <row r="4135">
          <cell r="W4135" t="str">
            <v>QEM-403</v>
          </cell>
          <cell r="AD4135">
            <v>16500</v>
          </cell>
        </row>
        <row r="4136">
          <cell r="W4136" t="str">
            <v>QEM-403</v>
          </cell>
          <cell r="AD4136">
            <v>16500</v>
          </cell>
        </row>
        <row r="4137">
          <cell r="W4137" t="str">
            <v>QEM-403</v>
          </cell>
          <cell r="AD4137">
            <v>16500</v>
          </cell>
        </row>
        <row r="4138">
          <cell r="W4138" t="str">
            <v>QEM-403</v>
          </cell>
          <cell r="AD4138">
            <v>16500</v>
          </cell>
        </row>
        <row r="4139">
          <cell r="W4139" t="str">
            <v>QEM-403</v>
          </cell>
          <cell r="AD4139">
            <v>16500</v>
          </cell>
        </row>
        <row r="4140">
          <cell r="W4140" t="str">
            <v>QEM-403</v>
          </cell>
          <cell r="AD4140">
            <v>16500</v>
          </cell>
        </row>
        <row r="4141">
          <cell r="W4141" t="str">
            <v>QEM-403</v>
          </cell>
          <cell r="AD4141">
            <v>16500</v>
          </cell>
        </row>
        <row r="4142">
          <cell r="W4142" t="str">
            <v>QEM-403</v>
          </cell>
          <cell r="AD4142">
            <v>16500</v>
          </cell>
        </row>
        <row r="4143">
          <cell r="W4143" t="str">
            <v>QEM-403</v>
          </cell>
          <cell r="AD4143">
            <v>16500</v>
          </cell>
        </row>
        <row r="4144">
          <cell r="W4144" t="str">
            <v>QEM-403</v>
          </cell>
          <cell r="AD4144">
            <v>16500</v>
          </cell>
        </row>
        <row r="4145">
          <cell r="W4145" t="str">
            <v>QEM-403</v>
          </cell>
          <cell r="AD4145">
            <v>16500</v>
          </cell>
        </row>
        <row r="4146">
          <cell r="W4146" t="str">
            <v>QEM-403</v>
          </cell>
          <cell r="AD4146">
            <v>16500</v>
          </cell>
        </row>
        <row r="4147">
          <cell r="W4147" t="str">
            <v>QEM-403</v>
          </cell>
          <cell r="AD4147">
            <v>16500</v>
          </cell>
        </row>
        <row r="4148">
          <cell r="W4148" t="str">
            <v>QEM-403</v>
          </cell>
          <cell r="AD4148">
            <v>16500</v>
          </cell>
        </row>
        <row r="4149">
          <cell r="W4149" t="str">
            <v>QEM-403</v>
          </cell>
          <cell r="AD4149">
            <v>16500</v>
          </cell>
        </row>
        <row r="4150">
          <cell r="W4150" t="str">
            <v>QEM-403</v>
          </cell>
          <cell r="AD4150">
            <v>16500</v>
          </cell>
        </row>
        <row r="4151">
          <cell r="W4151" t="str">
            <v>QEM-403</v>
          </cell>
          <cell r="AD4151">
            <v>16500</v>
          </cell>
        </row>
        <row r="4152">
          <cell r="W4152" t="str">
            <v>QEM-403</v>
          </cell>
          <cell r="AD4152">
            <v>16500</v>
          </cell>
        </row>
        <row r="4153">
          <cell r="W4153" t="str">
            <v>QEM-403</v>
          </cell>
          <cell r="AD4153">
            <v>16500</v>
          </cell>
        </row>
        <row r="4154">
          <cell r="W4154" t="str">
            <v>QEM-403</v>
          </cell>
          <cell r="AD4154">
            <v>16500</v>
          </cell>
        </row>
        <row r="4155">
          <cell r="W4155" t="str">
            <v>QEM-403</v>
          </cell>
          <cell r="AD4155">
            <v>16500</v>
          </cell>
        </row>
        <row r="4156">
          <cell r="W4156" t="str">
            <v>QEM-403</v>
          </cell>
          <cell r="AD4156">
            <v>16500</v>
          </cell>
        </row>
        <row r="4157">
          <cell r="W4157" t="str">
            <v>QEM-403</v>
          </cell>
          <cell r="AD4157">
            <v>16500</v>
          </cell>
        </row>
        <row r="4158">
          <cell r="W4158" t="str">
            <v>QEM-403</v>
          </cell>
          <cell r="AD4158">
            <v>16500</v>
          </cell>
        </row>
        <row r="4159">
          <cell r="W4159" t="str">
            <v>QEM-403</v>
          </cell>
          <cell r="AD4159">
            <v>16500</v>
          </cell>
        </row>
        <row r="4160">
          <cell r="W4160" t="str">
            <v>QEM-403</v>
          </cell>
          <cell r="AD4160">
            <v>16500</v>
          </cell>
        </row>
        <row r="4161">
          <cell r="W4161" t="str">
            <v>QEM-403</v>
          </cell>
          <cell r="AD4161">
            <v>16500</v>
          </cell>
        </row>
        <row r="4162">
          <cell r="W4162" t="str">
            <v>QEM-403</v>
          </cell>
          <cell r="AD4162">
            <v>16500</v>
          </cell>
        </row>
        <row r="4163">
          <cell r="W4163" t="str">
            <v>QEM-403</v>
          </cell>
          <cell r="AD4163">
            <v>16500</v>
          </cell>
        </row>
        <row r="4164">
          <cell r="W4164" t="str">
            <v>QEM-403</v>
          </cell>
          <cell r="AD4164">
            <v>16500</v>
          </cell>
        </row>
        <row r="4165">
          <cell r="W4165" t="str">
            <v>QEM-403</v>
          </cell>
          <cell r="AD4165">
            <v>16500</v>
          </cell>
        </row>
        <row r="4166">
          <cell r="W4166" t="str">
            <v>QEM-403</v>
          </cell>
          <cell r="AD4166">
            <v>16500</v>
          </cell>
        </row>
        <row r="4167">
          <cell r="W4167" t="str">
            <v>QEM-403</v>
          </cell>
          <cell r="AD4167">
            <v>16500</v>
          </cell>
        </row>
        <row r="4168">
          <cell r="W4168" t="str">
            <v>QEM-403</v>
          </cell>
          <cell r="AD4168">
            <v>16500</v>
          </cell>
        </row>
        <row r="4169">
          <cell r="W4169" t="str">
            <v>QEM-403</v>
          </cell>
          <cell r="AD4169">
            <v>16500</v>
          </cell>
        </row>
        <row r="4170">
          <cell r="W4170" t="str">
            <v>QEM-403</v>
          </cell>
          <cell r="AD4170">
            <v>16500</v>
          </cell>
        </row>
        <row r="4171">
          <cell r="W4171" t="str">
            <v>QEM-403</v>
          </cell>
          <cell r="AD4171">
            <v>16500</v>
          </cell>
        </row>
        <row r="4172">
          <cell r="W4172" t="str">
            <v>QEM-403</v>
          </cell>
          <cell r="AD4172">
            <v>17000</v>
          </cell>
        </row>
        <row r="4173">
          <cell r="W4173" t="str">
            <v>QEM-403</v>
          </cell>
          <cell r="AD4173">
            <v>17000</v>
          </cell>
        </row>
        <row r="4174">
          <cell r="W4174" t="str">
            <v>QEM-403</v>
          </cell>
          <cell r="AD4174">
            <v>17000</v>
          </cell>
        </row>
        <row r="4175">
          <cell r="W4175" t="str">
            <v>QEM-403</v>
          </cell>
          <cell r="AD4175">
            <v>17000</v>
          </cell>
        </row>
        <row r="4176">
          <cell r="W4176" t="str">
            <v>QEM-403</v>
          </cell>
          <cell r="AD4176">
            <v>17000</v>
          </cell>
        </row>
        <row r="4177">
          <cell r="W4177" t="str">
            <v>QEM-403</v>
          </cell>
          <cell r="AD4177">
            <v>17000</v>
          </cell>
        </row>
        <row r="4178">
          <cell r="W4178" t="str">
            <v>QEM-403</v>
          </cell>
          <cell r="AD4178">
            <v>17000</v>
          </cell>
        </row>
        <row r="4179">
          <cell r="W4179" t="str">
            <v>QEM-403</v>
          </cell>
          <cell r="AD4179">
            <v>17000</v>
          </cell>
        </row>
        <row r="4180">
          <cell r="W4180" t="str">
            <v>QEM-403</v>
          </cell>
          <cell r="AD4180">
            <v>17000</v>
          </cell>
        </row>
        <row r="4181">
          <cell r="W4181" t="str">
            <v>QEM-403</v>
          </cell>
          <cell r="AD4181">
            <v>17000</v>
          </cell>
        </row>
        <row r="4182">
          <cell r="W4182" t="str">
            <v>QEM-403</v>
          </cell>
          <cell r="AD4182">
            <v>17000</v>
          </cell>
        </row>
        <row r="4183">
          <cell r="W4183" t="str">
            <v>QEM-403</v>
          </cell>
          <cell r="AD4183">
            <v>17000</v>
          </cell>
        </row>
        <row r="4184">
          <cell r="W4184" t="str">
            <v>QEM-403</v>
          </cell>
          <cell r="AD4184">
            <v>17000</v>
          </cell>
        </row>
        <row r="4185">
          <cell r="W4185" t="str">
            <v>QEM-403</v>
          </cell>
          <cell r="AD4185">
            <v>17000</v>
          </cell>
        </row>
        <row r="4186">
          <cell r="W4186" t="str">
            <v>QEM-403</v>
          </cell>
          <cell r="AD4186">
            <v>17000</v>
          </cell>
        </row>
        <row r="4187">
          <cell r="W4187" t="str">
            <v>QEM-403</v>
          </cell>
          <cell r="AD4187">
            <v>17000</v>
          </cell>
        </row>
        <row r="4188">
          <cell r="W4188" t="str">
            <v>QEM-403</v>
          </cell>
          <cell r="AD4188">
            <v>17000</v>
          </cell>
        </row>
        <row r="4189">
          <cell r="W4189" t="str">
            <v>QEM-403</v>
          </cell>
          <cell r="AD4189">
            <v>17000</v>
          </cell>
        </row>
        <row r="4190">
          <cell r="W4190" t="str">
            <v>QEM-403</v>
          </cell>
          <cell r="AD4190">
            <v>17000</v>
          </cell>
        </row>
        <row r="4191">
          <cell r="W4191" t="str">
            <v>QEM-403</v>
          </cell>
          <cell r="AD4191">
            <v>17000</v>
          </cell>
        </row>
        <row r="4192">
          <cell r="W4192" t="str">
            <v>QEM-403</v>
          </cell>
          <cell r="AD4192">
            <v>17000</v>
          </cell>
        </row>
        <row r="4193">
          <cell r="W4193" t="str">
            <v>QEM-403</v>
          </cell>
          <cell r="AD4193">
            <v>17000</v>
          </cell>
        </row>
        <row r="4194">
          <cell r="W4194" t="str">
            <v>QEM-403</v>
          </cell>
          <cell r="AD4194">
            <v>17000</v>
          </cell>
        </row>
        <row r="4195">
          <cell r="W4195" t="str">
            <v>QEM-403</v>
          </cell>
          <cell r="AD4195">
            <v>17000</v>
          </cell>
        </row>
        <row r="4196">
          <cell r="W4196" t="str">
            <v>QEM-403</v>
          </cell>
          <cell r="AD4196">
            <v>17000</v>
          </cell>
        </row>
        <row r="4197">
          <cell r="W4197" t="str">
            <v>QEM-403</v>
          </cell>
          <cell r="AD4197">
            <v>17000</v>
          </cell>
        </row>
        <row r="4198">
          <cell r="W4198" t="str">
            <v>QEM-403</v>
          </cell>
          <cell r="AD4198">
            <v>17000</v>
          </cell>
        </row>
        <row r="4199">
          <cell r="W4199" t="str">
            <v>QEM-402</v>
          </cell>
          <cell r="AD4199">
            <v>16000</v>
          </cell>
        </row>
        <row r="4200">
          <cell r="W4200" t="str">
            <v>QEM-402</v>
          </cell>
          <cell r="AD4200">
            <v>16000</v>
          </cell>
        </row>
        <row r="4201">
          <cell r="W4201" t="str">
            <v>QEM-402</v>
          </cell>
          <cell r="AD4201">
            <v>16000</v>
          </cell>
        </row>
        <row r="4202">
          <cell r="W4202" t="str">
            <v>QEM-402</v>
          </cell>
          <cell r="AD4202">
            <v>16250</v>
          </cell>
        </row>
        <row r="4203">
          <cell r="W4203" t="str">
            <v>QEM-402</v>
          </cell>
          <cell r="AD4203">
            <v>16250</v>
          </cell>
        </row>
        <row r="4204">
          <cell r="W4204" t="str">
            <v>QEM-402</v>
          </cell>
          <cell r="AD4204">
            <v>16250</v>
          </cell>
        </row>
        <row r="4205">
          <cell r="W4205" t="str">
            <v>QEM-402</v>
          </cell>
          <cell r="AD4205">
            <v>16250</v>
          </cell>
        </row>
        <row r="4206">
          <cell r="W4206" t="str">
            <v>QEM-402</v>
          </cell>
          <cell r="AD4206">
            <v>16250</v>
          </cell>
        </row>
        <row r="4207">
          <cell r="W4207" t="str">
            <v>QEM-402</v>
          </cell>
          <cell r="AD4207">
            <v>16250</v>
          </cell>
        </row>
        <row r="4208">
          <cell r="W4208" t="str">
            <v>QEM-402</v>
          </cell>
          <cell r="AD4208">
            <v>16250</v>
          </cell>
        </row>
        <row r="4209">
          <cell r="W4209" t="str">
            <v>QEM-402</v>
          </cell>
          <cell r="AD4209">
            <v>16250</v>
          </cell>
        </row>
        <row r="4210">
          <cell r="W4210" t="str">
            <v>QEM-402</v>
          </cell>
          <cell r="AD4210">
            <v>16250</v>
          </cell>
        </row>
        <row r="4211">
          <cell r="W4211" t="str">
            <v>QEM-402</v>
          </cell>
          <cell r="AD4211">
            <v>16250</v>
          </cell>
        </row>
        <row r="4212">
          <cell r="W4212" t="str">
            <v>QEM-402</v>
          </cell>
          <cell r="AD4212">
            <v>16250</v>
          </cell>
        </row>
        <row r="4213">
          <cell r="W4213" t="str">
            <v>QEM-402</v>
          </cell>
          <cell r="AD4213">
            <v>16500</v>
          </cell>
        </row>
        <row r="4214">
          <cell r="W4214" t="str">
            <v>QEM-402</v>
          </cell>
          <cell r="AD4214">
            <v>16500</v>
          </cell>
        </row>
        <row r="4215">
          <cell r="W4215" t="str">
            <v>QEM-402</v>
          </cell>
          <cell r="AD4215">
            <v>16500</v>
          </cell>
        </row>
        <row r="4216">
          <cell r="W4216" t="str">
            <v>QEM-402</v>
          </cell>
          <cell r="AD4216">
            <v>16500</v>
          </cell>
        </row>
        <row r="4217">
          <cell r="W4217" t="str">
            <v>QEM-402</v>
          </cell>
          <cell r="AD4217">
            <v>16500</v>
          </cell>
        </row>
        <row r="4218">
          <cell r="W4218" t="str">
            <v>QEM-402</v>
          </cell>
          <cell r="AD4218">
            <v>16500</v>
          </cell>
        </row>
        <row r="4219">
          <cell r="W4219" t="str">
            <v>QEM-402</v>
          </cell>
          <cell r="AD4219">
            <v>16500</v>
          </cell>
        </row>
        <row r="4220">
          <cell r="W4220" t="str">
            <v>QEM-402</v>
          </cell>
          <cell r="AD4220">
            <v>16500</v>
          </cell>
        </row>
        <row r="4221">
          <cell r="W4221" t="str">
            <v>QEM-402</v>
          </cell>
          <cell r="AD4221">
            <v>16500</v>
          </cell>
        </row>
        <row r="4222">
          <cell r="W4222" t="str">
            <v>QEM-402</v>
          </cell>
          <cell r="AD4222">
            <v>16500</v>
          </cell>
        </row>
        <row r="4223">
          <cell r="W4223" t="str">
            <v>QEM-402</v>
          </cell>
          <cell r="AD4223">
            <v>16500</v>
          </cell>
        </row>
        <row r="4224">
          <cell r="W4224" t="str">
            <v>QEM-402</v>
          </cell>
          <cell r="AD4224">
            <v>16500</v>
          </cell>
        </row>
        <row r="4225">
          <cell r="W4225" t="str">
            <v>QEM-402</v>
          </cell>
          <cell r="AD4225">
            <v>16500</v>
          </cell>
        </row>
        <row r="4226">
          <cell r="W4226" t="str">
            <v>QEM-402</v>
          </cell>
          <cell r="AD4226">
            <v>16500</v>
          </cell>
        </row>
        <row r="4227">
          <cell r="W4227" t="str">
            <v>QEM-402</v>
          </cell>
          <cell r="AD4227">
            <v>16500</v>
          </cell>
        </row>
        <row r="4228">
          <cell r="W4228" t="str">
            <v>QEM-402</v>
          </cell>
          <cell r="AD4228">
            <v>16500</v>
          </cell>
        </row>
        <row r="4229">
          <cell r="W4229" t="str">
            <v>QEM-402</v>
          </cell>
          <cell r="AD4229">
            <v>16500</v>
          </cell>
        </row>
        <row r="4230">
          <cell r="W4230" t="str">
            <v>QEM-402</v>
          </cell>
          <cell r="AD4230">
            <v>16500</v>
          </cell>
        </row>
        <row r="4231">
          <cell r="W4231" t="str">
            <v>QEM-402</v>
          </cell>
          <cell r="AD4231">
            <v>16500</v>
          </cell>
        </row>
        <row r="4232">
          <cell r="W4232" t="str">
            <v>QEM-402</v>
          </cell>
          <cell r="AD4232">
            <v>16500</v>
          </cell>
        </row>
        <row r="4233">
          <cell r="W4233" t="str">
            <v>QEM-402</v>
          </cell>
          <cell r="AD4233">
            <v>16500</v>
          </cell>
        </row>
        <row r="4234">
          <cell r="W4234" t="str">
            <v>QEM-402</v>
          </cell>
          <cell r="AD4234">
            <v>16500</v>
          </cell>
        </row>
        <row r="4235">
          <cell r="W4235" t="str">
            <v>QEM-402</v>
          </cell>
          <cell r="AD4235">
            <v>16500</v>
          </cell>
        </row>
        <row r="4236">
          <cell r="W4236" t="str">
            <v>QEM-402</v>
          </cell>
          <cell r="AD4236">
            <v>16500</v>
          </cell>
        </row>
        <row r="4237">
          <cell r="W4237" t="str">
            <v>QEM-402</v>
          </cell>
          <cell r="AD4237">
            <v>16500</v>
          </cell>
        </row>
        <row r="4238">
          <cell r="W4238" t="str">
            <v>QEM-402</v>
          </cell>
          <cell r="AD4238">
            <v>16500</v>
          </cell>
        </row>
        <row r="4239">
          <cell r="W4239" t="str">
            <v>QEM-402</v>
          </cell>
          <cell r="AD4239">
            <v>17000</v>
          </cell>
        </row>
        <row r="4240">
          <cell r="W4240" t="str">
            <v>QEM-402</v>
          </cell>
          <cell r="AD4240">
            <v>17000</v>
          </cell>
        </row>
        <row r="4241">
          <cell r="W4241" t="str">
            <v>QEM-402</v>
          </cell>
          <cell r="AD4241">
            <v>17000</v>
          </cell>
        </row>
        <row r="4242">
          <cell r="W4242" t="str">
            <v>QEM-402</v>
          </cell>
          <cell r="AD4242">
            <v>17000</v>
          </cell>
        </row>
        <row r="4243">
          <cell r="W4243" t="str">
            <v>QEM-402</v>
          </cell>
          <cell r="AD4243">
            <v>17000</v>
          </cell>
        </row>
        <row r="4244">
          <cell r="W4244" t="str">
            <v>QEM-402</v>
          </cell>
          <cell r="AD4244">
            <v>17000</v>
          </cell>
        </row>
        <row r="4245">
          <cell r="W4245" t="str">
            <v>QEM-402</v>
          </cell>
          <cell r="AD4245">
            <v>17000</v>
          </cell>
        </row>
        <row r="4246">
          <cell r="W4246" t="str">
            <v>QEM-402</v>
          </cell>
          <cell r="AD4246">
            <v>17000</v>
          </cell>
        </row>
        <row r="4247">
          <cell r="W4247" t="str">
            <v>QEM-402</v>
          </cell>
          <cell r="AD4247">
            <v>17000</v>
          </cell>
        </row>
        <row r="4248">
          <cell r="W4248" t="str">
            <v>QEM-402</v>
          </cell>
          <cell r="AD4248">
            <v>17000</v>
          </cell>
        </row>
        <row r="4249">
          <cell r="W4249" t="str">
            <v>QEM-401</v>
          </cell>
          <cell r="AD4249">
            <v>16000</v>
          </cell>
        </row>
        <row r="4250">
          <cell r="W4250" t="str">
            <v>QEM-401</v>
          </cell>
          <cell r="AD4250">
            <v>16000</v>
          </cell>
        </row>
        <row r="4251">
          <cell r="W4251" t="str">
            <v>QEM-401</v>
          </cell>
          <cell r="AD4251">
            <v>16250</v>
          </cell>
        </row>
        <row r="4252">
          <cell r="W4252" t="str">
            <v>QEM-401</v>
          </cell>
          <cell r="AD4252">
            <v>16250</v>
          </cell>
        </row>
        <row r="4253">
          <cell r="W4253" t="str">
            <v>QEM-401</v>
          </cell>
          <cell r="AD4253">
            <v>16250</v>
          </cell>
        </row>
        <row r="4254">
          <cell r="W4254" t="str">
            <v>QEM-401</v>
          </cell>
          <cell r="AD4254">
            <v>16250</v>
          </cell>
        </row>
        <row r="4255">
          <cell r="W4255" t="str">
            <v>QEM-401</v>
          </cell>
          <cell r="AD4255">
            <v>16250</v>
          </cell>
        </row>
        <row r="4256">
          <cell r="W4256" t="str">
            <v>QEM-401</v>
          </cell>
          <cell r="AD4256">
            <v>16250</v>
          </cell>
        </row>
        <row r="4257">
          <cell r="W4257" t="str">
            <v>QEM-401</v>
          </cell>
          <cell r="AD4257">
            <v>16250</v>
          </cell>
        </row>
        <row r="4258">
          <cell r="W4258" t="str">
            <v>QEM-401</v>
          </cell>
          <cell r="AD4258">
            <v>16250</v>
          </cell>
        </row>
        <row r="4259">
          <cell r="W4259" t="str">
            <v>QEM-401</v>
          </cell>
          <cell r="AD4259">
            <v>16250</v>
          </cell>
        </row>
        <row r="4260">
          <cell r="W4260" t="str">
            <v>QEM-401</v>
          </cell>
          <cell r="AD4260">
            <v>16250</v>
          </cell>
        </row>
        <row r="4261">
          <cell r="W4261" t="str">
            <v>QEM-401</v>
          </cell>
          <cell r="AD4261">
            <v>16250</v>
          </cell>
        </row>
        <row r="4262">
          <cell r="W4262" t="str">
            <v>QEM-401</v>
          </cell>
          <cell r="AD4262">
            <v>16250</v>
          </cell>
        </row>
        <row r="4263">
          <cell r="W4263" t="str">
            <v>QEM-401</v>
          </cell>
          <cell r="AD4263">
            <v>16250</v>
          </cell>
        </row>
        <row r="4264">
          <cell r="W4264" t="str">
            <v>QEM-401</v>
          </cell>
          <cell r="AD4264">
            <v>16250</v>
          </cell>
        </row>
        <row r="4265">
          <cell r="W4265" t="str">
            <v>QEM-401</v>
          </cell>
          <cell r="AD4265">
            <v>16500</v>
          </cell>
        </row>
        <row r="4266">
          <cell r="W4266" t="str">
            <v>QEM-401</v>
          </cell>
          <cell r="AD4266">
            <v>16500</v>
          </cell>
        </row>
        <row r="4267">
          <cell r="W4267" t="str">
            <v>QEM-401</v>
          </cell>
          <cell r="AD4267">
            <v>16500</v>
          </cell>
        </row>
        <row r="4268">
          <cell r="W4268" t="str">
            <v>QEM-401</v>
          </cell>
          <cell r="AD4268">
            <v>16500</v>
          </cell>
        </row>
        <row r="4269">
          <cell r="W4269" t="str">
            <v>QEM-401</v>
          </cell>
          <cell r="AD4269">
            <v>16500</v>
          </cell>
        </row>
        <row r="4270">
          <cell r="W4270" t="str">
            <v>QEM-401</v>
          </cell>
          <cell r="AD4270">
            <v>16500</v>
          </cell>
        </row>
        <row r="4271">
          <cell r="W4271" t="str">
            <v>QEM-401</v>
          </cell>
          <cell r="AD4271">
            <v>16500</v>
          </cell>
        </row>
        <row r="4272">
          <cell r="W4272" t="str">
            <v>QEM-401</v>
          </cell>
          <cell r="AD4272">
            <v>16500</v>
          </cell>
        </row>
        <row r="4273">
          <cell r="W4273" t="str">
            <v>QEM-401</v>
          </cell>
          <cell r="AD4273">
            <v>16500</v>
          </cell>
        </row>
        <row r="4274">
          <cell r="W4274" t="str">
            <v>QEM-401</v>
          </cell>
          <cell r="AD4274">
            <v>16500</v>
          </cell>
        </row>
        <row r="4275">
          <cell r="W4275" t="str">
            <v>QEM-401</v>
          </cell>
          <cell r="AD4275">
            <v>16500</v>
          </cell>
        </row>
        <row r="4276">
          <cell r="W4276" t="str">
            <v>QEM-401</v>
          </cell>
          <cell r="AD4276">
            <v>16500</v>
          </cell>
        </row>
        <row r="4277">
          <cell r="W4277" t="str">
            <v>QEM-401</v>
          </cell>
          <cell r="AD4277">
            <v>16500</v>
          </cell>
        </row>
        <row r="4278">
          <cell r="W4278" t="str">
            <v>QEM-401</v>
          </cell>
          <cell r="AD4278">
            <v>16500</v>
          </cell>
        </row>
        <row r="4279">
          <cell r="W4279" t="str">
            <v>QEM-401</v>
          </cell>
          <cell r="AD4279">
            <v>16500</v>
          </cell>
        </row>
        <row r="4280">
          <cell r="W4280" t="str">
            <v>QEM-401</v>
          </cell>
          <cell r="AD4280">
            <v>16500</v>
          </cell>
        </row>
        <row r="4281">
          <cell r="W4281" t="str">
            <v>QEM-401</v>
          </cell>
          <cell r="AD4281">
            <v>16500</v>
          </cell>
        </row>
        <row r="4282">
          <cell r="W4282" t="str">
            <v>QEM-401</v>
          </cell>
          <cell r="AD4282">
            <v>16500</v>
          </cell>
        </row>
        <row r="4283">
          <cell r="W4283" t="str">
            <v>QEM-401</v>
          </cell>
          <cell r="AD4283">
            <v>16500</v>
          </cell>
        </row>
        <row r="4284">
          <cell r="W4284" t="str">
            <v>QEM-401</v>
          </cell>
          <cell r="AD4284">
            <v>16500</v>
          </cell>
        </row>
        <row r="4285">
          <cell r="W4285" t="str">
            <v>QEM-401</v>
          </cell>
          <cell r="AD4285">
            <v>16500</v>
          </cell>
        </row>
        <row r="4286">
          <cell r="W4286" t="str">
            <v>QEM-401</v>
          </cell>
          <cell r="AD4286">
            <v>16500</v>
          </cell>
        </row>
        <row r="4287">
          <cell r="W4287" t="str">
            <v>QEM-401</v>
          </cell>
          <cell r="AD4287">
            <v>16500</v>
          </cell>
        </row>
        <row r="4288">
          <cell r="W4288" t="str">
            <v>QEM-401</v>
          </cell>
          <cell r="AD4288">
            <v>16500</v>
          </cell>
        </row>
        <row r="4289">
          <cell r="W4289" t="str">
            <v>QEM-401</v>
          </cell>
          <cell r="AD4289">
            <v>16500</v>
          </cell>
        </row>
        <row r="4290">
          <cell r="W4290" t="str">
            <v>QEM-401</v>
          </cell>
          <cell r="AD4290">
            <v>16500</v>
          </cell>
        </row>
        <row r="4291">
          <cell r="W4291" t="str">
            <v>QEM-401</v>
          </cell>
          <cell r="AD4291">
            <v>16500</v>
          </cell>
        </row>
        <row r="4292">
          <cell r="W4292" t="str">
            <v>QEM-401</v>
          </cell>
          <cell r="AD4292">
            <v>16500</v>
          </cell>
        </row>
        <row r="4293">
          <cell r="W4293" t="str">
            <v>QEM-401</v>
          </cell>
          <cell r="AD4293">
            <v>16500</v>
          </cell>
        </row>
        <row r="4294">
          <cell r="W4294" t="str">
            <v>QEM-401</v>
          </cell>
          <cell r="AD4294">
            <v>16500</v>
          </cell>
        </row>
        <row r="4295">
          <cell r="W4295" t="str">
            <v>QEM-401</v>
          </cell>
          <cell r="AD4295">
            <v>16500</v>
          </cell>
        </row>
        <row r="4296">
          <cell r="W4296" t="str">
            <v>QEM-401</v>
          </cell>
          <cell r="AD4296">
            <v>16500</v>
          </cell>
        </row>
        <row r="4297">
          <cell r="W4297" t="str">
            <v>QEM-401</v>
          </cell>
          <cell r="AD4297">
            <v>16500</v>
          </cell>
        </row>
        <row r="4298">
          <cell r="W4298" t="str">
            <v>QEM-401</v>
          </cell>
          <cell r="AD4298">
            <v>16500</v>
          </cell>
        </row>
        <row r="4299">
          <cell r="W4299" t="str">
            <v>QEM-401</v>
          </cell>
          <cell r="AD4299">
            <v>16500</v>
          </cell>
        </row>
        <row r="4300">
          <cell r="W4300" t="str">
            <v>QEM-401</v>
          </cell>
          <cell r="AD4300">
            <v>16500</v>
          </cell>
        </row>
        <row r="4301">
          <cell r="W4301" t="str">
            <v>QEM-401</v>
          </cell>
          <cell r="AD4301">
            <v>16500</v>
          </cell>
        </row>
        <row r="4302">
          <cell r="W4302" t="str">
            <v>QEM-401</v>
          </cell>
          <cell r="AD4302">
            <v>16500</v>
          </cell>
        </row>
        <row r="4303">
          <cell r="W4303" t="str">
            <v>QEM-401</v>
          </cell>
          <cell r="AD4303">
            <v>17000</v>
          </cell>
        </row>
        <row r="4304">
          <cell r="W4304" t="str">
            <v>QEM-401</v>
          </cell>
          <cell r="AD4304">
            <v>17000</v>
          </cell>
        </row>
        <row r="4305">
          <cell r="W4305" t="str">
            <v>QEM-401</v>
          </cell>
          <cell r="AD4305">
            <v>17000</v>
          </cell>
        </row>
        <row r="4306">
          <cell r="W4306" t="str">
            <v>QEM-401</v>
          </cell>
          <cell r="AD4306">
            <v>17000</v>
          </cell>
        </row>
        <row r="4307">
          <cell r="W4307" t="str">
            <v>QEM-401</v>
          </cell>
          <cell r="AD4307">
            <v>17000</v>
          </cell>
        </row>
        <row r="4308">
          <cell r="W4308" t="str">
            <v>QEM-401</v>
          </cell>
          <cell r="AD4308">
            <v>17000</v>
          </cell>
        </row>
        <row r="4309">
          <cell r="W4309" t="str">
            <v>QEM-401</v>
          </cell>
          <cell r="AD4309">
            <v>17000</v>
          </cell>
        </row>
        <row r="4310">
          <cell r="W4310" t="str">
            <v>QEM-401</v>
          </cell>
          <cell r="AD4310">
            <v>17000</v>
          </cell>
        </row>
        <row r="4311">
          <cell r="W4311" t="str">
            <v>QEM-401</v>
          </cell>
          <cell r="AD4311">
            <v>17000</v>
          </cell>
        </row>
        <row r="4312">
          <cell r="W4312" t="str">
            <v>QEM-401</v>
          </cell>
          <cell r="AD4312">
            <v>17000</v>
          </cell>
        </row>
        <row r="4313">
          <cell r="W4313" t="str">
            <v>QEM-401</v>
          </cell>
          <cell r="AD4313">
            <v>17000</v>
          </cell>
        </row>
        <row r="4314">
          <cell r="W4314" t="str">
            <v>QEM-401</v>
          </cell>
          <cell r="AD4314">
            <v>17000</v>
          </cell>
        </row>
        <row r="4315">
          <cell r="W4315" t="str">
            <v>QEM-401</v>
          </cell>
          <cell r="AD4315">
            <v>17000</v>
          </cell>
        </row>
        <row r="4316">
          <cell r="W4316" t="str">
            <v>QEM-401</v>
          </cell>
          <cell r="AD4316">
            <v>17000</v>
          </cell>
        </row>
        <row r="4317">
          <cell r="W4317" t="str">
            <v>QEM-401</v>
          </cell>
          <cell r="AD4317">
            <v>17000</v>
          </cell>
        </row>
        <row r="4318">
          <cell r="W4318" t="str">
            <v>QEM-401</v>
          </cell>
          <cell r="AD4318">
            <v>17000</v>
          </cell>
        </row>
        <row r="4319">
          <cell r="W4319" t="str">
            <v>QEM-401</v>
          </cell>
          <cell r="AD4319">
            <v>17000</v>
          </cell>
        </row>
        <row r="4320">
          <cell r="W4320" t="str">
            <v>QEM-401</v>
          </cell>
          <cell r="AD4320">
            <v>17000</v>
          </cell>
        </row>
        <row r="4321">
          <cell r="W4321" t="str">
            <v>QEM-401</v>
          </cell>
          <cell r="AD4321">
            <v>17000</v>
          </cell>
        </row>
        <row r="4322">
          <cell r="W4322" t="str">
            <v>QEM-404</v>
          </cell>
          <cell r="AD4322">
            <v>16250</v>
          </cell>
        </row>
        <row r="4323">
          <cell r="W4323" t="str">
            <v>QEM-404</v>
          </cell>
          <cell r="AD4323">
            <v>16500</v>
          </cell>
        </row>
        <row r="4324">
          <cell r="W4324" t="str">
            <v>QEMAC04</v>
          </cell>
          <cell r="AD4324">
            <v>265000</v>
          </cell>
        </row>
        <row r="4325">
          <cell r="W4325" t="str">
            <v>QEMAC04</v>
          </cell>
          <cell r="AD4325">
            <v>267000</v>
          </cell>
        </row>
        <row r="4326">
          <cell r="W4326" t="str">
            <v>QEMAC04</v>
          </cell>
          <cell r="AD4326">
            <v>267000</v>
          </cell>
        </row>
        <row r="4327">
          <cell r="W4327" t="str">
            <v>QEMAC04</v>
          </cell>
          <cell r="AD4327">
            <v>295000</v>
          </cell>
        </row>
        <row r="4328">
          <cell r="W4328" t="str">
            <v>QEMAC03</v>
          </cell>
          <cell r="AD4328">
            <v>138000</v>
          </cell>
        </row>
        <row r="4329">
          <cell r="W4329" t="str">
            <v>QEMAC03</v>
          </cell>
          <cell r="AD4329">
            <v>138000</v>
          </cell>
        </row>
        <row r="4330">
          <cell r="W4330" t="str">
            <v>QEMAC03</v>
          </cell>
          <cell r="AD4330">
            <v>140000</v>
          </cell>
        </row>
        <row r="4331">
          <cell r="W4331" t="str">
            <v>QEMAC03</v>
          </cell>
          <cell r="AD4331">
            <v>150000</v>
          </cell>
        </row>
        <row r="4332">
          <cell r="W4332" t="str">
            <v>QEMAC03</v>
          </cell>
          <cell r="AD4332">
            <v>150000</v>
          </cell>
        </row>
        <row r="4333">
          <cell r="W4333" t="str">
            <v>QEMAC03</v>
          </cell>
          <cell r="AD4333">
            <v>150000</v>
          </cell>
        </row>
        <row r="4334">
          <cell r="W4334" t="str">
            <v>QEMAC03</v>
          </cell>
          <cell r="AD4334">
            <v>150000</v>
          </cell>
        </row>
        <row r="4335">
          <cell r="W4335" t="str">
            <v>QEMAC03</v>
          </cell>
          <cell r="AD4335">
            <v>150000</v>
          </cell>
        </row>
        <row r="4336">
          <cell r="W4336" t="str">
            <v>QEMAC03</v>
          </cell>
          <cell r="AD4336">
            <v>150000</v>
          </cell>
        </row>
        <row r="4337">
          <cell r="W4337" t="str">
            <v>QEMAC03</v>
          </cell>
          <cell r="AD4337">
            <v>150000</v>
          </cell>
        </row>
        <row r="4338">
          <cell r="W4338" t="str">
            <v>QEMAC03</v>
          </cell>
          <cell r="AD4338">
            <v>150000</v>
          </cell>
        </row>
        <row r="4339">
          <cell r="W4339" t="str">
            <v>QEMAC03</v>
          </cell>
          <cell r="AD4339">
            <v>150000</v>
          </cell>
        </row>
        <row r="4340">
          <cell r="W4340" t="str">
            <v>QEMAC03</v>
          </cell>
          <cell r="AD4340">
            <v>150000</v>
          </cell>
        </row>
        <row r="4341">
          <cell r="W4341" t="str">
            <v>QEMAC03</v>
          </cell>
          <cell r="AD4341">
            <v>150000</v>
          </cell>
        </row>
        <row r="4342">
          <cell r="W4342" t="str">
            <v>QEMAC03</v>
          </cell>
          <cell r="AD4342">
            <v>165000</v>
          </cell>
        </row>
        <row r="4343">
          <cell r="W4343" t="str">
            <v>QEMAC03</v>
          </cell>
          <cell r="AD4343">
            <v>165000</v>
          </cell>
        </row>
        <row r="4344">
          <cell r="W4344" t="str">
            <v>QEMAC03</v>
          </cell>
          <cell r="AD4344">
            <v>170000</v>
          </cell>
        </row>
        <row r="4345">
          <cell r="W4345" t="str">
            <v>QEMAC03</v>
          </cell>
          <cell r="AD4345">
            <v>170000</v>
          </cell>
        </row>
        <row r="4346">
          <cell r="W4346" t="str">
            <v>QEMAC03</v>
          </cell>
          <cell r="AD4346">
            <v>180000</v>
          </cell>
        </row>
        <row r="4347">
          <cell r="W4347" t="str">
            <v>QEMAC03</v>
          </cell>
          <cell r="AD4347">
            <v>180000</v>
          </cell>
        </row>
        <row r="4348">
          <cell r="W4348" t="str">
            <v>QEMAC03</v>
          </cell>
          <cell r="AD4348">
            <v>180000</v>
          </cell>
        </row>
        <row r="4349">
          <cell r="W4349" t="str">
            <v>QEMAC03</v>
          </cell>
          <cell r="AD4349">
            <v>180000</v>
          </cell>
        </row>
        <row r="4350">
          <cell r="W4350" t="str">
            <v>QEMAC03</v>
          </cell>
          <cell r="AD4350">
            <v>180000</v>
          </cell>
        </row>
        <row r="4351">
          <cell r="W4351" t="str">
            <v>QEMAC03</v>
          </cell>
          <cell r="AD4351">
            <v>180000</v>
          </cell>
        </row>
        <row r="4352">
          <cell r="W4352" t="str">
            <v>QEMAC03</v>
          </cell>
          <cell r="AD4352">
            <v>180000</v>
          </cell>
        </row>
        <row r="4353">
          <cell r="W4353" t="str">
            <v>QEMAC03</v>
          </cell>
          <cell r="AD4353">
            <v>180000</v>
          </cell>
        </row>
        <row r="4354">
          <cell r="W4354" t="str">
            <v>QEMAC03</v>
          </cell>
          <cell r="AD4354">
            <v>180000</v>
          </cell>
        </row>
        <row r="4355">
          <cell r="W4355" t="str">
            <v>QEMAC03</v>
          </cell>
          <cell r="AD4355">
            <v>180000</v>
          </cell>
        </row>
        <row r="4356">
          <cell r="W4356" t="str">
            <v>QEMAC03</v>
          </cell>
          <cell r="AD4356">
            <v>180000</v>
          </cell>
        </row>
        <row r="4357">
          <cell r="W4357" t="str">
            <v>QEMAC03</v>
          </cell>
          <cell r="AD4357">
            <v>180000</v>
          </cell>
        </row>
        <row r="4358">
          <cell r="W4358" t="str">
            <v>QEMAC03</v>
          </cell>
          <cell r="AD4358">
            <v>180000</v>
          </cell>
        </row>
        <row r="4359">
          <cell r="W4359" t="str">
            <v>QEMAC03</v>
          </cell>
          <cell r="AD4359">
            <v>180000</v>
          </cell>
        </row>
        <row r="4360">
          <cell r="W4360" t="str">
            <v>QEMAC05</v>
          </cell>
          <cell r="AD4360">
            <v>72500</v>
          </cell>
        </row>
        <row r="4361">
          <cell r="W4361" t="str">
            <v>QEMAC05</v>
          </cell>
          <cell r="AD4361">
            <v>75000</v>
          </cell>
        </row>
        <row r="4362">
          <cell r="W4362" t="str">
            <v>QEMAC05</v>
          </cell>
          <cell r="AD4362">
            <v>75000</v>
          </cell>
        </row>
        <row r="4363">
          <cell r="W4363" t="str">
            <v>QEMAC05</v>
          </cell>
          <cell r="AD4363">
            <v>77500</v>
          </cell>
        </row>
        <row r="4364">
          <cell r="W4364" t="str">
            <v>QEMAC05</v>
          </cell>
          <cell r="AD4364">
            <v>78000</v>
          </cell>
        </row>
        <row r="4365">
          <cell r="W4365" t="str">
            <v>QEMAC05</v>
          </cell>
          <cell r="AD4365">
            <v>82000</v>
          </cell>
        </row>
        <row r="4366">
          <cell r="W4366" t="str">
            <v>QEMAC05</v>
          </cell>
          <cell r="AD4366">
            <v>82000</v>
          </cell>
        </row>
        <row r="4367">
          <cell r="W4367" t="str">
            <v>QEMAC05</v>
          </cell>
          <cell r="AD4367">
            <v>82000</v>
          </cell>
        </row>
        <row r="4368">
          <cell r="W4368" t="str">
            <v>QEMAC05</v>
          </cell>
          <cell r="AD4368">
            <v>82000</v>
          </cell>
        </row>
        <row r="4369">
          <cell r="W4369" t="str">
            <v>QEMAC05</v>
          </cell>
          <cell r="AD4369">
            <v>82000</v>
          </cell>
        </row>
        <row r="4370">
          <cell r="W4370" t="str">
            <v>QEMAC05</v>
          </cell>
          <cell r="AD4370">
            <v>82000</v>
          </cell>
        </row>
        <row r="4371">
          <cell r="W4371" t="str">
            <v>QEMAC05</v>
          </cell>
          <cell r="AD4371">
            <v>82000</v>
          </cell>
        </row>
        <row r="4372">
          <cell r="W4372" t="str">
            <v>QEMAC05</v>
          </cell>
          <cell r="AD4372">
            <v>85000</v>
          </cell>
        </row>
        <row r="4373">
          <cell r="W4373" t="str">
            <v>QEMAC05</v>
          </cell>
          <cell r="AD4373">
            <v>85000</v>
          </cell>
        </row>
        <row r="4374">
          <cell r="W4374" t="str">
            <v>QEMAC05</v>
          </cell>
          <cell r="AD4374">
            <v>85000</v>
          </cell>
        </row>
        <row r="4375">
          <cell r="W4375" t="str">
            <v>QEMAC05</v>
          </cell>
          <cell r="AD4375">
            <v>88000</v>
          </cell>
        </row>
        <row r="4376">
          <cell r="W4376" t="str">
            <v>QEMAC05</v>
          </cell>
          <cell r="AD4376">
            <v>90000</v>
          </cell>
        </row>
        <row r="4377">
          <cell r="W4377" t="str">
            <v>QEMAC05</v>
          </cell>
          <cell r="AD4377">
            <v>95000</v>
          </cell>
        </row>
        <row r="4378">
          <cell r="W4378" t="str">
            <v>QEMAC05</v>
          </cell>
          <cell r="AD4378">
            <v>95000</v>
          </cell>
        </row>
        <row r="4379">
          <cell r="W4379" t="str">
            <v>QEMAC05</v>
          </cell>
          <cell r="AD4379">
            <v>95000</v>
          </cell>
        </row>
        <row r="4380">
          <cell r="W4380" t="str">
            <v>QEMAC05</v>
          </cell>
          <cell r="AD4380">
            <v>95000</v>
          </cell>
        </row>
        <row r="4381">
          <cell r="W4381" t="str">
            <v>QEMAC05</v>
          </cell>
          <cell r="AD4381">
            <v>95000</v>
          </cell>
        </row>
        <row r="4382">
          <cell r="W4382" t="str">
            <v>QEMAC05</v>
          </cell>
          <cell r="AD4382">
            <v>95000</v>
          </cell>
        </row>
        <row r="4383">
          <cell r="W4383" t="str">
            <v>QEMAC05</v>
          </cell>
          <cell r="AD4383">
            <v>95000</v>
          </cell>
        </row>
        <row r="4384">
          <cell r="W4384" t="str">
            <v>QEMAC05</v>
          </cell>
          <cell r="AD4384">
            <v>95000</v>
          </cell>
        </row>
        <row r="4385">
          <cell r="W4385" t="str">
            <v>QEMAC05</v>
          </cell>
          <cell r="AD4385">
            <v>95000</v>
          </cell>
        </row>
        <row r="4386">
          <cell r="W4386" t="str">
            <v>QEMAC05</v>
          </cell>
          <cell r="AD4386">
            <v>95000</v>
          </cell>
        </row>
        <row r="4387">
          <cell r="W4387" t="str">
            <v>QEMAC05</v>
          </cell>
          <cell r="AD4387">
            <v>95000</v>
          </cell>
        </row>
        <row r="4388">
          <cell r="W4388" t="str">
            <v>QEMAC05</v>
          </cell>
          <cell r="AD4388">
            <v>95000</v>
          </cell>
        </row>
        <row r="4389">
          <cell r="W4389" t="str">
            <v>QEMAC05</v>
          </cell>
          <cell r="AD4389">
            <v>95000</v>
          </cell>
        </row>
        <row r="4390">
          <cell r="W4390" t="str">
            <v>QEMAP04</v>
          </cell>
          <cell r="AD4390">
            <v>110000</v>
          </cell>
        </row>
        <row r="4391">
          <cell r="W4391" t="str">
            <v>QEMAP04</v>
          </cell>
          <cell r="AD4391">
            <v>115000</v>
          </cell>
        </row>
        <row r="4392">
          <cell r="W4392" t="str">
            <v>QEMAP04</v>
          </cell>
          <cell r="AD4392">
            <v>115000</v>
          </cell>
        </row>
        <row r="4393">
          <cell r="W4393" t="str">
            <v>QEMAP04</v>
          </cell>
          <cell r="AD4393">
            <v>115000</v>
          </cell>
        </row>
        <row r="4394">
          <cell r="W4394" t="str">
            <v>QEMAP04</v>
          </cell>
          <cell r="AD4394">
            <v>115000</v>
          </cell>
        </row>
        <row r="4395">
          <cell r="W4395" t="str">
            <v>QEMAP04</v>
          </cell>
          <cell r="AD4395">
            <v>115000</v>
          </cell>
        </row>
        <row r="4396">
          <cell r="W4396" t="str">
            <v>QEMAP04</v>
          </cell>
          <cell r="AD4396">
            <v>115000</v>
          </cell>
        </row>
        <row r="4397">
          <cell r="W4397" t="str">
            <v>QEMAP04</v>
          </cell>
          <cell r="AD4397">
            <v>115000</v>
          </cell>
        </row>
        <row r="4398">
          <cell r="W4398" t="str">
            <v>QEMAP04</v>
          </cell>
          <cell r="AD4398">
            <v>115000</v>
          </cell>
        </row>
        <row r="4399">
          <cell r="W4399" t="str">
            <v>QEMAP04</v>
          </cell>
          <cell r="AD4399">
            <v>115000</v>
          </cell>
        </row>
        <row r="4400">
          <cell r="W4400" t="str">
            <v>QEMAP04</v>
          </cell>
          <cell r="AD4400">
            <v>115000</v>
          </cell>
        </row>
        <row r="4401">
          <cell r="W4401" t="str">
            <v>QEMAP04</v>
          </cell>
          <cell r="AD4401">
            <v>115000</v>
          </cell>
        </row>
        <row r="4402">
          <cell r="W4402" t="str">
            <v>QEMAP04</v>
          </cell>
          <cell r="AD4402">
            <v>115000</v>
          </cell>
        </row>
        <row r="4403">
          <cell r="W4403" t="str">
            <v>AEMAP01</v>
          </cell>
          <cell r="AD4403">
            <v>1</v>
          </cell>
        </row>
        <row r="4404">
          <cell r="W4404" t="str">
            <v>QEMAP03</v>
          </cell>
          <cell r="AD4404">
            <v>49000</v>
          </cell>
        </row>
        <row r="4405">
          <cell r="W4405" t="str">
            <v>QEMAP03</v>
          </cell>
          <cell r="AD4405">
            <v>49000</v>
          </cell>
        </row>
        <row r="4406">
          <cell r="W4406" t="str">
            <v>QEMAP03</v>
          </cell>
          <cell r="AD4406">
            <v>49000</v>
          </cell>
        </row>
        <row r="4407">
          <cell r="W4407" t="str">
            <v>QEMAP03</v>
          </cell>
          <cell r="AD4407">
            <v>49000</v>
          </cell>
        </row>
        <row r="4408">
          <cell r="W4408" t="str">
            <v>QEMAP03</v>
          </cell>
          <cell r="AD4408">
            <v>49000</v>
          </cell>
        </row>
        <row r="4409">
          <cell r="W4409" t="str">
            <v>QEMAP03</v>
          </cell>
          <cell r="AD4409">
            <v>49000</v>
          </cell>
        </row>
        <row r="4410">
          <cell r="W4410" t="str">
            <v>QEMAP03</v>
          </cell>
          <cell r="AD4410">
            <v>49000</v>
          </cell>
        </row>
        <row r="4411">
          <cell r="W4411" t="str">
            <v>QEMAP03</v>
          </cell>
          <cell r="AD4411">
            <v>49000</v>
          </cell>
        </row>
        <row r="4412">
          <cell r="W4412" t="str">
            <v>QEMAP03</v>
          </cell>
          <cell r="AD4412">
            <v>49000</v>
          </cell>
        </row>
        <row r="4413">
          <cell r="W4413" t="str">
            <v>QEMAP03</v>
          </cell>
          <cell r="AD4413">
            <v>49000</v>
          </cell>
        </row>
        <row r="4414">
          <cell r="W4414" t="str">
            <v>QEMCL01</v>
          </cell>
          <cell r="AD4414">
            <v>165000</v>
          </cell>
        </row>
        <row r="4415">
          <cell r="W4415" t="str">
            <v>QEMCL01</v>
          </cell>
          <cell r="AD4415">
            <v>165000</v>
          </cell>
        </row>
        <row r="4416">
          <cell r="W4416" t="str">
            <v>QEMCL01</v>
          </cell>
          <cell r="AD4416">
            <v>165000</v>
          </cell>
        </row>
        <row r="4417">
          <cell r="W4417" t="str">
            <v>QEMCL01</v>
          </cell>
          <cell r="AD4417">
            <v>165000</v>
          </cell>
        </row>
        <row r="4418">
          <cell r="W4418" t="str">
            <v>QEMCL01</v>
          </cell>
          <cell r="AD4418">
            <v>165000</v>
          </cell>
        </row>
        <row r="4419">
          <cell r="W4419" t="str">
            <v>QEMCL01</v>
          </cell>
          <cell r="AD4419">
            <v>165000</v>
          </cell>
        </row>
        <row r="4420">
          <cell r="W4420" t="str">
            <v>QEMCL02</v>
          </cell>
          <cell r="AD4420">
            <v>82500</v>
          </cell>
        </row>
        <row r="4421">
          <cell r="W4421" t="str">
            <v>QEMCL02</v>
          </cell>
          <cell r="AD4421">
            <v>82500</v>
          </cell>
        </row>
        <row r="4422">
          <cell r="W4422" t="str">
            <v>QEMCL02</v>
          </cell>
          <cell r="AD4422">
            <v>82500</v>
          </cell>
        </row>
        <row r="4423">
          <cell r="W4423" t="str">
            <v>QENDU02</v>
          </cell>
          <cell r="AD4423">
            <v>160000</v>
          </cell>
        </row>
        <row r="4424">
          <cell r="W4424" t="str">
            <v>QENDU02</v>
          </cell>
          <cell r="AD4424">
            <v>160000</v>
          </cell>
        </row>
        <row r="4425">
          <cell r="W4425" t="str">
            <v>QENDU02</v>
          </cell>
          <cell r="AD4425">
            <v>161000</v>
          </cell>
        </row>
        <row r="4426">
          <cell r="W4426" t="str">
            <v>QENDU02</v>
          </cell>
          <cell r="AD4426">
            <v>161000</v>
          </cell>
        </row>
        <row r="4427">
          <cell r="W4427" t="str">
            <v>QENDU02</v>
          </cell>
          <cell r="AD4427">
            <v>161000</v>
          </cell>
        </row>
        <row r="4428">
          <cell r="W4428" t="str">
            <v>QENDU02</v>
          </cell>
          <cell r="AD4428">
            <v>161000</v>
          </cell>
        </row>
        <row r="4429">
          <cell r="W4429" t="str">
            <v>QENDU02</v>
          </cell>
          <cell r="AD4429">
            <v>161500</v>
          </cell>
        </row>
        <row r="4430">
          <cell r="W4430" t="str">
            <v>QENDU02</v>
          </cell>
          <cell r="AD4430">
            <v>163000</v>
          </cell>
        </row>
        <row r="4431">
          <cell r="W4431" t="str">
            <v>AERGO02</v>
          </cell>
          <cell r="AD4431">
            <v>28900</v>
          </cell>
        </row>
        <row r="4432">
          <cell r="W4432" t="str">
            <v>QETHR02</v>
          </cell>
          <cell r="AD4432">
            <v>34000</v>
          </cell>
        </row>
        <row r="4433">
          <cell r="W4433" t="str">
            <v>QETHR02</v>
          </cell>
          <cell r="AD4433">
            <v>34500</v>
          </cell>
        </row>
        <row r="4434">
          <cell r="W4434" t="str">
            <v>QETHR02</v>
          </cell>
          <cell r="AD4434">
            <v>34500</v>
          </cell>
        </row>
        <row r="4435">
          <cell r="W4435" t="str">
            <v>QETHR02</v>
          </cell>
          <cell r="AD4435">
            <v>34500</v>
          </cell>
        </row>
        <row r="4436">
          <cell r="W4436" t="str">
            <v>QETHR02</v>
          </cell>
          <cell r="AD4436">
            <v>34500</v>
          </cell>
        </row>
        <row r="4437">
          <cell r="W4437" t="str">
            <v>QETHR02</v>
          </cell>
          <cell r="AD4437">
            <v>34500</v>
          </cell>
        </row>
        <row r="4438">
          <cell r="W4438" t="str">
            <v>QETHR02</v>
          </cell>
          <cell r="AD4438">
            <v>34500</v>
          </cell>
        </row>
        <row r="4439">
          <cell r="W4439" t="str">
            <v>QETHR02</v>
          </cell>
          <cell r="AD4439">
            <v>34500</v>
          </cell>
        </row>
        <row r="4440">
          <cell r="W4440" t="str">
            <v>QETHR02</v>
          </cell>
          <cell r="AD4440">
            <v>34500</v>
          </cell>
        </row>
        <row r="4441">
          <cell r="W4441" t="str">
            <v>QETHR02</v>
          </cell>
          <cell r="AD4441">
            <v>34500</v>
          </cell>
        </row>
        <row r="4442">
          <cell r="W4442" t="str">
            <v>QETHR02</v>
          </cell>
          <cell r="AD4442">
            <v>34500</v>
          </cell>
        </row>
        <row r="4443">
          <cell r="W4443" t="str">
            <v>QETHR02</v>
          </cell>
          <cell r="AD4443">
            <v>34500</v>
          </cell>
        </row>
        <row r="4444">
          <cell r="W4444" t="str">
            <v>QETHR02</v>
          </cell>
          <cell r="AD4444">
            <v>34500</v>
          </cell>
        </row>
        <row r="4445">
          <cell r="W4445" t="str">
            <v>QETHR02</v>
          </cell>
          <cell r="AD4445">
            <v>34500</v>
          </cell>
        </row>
        <row r="4446">
          <cell r="W4446" t="str">
            <v>QETHR02</v>
          </cell>
          <cell r="AD4446">
            <v>34500</v>
          </cell>
        </row>
        <row r="4447">
          <cell r="W4447" t="str">
            <v>QETHR02</v>
          </cell>
          <cell r="AD4447">
            <v>34500</v>
          </cell>
        </row>
        <row r="4448">
          <cell r="W4448" t="str">
            <v>QETHR02</v>
          </cell>
          <cell r="AD4448">
            <v>34500</v>
          </cell>
        </row>
        <row r="4449">
          <cell r="W4449" t="str">
            <v>QETHR02</v>
          </cell>
          <cell r="AD4449">
            <v>34500</v>
          </cell>
        </row>
        <row r="4450">
          <cell r="W4450" t="str">
            <v>QETHR02</v>
          </cell>
          <cell r="AD4450">
            <v>34500</v>
          </cell>
        </row>
        <row r="4451">
          <cell r="W4451" t="str">
            <v>QETHR02</v>
          </cell>
          <cell r="AD4451">
            <v>34500</v>
          </cell>
        </row>
        <row r="4452">
          <cell r="W4452" t="str">
            <v>QETHR02</v>
          </cell>
          <cell r="AD4452">
            <v>34500</v>
          </cell>
        </row>
        <row r="4453">
          <cell r="W4453" t="str">
            <v>QETHR02</v>
          </cell>
          <cell r="AD4453">
            <v>34500</v>
          </cell>
        </row>
        <row r="4454">
          <cell r="W4454" t="str">
            <v>QETHR02</v>
          </cell>
          <cell r="AD4454">
            <v>34500</v>
          </cell>
        </row>
        <row r="4455">
          <cell r="W4455" t="str">
            <v>QETHR02</v>
          </cell>
          <cell r="AD4455">
            <v>34500</v>
          </cell>
        </row>
        <row r="4456">
          <cell r="W4456" t="str">
            <v>QETHR02</v>
          </cell>
          <cell r="AD4456">
            <v>34500</v>
          </cell>
        </row>
        <row r="4457">
          <cell r="W4457" t="str">
            <v>QETHR02</v>
          </cell>
          <cell r="AD4457">
            <v>34500</v>
          </cell>
        </row>
        <row r="4458">
          <cell r="W4458" t="str">
            <v>QETHR02</v>
          </cell>
          <cell r="AD4458">
            <v>34500</v>
          </cell>
        </row>
        <row r="4459">
          <cell r="W4459" t="str">
            <v>QETHR02</v>
          </cell>
          <cell r="AD4459">
            <v>34500</v>
          </cell>
        </row>
        <row r="4460">
          <cell r="W4460" t="str">
            <v>QETHR02</v>
          </cell>
          <cell r="AD4460">
            <v>34500</v>
          </cell>
        </row>
        <row r="4461">
          <cell r="W4461" t="str">
            <v>QETHR02</v>
          </cell>
          <cell r="AD4461">
            <v>34500</v>
          </cell>
        </row>
        <row r="4462">
          <cell r="W4462" t="str">
            <v>QETHR02</v>
          </cell>
          <cell r="AD4462">
            <v>34500</v>
          </cell>
        </row>
        <row r="4463">
          <cell r="W4463" t="str">
            <v>QETHR02</v>
          </cell>
          <cell r="AD4463">
            <v>34500</v>
          </cell>
        </row>
        <row r="4464">
          <cell r="W4464" t="str">
            <v>QETHR02</v>
          </cell>
          <cell r="AD4464">
            <v>34500</v>
          </cell>
        </row>
        <row r="4465">
          <cell r="W4465" t="str">
            <v>QETHR02</v>
          </cell>
          <cell r="AD4465">
            <v>34500</v>
          </cell>
        </row>
        <row r="4466">
          <cell r="W4466" t="str">
            <v>QETHR02</v>
          </cell>
          <cell r="AD4466">
            <v>34500</v>
          </cell>
        </row>
        <row r="4467">
          <cell r="W4467" t="str">
            <v>QETHR02</v>
          </cell>
          <cell r="AD4467">
            <v>34500</v>
          </cell>
        </row>
        <row r="4468">
          <cell r="W4468" t="str">
            <v>QETHR02</v>
          </cell>
          <cell r="AD4468">
            <v>34500</v>
          </cell>
        </row>
        <row r="4469">
          <cell r="W4469" t="str">
            <v>QETHR02</v>
          </cell>
          <cell r="AD4469">
            <v>34500</v>
          </cell>
        </row>
        <row r="4470">
          <cell r="W4470" t="str">
            <v>QETHR02</v>
          </cell>
          <cell r="AD4470">
            <v>34500</v>
          </cell>
        </row>
        <row r="4471">
          <cell r="W4471" t="str">
            <v>QETHR02</v>
          </cell>
          <cell r="AD4471">
            <v>34650</v>
          </cell>
        </row>
        <row r="4472">
          <cell r="W4472" t="str">
            <v>QETHR02</v>
          </cell>
          <cell r="AD4472">
            <v>34730</v>
          </cell>
        </row>
        <row r="4473">
          <cell r="W4473" t="str">
            <v>QETHR02</v>
          </cell>
          <cell r="AD4473">
            <v>35000</v>
          </cell>
        </row>
        <row r="4474">
          <cell r="W4474" t="str">
            <v>QETHR02</v>
          </cell>
          <cell r="AD4474">
            <v>35000</v>
          </cell>
        </row>
        <row r="4475">
          <cell r="W4475" t="str">
            <v>QETHR02</v>
          </cell>
          <cell r="AD4475">
            <v>35000</v>
          </cell>
        </row>
        <row r="4476">
          <cell r="W4476" t="str">
            <v>QETHR02</v>
          </cell>
          <cell r="AD4476">
            <v>35000</v>
          </cell>
        </row>
        <row r="4477">
          <cell r="W4477" t="str">
            <v>QETHR02</v>
          </cell>
          <cell r="AD4477">
            <v>35000</v>
          </cell>
        </row>
        <row r="4478">
          <cell r="W4478" t="str">
            <v>QETHR02</v>
          </cell>
          <cell r="AD4478">
            <v>35000</v>
          </cell>
        </row>
        <row r="4479">
          <cell r="W4479" t="str">
            <v>QETHR02</v>
          </cell>
          <cell r="AD4479">
            <v>35000</v>
          </cell>
        </row>
        <row r="4480">
          <cell r="W4480" t="str">
            <v>QETHR02</v>
          </cell>
          <cell r="AD4480">
            <v>35000</v>
          </cell>
        </row>
        <row r="4481">
          <cell r="W4481" t="str">
            <v>QETHR02</v>
          </cell>
          <cell r="AD4481">
            <v>35000</v>
          </cell>
        </row>
        <row r="4482">
          <cell r="W4482" t="str">
            <v>QETHR02</v>
          </cell>
          <cell r="AD4482">
            <v>35000</v>
          </cell>
        </row>
        <row r="4483">
          <cell r="W4483" t="str">
            <v>QETHR02</v>
          </cell>
          <cell r="AD4483">
            <v>35000</v>
          </cell>
        </row>
        <row r="4484">
          <cell r="W4484" t="str">
            <v>QETHR02</v>
          </cell>
          <cell r="AD4484">
            <v>35000</v>
          </cell>
        </row>
        <row r="4485">
          <cell r="W4485" t="str">
            <v>QETHR02</v>
          </cell>
          <cell r="AD4485">
            <v>35000</v>
          </cell>
        </row>
        <row r="4486">
          <cell r="W4486" t="str">
            <v>QETHR02</v>
          </cell>
          <cell r="AD4486">
            <v>35000</v>
          </cell>
        </row>
        <row r="4487">
          <cell r="W4487" t="str">
            <v>QETHR02</v>
          </cell>
          <cell r="AD4487">
            <v>35000</v>
          </cell>
        </row>
        <row r="4488">
          <cell r="W4488" t="str">
            <v>QETHR02</v>
          </cell>
          <cell r="AD4488">
            <v>35000</v>
          </cell>
        </row>
        <row r="4489">
          <cell r="W4489" t="str">
            <v>QETHR02</v>
          </cell>
          <cell r="AD4489">
            <v>35000</v>
          </cell>
        </row>
        <row r="4490">
          <cell r="W4490" t="str">
            <v>QETHR02</v>
          </cell>
          <cell r="AD4490">
            <v>35000</v>
          </cell>
        </row>
        <row r="4491">
          <cell r="W4491" t="str">
            <v>QETHR02</v>
          </cell>
          <cell r="AD4491">
            <v>35000</v>
          </cell>
        </row>
        <row r="4492">
          <cell r="W4492" t="str">
            <v>QETHR02</v>
          </cell>
          <cell r="AD4492">
            <v>35000</v>
          </cell>
        </row>
        <row r="4493">
          <cell r="W4493" t="str">
            <v>QETHR02</v>
          </cell>
          <cell r="AD4493">
            <v>35000</v>
          </cell>
        </row>
        <row r="4494">
          <cell r="W4494" t="str">
            <v>QETHR02</v>
          </cell>
          <cell r="AD4494">
            <v>35000</v>
          </cell>
        </row>
        <row r="4495">
          <cell r="W4495" t="str">
            <v>QETHR02</v>
          </cell>
          <cell r="AD4495">
            <v>35000</v>
          </cell>
        </row>
        <row r="4496">
          <cell r="W4496" t="str">
            <v>QETHR02</v>
          </cell>
          <cell r="AD4496">
            <v>35000</v>
          </cell>
        </row>
        <row r="4497">
          <cell r="W4497" t="str">
            <v>QETHR02</v>
          </cell>
          <cell r="AD4497">
            <v>35000</v>
          </cell>
        </row>
        <row r="4498">
          <cell r="W4498" t="str">
            <v>QETHR02</v>
          </cell>
          <cell r="AD4498">
            <v>35500</v>
          </cell>
        </row>
        <row r="4499">
          <cell r="W4499" t="str">
            <v>QETHR02</v>
          </cell>
          <cell r="AD4499">
            <v>36000</v>
          </cell>
        </row>
        <row r="4500">
          <cell r="W4500" t="str">
            <v>QETHR02</v>
          </cell>
          <cell r="AD4500">
            <v>36000</v>
          </cell>
        </row>
        <row r="4501">
          <cell r="W4501" t="str">
            <v>QETHR02</v>
          </cell>
          <cell r="AD4501">
            <v>36000</v>
          </cell>
        </row>
        <row r="4502">
          <cell r="W4502" t="str">
            <v>QETHR02</v>
          </cell>
          <cell r="AD4502">
            <v>36000</v>
          </cell>
        </row>
        <row r="4503">
          <cell r="W4503" t="str">
            <v>QETHR02</v>
          </cell>
          <cell r="AD4503">
            <v>36500</v>
          </cell>
        </row>
        <row r="4504">
          <cell r="W4504" t="str">
            <v>QEXTR02</v>
          </cell>
          <cell r="AD4504">
            <v>140000</v>
          </cell>
        </row>
        <row r="4505">
          <cell r="W4505" t="str">
            <v>QEXTR02</v>
          </cell>
          <cell r="AD4505">
            <v>155000</v>
          </cell>
        </row>
        <row r="4506">
          <cell r="W4506" t="str">
            <v>QFENV01</v>
          </cell>
          <cell r="AD4506">
            <v>126500</v>
          </cell>
        </row>
        <row r="4507">
          <cell r="W4507" t="str">
            <v>QFENV01</v>
          </cell>
          <cell r="AD4507">
            <v>134500</v>
          </cell>
        </row>
        <row r="4508">
          <cell r="W4508" t="str">
            <v>QFENV05</v>
          </cell>
          <cell r="AD4508">
            <v>44500</v>
          </cell>
        </row>
        <row r="4509">
          <cell r="W4509" t="str">
            <v>QFENV03</v>
          </cell>
          <cell r="AD4509">
            <v>62500</v>
          </cell>
        </row>
        <row r="4510">
          <cell r="W4510" t="str">
            <v>QFENV03</v>
          </cell>
          <cell r="AD4510">
            <v>62500</v>
          </cell>
        </row>
        <row r="4511">
          <cell r="W4511" t="str">
            <v>QFENV03</v>
          </cell>
          <cell r="AD4511">
            <v>64000</v>
          </cell>
        </row>
        <row r="4512">
          <cell r="W4512" t="str">
            <v>QFENV03</v>
          </cell>
          <cell r="AD4512">
            <v>64000</v>
          </cell>
        </row>
        <row r="4513">
          <cell r="W4513" t="str">
            <v>QFENV03</v>
          </cell>
          <cell r="AD4513">
            <v>64000</v>
          </cell>
        </row>
        <row r="4514">
          <cell r="W4514" t="str">
            <v>QFENV03</v>
          </cell>
          <cell r="AD4514">
            <v>64000</v>
          </cell>
        </row>
        <row r="4515">
          <cell r="W4515" t="str">
            <v>QFENV03</v>
          </cell>
          <cell r="AD4515">
            <v>64000</v>
          </cell>
        </row>
        <row r="4516">
          <cell r="W4516" t="str">
            <v>QFENV03</v>
          </cell>
          <cell r="AD4516">
            <v>64000</v>
          </cell>
        </row>
        <row r="4517">
          <cell r="W4517" t="str">
            <v>QFENV03</v>
          </cell>
          <cell r="AD4517">
            <v>64000</v>
          </cell>
        </row>
        <row r="4518">
          <cell r="W4518" t="str">
            <v>QFENV03</v>
          </cell>
          <cell r="AD4518">
            <v>65000</v>
          </cell>
        </row>
        <row r="4519">
          <cell r="W4519" t="str">
            <v>QFENV03</v>
          </cell>
          <cell r="AD4519">
            <v>68000</v>
          </cell>
        </row>
        <row r="4520">
          <cell r="W4520" t="str">
            <v>QFENV03</v>
          </cell>
          <cell r="AD4520">
            <v>68000</v>
          </cell>
        </row>
        <row r="4521">
          <cell r="W4521" t="str">
            <v>QFENV03</v>
          </cell>
          <cell r="AD4521">
            <v>70000</v>
          </cell>
        </row>
        <row r="4522">
          <cell r="W4522" t="str">
            <v>QFENV04</v>
          </cell>
          <cell r="AD4522">
            <v>16000</v>
          </cell>
        </row>
        <row r="4523">
          <cell r="W4523" t="str">
            <v>QFENV04</v>
          </cell>
          <cell r="AD4523">
            <v>16000</v>
          </cell>
        </row>
        <row r="4524">
          <cell r="W4524" t="str">
            <v>QFERA02</v>
          </cell>
          <cell r="AD4524">
            <v>54000</v>
          </cell>
        </row>
        <row r="4525">
          <cell r="W4525" t="str">
            <v>QFERA02</v>
          </cell>
          <cell r="AD4525">
            <v>55000</v>
          </cell>
        </row>
        <row r="4526">
          <cell r="W4526" t="str">
            <v>QFERA02</v>
          </cell>
          <cell r="AD4526">
            <v>55000</v>
          </cell>
        </row>
        <row r="4527">
          <cell r="W4527" t="str">
            <v>QFERA02</v>
          </cell>
          <cell r="AD4527">
            <v>55000</v>
          </cell>
        </row>
        <row r="4528">
          <cell r="W4528" t="str">
            <v>QFERA02</v>
          </cell>
          <cell r="AD4528">
            <v>55000</v>
          </cell>
        </row>
        <row r="4529">
          <cell r="W4529" t="str">
            <v>QFERA02</v>
          </cell>
          <cell r="AD4529">
            <v>55000</v>
          </cell>
        </row>
        <row r="4530">
          <cell r="W4530" t="str">
            <v>QFERA02</v>
          </cell>
          <cell r="AD4530">
            <v>55000</v>
          </cell>
        </row>
        <row r="4531">
          <cell r="W4531" t="str">
            <v>QFERT05</v>
          </cell>
          <cell r="AD4531">
            <v>80000</v>
          </cell>
        </row>
        <row r="4532">
          <cell r="W4532" t="str">
            <v>QFERT05</v>
          </cell>
          <cell r="AD4532">
            <v>80000</v>
          </cell>
        </row>
        <row r="4533">
          <cell r="W4533" t="str">
            <v>QFERT05</v>
          </cell>
          <cell r="AD4533">
            <v>80000</v>
          </cell>
        </row>
        <row r="4534">
          <cell r="W4534" t="str">
            <v>QFERT05</v>
          </cell>
          <cell r="AD4534">
            <v>80000</v>
          </cell>
        </row>
        <row r="4535">
          <cell r="W4535" t="str">
            <v>QFERT05</v>
          </cell>
          <cell r="AD4535">
            <v>80000</v>
          </cell>
        </row>
        <row r="4536">
          <cell r="W4536" t="str">
            <v>QFERT05</v>
          </cell>
          <cell r="AD4536">
            <v>80000</v>
          </cell>
        </row>
        <row r="4537">
          <cell r="W4537" t="str">
            <v>QFERT05</v>
          </cell>
          <cell r="AD4537">
            <v>80000</v>
          </cell>
        </row>
        <row r="4538">
          <cell r="W4538" t="str">
            <v>QFERT05</v>
          </cell>
          <cell r="AD4538">
            <v>80000</v>
          </cell>
        </row>
        <row r="4539">
          <cell r="W4539" t="str">
            <v>QFETR01</v>
          </cell>
          <cell r="AD4539">
            <v>2000</v>
          </cell>
        </row>
        <row r="4540">
          <cell r="W4540" t="str">
            <v>QFETR01</v>
          </cell>
          <cell r="AD4540">
            <v>2000</v>
          </cell>
        </row>
        <row r="4541">
          <cell r="W4541" t="str">
            <v>QFETR01</v>
          </cell>
          <cell r="AD4541">
            <v>2000</v>
          </cell>
        </row>
        <row r="4542">
          <cell r="W4542" t="str">
            <v>QFETR01</v>
          </cell>
          <cell r="AD4542">
            <v>2000</v>
          </cell>
        </row>
        <row r="4543">
          <cell r="W4543" t="str">
            <v>QFETR01</v>
          </cell>
          <cell r="AD4543">
            <v>2500</v>
          </cell>
        </row>
        <row r="4544">
          <cell r="W4544" t="str">
            <v>QFILI01</v>
          </cell>
          <cell r="AD4544">
            <v>24200</v>
          </cell>
        </row>
        <row r="4545">
          <cell r="W4545" t="str">
            <v>QFILI01</v>
          </cell>
          <cell r="AD4545">
            <v>24250</v>
          </cell>
        </row>
        <row r="4546">
          <cell r="W4546" t="str">
            <v>QFILI01</v>
          </cell>
          <cell r="AD4546">
            <v>24250</v>
          </cell>
        </row>
        <row r="4547">
          <cell r="W4547" t="str">
            <v>QFILI01</v>
          </cell>
          <cell r="AD4547">
            <v>24250</v>
          </cell>
        </row>
        <row r="4548">
          <cell r="W4548" t="str">
            <v>QFILI01</v>
          </cell>
          <cell r="AD4548">
            <v>24250</v>
          </cell>
        </row>
        <row r="4549">
          <cell r="W4549" t="str">
            <v>QFILI01</v>
          </cell>
          <cell r="AD4549">
            <v>24250</v>
          </cell>
        </row>
        <row r="4550">
          <cell r="W4550" t="str">
            <v>QFILI01</v>
          </cell>
          <cell r="AD4550">
            <v>24300</v>
          </cell>
        </row>
        <row r="4551">
          <cell r="W4551" t="str">
            <v>QFILI01</v>
          </cell>
          <cell r="AD4551">
            <v>24300</v>
          </cell>
        </row>
        <row r="4552">
          <cell r="W4552" t="str">
            <v>QFILI01</v>
          </cell>
          <cell r="AD4552">
            <v>24300</v>
          </cell>
        </row>
        <row r="4553">
          <cell r="W4553" t="str">
            <v>QFILI01</v>
          </cell>
          <cell r="AD4553">
            <v>24300</v>
          </cell>
        </row>
        <row r="4554">
          <cell r="W4554" t="str">
            <v>QFILI01</v>
          </cell>
          <cell r="AD4554">
            <v>24300</v>
          </cell>
        </row>
        <row r="4555">
          <cell r="W4555" t="str">
            <v>QFILI01</v>
          </cell>
          <cell r="AD4555">
            <v>24300</v>
          </cell>
        </row>
        <row r="4556">
          <cell r="W4556" t="str">
            <v>QFILI01</v>
          </cell>
          <cell r="AD4556">
            <v>24300</v>
          </cell>
        </row>
        <row r="4557">
          <cell r="W4557" t="str">
            <v>QFILI01</v>
          </cell>
          <cell r="AD4557">
            <v>24300</v>
          </cell>
        </row>
        <row r="4558">
          <cell r="W4558" t="str">
            <v>QFILI01</v>
          </cell>
          <cell r="AD4558">
            <v>24500</v>
          </cell>
        </row>
        <row r="4559">
          <cell r="W4559" t="str">
            <v>QFILI01</v>
          </cell>
          <cell r="AD4559">
            <v>24500</v>
          </cell>
        </row>
        <row r="4560">
          <cell r="W4560" t="str">
            <v>QFILI01</v>
          </cell>
          <cell r="AD4560">
            <v>24500</v>
          </cell>
        </row>
        <row r="4561">
          <cell r="W4561" t="str">
            <v>QFILI01</v>
          </cell>
          <cell r="AD4561">
            <v>24500</v>
          </cell>
        </row>
        <row r="4562">
          <cell r="W4562" t="str">
            <v>QFILI01</v>
          </cell>
          <cell r="AD4562">
            <v>24500</v>
          </cell>
        </row>
        <row r="4563">
          <cell r="W4563" t="str">
            <v>QFILI01</v>
          </cell>
          <cell r="AD4563">
            <v>24500</v>
          </cell>
        </row>
        <row r="4564">
          <cell r="W4564" t="str">
            <v>QFILI01</v>
          </cell>
          <cell r="AD4564">
            <v>24500</v>
          </cell>
        </row>
        <row r="4565">
          <cell r="W4565" t="str">
            <v>QFILI01</v>
          </cell>
          <cell r="AD4565">
            <v>24500</v>
          </cell>
        </row>
        <row r="4566">
          <cell r="W4566" t="str">
            <v>QFILI01</v>
          </cell>
          <cell r="AD4566">
            <v>24500</v>
          </cell>
        </row>
        <row r="4567">
          <cell r="W4567" t="str">
            <v>QFILI01</v>
          </cell>
          <cell r="AD4567">
            <v>24500</v>
          </cell>
        </row>
        <row r="4568">
          <cell r="W4568" t="str">
            <v>QFILI01</v>
          </cell>
          <cell r="AD4568">
            <v>24500</v>
          </cell>
        </row>
        <row r="4569">
          <cell r="W4569" t="str">
            <v>QFILI01</v>
          </cell>
          <cell r="AD4569">
            <v>24500</v>
          </cell>
        </row>
        <row r="4570">
          <cell r="W4570" t="str">
            <v>QFILI01</v>
          </cell>
          <cell r="AD4570">
            <v>24500</v>
          </cell>
        </row>
        <row r="4571">
          <cell r="W4571" t="str">
            <v>QFILI01</v>
          </cell>
          <cell r="AD4571">
            <v>24500</v>
          </cell>
        </row>
        <row r="4572">
          <cell r="W4572" t="str">
            <v>QFILI01</v>
          </cell>
          <cell r="AD4572">
            <v>24500</v>
          </cell>
        </row>
        <row r="4573">
          <cell r="W4573" t="str">
            <v>QFILI01</v>
          </cell>
          <cell r="AD4573">
            <v>24500</v>
          </cell>
        </row>
        <row r="4574">
          <cell r="W4574" t="str">
            <v>QFILI01</v>
          </cell>
          <cell r="AD4574">
            <v>24500</v>
          </cell>
        </row>
        <row r="4575">
          <cell r="W4575" t="str">
            <v>QFILI01</v>
          </cell>
          <cell r="AD4575">
            <v>24500</v>
          </cell>
        </row>
        <row r="4576">
          <cell r="W4576" t="str">
            <v>QFILI01</v>
          </cell>
          <cell r="AD4576">
            <v>24500</v>
          </cell>
        </row>
        <row r="4577">
          <cell r="W4577" t="str">
            <v>QFILI01</v>
          </cell>
          <cell r="AD4577">
            <v>24500</v>
          </cell>
        </row>
        <row r="4578">
          <cell r="W4578" t="str">
            <v>QFILI01</v>
          </cell>
          <cell r="AD4578">
            <v>24500</v>
          </cell>
        </row>
        <row r="4579">
          <cell r="W4579" t="str">
            <v>QFILI01</v>
          </cell>
          <cell r="AD4579">
            <v>24500</v>
          </cell>
        </row>
        <row r="4580">
          <cell r="W4580" t="str">
            <v>QFILI01</v>
          </cell>
          <cell r="AD4580">
            <v>24500</v>
          </cell>
        </row>
        <row r="4581">
          <cell r="W4581" t="str">
            <v>QFILI01</v>
          </cell>
          <cell r="AD4581">
            <v>24500</v>
          </cell>
        </row>
        <row r="4582">
          <cell r="W4582" t="str">
            <v>QFILI01</v>
          </cell>
          <cell r="AD4582">
            <v>24500</v>
          </cell>
        </row>
        <row r="4583">
          <cell r="W4583" t="str">
            <v>QFILI01</v>
          </cell>
          <cell r="AD4583">
            <v>24500</v>
          </cell>
        </row>
        <row r="4584">
          <cell r="W4584" t="str">
            <v>QFILI01</v>
          </cell>
          <cell r="AD4584">
            <v>24500</v>
          </cell>
        </row>
        <row r="4585">
          <cell r="W4585" t="str">
            <v>QFILI01</v>
          </cell>
          <cell r="AD4585">
            <v>24500</v>
          </cell>
        </row>
        <row r="4586">
          <cell r="W4586" t="str">
            <v>QFILI01</v>
          </cell>
          <cell r="AD4586">
            <v>24500</v>
          </cell>
        </row>
        <row r="4587">
          <cell r="W4587" t="str">
            <v>QFILI01</v>
          </cell>
          <cell r="AD4587">
            <v>24500</v>
          </cell>
        </row>
        <row r="4588">
          <cell r="W4588" t="str">
            <v>QFILI01</v>
          </cell>
          <cell r="AD4588">
            <v>24500</v>
          </cell>
        </row>
        <row r="4589">
          <cell r="W4589" t="str">
            <v>QFILI01</v>
          </cell>
          <cell r="AD4589">
            <v>24500</v>
          </cell>
        </row>
        <row r="4590">
          <cell r="W4590" t="str">
            <v>QFILI01</v>
          </cell>
          <cell r="AD4590">
            <v>24500</v>
          </cell>
        </row>
        <row r="4591">
          <cell r="W4591" t="str">
            <v>QFILI01</v>
          </cell>
          <cell r="AD4591">
            <v>24500</v>
          </cell>
        </row>
        <row r="4592">
          <cell r="W4592" t="str">
            <v>QFILI01</v>
          </cell>
          <cell r="AD4592">
            <v>24500</v>
          </cell>
        </row>
        <row r="4593">
          <cell r="W4593" t="str">
            <v>QFILI01</v>
          </cell>
          <cell r="AD4593">
            <v>24750</v>
          </cell>
        </row>
        <row r="4594">
          <cell r="W4594" t="str">
            <v>QFILI01</v>
          </cell>
          <cell r="AD4594">
            <v>24750</v>
          </cell>
        </row>
        <row r="4595">
          <cell r="W4595" t="str">
            <v>QFILI01</v>
          </cell>
          <cell r="AD4595">
            <v>24750</v>
          </cell>
        </row>
        <row r="4596">
          <cell r="W4596" t="str">
            <v>QFILI01</v>
          </cell>
          <cell r="AD4596">
            <v>24750</v>
          </cell>
        </row>
        <row r="4597">
          <cell r="W4597" t="str">
            <v>QFILI01</v>
          </cell>
          <cell r="AD4597">
            <v>24750</v>
          </cell>
        </row>
        <row r="4598">
          <cell r="W4598" t="str">
            <v>QFILI01</v>
          </cell>
          <cell r="AD4598">
            <v>25000</v>
          </cell>
        </row>
        <row r="4599">
          <cell r="W4599" t="str">
            <v>QFILI01</v>
          </cell>
          <cell r="AD4599">
            <v>25000</v>
          </cell>
        </row>
        <row r="4600">
          <cell r="W4600" t="str">
            <v>QFILI01</v>
          </cell>
          <cell r="AD4600">
            <v>25000</v>
          </cell>
        </row>
        <row r="4601">
          <cell r="W4601" t="str">
            <v>QFILI01</v>
          </cell>
          <cell r="AD4601">
            <v>25000</v>
          </cell>
        </row>
        <row r="4602">
          <cell r="W4602" t="str">
            <v>QFILI01</v>
          </cell>
          <cell r="AD4602">
            <v>25000</v>
          </cell>
        </row>
        <row r="4603">
          <cell r="W4603" t="str">
            <v>QFILI01</v>
          </cell>
          <cell r="AD4603">
            <v>25000</v>
          </cell>
        </row>
        <row r="4604">
          <cell r="W4604" t="str">
            <v>QFILI01</v>
          </cell>
          <cell r="AD4604">
            <v>25000</v>
          </cell>
        </row>
        <row r="4605">
          <cell r="W4605" t="str">
            <v>QFILI01</v>
          </cell>
          <cell r="AD4605">
            <v>25000</v>
          </cell>
        </row>
        <row r="4606">
          <cell r="W4606" t="str">
            <v>QFILI01</v>
          </cell>
          <cell r="AD4606">
            <v>25000</v>
          </cell>
        </row>
        <row r="4607">
          <cell r="W4607" t="str">
            <v>QFILI01</v>
          </cell>
          <cell r="AD4607">
            <v>25000</v>
          </cell>
        </row>
        <row r="4608">
          <cell r="W4608" t="str">
            <v>QFILI01</v>
          </cell>
          <cell r="AD4608">
            <v>25000</v>
          </cell>
        </row>
        <row r="4609">
          <cell r="W4609" t="str">
            <v>QFILI01</v>
          </cell>
          <cell r="AD4609">
            <v>25500</v>
          </cell>
        </row>
        <row r="4610">
          <cell r="W4610" t="str">
            <v>QFILI01</v>
          </cell>
          <cell r="AD4610">
            <v>25500</v>
          </cell>
        </row>
        <row r="4611">
          <cell r="W4611" t="str">
            <v>QFILI01</v>
          </cell>
          <cell r="AD4611">
            <v>25500</v>
          </cell>
        </row>
        <row r="4612">
          <cell r="W4612" t="str">
            <v>QFILI01</v>
          </cell>
          <cell r="AD4612">
            <v>25500</v>
          </cell>
        </row>
        <row r="4613">
          <cell r="W4613" t="str">
            <v>QFILI01</v>
          </cell>
          <cell r="AD4613">
            <v>26000</v>
          </cell>
        </row>
        <row r="4614">
          <cell r="W4614" t="str">
            <v>QFILI02</v>
          </cell>
          <cell r="AD4614">
            <v>107000</v>
          </cell>
        </row>
        <row r="4615">
          <cell r="W4615" t="str">
            <v>QFILI02</v>
          </cell>
          <cell r="AD4615">
            <v>107000</v>
          </cell>
        </row>
        <row r="4616">
          <cell r="W4616" t="str">
            <v>QFILI02</v>
          </cell>
          <cell r="AD4616">
            <v>107500</v>
          </cell>
        </row>
        <row r="4617">
          <cell r="W4617" t="str">
            <v>QFILI02</v>
          </cell>
          <cell r="AD4617">
            <v>107500</v>
          </cell>
        </row>
        <row r="4618">
          <cell r="W4618" t="str">
            <v>QFILI02</v>
          </cell>
          <cell r="AD4618">
            <v>107500</v>
          </cell>
        </row>
        <row r="4619">
          <cell r="W4619" t="str">
            <v>QFILI02</v>
          </cell>
          <cell r="AD4619">
            <v>107500</v>
          </cell>
        </row>
        <row r="4620">
          <cell r="W4620" t="str">
            <v>QFILI02</v>
          </cell>
          <cell r="AD4620">
            <v>107500</v>
          </cell>
        </row>
        <row r="4621">
          <cell r="W4621" t="str">
            <v>QFILI02</v>
          </cell>
          <cell r="AD4621">
            <v>107500</v>
          </cell>
        </row>
        <row r="4622">
          <cell r="W4622" t="str">
            <v>QFILI02</v>
          </cell>
          <cell r="AD4622">
            <v>107500</v>
          </cell>
        </row>
        <row r="4623">
          <cell r="W4623" t="str">
            <v>QFILI02</v>
          </cell>
          <cell r="AD4623">
            <v>107500</v>
          </cell>
        </row>
        <row r="4624">
          <cell r="W4624" t="str">
            <v>QFILI02</v>
          </cell>
          <cell r="AD4624">
            <v>107500</v>
          </cell>
        </row>
        <row r="4625">
          <cell r="W4625" t="str">
            <v>QFILI02</v>
          </cell>
          <cell r="AD4625">
            <v>107500</v>
          </cell>
        </row>
        <row r="4626">
          <cell r="W4626" t="str">
            <v>QFILI02</v>
          </cell>
          <cell r="AD4626">
            <v>107500</v>
          </cell>
        </row>
        <row r="4627">
          <cell r="W4627" t="str">
            <v>QFILI02</v>
          </cell>
          <cell r="AD4627">
            <v>107500</v>
          </cell>
        </row>
        <row r="4628">
          <cell r="W4628" t="str">
            <v>QFILI02</v>
          </cell>
          <cell r="AD4628">
            <v>107500</v>
          </cell>
        </row>
        <row r="4629">
          <cell r="W4629" t="str">
            <v>QFILI02</v>
          </cell>
          <cell r="AD4629">
            <v>107500</v>
          </cell>
        </row>
        <row r="4630">
          <cell r="W4630" t="str">
            <v>QFILI02</v>
          </cell>
          <cell r="AD4630">
            <v>107500</v>
          </cell>
        </row>
        <row r="4631">
          <cell r="W4631" t="str">
            <v>QFILI02</v>
          </cell>
          <cell r="AD4631">
            <v>108000</v>
          </cell>
        </row>
        <row r="4632">
          <cell r="W4632" t="str">
            <v>QFILI02</v>
          </cell>
          <cell r="AD4632">
            <v>108000</v>
          </cell>
        </row>
        <row r="4633">
          <cell r="W4633" t="str">
            <v>QFILI02</v>
          </cell>
          <cell r="AD4633">
            <v>108000</v>
          </cell>
        </row>
        <row r="4634">
          <cell r="W4634" t="str">
            <v>QFILI02</v>
          </cell>
          <cell r="AD4634">
            <v>108000</v>
          </cell>
        </row>
        <row r="4635">
          <cell r="W4635" t="str">
            <v>QFILI02</v>
          </cell>
          <cell r="AD4635">
            <v>108000</v>
          </cell>
        </row>
        <row r="4636">
          <cell r="W4636" t="str">
            <v>QFILI02</v>
          </cell>
          <cell r="AD4636">
            <v>108000</v>
          </cell>
        </row>
        <row r="4637">
          <cell r="W4637" t="str">
            <v>QFILI02</v>
          </cell>
          <cell r="AD4637">
            <v>108000</v>
          </cell>
        </row>
        <row r="4638">
          <cell r="W4638" t="str">
            <v>QFILI02</v>
          </cell>
          <cell r="AD4638">
            <v>108000</v>
          </cell>
        </row>
        <row r="4639">
          <cell r="W4639" t="str">
            <v>QFILI02</v>
          </cell>
          <cell r="AD4639">
            <v>108000</v>
          </cell>
        </row>
        <row r="4640">
          <cell r="W4640" t="str">
            <v>QFILI02</v>
          </cell>
          <cell r="AD4640">
            <v>108000</v>
          </cell>
        </row>
        <row r="4641">
          <cell r="W4641" t="str">
            <v>QFILI02</v>
          </cell>
          <cell r="AD4641">
            <v>108000</v>
          </cell>
        </row>
        <row r="4642">
          <cell r="W4642" t="str">
            <v>QFILI02</v>
          </cell>
          <cell r="AD4642">
            <v>108000</v>
          </cell>
        </row>
        <row r="4643">
          <cell r="W4643" t="str">
            <v>QFILI02</v>
          </cell>
          <cell r="AD4643">
            <v>108000</v>
          </cell>
        </row>
        <row r="4644">
          <cell r="W4644" t="str">
            <v>QFILI02</v>
          </cell>
          <cell r="AD4644">
            <v>108000</v>
          </cell>
        </row>
        <row r="4645">
          <cell r="W4645" t="str">
            <v>QFILI02</v>
          </cell>
          <cell r="AD4645">
            <v>108000</v>
          </cell>
        </row>
        <row r="4646">
          <cell r="W4646" t="str">
            <v>QFILI02</v>
          </cell>
          <cell r="AD4646">
            <v>108000</v>
          </cell>
        </row>
        <row r="4647">
          <cell r="W4647" t="str">
            <v>QFILI02</v>
          </cell>
          <cell r="AD4647">
            <v>108500</v>
          </cell>
        </row>
        <row r="4648">
          <cell r="W4648" t="str">
            <v>QFILI02</v>
          </cell>
          <cell r="AD4648">
            <v>108500</v>
          </cell>
        </row>
        <row r="4649">
          <cell r="W4649" t="str">
            <v>QFILI02</v>
          </cell>
          <cell r="AD4649">
            <v>108500</v>
          </cell>
        </row>
        <row r="4650">
          <cell r="W4650" t="str">
            <v>QFILI02</v>
          </cell>
          <cell r="AD4650">
            <v>108500</v>
          </cell>
        </row>
        <row r="4651">
          <cell r="W4651" t="str">
            <v>QFILI02</v>
          </cell>
          <cell r="AD4651">
            <v>108500</v>
          </cell>
        </row>
        <row r="4652">
          <cell r="W4652" t="str">
            <v>QFILI02</v>
          </cell>
          <cell r="AD4652">
            <v>108500</v>
          </cell>
        </row>
        <row r="4653">
          <cell r="W4653" t="str">
            <v>QFILI02</v>
          </cell>
          <cell r="AD4653">
            <v>108500</v>
          </cell>
        </row>
        <row r="4654">
          <cell r="W4654" t="str">
            <v>QFILI02</v>
          </cell>
          <cell r="AD4654">
            <v>108500</v>
          </cell>
        </row>
        <row r="4655">
          <cell r="W4655" t="str">
            <v>QFILI02</v>
          </cell>
          <cell r="AD4655">
            <v>108500</v>
          </cell>
        </row>
        <row r="4656">
          <cell r="W4656" t="str">
            <v>QFILI02</v>
          </cell>
          <cell r="AD4656">
            <v>108500</v>
          </cell>
        </row>
        <row r="4657">
          <cell r="W4657" t="str">
            <v>QFILI02</v>
          </cell>
          <cell r="AD4657">
            <v>108500</v>
          </cell>
        </row>
        <row r="4658">
          <cell r="W4658" t="str">
            <v>QFILI02</v>
          </cell>
          <cell r="AD4658">
            <v>108500</v>
          </cell>
        </row>
        <row r="4659">
          <cell r="W4659" t="str">
            <v>QFILI02</v>
          </cell>
          <cell r="AD4659">
            <v>108500</v>
          </cell>
        </row>
        <row r="4660">
          <cell r="W4660" t="str">
            <v>QFILI02</v>
          </cell>
          <cell r="AD4660">
            <v>108500</v>
          </cell>
        </row>
        <row r="4661">
          <cell r="W4661" t="str">
            <v>QFILI02</v>
          </cell>
          <cell r="AD4661">
            <v>108500</v>
          </cell>
        </row>
        <row r="4662">
          <cell r="W4662" t="str">
            <v>QFILI02</v>
          </cell>
          <cell r="AD4662">
            <v>108500</v>
          </cell>
        </row>
        <row r="4663">
          <cell r="W4663" t="str">
            <v>QFILI02</v>
          </cell>
          <cell r="AD4663">
            <v>108500</v>
          </cell>
        </row>
        <row r="4664">
          <cell r="W4664" t="str">
            <v>QFILI02</v>
          </cell>
          <cell r="AD4664">
            <v>108500</v>
          </cell>
        </row>
        <row r="4665">
          <cell r="W4665" t="str">
            <v>QFILI02</v>
          </cell>
          <cell r="AD4665">
            <v>108500</v>
          </cell>
        </row>
        <row r="4666">
          <cell r="W4666" t="str">
            <v>QFILI02</v>
          </cell>
          <cell r="AD4666">
            <v>109000</v>
          </cell>
        </row>
        <row r="4667">
          <cell r="W4667" t="str">
            <v>QFILI02</v>
          </cell>
          <cell r="AD4667">
            <v>109000</v>
          </cell>
        </row>
        <row r="4668">
          <cell r="W4668" t="str">
            <v>QFILI02</v>
          </cell>
          <cell r="AD4668">
            <v>109000</v>
          </cell>
        </row>
        <row r="4669">
          <cell r="W4669" t="str">
            <v>QFILI02</v>
          </cell>
          <cell r="AD4669">
            <v>109000</v>
          </cell>
        </row>
        <row r="4670">
          <cell r="W4670" t="str">
            <v>QFILI02</v>
          </cell>
          <cell r="AD4670">
            <v>109000</v>
          </cell>
        </row>
        <row r="4671">
          <cell r="W4671" t="str">
            <v>QFILI02</v>
          </cell>
          <cell r="AD4671">
            <v>109000</v>
          </cell>
        </row>
        <row r="4672">
          <cell r="W4672" t="str">
            <v>QFILI02</v>
          </cell>
          <cell r="AD4672">
            <v>109000</v>
          </cell>
        </row>
        <row r="4673">
          <cell r="W4673" t="str">
            <v>QFILI02</v>
          </cell>
          <cell r="AD4673">
            <v>109500</v>
          </cell>
        </row>
        <row r="4674">
          <cell r="W4674" t="str">
            <v>QFILI02</v>
          </cell>
          <cell r="AD4674">
            <v>109500</v>
          </cell>
        </row>
        <row r="4675">
          <cell r="W4675" t="str">
            <v>QFILI02</v>
          </cell>
          <cell r="AD4675">
            <v>109750</v>
          </cell>
        </row>
        <row r="4676">
          <cell r="W4676" t="str">
            <v>QFILI02</v>
          </cell>
          <cell r="AD4676">
            <v>110000</v>
          </cell>
        </row>
        <row r="4677">
          <cell r="W4677" t="str">
            <v>QFILI02</v>
          </cell>
          <cell r="AD4677">
            <v>110000</v>
          </cell>
        </row>
        <row r="4678">
          <cell r="W4678" t="str">
            <v>QFILI02</v>
          </cell>
          <cell r="AD4678">
            <v>110000</v>
          </cell>
        </row>
        <row r="4679">
          <cell r="W4679" t="str">
            <v>QFILI02</v>
          </cell>
          <cell r="AD4679">
            <v>110000</v>
          </cell>
        </row>
        <row r="4680">
          <cell r="W4680" t="str">
            <v>QFILI02</v>
          </cell>
          <cell r="AD4680">
            <v>110000</v>
          </cell>
        </row>
        <row r="4681">
          <cell r="W4681" t="str">
            <v>QFILI02</v>
          </cell>
          <cell r="AD4681">
            <v>110000</v>
          </cell>
        </row>
        <row r="4682">
          <cell r="W4682" t="str">
            <v>QFILI02</v>
          </cell>
          <cell r="AD4682">
            <v>110000</v>
          </cell>
        </row>
        <row r="4683">
          <cell r="W4683" t="str">
            <v>QFILI02</v>
          </cell>
          <cell r="AD4683">
            <v>110000</v>
          </cell>
        </row>
        <row r="4684">
          <cell r="W4684" t="str">
            <v>QFILI02</v>
          </cell>
          <cell r="AD4684">
            <v>110000</v>
          </cell>
        </row>
        <row r="4685">
          <cell r="W4685" t="str">
            <v>QFILI02</v>
          </cell>
          <cell r="AD4685">
            <v>110000</v>
          </cell>
        </row>
        <row r="4686">
          <cell r="W4686" t="str">
            <v>QFILI02</v>
          </cell>
          <cell r="AD4686">
            <v>110000</v>
          </cell>
        </row>
        <row r="4687">
          <cell r="W4687" t="str">
            <v>QFILI02</v>
          </cell>
          <cell r="AD4687">
            <v>110000</v>
          </cell>
        </row>
        <row r="4688">
          <cell r="W4688" t="str">
            <v>QFILI02</v>
          </cell>
          <cell r="AD4688">
            <v>110000</v>
          </cell>
        </row>
        <row r="4689">
          <cell r="W4689" t="str">
            <v>QFILI02</v>
          </cell>
          <cell r="AD4689">
            <v>110000</v>
          </cell>
        </row>
        <row r="4690">
          <cell r="W4690" t="str">
            <v>QFILI02</v>
          </cell>
          <cell r="AD4690">
            <v>110000</v>
          </cell>
        </row>
        <row r="4691">
          <cell r="W4691" t="str">
            <v>QFILI02</v>
          </cell>
          <cell r="AD4691">
            <v>110000</v>
          </cell>
        </row>
        <row r="4692">
          <cell r="W4692" t="str">
            <v>QFILI02</v>
          </cell>
          <cell r="AD4692">
            <v>110000</v>
          </cell>
        </row>
        <row r="4693">
          <cell r="W4693" t="str">
            <v>QFILI02</v>
          </cell>
          <cell r="AD4693">
            <v>110000</v>
          </cell>
        </row>
        <row r="4694">
          <cell r="W4694" t="str">
            <v>QFILI02</v>
          </cell>
          <cell r="AD4694">
            <v>115000</v>
          </cell>
        </row>
        <row r="4695">
          <cell r="W4695" t="str">
            <v>QFITO10</v>
          </cell>
          <cell r="AD4695">
            <v>92000</v>
          </cell>
        </row>
        <row r="4696">
          <cell r="W4696" t="str">
            <v>QFITO09</v>
          </cell>
          <cell r="AD4696">
            <v>52500</v>
          </cell>
        </row>
        <row r="4697">
          <cell r="W4697" t="str">
            <v>QFLAS01</v>
          </cell>
          <cell r="AD4697">
            <v>37500</v>
          </cell>
        </row>
        <row r="4698">
          <cell r="W4698" t="str">
            <v>QFLAS01</v>
          </cell>
          <cell r="AD4698">
            <v>37500</v>
          </cell>
        </row>
        <row r="4699">
          <cell r="W4699" t="str">
            <v>QFOLI03</v>
          </cell>
          <cell r="AD4699">
            <v>146500</v>
          </cell>
        </row>
        <row r="4700">
          <cell r="W4700" t="str">
            <v>QFOLI03</v>
          </cell>
          <cell r="AD4700">
            <v>146500</v>
          </cell>
        </row>
        <row r="4701">
          <cell r="W4701" t="str">
            <v>QFOLI03</v>
          </cell>
          <cell r="AD4701">
            <v>146500</v>
          </cell>
        </row>
        <row r="4702">
          <cell r="W4702" t="str">
            <v>QFOLI03</v>
          </cell>
          <cell r="AD4702">
            <v>146500</v>
          </cell>
        </row>
        <row r="4703">
          <cell r="W4703" t="str">
            <v>QFOLI03</v>
          </cell>
          <cell r="AD4703">
            <v>146500</v>
          </cell>
        </row>
        <row r="4704">
          <cell r="W4704" t="str">
            <v>QFOLI03</v>
          </cell>
          <cell r="AD4704">
            <v>147000</v>
          </cell>
        </row>
        <row r="4705">
          <cell r="W4705" t="str">
            <v>QFOLI03</v>
          </cell>
          <cell r="AD4705">
            <v>147000</v>
          </cell>
        </row>
        <row r="4706">
          <cell r="W4706" t="str">
            <v>QFOLI04</v>
          </cell>
          <cell r="AD4706">
            <v>72000</v>
          </cell>
        </row>
        <row r="4707">
          <cell r="W4707" t="str">
            <v>QFOLI04</v>
          </cell>
          <cell r="AD4707">
            <v>72500</v>
          </cell>
        </row>
        <row r="4708">
          <cell r="W4708" t="str">
            <v>QFOLI04</v>
          </cell>
          <cell r="AD4708">
            <v>72500</v>
          </cell>
        </row>
        <row r="4709">
          <cell r="W4709" t="str">
            <v>QFOLI04</v>
          </cell>
          <cell r="AD4709">
            <v>72500</v>
          </cell>
        </row>
        <row r="4710">
          <cell r="W4710" t="str">
            <v>QFOLI04</v>
          </cell>
          <cell r="AD4710">
            <v>72500</v>
          </cell>
        </row>
        <row r="4711">
          <cell r="W4711" t="str">
            <v>QFOLI04</v>
          </cell>
          <cell r="AD4711">
            <v>72500</v>
          </cell>
        </row>
        <row r="4712">
          <cell r="W4712" t="str">
            <v>QFOLI04</v>
          </cell>
          <cell r="AD4712">
            <v>72500</v>
          </cell>
        </row>
        <row r="4713">
          <cell r="W4713" t="str">
            <v>QFOLI04</v>
          </cell>
          <cell r="AD4713">
            <v>72500</v>
          </cell>
        </row>
        <row r="4714">
          <cell r="W4714" t="str">
            <v>QFOLI04</v>
          </cell>
          <cell r="AD4714">
            <v>76000</v>
          </cell>
        </row>
        <row r="4715">
          <cell r="W4715" t="str">
            <v>QFOLI04</v>
          </cell>
          <cell r="AD4715">
            <v>76000</v>
          </cell>
        </row>
        <row r="4716">
          <cell r="W4716" t="str">
            <v>QFOLI05</v>
          </cell>
          <cell r="AD4716">
            <v>38500</v>
          </cell>
        </row>
        <row r="4717">
          <cell r="W4717" t="str">
            <v>QFOLI05</v>
          </cell>
          <cell r="AD4717">
            <v>38500</v>
          </cell>
        </row>
        <row r="4718">
          <cell r="W4718" t="str">
            <v>QFOLI05</v>
          </cell>
          <cell r="AD4718">
            <v>38500</v>
          </cell>
        </row>
        <row r="4719">
          <cell r="W4719" t="str">
            <v>QFORM01</v>
          </cell>
          <cell r="AD4719">
            <v>46500</v>
          </cell>
        </row>
        <row r="4720">
          <cell r="W4720" t="str">
            <v>QFORM01</v>
          </cell>
          <cell r="AD4720">
            <v>47000</v>
          </cell>
        </row>
        <row r="4721">
          <cell r="W4721" t="str">
            <v>QFORM01</v>
          </cell>
          <cell r="AD4721">
            <v>47000</v>
          </cell>
        </row>
        <row r="4722">
          <cell r="W4722" t="str">
            <v>QFORM01</v>
          </cell>
          <cell r="AD4722">
            <v>47000</v>
          </cell>
        </row>
        <row r="4723">
          <cell r="W4723" t="str">
            <v>QFORM01</v>
          </cell>
          <cell r="AD4723">
            <v>47000</v>
          </cell>
        </row>
        <row r="4724">
          <cell r="W4724" t="str">
            <v>QFORM01</v>
          </cell>
          <cell r="AD4724">
            <v>47000</v>
          </cell>
        </row>
        <row r="4725">
          <cell r="W4725" t="str">
            <v>QFORM01</v>
          </cell>
          <cell r="AD4725">
            <v>47000</v>
          </cell>
        </row>
        <row r="4726">
          <cell r="W4726" t="str">
            <v>QFORM01</v>
          </cell>
          <cell r="AD4726">
            <v>48500</v>
          </cell>
        </row>
        <row r="4727">
          <cell r="W4727" t="str">
            <v>QFORT01</v>
          </cell>
          <cell r="AD4727">
            <v>80000</v>
          </cell>
        </row>
        <row r="4728">
          <cell r="W4728" t="str">
            <v>QFORT01</v>
          </cell>
          <cell r="AD4728">
            <v>80000</v>
          </cell>
        </row>
        <row r="4729">
          <cell r="W4729" t="str">
            <v>QFUNG02</v>
          </cell>
          <cell r="AD4729">
            <v>56500</v>
          </cell>
        </row>
        <row r="4730">
          <cell r="W4730" t="str">
            <v>QFUNG02</v>
          </cell>
          <cell r="AD4730">
            <v>56500</v>
          </cell>
        </row>
        <row r="4731">
          <cell r="W4731" t="str">
            <v>QFUNG02</v>
          </cell>
          <cell r="AD4731">
            <v>56500</v>
          </cell>
        </row>
        <row r="4732">
          <cell r="W4732" t="str">
            <v>QFUNG02</v>
          </cell>
          <cell r="AD4732">
            <v>56500</v>
          </cell>
        </row>
        <row r="4733">
          <cell r="W4733" t="str">
            <v>QFUNG02</v>
          </cell>
          <cell r="AD4733">
            <v>60000</v>
          </cell>
        </row>
        <row r="4734">
          <cell r="W4734" t="str">
            <v>QFUNG01</v>
          </cell>
          <cell r="AD4734">
            <v>4500</v>
          </cell>
        </row>
        <row r="4735">
          <cell r="W4735" t="str">
            <v>QFUNG01</v>
          </cell>
          <cell r="AD4735">
            <v>4500</v>
          </cell>
        </row>
        <row r="4736">
          <cell r="W4736" t="str">
            <v>QFUNG01</v>
          </cell>
          <cell r="AD4736">
            <v>4750</v>
          </cell>
        </row>
        <row r="4737">
          <cell r="W4737" t="str">
            <v>QFUNG01</v>
          </cell>
          <cell r="AD4737">
            <v>4750</v>
          </cell>
        </row>
        <row r="4738">
          <cell r="W4738" t="str">
            <v>QFUNG01</v>
          </cell>
          <cell r="AD4738">
            <v>4750</v>
          </cell>
        </row>
        <row r="4739">
          <cell r="W4739" t="str">
            <v>QFUNG01</v>
          </cell>
          <cell r="AD4739">
            <v>4750</v>
          </cell>
        </row>
        <row r="4740">
          <cell r="W4740" t="str">
            <v>QFUNG01</v>
          </cell>
          <cell r="AD4740">
            <v>4750</v>
          </cell>
        </row>
        <row r="4741">
          <cell r="W4741" t="str">
            <v>QFUNG01</v>
          </cell>
          <cell r="AD4741">
            <v>4750</v>
          </cell>
        </row>
        <row r="4742">
          <cell r="W4742" t="str">
            <v>QFUNG01</v>
          </cell>
          <cell r="AD4742">
            <v>4750</v>
          </cell>
        </row>
        <row r="4743">
          <cell r="W4743" t="str">
            <v>QFUNG01</v>
          </cell>
          <cell r="AD4743">
            <v>4750</v>
          </cell>
        </row>
        <row r="4744">
          <cell r="W4744" t="str">
            <v>QFUNG01</v>
          </cell>
          <cell r="AD4744">
            <v>4750</v>
          </cell>
        </row>
        <row r="4745">
          <cell r="W4745" t="str">
            <v>QFUNG01</v>
          </cell>
          <cell r="AD4745">
            <v>4750</v>
          </cell>
        </row>
        <row r="4746">
          <cell r="W4746" t="str">
            <v>QGAPL01</v>
          </cell>
          <cell r="AD4746">
            <v>12500</v>
          </cell>
        </row>
        <row r="4747">
          <cell r="W4747" t="str">
            <v>QGAPL01</v>
          </cell>
          <cell r="AD4747">
            <v>12500</v>
          </cell>
        </row>
        <row r="4748">
          <cell r="W4748" t="str">
            <v>QGAPL01</v>
          </cell>
          <cell r="AD4748">
            <v>12500</v>
          </cell>
        </row>
        <row r="4749">
          <cell r="W4749" t="str">
            <v>QGAPL01</v>
          </cell>
          <cell r="AD4749">
            <v>12500</v>
          </cell>
        </row>
        <row r="4750">
          <cell r="W4750" t="str">
            <v>QGAPL01</v>
          </cell>
          <cell r="AD4750">
            <v>12500</v>
          </cell>
        </row>
        <row r="4751">
          <cell r="W4751" t="str">
            <v>QGAPL01</v>
          </cell>
          <cell r="AD4751">
            <v>12500</v>
          </cell>
        </row>
        <row r="4752">
          <cell r="W4752" t="str">
            <v>QGAPL01</v>
          </cell>
          <cell r="AD4752">
            <v>12500</v>
          </cell>
        </row>
        <row r="4753">
          <cell r="W4753" t="str">
            <v>QGAPL01</v>
          </cell>
          <cell r="AD4753">
            <v>12500</v>
          </cell>
        </row>
        <row r="4754">
          <cell r="W4754" t="str">
            <v>QGAPL01</v>
          </cell>
          <cell r="AD4754">
            <v>12500</v>
          </cell>
        </row>
        <row r="4755">
          <cell r="W4755" t="str">
            <v>QGAPL01</v>
          </cell>
          <cell r="AD4755">
            <v>12500</v>
          </cell>
        </row>
        <row r="4756">
          <cell r="W4756" t="str">
            <v>QGAPL01</v>
          </cell>
          <cell r="AD4756">
            <v>16000</v>
          </cell>
        </row>
        <row r="4757">
          <cell r="W4757" t="str">
            <v>AGAPL02</v>
          </cell>
          <cell r="AD4757">
            <v>19500</v>
          </cell>
        </row>
        <row r="4758">
          <cell r="W4758" t="str">
            <v>AGAPL02</v>
          </cell>
          <cell r="AD4758">
            <v>19500</v>
          </cell>
        </row>
        <row r="4759">
          <cell r="W4759" t="str">
            <v>AGAPL02</v>
          </cell>
          <cell r="AD4759">
            <v>19500</v>
          </cell>
        </row>
        <row r="4760">
          <cell r="W4760" t="str">
            <v>AGAPL02</v>
          </cell>
          <cell r="AD4760">
            <v>19500</v>
          </cell>
        </row>
        <row r="4761">
          <cell r="W4761" t="str">
            <v>AGAPL02</v>
          </cell>
          <cell r="AD4761">
            <v>19500</v>
          </cell>
        </row>
        <row r="4762">
          <cell r="W4762" t="str">
            <v>AGAPL02</v>
          </cell>
          <cell r="AD4762">
            <v>19500</v>
          </cell>
        </row>
        <row r="4763">
          <cell r="W4763" t="str">
            <v>QGAPL02</v>
          </cell>
          <cell r="AD4763">
            <v>22500</v>
          </cell>
        </row>
        <row r="4764">
          <cell r="W4764" t="str">
            <v>QGAPL02</v>
          </cell>
          <cell r="AD4764">
            <v>22500</v>
          </cell>
        </row>
        <row r="4765">
          <cell r="W4765" t="str">
            <v>QGAPL02</v>
          </cell>
          <cell r="AD4765">
            <v>22500</v>
          </cell>
        </row>
        <row r="4766">
          <cell r="W4766" t="str">
            <v>QGAPL02</v>
          </cell>
          <cell r="AD4766">
            <v>22500</v>
          </cell>
        </row>
        <row r="4767">
          <cell r="W4767" t="str">
            <v>QGAPL02</v>
          </cell>
          <cell r="AD4767">
            <v>22500</v>
          </cell>
        </row>
        <row r="4768">
          <cell r="W4768" t="str">
            <v>QGAPL02</v>
          </cell>
          <cell r="AD4768">
            <v>22500</v>
          </cell>
        </row>
        <row r="4769">
          <cell r="W4769" t="str">
            <v>QGAPL02</v>
          </cell>
          <cell r="AD4769">
            <v>22500</v>
          </cell>
        </row>
        <row r="4770">
          <cell r="W4770" t="str">
            <v>QGAPL02</v>
          </cell>
          <cell r="AD4770">
            <v>22500</v>
          </cell>
        </row>
        <row r="4771">
          <cell r="W4771" t="str">
            <v>QGAPL02</v>
          </cell>
          <cell r="AD4771">
            <v>22500</v>
          </cell>
        </row>
        <row r="4772">
          <cell r="W4772" t="str">
            <v>QGAPL02</v>
          </cell>
          <cell r="AD4772">
            <v>22500</v>
          </cell>
        </row>
        <row r="4773">
          <cell r="W4773" t="str">
            <v>QGAPL02</v>
          </cell>
          <cell r="AD4773">
            <v>22500</v>
          </cell>
        </row>
        <row r="4774">
          <cell r="W4774" t="str">
            <v>QGAPL02</v>
          </cell>
          <cell r="AD4774">
            <v>22500</v>
          </cell>
        </row>
        <row r="4775">
          <cell r="W4775" t="str">
            <v>QGAPL02</v>
          </cell>
          <cell r="AD4775">
            <v>22500</v>
          </cell>
        </row>
        <row r="4776">
          <cell r="W4776" t="str">
            <v>QGAPL02</v>
          </cell>
          <cell r="AD4776">
            <v>22500</v>
          </cell>
        </row>
        <row r="4777">
          <cell r="W4777" t="str">
            <v>QGAPL02</v>
          </cell>
          <cell r="AD4777">
            <v>22500</v>
          </cell>
        </row>
        <row r="4778">
          <cell r="W4778" t="str">
            <v>QGAPL02</v>
          </cell>
          <cell r="AD4778">
            <v>22500</v>
          </cell>
        </row>
        <row r="4779">
          <cell r="W4779" t="str">
            <v>QGAPL02</v>
          </cell>
          <cell r="AD4779">
            <v>22500</v>
          </cell>
        </row>
        <row r="4780">
          <cell r="W4780" t="str">
            <v>QGAPL02</v>
          </cell>
          <cell r="AD4780">
            <v>22500</v>
          </cell>
        </row>
        <row r="4781">
          <cell r="W4781" t="str">
            <v>QGALI01</v>
          </cell>
          <cell r="AD4781">
            <v>117000</v>
          </cell>
        </row>
        <row r="4782">
          <cell r="W4782" t="str">
            <v>QGALL07</v>
          </cell>
          <cell r="AD4782">
            <v>71000</v>
          </cell>
        </row>
        <row r="4783">
          <cell r="W4783" t="str">
            <v>QGALL07</v>
          </cell>
          <cell r="AD4783">
            <v>72000</v>
          </cell>
        </row>
        <row r="4784">
          <cell r="W4784" t="str">
            <v>QGALL12</v>
          </cell>
          <cell r="AD4784">
            <v>72000</v>
          </cell>
        </row>
        <row r="4785">
          <cell r="W4785" t="str">
            <v>QGALL12</v>
          </cell>
          <cell r="AD4785">
            <v>72000</v>
          </cell>
        </row>
        <row r="4786">
          <cell r="W4786" t="str">
            <v>QGALL12</v>
          </cell>
          <cell r="AD4786">
            <v>72000</v>
          </cell>
        </row>
        <row r="4787">
          <cell r="W4787" t="str">
            <v>QGALL12</v>
          </cell>
          <cell r="AD4787">
            <v>72000</v>
          </cell>
        </row>
        <row r="4788">
          <cell r="W4788" t="str">
            <v>QGALL12</v>
          </cell>
          <cell r="AD4788">
            <v>72000</v>
          </cell>
        </row>
        <row r="4789">
          <cell r="W4789" t="str">
            <v>QGALL12</v>
          </cell>
          <cell r="AD4789">
            <v>72000</v>
          </cell>
        </row>
        <row r="4790">
          <cell r="W4790" t="str">
            <v>QGALL12</v>
          </cell>
          <cell r="AD4790">
            <v>72000</v>
          </cell>
        </row>
        <row r="4791">
          <cell r="W4791" t="str">
            <v>QGALL12</v>
          </cell>
          <cell r="AD4791">
            <v>72000</v>
          </cell>
        </row>
        <row r="4792">
          <cell r="W4792" t="str">
            <v>QGALL12</v>
          </cell>
          <cell r="AD4792">
            <v>72000</v>
          </cell>
        </row>
        <row r="4793">
          <cell r="W4793" t="str">
            <v>QGALL12</v>
          </cell>
          <cell r="AD4793">
            <v>72000</v>
          </cell>
        </row>
        <row r="4794">
          <cell r="W4794" t="str">
            <v>QGALL12</v>
          </cell>
          <cell r="AD4794">
            <v>72000</v>
          </cell>
        </row>
        <row r="4795">
          <cell r="W4795" t="str">
            <v>QGALL12</v>
          </cell>
          <cell r="AD4795">
            <v>72000</v>
          </cell>
        </row>
        <row r="4796">
          <cell r="W4796" t="str">
            <v>QGALL12</v>
          </cell>
          <cell r="AD4796">
            <v>72000</v>
          </cell>
        </row>
        <row r="4797">
          <cell r="W4797" t="str">
            <v>QGALL15</v>
          </cell>
          <cell r="AD4797">
            <v>72000</v>
          </cell>
        </row>
        <row r="4798">
          <cell r="W4798" t="str">
            <v>QGALL15</v>
          </cell>
          <cell r="AD4798">
            <v>72000</v>
          </cell>
        </row>
        <row r="4799">
          <cell r="W4799" t="str">
            <v>QGALL15</v>
          </cell>
          <cell r="AD4799">
            <v>72000</v>
          </cell>
        </row>
        <row r="4800">
          <cell r="W4800" t="str">
            <v>QGALL15</v>
          </cell>
          <cell r="AD4800">
            <v>72000</v>
          </cell>
        </row>
        <row r="4801">
          <cell r="W4801" t="str">
            <v>QGALL15</v>
          </cell>
          <cell r="AD4801">
            <v>72000</v>
          </cell>
        </row>
        <row r="4802">
          <cell r="W4802" t="str">
            <v>QGALL15</v>
          </cell>
          <cell r="AD4802">
            <v>72000</v>
          </cell>
        </row>
        <row r="4803">
          <cell r="W4803" t="str">
            <v>QGALL11</v>
          </cell>
          <cell r="AD4803">
            <v>40000</v>
          </cell>
        </row>
        <row r="4804">
          <cell r="W4804" t="str">
            <v>QGALL11</v>
          </cell>
          <cell r="AD4804">
            <v>40000</v>
          </cell>
        </row>
        <row r="4805">
          <cell r="W4805" t="str">
            <v>QGALL14</v>
          </cell>
          <cell r="AD4805">
            <v>39000</v>
          </cell>
        </row>
        <row r="4806">
          <cell r="W4806" t="str">
            <v>QGALL14</v>
          </cell>
          <cell r="AD4806">
            <v>39000</v>
          </cell>
        </row>
        <row r="4807">
          <cell r="W4807" t="str">
            <v>QGALL14</v>
          </cell>
          <cell r="AD4807">
            <v>40000</v>
          </cell>
        </row>
        <row r="4808">
          <cell r="W4808" t="str">
            <v>QGALL14</v>
          </cell>
          <cell r="AD4808">
            <v>40000</v>
          </cell>
        </row>
        <row r="4809">
          <cell r="W4809" t="str">
            <v>QGALL14</v>
          </cell>
          <cell r="AD4809">
            <v>40000</v>
          </cell>
        </row>
        <row r="4810">
          <cell r="W4810" t="str">
            <v>QGALL14</v>
          </cell>
          <cell r="AD4810">
            <v>40000</v>
          </cell>
        </row>
        <row r="4811">
          <cell r="W4811" t="str">
            <v>QGALL14</v>
          </cell>
          <cell r="AD4811">
            <v>40000</v>
          </cell>
        </row>
        <row r="4812">
          <cell r="W4812" t="str">
            <v>QGALL14</v>
          </cell>
          <cell r="AD4812">
            <v>40000</v>
          </cell>
        </row>
        <row r="4813">
          <cell r="W4813" t="str">
            <v>QGALL14</v>
          </cell>
          <cell r="AD4813">
            <v>40000</v>
          </cell>
        </row>
        <row r="4814">
          <cell r="W4814" t="str">
            <v>QGALL14</v>
          </cell>
          <cell r="AD4814">
            <v>40000</v>
          </cell>
        </row>
        <row r="4815">
          <cell r="W4815" t="str">
            <v>QGALL14</v>
          </cell>
          <cell r="AD4815">
            <v>40000</v>
          </cell>
        </row>
        <row r="4816">
          <cell r="W4816" t="str">
            <v>QGALL14</v>
          </cell>
          <cell r="AD4816">
            <v>40000</v>
          </cell>
        </row>
        <row r="4817">
          <cell r="W4817" t="str">
            <v>QGALL14</v>
          </cell>
          <cell r="AD4817">
            <v>40000</v>
          </cell>
        </row>
        <row r="4818">
          <cell r="W4818" t="str">
            <v>QGALL14</v>
          </cell>
          <cell r="AD4818">
            <v>40000</v>
          </cell>
        </row>
        <row r="4819">
          <cell r="W4819" t="str">
            <v>QGALL14</v>
          </cell>
          <cell r="AD4819">
            <v>40000</v>
          </cell>
        </row>
        <row r="4820">
          <cell r="W4820" t="str">
            <v>QGALL14</v>
          </cell>
          <cell r="AD4820">
            <v>40000</v>
          </cell>
        </row>
        <row r="4821">
          <cell r="W4821" t="str">
            <v>QGALL14</v>
          </cell>
          <cell r="AD4821">
            <v>40000</v>
          </cell>
        </row>
        <row r="4822">
          <cell r="W4822" t="str">
            <v>QGALL14</v>
          </cell>
          <cell r="AD4822">
            <v>40000</v>
          </cell>
        </row>
        <row r="4823">
          <cell r="W4823" t="str">
            <v>QGALL14</v>
          </cell>
          <cell r="AD4823">
            <v>40000</v>
          </cell>
        </row>
        <row r="4824">
          <cell r="W4824" t="str">
            <v>QGALL14</v>
          </cell>
          <cell r="AD4824">
            <v>40000</v>
          </cell>
        </row>
        <row r="4825">
          <cell r="W4825" t="str">
            <v>QGALL14</v>
          </cell>
          <cell r="AD4825">
            <v>40000</v>
          </cell>
        </row>
        <row r="4826">
          <cell r="W4826" t="str">
            <v>QGALL14</v>
          </cell>
          <cell r="AD4826">
            <v>40000</v>
          </cell>
        </row>
        <row r="4827">
          <cell r="W4827" t="str">
            <v>QGALL14</v>
          </cell>
          <cell r="AD4827">
            <v>40000</v>
          </cell>
        </row>
        <row r="4828">
          <cell r="W4828" t="str">
            <v>QGALL14</v>
          </cell>
          <cell r="AD4828">
            <v>40000</v>
          </cell>
        </row>
        <row r="4829">
          <cell r="W4829" t="str">
            <v>QGALL14</v>
          </cell>
          <cell r="AD4829">
            <v>40000</v>
          </cell>
        </row>
        <row r="4830">
          <cell r="W4830" t="str">
            <v>QGALL14</v>
          </cell>
          <cell r="AD4830">
            <v>42000</v>
          </cell>
        </row>
        <row r="4831">
          <cell r="W4831" t="str">
            <v>QGALL03</v>
          </cell>
          <cell r="AD4831">
            <v>20000</v>
          </cell>
        </row>
        <row r="4832">
          <cell r="W4832" t="str">
            <v>QGALL03</v>
          </cell>
          <cell r="AD4832">
            <v>20000</v>
          </cell>
        </row>
        <row r="4833">
          <cell r="W4833" t="str">
            <v>QGALL03</v>
          </cell>
          <cell r="AD4833">
            <v>20000</v>
          </cell>
        </row>
        <row r="4834">
          <cell r="W4834" t="str">
            <v>QGALL03</v>
          </cell>
          <cell r="AD4834">
            <v>20000</v>
          </cell>
        </row>
        <row r="4835">
          <cell r="W4835" t="str">
            <v>QGALL03</v>
          </cell>
          <cell r="AD4835">
            <v>20000</v>
          </cell>
        </row>
        <row r="4836">
          <cell r="W4836" t="str">
            <v>QGALL03</v>
          </cell>
          <cell r="AD4836">
            <v>20000</v>
          </cell>
        </row>
        <row r="4837">
          <cell r="W4837" t="str">
            <v>QGALL03</v>
          </cell>
          <cell r="AD4837">
            <v>20000</v>
          </cell>
        </row>
        <row r="4838">
          <cell r="W4838" t="str">
            <v>QGAME01</v>
          </cell>
          <cell r="AD4838">
            <v>28600</v>
          </cell>
        </row>
        <row r="4839">
          <cell r="W4839" t="str">
            <v>AGAME01</v>
          </cell>
          <cell r="AD4839">
            <v>28600</v>
          </cell>
        </row>
        <row r="4840">
          <cell r="W4840" t="str">
            <v>QGAME01</v>
          </cell>
          <cell r="AD4840">
            <v>31000</v>
          </cell>
        </row>
        <row r="4841">
          <cell r="W4841" t="str">
            <v>QGAME01</v>
          </cell>
          <cell r="AD4841">
            <v>33000</v>
          </cell>
        </row>
        <row r="4842">
          <cell r="W4842" t="str">
            <v>QGAME01</v>
          </cell>
          <cell r="AD4842">
            <v>33000</v>
          </cell>
        </row>
        <row r="4843">
          <cell r="W4843" t="str">
            <v>QGAME01</v>
          </cell>
          <cell r="AD4843">
            <v>33000</v>
          </cell>
        </row>
        <row r="4844">
          <cell r="W4844" t="str">
            <v>QGAME01</v>
          </cell>
          <cell r="AD4844">
            <v>33000</v>
          </cell>
        </row>
        <row r="4845">
          <cell r="W4845" t="str">
            <v>QGAME01</v>
          </cell>
          <cell r="AD4845">
            <v>33000</v>
          </cell>
        </row>
        <row r="4846">
          <cell r="W4846" t="str">
            <v>QGAME01</v>
          </cell>
          <cell r="AD4846">
            <v>34000</v>
          </cell>
        </row>
        <row r="4847">
          <cell r="W4847" t="str">
            <v>QGAME01</v>
          </cell>
          <cell r="AD4847">
            <v>35000</v>
          </cell>
        </row>
        <row r="4848">
          <cell r="W4848" t="str">
            <v>QGAME01</v>
          </cell>
          <cell r="AD4848">
            <v>35000</v>
          </cell>
        </row>
        <row r="4849">
          <cell r="W4849" t="str">
            <v>QGAME01</v>
          </cell>
          <cell r="AD4849">
            <v>35000</v>
          </cell>
        </row>
        <row r="4850">
          <cell r="W4850" t="str">
            <v>QGAME01</v>
          </cell>
          <cell r="AD4850">
            <v>35000</v>
          </cell>
        </row>
        <row r="4851">
          <cell r="W4851" t="str">
            <v>QGAME01</v>
          </cell>
          <cell r="AD4851">
            <v>35000</v>
          </cell>
        </row>
        <row r="4852">
          <cell r="W4852" t="str">
            <v>QGAME01</v>
          </cell>
          <cell r="AD4852">
            <v>35000</v>
          </cell>
        </row>
        <row r="4853">
          <cell r="W4853" t="str">
            <v>QGAME01</v>
          </cell>
          <cell r="AD4853">
            <v>35000</v>
          </cell>
        </row>
        <row r="4854">
          <cell r="W4854" t="str">
            <v>QGAME01</v>
          </cell>
          <cell r="AD4854">
            <v>35000</v>
          </cell>
        </row>
        <row r="4855">
          <cell r="W4855" t="str">
            <v>QGAME01</v>
          </cell>
          <cell r="AD4855">
            <v>35000</v>
          </cell>
        </row>
        <row r="4856">
          <cell r="W4856" t="str">
            <v>QGAME01</v>
          </cell>
          <cell r="AD4856">
            <v>35000</v>
          </cell>
        </row>
        <row r="4857">
          <cell r="W4857" t="str">
            <v>QGAME01</v>
          </cell>
          <cell r="AD4857">
            <v>35000</v>
          </cell>
        </row>
        <row r="4858">
          <cell r="W4858" t="str">
            <v>QGAME01</v>
          </cell>
          <cell r="AD4858">
            <v>35000</v>
          </cell>
        </row>
        <row r="4859">
          <cell r="W4859" t="str">
            <v>QGAME01</v>
          </cell>
          <cell r="AD4859">
            <v>35000</v>
          </cell>
        </row>
        <row r="4860">
          <cell r="W4860" t="str">
            <v>QGAME01</v>
          </cell>
          <cell r="AD4860">
            <v>35000</v>
          </cell>
        </row>
        <row r="4861">
          <cell r="W4861" t="str">
            <v>QGAME01</v>
          </cell>
          <cell r="AD4861">
            <v>35000</v>
          </cell>
        </row>
        <row r="4862">
          <cell r="W4862" t="str">
            <v>QGAME01</v>
          </cell>
          <cell r="AD4862">
            <v>35000</v>
          </cell>
        </row>
        <row r="4863">
          <cell r="W4863" t="str">
            <v>QGAME01</v>
          </cell>
          <cell r="AD4863">
            <v>35000</v>
          </cell>
        </row>
        <row r="4864">
          <cell r="W4864" t="str">
            <v>QGAME01</v>
          </cell>
          <cell r="AD4864">
            <v>35000</v>
          </cell>
        </row>
        <row r="4865">
          <cell r="W4865" t="str">
            <v>QGAME01</v>
          </cell>
          <cell r="AD4865">
            <v>35000</v>
          </cell>
        </row>
        <row r="4866">
          <cell r="W4866" t="str">
            <v>QGAME01</v>
          </cell>
          <cell r="AD4866">
            <v>35000</v>
          </cell>
        </row>
        <row r="4867">
          <cell r="W4867" t="str">
            <v>QGAME01</v>
          </cell>
          <cell r="AD4867">
            <v>35000</v>
          </cell>
        </row>
        <row r="4868">
          <cell r="W4868" t="str">
            <v>QGAME01</v>
          </cell>
          <cell r="AD4868">
            <v>35000</v>
          </cell>
        </row>
        <row r="4869">
          <cell r="W4869" t="str">
            <v>QGAME01</v>
          </cell>
          <cell r="AD4869">
            <v>35000</v>
          </cell>
        </row>
        <row r="4870">
          <cell r="W4870" t="str">
            <v>QGAME01</v>
          </cell>
          <cell r="AD4870">
            <v>35000</v>
          </cell>
        </row>
        <row r="4871">
          <cell r="W4871" t="str">
            <v>QGAME01</v>
          </cell>
          <cell r="AD4871">
            <v>35000</v>
          </cell>
        </row>
        <row r="4872">
          <cell r="W4872" t="str">
            <v>QGAME01</v>
          </cell>
          <cell r="AD4872">
            <v>35000</v>
          </cell>
        </row>
        <row r="4873">
          <cell r="W4873" t="str">
            <v>QGAME01</v>
          </cell>
          <cell r="AD4873">
            <v>35000</v>
          </cell>
        </row>
        <row r="4874">
          <cell r="W4874" t="str">
            <v>QGAME01</v>
          </cell>
          <cell r="AD4874">
            <v>35000</v>
          </cell>
        </row>
        <row r="4875">
          <cell r="W4875" t="str">
            <v>QGAME01</v>
          </cell>
          <cell r="AD4875">
            <v>35000</v>
          </cell>
        </row>
        <row r="4876">
          <cell r="W4876" t="str">
            <v>QGAME01</v>
          </cell>
          <cell r="AD4876">
            <v>35000</v>
          </cell>
        </row>
        <row r="4877">
          <cell r="W4877" t="str">
            <v>QGAME01</v>
          </cell>
          <cell r="AD4877">
            <v>35000</v>
          </cell>
        </row>
        <row r="4878">
          <cell r="W4878" t="str">
            <v>QGAME01</v>
          </cell>
          <cell r="AD4878">
            <v>35000</v>
          </cell>
        </row>
        <row r="4879">
          <cell r="W4879" t="str">
            <v>QGAME01</v>
          </cell>
          <cell r="AD4879">
            <v>35000</v>
          </cell>
        </row>
        <row r="4880">
          <cell r="W4880" t="str">
            <v>QGAME01</v>
          </cell>
          <cell r="AD4880">
            <v>35000</v>
          </cell>
        </row>
        <row r="4881">
          <cell r="W4881" t="str">
            <v>QGAME01</v>
          </cell>
          <cell r="AD4881">
            <v>35000</v>
          </cell>
        </row>
        <row r="4882">
          <cell r="W4882" t="str">
            <v>QGAME01</v>
          </cell>
          <cell r="AD4882">
            <v>35000</v>
          </cell>
        </row>
        <row r="4883">
          <cell r="W4883" t="str">
            <v>QGAME01</v>
          </cell>
          <cell r="AD4883">
            <v>35000</v>
          </cell>
        </row>
        <row r="4884">
          <cell r="W4884" t="str">
            <v>QGAME01</v>
          </cell>
          <cell r="AD4884">
            <v>35000</v>
          </cell>
        </row>
        <row r="4885">
          <cell r="W4885" t="str">
            <v>QGAME01</v>
          </cell>
          <cell r="AD4885">
            <v>35000</v>
          </cell>
        </row>
        <row r="4886">
          <cell r="W4886" t="str">
            <v>QGAME01</v>
          </cell>
          <cell r="AD4886">
            <v>35000</v>
          </cell>
        </row>
        <row r="4887">
          <cell r="W4887" t="str">
            <v>QGAME01</v>
          </cell>
          <cell r="AD4887">
            <v>35000</v>
          </cell>
        </row>
        <row r="4888">
          <cell r="W4888" t="str">
            <v>QGAME01</v>
          </cell>
          <cell r="AD4888">
            <v>35000</v>
          </cell>
        </row>
        <row r="4889">
          <cell r="W4889" t="str">
            <v>QGAME01</v>
          </cell>
          <cell r="AD4889">
            <v>35000</v>
          </cell>
        </row>
        <row r="4890">
          <cell r="W4890" t="str">
            <v>QGAME01</v>
          </cell>
          <cell r="AD4890">
            <v>35000</v>
          </cell>
        </row>
        <row r="4891">
          <cell r="W4891" t="str">
            <v>QGAME01</v>
          </cell>
          <cell r="AD4891">
            <v>35000</v>
          </cell>
        </row>
        <row r="4892">
          <cell r="W4892" t="str">
            <v>QGAME03</v>
          </cell>
          <cell r="AD4892">
            <v>152000</v>
          </cell>
        </row>
        <row r="4893">
          <cell r="W4893" t="str">
            <v>QGAME03</v>
          </cell>
          <cell r="AD4893">
            <v>165000</v>
          </cell>
        </row>
        <row r="4894">
          <cell r="W4894" t="str">
            <v>QGAME03</v>
          </cell>
          <cell r="AD4894">
            <v>165000</v>
          </cell>
        </row>
        <row r="4895">
          <cell r="W4895" t="str">
            <v>QGAME03</v>
          </cell>
          <cell r="AD4895">
            <v>165000</v>
          </cell>
        </row>
        <row r="4896">
          <cell r="W4896" t="str">
            <v>QGAME03</v>
          </cell>
          <cell r="AD4896">
            <v>165000</v>
          </cell>
        </row>
        <row r="4897">
          <cell r="W4897" t="str">
            <v>QGAME03</v>
          </cell>
          <cell r="AD4897">
            <v>165000</v>
          </cell>
        </row>
        <row r="4898">
          <cell r="W4898" t="str">
            <v>QGAME03</v>
          </cell>
          <cell r="AD4898">
            <v>165000</v>
          </cell>
        </row>
        <row r="4899">
          <cell r="W4899" t="str">
            <v>QGAME03</v>
          </cell>
          <cell r="AD4899">
            <v>165000</v>
          </cell>
        </row>
        <row r="4900">
          <cell r="W4900" t="str">
            <v>QGAME03</v>
          </cell>
          <cell r="AD4900">
            <v>165000</v>
          </cell>
        </row>
        <row r="4901">
          <cell r="W4901" t="str">
            <v>QGAME02</v>
          </cell>
          <cell r="AD4901">
            <v>73250</v>
          </cell>
        </row>
        <row r="4902">
          <cell r="W4902" t="str">
            <v>QGAME02</v>
          </cell>
          <cell r="AD4902">
            <v>78500</v>
          </cell>
        </row>
        <row r="4903">
          <cell r="W4903" t="str">
            <v>QGAME02</v>
          </cell>
          <cell r="AD4903">
            <v>78500</v>
          </cell>
        </row>
        <row r="4904">
          <cell r="W4904" t="str">
            <v>QGAME02</v>
          </cell>
          <cell r="AD4904">
            <v>85000</v>
          </cell>
        </row>
        <row r="4905">
          <cell r="W4905" t="str">
            <v>QGAME02</v>
          </cell>
          <cell r="AD4905">
            <v>85000</v>
          </cell>
        </row>
        <row r="4906">
          <cell r="W4906" t="str">
            <v>QGAME02</v>
          </cell>
          <cell r="AD4906">
            <v>85000</v>
          </cell>
        </row>
        <row r="4907">
          <cell r="W4907" t="str">
            <v>QGAME02</v>
          </cell>
          <cell r="AD4907">
            <v>85000</v>
          </cell>
        </row>
        <row r="4908">
          <cell r="W4908" t="str">
            <v>QGAME02</v>
          </cell>
          <cell r="AD4908">
            <v>85000</v>
          </cell>
        </row>
        <row r="4909">
          <cell r="W4909" t="str">
            <v>QGAME02</v>
          </cell>
          <cell r="AD4909">
            <v>85000</v>
          </cell>
        </row>
        <row r="4910">
          <cell r="W4910" t="str">
            <v>QGAME02</v>
          </cell>
          <cell r="AD4910">
            <v>85000</v>
          </cell>
        </row>
        <row r="4911">
          <cell r="W4911" t="str">
            <v>QGAME02</v>
          </cell>
          <cell r="AD4911">
            <v>85000</v>
          </cell>
        </row>
        <row r="4912">
          <cell r="W4912" t="str">
            <v>QGAME02</v>
          </cell>
          <cell r="AD4912">
            <v>85000</v>
          </cell>
        </row>
        <row r="4913">
          <cell r="W4913" t="str">
            <v>QGAME02</v>
          </cell>
          <cell r="AD4913">
            <v>85000</v>
          </cell>
        </row>
        <row r="4914">
          <cell r="W4914" t="str">
            <v>QGAME02</v>
          </cell>
          <cell r="AD4914">
            <v>85000</v>
          </cell>
        </row>
        <row r="4915">
          <cell r="W4915" t="str">
            <v>QGAME02</v>
          </cell>
          <cell r="AD4915">
            <v>85000</v>
          </cell>
        </row>
        <row r="4916">
          <cell r="W4916" t="str">
            <v>QGAME02</v>
          </cell>
          <cell r="AD4916">
            <v>85000</v>
          </cell>
        </row>
        <row r="4917">
          <cell r="W4917" t="str">
            <v>QGAME02</v>
          </cell>
          <cell r="AD4917">
            <v>85000</v>
          </cell>
        </row>
        <row r="4918">
          <cell r="W4918" t="str">
            <v>QGAME02</v>
          </cell>
          <cell r="AD4918">
            <v>85000</v>
          </cell>
        </row>
        <row r="4919">
          <cell r="W4919" t="str">
            <v>QGAME02</v>
          </cell>
          <cell r="AD4919">
            <v>85000</v>
          </cell>
        </row>
        <row r="4920">
          <cell r="W4920" t="str">
            <v>QGAME02</v>
          </cell>
          <cell r="AD4920">
            <v>85000</v>
          </cell>
        </row>
        <row r="4921">
          <cell r="W4921" t="str">
            <v>QGAME02</v>
          </cell>
          <cell r="AD4921">
            <v>85000</v>
          </cell>
        </row>
        <row r="4922">
          <cell r="W4922" t="str">
            <v>QGAME02</v>
          </cell>
          <cell r="AD4922">
            <v>85000</v>
          </cell>
        </row>
        <row r="4923">
          <cell r="W4923" t="str">
            <v>QGAME02</v>
          </cell>
          <cell r="AD4923">
            <v>85000</v>
          </cell>
        </row>
        <row r="4924">
          <cell r="W4924" t="str">
            <v>QGAME02</v>
          </cell>
          <cell r="AD4924">
            <v>85000</v>
          </cell>
        </row>
        <row r="4925">
          <cell r="W4925" t="str">
            <v>QGAME02</v>
          </cell>
          <cell r="AD4925">
            <v>85000</v>
          </cell>
        </row>
        <row r="4926">
          <cell r="W4926" t="str">
            <v>QGAME02</v>
          </cell>
          <cell r="AD4926">
            <v>85000</v>
          </cell>
        </row>
        <row r="4927">
          <cell r="W4927" t="str">
            <v>QGAME02</v>
          </cell>
          <cell r="AD4927">
            <v>85000</v>
          </cell>
        </row>
        <row r="4928">
          <cell r="W4928" t="str">
            <v>QGAME02</v>
          </cell>
          <cell r="AD4928">
            <v>85000</v>
          </cell>
        </row>
        <row r="4929">
          <cell r="W4929" t="str">
            <v>AGAND07</v>
          </cell>
          <cell r="AD4929">
            <v>2.5000000000000001E-2</v>
          </cell>
        </row>
        <row r="4930">
          <cell r="W4930" t="str">
            <v>QGAND06</v>
          </cell>
          <cell r="AD4930">
            <v>16000</v>
          </cell>
        </row>
        <row r="4931">
          <cell r="W4931" t="str">
            <v>QGAND01</v>
          </cell>
          <cell r="AD4931">
            <v>6792</v>
          </cell>
        </row>
        <row r="4932">
          <cell r="W4932" t="str">
            <v>QGAND01</v>
          </cell>
          <cell r="AD4932">
            <v>6792</v>
          </cell>
        </row>
        <row r="4933">
          <cell r="W4933" t="str">
            <v>QGAND01</v>
          </cell>
          <cell r="AD4933">
            <v>6792</v>
          </cell>
        </row>
        <row r="4934">
          <cell r="W4934" t="str">
            <v>QGAND01</v>
          </cell>
          <cell r="AD4934">
            <v>6792</v>
          </cell>
        </row>
        <row r="4935">
          <cell r="W4935" t="str">
            <v>QGAND01</v>
          </cell>
          <cell r="AD4935">
            <v>6792</v>
          </cell>
        </row>
        <row r="4936">
          <cell r="W4936" t="str">
            <v>QGAND01</v>
          </cell>
          <cell r="AD4936">
            <v>6792</v>
          </cell>
        </row>
        <row r="4937">
          <cell r="W4937" t="str">
            <v>QGAND01</v>
          </cell>
          <cell r="AD4937">
            <v>6800</v>
          </cell>
        </row>
        <row r="4938">
          <cell r="W4938" t="str">
            <v>QGAND01</v>
          </cell>
          <cell r="AD4938">
            <v>6800</v>
          </cell>
        </row>
        <row r="4939">
          <cell r="W4939" t="str">
            <v>QGAND01</v>
          </cell>
          <cell r="AD4939">
            <v>6825</v>
          </cell>
        </row>
        <row r="4940">
          <cell r="W4940" t="str">
            <v>QGAND01</v>
          </cell>
          <cell r="AD4940">
            <v>6865</v>
          </cell>
        </row>
        <row r="4941">
          <cell r="W4941" t="str">
            <v>QGAND01</v>
          </cell>
          <cell r="AD4941">
            <v>6865</v>
          </cell>
        </row>
        <row r="4942">
          <cell r="W4942" t="str">
            <v>QGAND01</v>
          </cell>
          <cell r="AD4942">
            <v>6865</v>
          </cell>
        </row>
        <row r="4943">
          <cell r="W4943" t="str">
            <v>QGAND01</v>
          </cell>
          <cell r="AD4943">
            <v>6865</v>
          </cell>
        </row>
        <row r="4944">
          <cell r="W4944" t="str">
            <v>QGAND01</v>
          </cell>
          <cell r="AD4944">
            <v>6865</v>
          </cell>
        </row>
        <row r="4945">
          <cell r="W4945" t="str">
            <v>QGAND01</v>
          </cell>
          <cell r="AD4945">
            <v>6865</v>
          </cell>
        </row>
        <row r="4946">
          <cell r="W4946" t="str">
            <v>QGAND01</v>
          </cell>
          <cell r="AD4946">
            <v>6865</v>
          </cell>
        </row>
        <row r="4947">
          <cell r="W4947" t="str">
            <v>QGAND01</v>
          </cell>
          <cell r="AD4947">
            <v>6865</v>
          </cell>
        </row>
        <row r="4948">
          <cell r="W4948" t="str">
            <v>QGAND01</v>
          </cell>
          <cell r="AD4948">
            <v>6865</v>
          </cell>
        </row>
        <row r="4949">
          <cell r="W4949" t="str">
            <v>QGAND01</v>
          </cell>
          <cell r="AD4949">
            <v>6865</v>
          </cell>
        </row>
        <row r="4950">
          <cell r="W4950" t="str">
            <v>QGAND01</v>
          </cell>
          <cell r="AD4950">
            <v>6865</v>
          </cell>
        </row>
        <row r="4951">
          <cell r="W4951" t="str">
            <v>QGAND01</v>
          </cell>
          <cell r="AD4951">
            <v>6865</v>
          </cell>
        </row>
        <row r="4952">
          <cell r="W4952" t="str">
            <v>QGAND01</v>
          </cell>
          <cell r="AD4952">
            <v>6865</v>
          </cell>
        </row>
        <row r="4953">
          <cell r="W4953" t="str">
            <v>QGAND01</v>
          </cell>
          <cell r="AD4953">
            <v>6865</v>
          </cell>
        </row>
        <row r="4954">
          <cell r="W4954" t="str">
            <v>QGAND01</v>
          </cell>
          <cell r="AD4954">
            <v>6865</v>
          </cell>
        </row>
        <row r="4955">
          <cell r="W4955" t="str">
            <v>QGAND01</v>
          </cell>
          <cell r="AD4955">
            <v>6900</v>
          </cell>
        </row>
        <row r="4956">
          <cell r="W4956" t="str">
            <v>QGAND01</v>
          </cell>
          <cell r="AD4956">
            <v>6900</v>
          </cell>
        </row>
        <row r="4957">
          <cell r="W4957" t="str">
            <v>QGAND01</v>
          </cell>
          <cell r="AD4957">
            <v>6900</v>
          </cell>
        </row>
        <row r="4958">
          <cell r="W4958" t="str">
            <v>QGAND01</v>
          </cell>
          <cell r="AD4958">
            <v>6900</v>
          </cell>
        </row>
        <row r="4959">
          <cell r="W4959" t="str">
            <v>QGAND01</v>
          </cell>
          <cell r="AD4959">
            <v>6900</v>
          </cell>
        </row>
        <row r="4960">
          <cell r="W4960" t="str">
            <v>QGAND01</v>
          </cell>
          <cell r="AD4960">
            <v>6900</v>
          </cell>
        </row>
        <row r="4961">
          <cell r="W4961" t="str">
            <v>QGAND01</v>
          </cell>
          <cell r="AD4961">
            <v>6900</v>
          </cell>
        </row>
        <row r="4962">
          <cell r="W4962" t="str">
            <v>QGAND01</v>
          </cell>
          <cell r="AD4962">
            <v>6900</v>
          </cell>
        </row>
        <row r="4963">
          <cell r="W4963" t="str">
            <v>QGAND01</v>
          </cell>
          <cell r="AD4963">
            <v>6900</v>
          </cell>
        </row>
        <row r="4964">
          <cell r="W4964" t="str">
            <v>QGAND01</v>
          </cell>
          <cell r="AD4964">
            <v>6900</v>
          </cell>
        </row>
        <row r="4965">
          <cell r="W4965" t="str">
            <v>QGAND01</v>
          </cell>
          <cell r="AD4965">
            <v>6900</v>
          </cell>
        </row>
        <row r="4966">
          <cell r="W4966" t="str">
            <v>QGAND01</v>
          </cell>
          <cell r="AD4966">
            <v>6900</v>
          </cell>
        </row>
        <row r="4967">
          <cell r="W4967" t="str">
            <v>QGAND01</v>
          </cell>
          <cell r="AD4967">
            <v>6900</v>
          </cell>
        </row>
        <row r="4968">
          <cell r="W4968" t="str">
            <v>QGAND01</v>
          </cell>
          <cell r="AD4968">
            <v>6900</v>
          </cell>
        </row>
        <row r="4969">
          <cell r="W4969" t="str">
            <v>QGAND01</v>
          </cell>
          <cell r="AD4969">
            <v>6900</v>
          </cell>
        </row>
        <row r="4970">
          <cell r="W4970" t="str">
            <v>QGAND01</v>
          </cell>
          <cell r="AD4970">
            <v>6950</v>
          </cell>
        </row>
        <row r="4971">
          <cell r="W4971" t="str">
            <v>QGAND01</v>
          </cell>
          <cell r="AD4971">
            <v>6950</v>
          </cell>
        </row>
        <row r="4972">
          <cell r="W4972" t="str">
            <v>QGAND01</v>
          </cell>
          <cell r="AD4972">
            <v>6950</v>
          </cell>
        </row>
        <row r="4973">
          <cell r="W4973" t="str">
            <v>QGAND01</v>
          </cell>
          <cell r="AD4973">
            <v>6950</v>
          </cell>
        </row>
        <row r="4974">
          <cell r="W4974" t="str">
            <v>QGAND01</v>
          </cell>
          <cell r="AD4974">
            <v>6950</v>
          </cell>
        </row>
        <row r="4975">
          <cell r="W4975" t="str">
            <v>QGAND01</v>
          </cell>
          <cell r="AD4975">
            <v>6950</v>
          </cell>
        </row>
        <row r="4976">
          <cell r="W4976" t="str">
            <v>QGAND01</v>
          </cell>
          <cell r="AD4976">
            <v>6950</v>
          </cell>
        </row>
        <row r="4977">
          <cell r="W4977" t="str">
            <v>QGAND01</v>
          </cell>
          <cell r="AD4977">
            <v>6950</v>
          </cell>
        </row>
        <row r="4978">
          <cell r="W4978" t="str">
            <v>QGAND01</v>
          </cell>
          <cell r="AD4978">
            <v>6950</v>
          </cell>
        </row>
        <row r="4979">
          <cell r="W4979" t="str">
            <v>QGAND01</v>
          </cell>
          <cell r="AD4979">
            <v>6950</v>
          </cell>
        </row>
        <row r="4980">
          <cell r="W4980" t="str">
            <v>QGAND01</v>
          </cell>
          <cell r="AD4980">
            <v>6950</v>
          </cell>
        </row>
        <row r="4981">
          <cell r="W4981" t="str">
            <v>QGAND01</v>
          </cell>
          <cell r="AD4981">
            <v>6950</v>
          </cell>
        </row>
        <row r="4982">
          <cell r="W4982" t="str">
            <v>QGAND01</v>
          </cell>
          <cell r="AD4982">
            <v>6950</v>
          </cell>
        </row>
        <row r="4983">
          <cell r="W4983" t="str">
            <v>QGAND01</v>
          </cell>
          <cell r="AD4983">
            <v>6950</v>
          </cell>
        </row>
        <row r="4984">
          <cell r="W4984" t="str">
            <v>QGAND01</v>
          </cell>
          <cell r="AD4984">
            <v>6950</v>
          </cell>
        </row>
        <row r="4985">
          <cell r="W4985" t="str">
            <v>QGAND01</v>
          </cell>
          <cell r="AD4985">
            <v>6950</v>
          </cell>
        </row>
        <row r="4986">
          <cell r="W4986" t="str">
            <v>QGAND01</v>
          </cell>
          <cell r="AD4986">
            <v>6950</v>
          </cell>
        </row>
        <row r="4987">
          <cell r="W4987" t="str">
            <v>QGAND01</v>
          </cell>
          <cell r="AD4987">
            <v>6950</v>
          </cell>
        </row>
        <row r="4988">
          <cell r="W4988" t="str">
            <v>QGAND01</v>
          </cell>
          <cell r="AD4988">
            <v>6950</v>
          </cell>
        </row>
        <row r="4989">
          <cell r="W4989" t="str">
            <v>QGAND01</v>
          </cell>
          <cell r="AD4989">
            <v>6950</v>
          </cell>
        </row>
        <row r="4990">
          <cell r="W4990" t="str">
            <v>QGAND01</v>
          </cell>
          <cell r="AD4990">
            <v>6950</v>
          </cell>
        </row>
        <row r="4991">
          <cell r="W4991" t="str">
            <v>QGAND01</v>
          </cell>
          <cell r="AD4991">
            <v>6950</v>
          </cell>
        </row>
        <row r="4992">
          <cell r="W4992" t="str">
            <v>QGAND01</v>
          </cell>
          <cell r="AD4992">
            <v>6950</v>
          </cell>
        </row>
        <row r="4993">
          <cell r="W4993" t="str">
            <v>QGAND01</v>
          </cell>
          <cell r="AD4993">
            <v>6950</v>
          </cell>
        </row>
        <row r="4994">
          <cell r="W4994" t="str">
            <v>QGAND01</v>
          </cell>
          <cell r="AD4994">
            <v>6950</v>
          </cell>
        </row>
        <row r="4995">
          <cell r="W4995" t="str">
            <v>QGAND01</v>
          </cell>
          <cell r="AD4995">
            <v>6950</v>
          </cell>
        </row>
        <row r="4996">
          <cell r="W4996" t="str">
            <v>QGAND01</v>
          </cell>
          <cell r="AD4996">
            <v>6950</v>
          </cell>
        </row>
        <row r="4997">
          <cell r="W4997" t="str">
            <v>QGAND01</v>
          </cell>
          <cell r="AD4997">
            <v>6950</v>
          </cell>
        </row>
        <row r="4998">
          <cell r="W4998" t="str">
            <v>QGAND01</v>
          </cell>
          <cell r="AD4998">
            <v>6950</v>
          </cell>
        </row>
        <row r="4999">
          <cell r="W4999" t="str">
            <v>QGAND01</v>
          </cell>
          <cell r="AD4999">
            <v>6950</v>
          </cell>
        </row>
        <row r="5000">
          <cell r="W5000" t="str">
            <v>QGAND01</v>
          </cell>
          <cell r="AD5000">
            <v>6950</v>
          </cell>
        </row>
        <row r="5001">
          <cell r="W5001" t="str">
            <v>QGAND01</v>
          </cell>
          <cell r="AD5001">
            <v>6950</v>
          </cell>
        </row>
        <row r="5002">
          <cell r="W5002" t="str">
            <v>QGAND01</v>
          </cell>
          <cell r="AD5002">
            <v>6950</v>
          </cell>
        </row>
        <row r="5003">
          <cell r="W5003" t="str">
            <v>QGAND01</v>
          </cell>
          <cell r="AD5003">
            <v>6950</v>
          </cell>
        </row>
        <row r="5004">
          <cell r="W5004" t="str">
            <v>QGAND01</v>
          </cell>
          <cell r="AD5004">
            <v>6950</v>
          </cell>
        </row>
        <row r="5005">
          <cell r="W5005" t="str">
            <v>QGAND01</v>
          </cell>
          <cell r="AD5005">
            <v>6950</v>
          </cell>
        </row>
        <row r="5006">
          <cell r="W5006" t="str">
            <v>QGAND01</v>
          </cell>
          <cell r="AD5006">
            <v>6950</v>
          </cell>
        </row>
        <row r="5007">
          <cell r="W5007" t="str">
            <v>QGAND01</v>
          </cell>
          <cell r="AD5007">
            <v>7000</v>
          </cell>
        </row>
        <row r="5008">
          <cell r="W5008" t="str">
            <v>QGAND01</v>
          </cell>
          <cell r="AD5008">
            <v>7000</v>
          </cell>
        </row>
        <row r="5009">
          <cell r="W5009" t="str">
            <v>QGAND01</v>
          </cell>
          <cell r="AD5009">
            <v>7000</v>
          </cell>
        </row>
        <row r="5010">
          <cell r="W5010" t="str">
            <v>QGAND01</v>
          </cell>
          <cell r="AD5010">
            <v>7100</v>
          </cell>
        </row>
        <row r="5011">
          <cell r="W5011" t="str">
            <v>QGAND01</v>
          </cell>
          <cell r="AD5011">
            <v>7150</v>
          </cell>
        </row>
        <row r="5012">
          <cell r="W5012" t="str">
            <v>QGAND01</v>
          </cell>
          <cell r="AD5012">
            <v>7150</v>
          </cell>
        </row>
        <row r="5013">
          <cell r="W5013" t="str">
            <v>QGAND01</v>
          </cell>
          <cell r="AD5013">
            <v>7150</v>
          </cell>
        </row>
        <row r="5014">
          <cell r="W5014" t="str">
            <v>QGAND01</v>
          </cell>
          <cell r="AD5014">
            <v>7250</v>
          </cell>
        </row>
        <row r="5015">
          <cell r="W5015" t="str">
            <v>QGAND01</v>
          </cell>
          <cell r="AD5015">
            <v>7250</v>
          </cell>
        </row>
        <row r="5016">
          <cell r="W5016" t="str">
            <v>QGAND01</v>
          </cell>
          <cell r="AD5016">
            <v>7250</v>
          </cell>
        </row>
        <row r="5017">
          <cell r="W5017" t="str">
            <v>QGAND01</v>
          </cell>
          <cell r="AD5017">
            <v>7250</v>
          </cell>
        </row>
        <row r="5018">
          <cell r="W5018" t="str">
            <v>QGAND01</v>
          </cell>
          <cell r="AD5018">
            <v>7250</v>
          </cell>
        </row>
        <row r="5019">
          <cell r="W5019" t="str">
            <v>QGAND01</v>
          </cell>
          <cell r="AD5019">
            <v>7250</v>
          </cell>
        </row>
        <row r="5020">
          <cell r="W5020" t="str">
            <v>QGAND01</v>
          </cell>
          <cell r="AD5020">
            <v>7250</v>
          </cell>
        </row>
        <row r="5021">
          <cell r="W5021" t="str">
            <v>QGAND01</v>
          </cell>
          <cell r="AD5021">
            <v>7250</v>
          </cell>
        </row>
        <row r="5022">
          <cell r="W5022" t="str">
            <v>QGAND01</v>
          </cell>
          <cell r="AD5022">
            <v>7250</v>
          </cell>
        </row>
        <row r="5023">
          <cell r="W5023" t="str">
            <v>QGAND01</v>
          </cell>
          <cell r="AD5023">
            <v>7250</v>
          </cell>
        </row>
        <row r="5024">
          <cell r="W5024" t="str">
            <v>QGAND01</v>
          </cell>
          <cell r="AD5024">
            <v>7250</v>
          </cell>
        </row>
        <row r="5025">
          <cell r="W5025" t="str">
            <v>QGAND01</v>
          </cell>
          <cell r="AD5025">
            <v>7250</v>
          </cell>
        </row>
        <row r="5026">
          <cell r="W5026" t="str">
            <v>QGAND01</v>
          </cell>
          <cell r="AD5026">
            <v>7250</v>
          </cell>
        </row>
        <row r="5027">
          <cell r="W5027" t="str">
            <v>QGAND01</v>
          </cell>
          <cell r="AD5027">
            <v>7250</v>
          </cell>
        </row>
        <row r="5028">
          <cell r="W5028" t="str">
            <v>QGAND02</v>
          </cell>
          <cell r="AD5028">
            <v>31884</v>
          </cell>
        </row>
        <row r="5029">
          <cell r="W5029" t="str">
            <v>QGAND02</v>
          </cell>
          <cell r="AD5029">
            <v>31884</v>
          </cell>
        </row>
        <row r="5030">
          <cell r="W5030" t="str">
            <v>QGAND02</v>
          </cell>
          <cell r="AD5030">
            <v>31884</v>
          </cell>
        </row>
        <row r="5031">
          <cell r="W5031" t="str">
            <v>QGAND02</v>
          </cell>
          <cell r="AD5031">
            <v>31884</v>
          </cell>
        </row>
        <row r="5032">
          <cell r="W5032" t="str">
            <v>QGAND02</v>
          </cell>
          <cell r="AD5032">
            <v>31884</v>
          </cell>
        </row>
        <row r="5033">
          <cell r="W5033" t="str">
            <v>QGAND02</v>
          </cell>
          <cell r="AD5033">
            <v>31884</v>
          </cell>
        </row>
        <row r="5034">
          <cell r="W5034" t="str">
            <v>QGAND02</v>
          </cell>
          <cell r="AD5034">
            <v>31884</v>
          </cell>
        </row>
        <row r="5035">
          <cell r="W5035" t="str">
            <v>QGAND02</v>
          </cell>
          <cell r="AD5035">
            <v>31884</v>
          </cell>
        </row>
        <row r="5036">
          <cell r="W5036" t="str">
            <v>QGAND02</v>
          </cell>
          <cell r="AD5036">
            <v>31884</v>
          </cell>
        </row>
        <row r="5037">
          <cell r="W5037" t="str">
            <v>QGAND02</v>
          </cell>
          <cell r="AD5037">
            <v>32000</v>
          </cell>
        </row>
        <row r="5038">
          <cell r="W5038" t="str">
            <v>QGAND02</v>
          </cell>
          <cell r="AD5038">
            <v>32000</v>
          </cell>
        </row>
        <row r="5039">
          <cell r="W5039" t="str">
            <v>QGAND02</v>
          </cell>
          <cell r="AD5039">
            <v>32000</v>
          </cell>
        </row>
        <row r="5040">
          <cell r="W5040" t="str">
            <v>QGAND02</v>
          </cell>
          <cell r="AD5040">
            <v>32000</v>
          </cell>
        </row>
        <row r="5041">
          <cell r="W5041" t="str">
            <v>QGAND02</v>
          </cell>
          <cell r="AD5041">
            <v>32000</v>
          </cell>
        </row>
        <row r="5042">
          <cell r="W5042" t="str">
            <v>QGAND02</v>
          </cell>
          <cell r="AD5042">
            <v>32230</v>
          </cell>
        </row>
        <row r="5043">
          <cell r="W5043" t="str">
            <v>QGAND02</v>
          </cell>
          <cell r="AD5043">
            <v>32230</v>
          </cell>
        </row>
        <row r="5044">
          <cell r="W5044" t="str">
            <v>QGAND02</v>
          </cell>
          <cell r="AD5044">
            <v>32230</v>
          </cell>
        </row>
        <row r="5045">
          <cell r="W5045" t="str">
            <v>QGAND02</v>
          </cell>
          <cell r="AD5045">
            <v>32230</v>
          </cell>
        </row>
        <row r="5046">
          <cell r="W5046" t="str">
            <v>QGAND02</v>
          </cell>
          <cell r="AD5046">
            <v>32230</v>
          </cell>
        </row>
        <row r="5047">
          <cell r="W5047" t="str">
            <v>QGAND02</v>
          </cell>
          <cell r="AD5047">
            <v>32230</v>
          </cell>
        </row>
        <row r="5048">
          <cell r="W5048" t="str">
            <v>QGAND02</v>
          </cell>
          <cell r="AD5048">
            <v>32230</v>
          </cell>
        </row>
        <row r="5049">
          <cell r="W5049" t="str">
            <v>QGAND02</v>
          </cell>
          <cell r="AD5049">
            <v>32230</v>
          </cell>
        </row>
        <row r="5050">
          <cell r="W5050" t="str">
            <v>QGAND02</v>
          </cell>
          <cell r="AD5050">
            <v>32230</v>
          </cell>
        </row>
        <row r="5051">
          <cell r="W5051" t="str">
            <v>QGAND02</v>
          </cell>
          <cell r="AD5051">
            <v>32230</v>
          </cell>
        </row>
        <row r="5052">
          <cell r="W5052" t="str">
            <v>QGAND02</v>
          </cell>
          <cell r="AD5052">
            <v>32230</v>
          </cell>
        </row>
        <row r="5053">
          <cell r="W5053" t="str">
            <v>QGAND02</v>
          </cell>
          <cell r="AD5053">
            <v>32230</v>
          </cell>
        </row>
        <row r="5054">
          <cell r="W5054" t="str">
            <v>QGAND02</v>
          </cell>
          <cell r="AD5054">
            <v>32230</v>
          </cell>
        </row>
        <row r="5055">
          <cell r="W5055" t="str">
            <v>QGAND02</v>
          </cell>
          <cell r="AD5055">
            <v>32230</v>
          </cell>
        </row>
        <row r="5056">
          <cell r="W5056" t="str">
            <v>QGAND02</v>
          </cell>
          <cell r="AD5056">
            <v>32230</v>
          </cell>
        </row>
        <row r="5057">
          <cell r="W5057" t="str">
            <v>QGAND02</v>
          </cell>
          <cell r="AD5057">
            <v>32230</v>
          </cell>
        </row>
        <row r="5058">
          <cell r="W5058" t="str">
            <v>QGAND02</v>
          </cell>
          <cell r="AD5058">
            <v>32230</v>
          </cell>
        </row>
        <row r="5059">
          <cell r="W5059" t="str">
            <v>QGAND02</v>
          </cell>
          <cell r="AD5059">
            <v>32230</v>
          </cell>
        </row>
        <row r="5060">
          <cell r="W5060" t="str">
            <v>QGAND02</v>
          </cell>
          <cell r="AD5060">
            <v>32230</v>
          </cell>
        </row>
        <row r="5061">
          <cell r="W5061" t="str">
            <v>QGAND02</v>
          </cell>
          <cell r="AD5061">
            <v>32230</v>
          </cell>
        </row>
        <row r="5062">
          <cell r="W5062" t="str">
            <v>QGAND02</v>
          </cell>
          <cell r="AD5062">
            <v>32230</v>
          </cell>
        </row>
        <row r="5063">
          <cell r="W5063" t="str">
            <v>QGAND02</v>
          </cell>
          <cell r="AD5063">
            <v>32230</v>
          </cell>
        </row>
        <row r="5064">
          <cell r="W5064" t="str">
            <v>QGAND02</v>
          </cell>
          <cell r="AD5064">
            <v>32230</v>
          </cell>
        </row>
        <row r="5065">
          <cell r="W5065" t="str">
            <v>QGAND02</v>
          </cell>
          <cell r="AD5065">
            <v>32230</v>
          </cell>
        </row>
        <row r="5066">
          <cell r="W5066" t="str">
            <v>QGAND02</v>
          </cell>
          <cell r="AD5066">
            <v>32230</v>
          </cell>
        </row>
        <row r="5067">
          <cell r="W5067" t="str">
            <v>QGAND02</v>
          </cell>
          <cell r="AD5067">
            <v>32230</v>
          </cell>
        </row>
        <row r="5068">
          <cell r="W5068" t="str">
            <v>QGAND02</v>
          </cell>
          <cell r="AD5068">
            <v>32450</v>
          </cell>
        </row>
        <row r="5069">
          <cell r="W5069" t="str">
            <v>QGAND02</v>
          </cell>
          <cell r="AD5069">
            <v>32450</v>
          </cell>
        </row>
        <row r="5070">
          <cell r="W5070" t="str">
            <v>QGAND02</v>
          </cell>
          <cell r="AD5070">
            <v>32500</v>
          </cell>
        </row>
        <row r="5071">
          <cell r="W5071" t="str">
            <v>QGAND02</v>
          </cell>
          <cell r="AD5071">
            <v>32500</v>
          </cell>
        </row>
        <row r="5072">
          <cell r="W5072" t="str">
            <v>QGAND02</v>
          </cell>
          <cell r="AD5072">
            <v>32500</v>
          </cell>
        </row>
        <row r="5073">
          <cell r="W5073" t="str">
            <v>QGAND02</v>
          </cell>
          <cell r="AD5073">
            <v>32500</v>
          </cell>
        </row>
        <row r="5074">
          <cell r="W5074" t="str">
            <v>QGAND02</v>
          </cell>
          <cell r="AD5074">
            <v>32500</v>
          </cell>
        </row>
        <row r="5075">
          <cell r="W5075" t="str">
            <v>QGAND02</v>
          </cell>
          <cell r="AD5075">
            <v>32500</v>
          </cell>
        </row>
        <row r="5076">
          <cell r="W5076" t="str">
            <v>QGAND02</v>
          </cell>
          <cell r="AD5076">
            <v>32500</v>
          </cell>
        </row>
        <row r="5077">
          <cell r="W5077" t="str">
            <v>QGAND02</v>
          </cell>
          <cell r="AD5077">
            <v>32500</v>
          </cell>
        </row>
        <row r="5078">
          <cell r="W5078" t="str">
            <v>QGAND02</v>
          </cell>
          <cell r="AD5078">
            <v>32500</v>
          </cell>
        </row>
        <row r="5079">
          <cell r="W5079" t="str">
            <v>QGAND02</v>
          </cell>
          <cell r="AD5079">
            <v>32500</v>
          </cell>
        </row>
        <row r="5080">
          <cell r="W5080" t="str">
            <v>QGAND02</v>
          </cell>
          <cell r="AD5080">
            <v>32500</v>
          </cell>
        </row>
        <row r="5081">
          <cell r="W5081" t="str">
            <v>QGAND02</v>
          </cell>
          <cell r="AD5081">
            <v>32500</v>
          </cell>
        </row>
        <row r="5082">
          <cell r="W5082" t="str">
            <v>QGAND02</v>
          </cell>
          <cell r="AD5082">
            <v>32500</v>
          </cell>
        </row>
        <row r="5083">
          <cell r="W5083" t="str">
            <v>QGAND02</v>
          </cell>
          <cell r="AD5083">
            <v>32500</v>
          </cell>
        </row>
        <row r="5084">
          <cell r="W5084" t="str">
            <v>QGAND02</v>
          </cell>
          <cell r="AD5084">
            <v>32500</v>
          </cell>
        </row>
        <row r="5085">
          <cell r="W5085" t="str">
            <v>QGAND02</v>
          </cell>
          <cell r="AD5085">
            <v>32500</v>
          </cell>
        </row>
        <row r="5086">
          <cell r="W5086" t="str">
            <v>QGAND02</v>
          </cell>
          <cell r="AD5086">
            <v>32500</v>
          </cell>
        </row>
        <row r="5087">
          <cell r="W5087" t="str">
            <v>QGAND02</v>
          </cell>
          <cell r="AD5087">
            <v>32500</v>
          </cell>
        </row>
        <row r="5088">
          <cell r="W5088" t="str">
            <v>QGAND02</v>
          </cell>
          <cell r="AD5088">
            <v>32500</v>
          </cell>
        </row>
        <row r="5089">
          <cell r="W5089" t="str">
            <v>QGAND02</v>
          </cell>
          <cell r="AD5089">
            <v>32500</v>
          </cell>
        </row>
        <row r="5090">
          <cell r="W5090" t="str">
            <v>QGAND02</v>
          </cell>
          <cell r="AD5090">
            <v>32500</v>
          </cell>
        </row>
        <row r="5091">
          <cell r="W5091" t="str">
            <v>QGAND02</v>
          </cell>
          <cell r="AD5091">
            <v>32600</v>
          </cell>
        </row>
        <row r="5092">
          <cell r="W5092" t="str">
            <v>QGAND02</v>
          </cell>
          <cell r="AD5092">
            <v>32600</v>
          </cell>
        </row>
        <row r="5093">
          <cell r="W5093" t="str">
            <v>QGAND02</v>
          </cell>
          <cell r="AD5093">
            <v>32600</v>
          </cell>
        </row>
        <row r="5094">
          <cell r="W5094" t="str">
            <v>QGAND02</v>
          </cell>
          <cell r="AD5094">
            <v>32600</v>
          </cell>
        </row>
        <row r="5095">
          <cell r="W5095" t="str">
            <v>QGAND02</v>
          </cell>
          <cell r="AD5095">
            <v>32600</v>
          </cell>
        </row>
        <row r="5096">
          <cell r="W5096" t="str">
            <v>QGAND02</v>
          </cell>
          <cell r="AD5096">
            <v>32600</v>
          </cell>
        </row>
        <row r="5097">
          <cell r="W5097" t="str">
            <v>QGAND02</v>
          </cell>
          <cell r="AD5097">
            <v>32600</v>
          </cell>
        </row>
        <row r="5098">
          <cell r="W5098" t="str">
            <v>QGAND02</v>
          </cell>
          <cell r="AD5098">
            <v>32600</v>
          </cell>
        </row>
        <row r="5099">
          <cell r="W5099" t="str">
            <v>QGAND02</v>
          </cell>
          <cell r="AD5099">
            <v>32600</v>
          </cell>
        </row>
        <row r="5100">
          <cell r="W5100" t="str">
            <v>QGAND02</v>
          </cell>
          <cell r="AD5100">
            <v>32600</v>
          </cell>
        </row>
        <row r="5101">
          <cell r="W5101" t="str">
            <v>QGAND02</v>
          </cell>
          <cell r="AD5101">
            <v>32600</v>
          </cell>
        </row>
        <row r="5102">
          <cell r="W5102" t="str">
            <v>QGAND02</v>
          </cell>
          <cell r="AD5102">
            <v>32600</v>
          </cell>
        </row>
        <row r="5103">
          <cell r="W5103" t="str">
            <v>QGAND02</v>
          </cell>
          <cell r="AD5103">
            <v>32600</v>
          </cell>
        </row>
        <row r="5104">
          <cell r="W5104" t="str">
            <v>QGAND02</v>
          </cell>
          <cell r="AD5104">
            <v>32600</v>
          </cell>
        </row>
        <row r="5105">
          <cell r="W5105" t="str">
            <v>QGAND02</v>
          </cell>
          <cell r="AD5105">
            <v>32600</v>
          </cell>
        </row>
        <row r="5106">
          <cell r="W5106" t="str">
            <v>QGAND02</v>
          </cell>
          <cell r="AD5106">
            <v>32600</v>
          </cell>
        </row>
        <row r="5107">
          <cell r="W5107" t="str">
            <v>QGAND02</v>
          </cell>
          <cell r="AD5107">
            <v>32600</v>
          </cell>
        </row>
        <row r="5108">
          <cell r="W5108" t="str">
            <v>QGAND02</v>
          </cell>
          <cell r="AD5108">
            <v>32600</v>
          </cell>
        </row>
        <row r="5109">
          <cell r="W5109" t="str">
            <v>QGAND02</v>
          </cell>
          <cell r="AD5109">
            <v>32600</v>
          </cell>
        </row>
        <row r="5110">
          <cell r="W5110" t="str">
            <v>QGAND02</v>
          </cell>
          <cell r="AD5110">
            <v>32600</v>
          </cell>
        </row>
        <row r="5111">
          <cell r="W5111" t="str">
            <v>QGAND02</v>
          </cell>
          <cell r="AD5111">
            <v>32600</v>
          </cell>
        </row>
        <row r="5112">
          <cell r="W5112" t="str">
            <v>QGAND02</v>
          </cell>
          <cell r="AD5112">
            <v>32600</v>
          </cell>
        </row>
        <row r="5113">
          <cell r="W5113" t="str">
            <v>QGAND02</v>
          </cell>
          <cell r="AD5113">
            <v>32600</v>
          </cell>
        </row>
        <row r="5114">
          <cell r="W5114" t="str">
            <v>QGAND02</v>
          </cell>
          <cell r="AD5114">
            <v>32600</v>
          </cell>
        </row>
        <row r="5115">
          <cell r="W5115" t="str">
            <v>QGAND02</v>
          </cell>
          <cell r="AD5115">
            <v>32600</v>
          </cell>
        </row>
        <row r="5116">
          <cell r="W5116" t="str">
            <v>QGAND02</v>
          </cell>
          <cell r="AD5116">
            <v>32650</v>
          </cell>
        </row>
        <row r="5117">
          <cell r="W5117" t="str">
            <v>QGAND02</v>
          </cell>
          <cell r="AD5117">
            <v>32650</v>
          </cell>
        </row>
        <row r="5118">
          <cell r="W5118" t="str">
            <v>QGAND02</v>
          </cell>
          <cell r="AD5118">
            <v>32650</v>
          </cell>
        </row>
        <row r="5119">
          <cell r="W5119" t="str">
            <v>QGAND02</v>
          </cell>
          <cell r="AD5119">
            <v>32750</v>
          </cell>
        </row>
        <row r="5120">
          <cell r="W5120" t="str">
            <v>QGAND02</v>
          </cell>
          <cell r="AD5120">
            <v>32750</v>
          </cell>
        </row>
        <row r="5121">
          <cell r="W5121" t="str">
            <v>QGAND02</v>
          </cell>
          <cell r="AD5121">
            <v>33000</v>
          </cell>
        </row>
        <row r="5122">
          <cell r="W5122" t="str">
            <v>QGAND02</v>
          </cell>
          <cell r="AD5122">
            <v>33000</v>
          </cell>
        </row>
        <row r="5123">
          <cell r="W5123" t="str">
            <v>QGAND02</v>
          </cell>
          <cell r="AD5123">
            <v>33000</v>
          </cell>
        </row>
        <row r="5124">
          <cell r="W5124" t="str">
            <v>QGAND02</v>
          </cell>
          <cell r="AD5124">
            <v>33000</v>
          </cell>
        </row>
        <row r="5125">
          <cell r="W5125" t="str">
            <v>QGAND02</v>
          </cell>
          <cell r="AD5125">
            <v>33000</v>
          </cell>
        </row>
        <row r="5126">
          <cell r="W5126" t="str">
            <v>QGAND02</v>
          </cell>
          <cell r="AD5126">
            <v>33000</v>
          </cell>
        </row>
        <row r="5127">
          <cell r="W5127" t="str">
            <v>QGAND02</v>
          </cell>
          <cell r="AD5127">
            <v>33000</v>
          </cell>
        </row>
        <row r="5128">
          <cell r="W5128" t="str">
            <v>QGAND02</v>
          </cell>
          <cell r="AD5128">
            <v>33000</v>
          </cell>
        </row>
        <row r="5129">
          <cell r="W5129" t="str">
            <v>QGAND02</v>
          </cell>
          <cell r="AD5129">
            <v>33000</v>
          </cell>
        </row>
        <row r="5130">
          <cell r="W5130" t="str">
            <v>QGAND02</v>
          </cell>
          <cell r="AD5130">
            <v>33500</v>
          </cell>
        </row>
        <row r="5131">
          <cell r="W5131" t="str">
            <v>QGAND03</v>
          </cell>
          <cell r="AD5131">
            <v>6117</v>
          </cell>
        </row>
        <row r="5132">
          <cell r="W5132" t="str">
            <v>QGAND03</v>
          </cell>
          <cell r="AD5132">
            <v>6117</v>
          </cell>
        </row>
        <row r="5133">
          <cell r="W5133" t="str">
            <v>QGAND03</v>
          </cell>
          <cell r="AD5133">
            <v>6117</v>
          </cell>
        </row>
        <row r="5134">
          <cell r="W5134" t="str">
            <v>QGAND03</v>
          </cell>
          <cell r="AD5134">
            <v>6117</v>
          </cell>
        </row>
        <row r="5135">
          <cell r="W5135" t="str">
            <v>QGAND03</v>
          </cell>
          <cell r="AD5135">
            <v>6175</v>
          </cell>
        </row>
        <row r="5136">
          <cell r="W5136" t="str">
            <v>QGAND03</v>
          </cell>
          <cell r="AD5136">
            <v>6185</v>
          </cell>
        </row>
        <row r="5137">
          <cell r="W5137" t="str">
            <v>QGAND03</v>
          </cell>
          <cell r="AD5137">
            <v>6185</v>
          </cell>
        </row>
        <row r="5138">
          <cell r="W5138" t="str">
            <v>QGAND03</v>
          </cell>
          <cell r="AD5138">
            <v>6185</v>
          </cell>
        </row>
        <row r="5139">
          <cell r="W5139" t="str">
            <v>QGAND03</v>
          </cell>
          <cell r="AD5139">
            <v>6185</v>
          </cell>
        </row>
        <row r="5140">
          <cell r="W5140" t="str">
            <v>QGAND03</v>
          </cell>
          <cell r="AD5140">
            <v>6185</v>
          </cell>
        </row>
        <row r="5141">
          <cell r="W5141" t="str">
            <v>QGAND03</v>
          </cell>
          <cell r="AD5141">
            <v>6185</v>
          </cell>
        </row>
        <row r="5142">
          <cell r="W5142" t="str">
            <v>QGAND03</v>
          </cell>
          <cell r="AD5142">
            <v>6185</v>
          </cell>
        </row>
        <row r="5143">
          <cell r="W5143" t="str">
            <v>QGAND03</v>
          </cell>
          <cell r="AD5143">
            <v>6185</v>
          </cell>
        </row>
        <row r="5144">
          <cell r="W5144" t="str">
            <v>QGAND03</v>
          </cell>
          <cell r="AD5144">
            <v>6185</v>
          </cell>
        </row>
        <row r="5145">
          <cell r="W5145" t="str">
            <v>QGAND03</v>
          </cell>
          <cell r="AD5145">
            <v>6185</v>
          </cell>
        </row>
        <row r="5146">
          <cell r="W5146" t="str">
            <v>QGAND03</v>
          </cell>
          <cell r="AD5146">
            <v>6185</v>
          </cell>
        </row>
        <row r="5147">
          <cell r="W5147" t="str">
            <v>QGAND03</v>
          </cell>
          <cell r="AD5147">
            <v>6185</v>
          </cell>
        </row>
        <row r="5148">
          <cell r="W5148" t="str">
            <v>QGAND03</v>
          </cell>
          <cell r="AD5148">
            <v>6250</v>
          </cell>
        </row>
        <row r="5149">
          <cell r="W5149" t="str">
            <v>QGAND03</v>
          </cell>
          <cell r="AD5149">
            <v>6250</v>
          </cell>
        </row>
        <row r="5150">
          <cell r="W5150" t="str">
            <v>QGAND03</v>
          </cell>
          <cell r="AD5150">
            <v>6250</v>
          </cell>
        </row>
        <row r="5151">
          <cell r="W5151" t="str">
            <v>QGAND03</v>
          </cell>
          <cell r="AD5151">
            <v>6250</v>
          </cell>
        </row>
        <row r="5152">
          <cell r="W5152" t="str">
            <v>QGAND03</v>
          </cell>
          <cell r="AD5152">
            <v>6250</v>
          </cell>
        </row>
        <row r="5153">
          <cell r="W5153" t="str">
            <v>QGAND03</v>
          </cell>
          <cell r="AD5153">
            <v>6250</v>
          </cell>
        </row>
        <row r="5154">
          <cell r="W5154" t="str">
            <v>QGAND03</v>
          </cell>
          <cell r="AD5154">
            <v>6250</v>
          </cell>
        </row>
        <row r="5155">
          <cell r="W5155" t="str">
            <v>QGAND03</v>
          </cell>
          <cell r="AD5155">
            <v>6250</v>
          </cell>
        </row>
        <row r="5156">
          <cell r="W5156" t="str">
            <v>QGAND03</v>
          </cell>
          <cell r="AD5156">
            <v>6250</v>
          </cell>
        </row>
        <row r="5157">
          <cell r="W5157" t="str">
            <v>QGAND03</v>
          </cell>
          <cell r="AD5157">
            <v>6250</v>
          </cell>
        </row>
        <row r="5158">
          <cell r="W5158" t="str">
            <v>QGAND03</v>
          </cell>
          <cell r="AD5158">
            <v>6250</v>
          </cell>
        </row>
        <row r="5159">
          <cell r="W5159" t="str">
            <v>QGAND03</v>
          </cell>
          <cell r="AD5159">
            <v>6250</v>
          </cell>
        </row>
        <row r="5160">
          <cell r="W5160" t="str">
            <v>QGAND03</v>
          </cell>
          <cell r="AD5160">
            <v>6250</v>
          </cell>
        </row>
        <row r="5161">
          <cell r="W5161" t="str">
            <v>QGAND03</v>
          </cell>
          <cell r="AD5161">
            <v>6250</v>
          </cell>
        </row>
        <row r="5162">
          <cell r="W5162" t="str">
            <v>QGAND03</v>
          </cell>
          <cell r="AD5162">
            <v>6250</v>
          </cell>
        </row>
        <row r="5163">
          <cell r="W5163" t="str">
            <v>QGAND03</v>
          </cell>
          <cell r="AD5163">
            <v>6250</v>
          </cell>
        </row>
        <row r="5164">
          <cell r="W5164" t="str">
            <v>QGAND03</v>
          </cell>
          <cell r="AD5164">
            <v>6250</v>
          </cell>
        </row>
        <row r="5165">
          <cell r="W5165" t="str">
            <v>QGAND03</v>
          </cell>
          <cell r="AD5165">
            <v>6250</v>
          </cell>
        </row>
        <row r="5166">
          <cell r="W5166" t="str">
            <v>QGAND03</v>
          </cell>
          <cell r="AD5166">
            <v>6250</v>
          </cell>
        </row>
        <row r="5167">
          <cell r="W5167" t="str">
            <v>QGAND03</v>
          </cell>
          <cell r="AD5167">
            <v>6250</v>
          </cell>
        </row>
        <row r="5168">
          <cell r="W5168" t="str">
            <v>QGAND03</v>
          </cell>
          <cell r="AD5168">
            <v>6250</v>
          </cell>
        </row>
        <row r="5169">
          <cell r="W5169" t="str">
            <v>QGAND03</v>
          </cell>
          <cell r="AD5169">
            <v>6250</v>
          </cell>
        </row>
        <row r="5170">
          <cell r="W5170" t="str">
            <v>QGAND03</v>
          </cell>
          <cell r="AD5170">
            <v>6250</v>
          </cell>
        </row>
        <row r="5171">
          <cell r="W5171" t="str">
            <v>QGAND03</v>
          </cell>
          <cell r="AD5171">
            <v>6250</v>
          </cell>
        </row>
        <row r="5172">
          <cell r="W5172" t="str">
            <v>QGAND03</v>
          </cell>
          <cell r="AD5172">
            <v>6250</v>
          </cell>
        </row>
        <row r="5173">
          <cell r="W5173" t="str">
            <v>QGAND03</v>
          </cell>
          <cell r="AD5173">
            <v>6500</v>
          </cell>
        </row>
        <row r="5174">
          <cell r="W5174" t="str">
            <v>QGAND03</v>
          </cell>
          <cell r="AD5174">
            <v>6650</v>
          </cell>
        </row>
        <row r="5175">
          <cell r="W5175" t="str">
            <v>QGAND03</v>
          </cell>
          <cell r="AD5175">
            <v>6700</v>
          </cell>
        </row>
        <row r="5176">
          <cell r="W5176" t="str">
            <v>QGAND03</v>
          </cell>
          <cell r="AD5176">
            <v>6700</v>
          </cell>
        </row>
        <row r="5177">
          <cell r="W5177" t="str">
            <v>QGAND03</v>
          </cell>
          <cell r="AD5177">
            <v>6700</v>
          </cell>
        </row>
        <row r="5178">
          <cell r="W5178" t="str">
            <v>QGAND03</v>
          </cell>
          <cell r="AD5178">
            <v>6700</v>
          </cell>
        </row>
        <row r="5179">
          <cell r="W5179" t="str">
            <v>QGAND03</v>
          </cell>
          <cell r="AD5179">
            <v>6750</v>
          </cell>
        </row>
        <row r="5180">
          <cell r="W5180" t="str">
            <v>QGAND03</v>
          </cell>
          <cell r="AD5180">
            <v>6750</v>
          </cell>
        </row>
        <row r="5181">
          <cell r="W5181" t="str">
            <v>QGAND03</v>
          </cell>
          <cell r="AD5181">
            <v>6750</v>
          </cell>
        </row>
        <row r="5182">
          <cell r="W5182" t="str">
            <v>QGAND03</v>
          </cell>
          <cell r="AD5182">
            <v>6750</v>
          </cell>
        </row>
        <row r="5183">
          <cell r="W5183" t="str">
            <v>QGAND03</v>
          </cell>
          <cell r="AD5183">
            <v>6750</v>
          </cell>
        </row>
        <row r="5184">
          <cell r="W5184" t="str">
            <v>QGAND03</v>
          </cell>
          <cell r="AD5184">
            <v>6900</v>
          </cell>
        </row>
        <row r="5185">
          <cell r="W5185" t="str">
            <v>QGAND03</v>
          </cell>
          <cell r="AD5185">
            <v>6900</v>
          </cell>
        </row>
        <row r="5186">
          <cell r="W5186" t="str">
            <v>QGAND03</v>
          </cell>
          <cell r="AD5186">
            <v>6900</v>
          </cell>
        </row>
        <row r="5187">
          <cell r="W5187" t="str">
            <v>QGAND03</v>
          </cell>
          <cell r="AD5187">
            <v>6900</v>
          </cell>
        </row>
        <row r="5188">
          <cell r="W5188" t="str">
            <v>QGAND03</v>
          </cell>
          <cell r="AD5188">
            <v>6900</v>
          </cell>
        </row>
        <row r="5189">
          <cell r="W5189" t="str">
            <v>QGAND03</v>
          </cell>
          <cell r="AD5189">
            <v>6900</v>
          </cell>
        </row>
        <row r="5190">
          <cell r="W5190" t="str">
            <v>QGAND03</v>
          </cell>
          <cell r="AD5190">
            <v>6900</v>
          </cell>
        </row>
        <row r="5191">
          <cell r="W5191" t="str">
            <v>QGAND03</v>
          </cell>
          <cell r="AD5191">
            <v>6900</v>
          </cell>
        </row>
        <row r="5192">
          <cell r="W5192" t="str">
            <v>QGAND03</v>
          </cell>
          <cell r="AD5192">
            <v>7000</v>
          </cell>
        </row>
        <row r="5193">
          <cell r="W5193" t="str">
            <v>QGAND03</v>
          </cell>
          <cell r="AD5193">
            <v>7000</v>
          </cell>
        </row>
        <row r="5194">
          <cell r="W5194" t="str">
            <v>QGAND03</v>
          </cell>
          <cell r="AD5194">
            <v>7000</v>
          </cell>
        </row>
        <row r="5195">
          <cell r="W5195" t="str">
            <v>QGAND03</v>
          </cell>
          <cell r="AD5195">
            <v>7000</v>
          </cell>
        </row>
        <row r="5196">
          <cell r="W5196" t="str">
            <v>QGAND03</v>
          </cell>
          <cell r="AD5196">
            <v>7000</v>
          </cell>
        </row>
        <row r="5197">
          <cell r="W5197" t="str">
            <v>QGAND03</v>
          </cell>
          <cell r="AD5197">
            <v>7000</v>
          </cell>
        </row>
        <row r="5198">
          <cell r="W5198" t="str">
            <v>QGAND03</v>
          </cell>
          <cell r="AD5198">
            <v>7000</v>
          </cell>
        </row>
        <row r="5199">
          <cell r="W5199" t="str">
            <v>QGAND03</v>
          </cell>
          <cell r="AD5199">
            <v>7000</v>
          </cell>
        </row>
        <row r="5200">
          <cell r="W5200" t="str">
            <v>QGAND03</v>
          </cell>
          <cell r="AD5200">
            <v>7000</v>
          </cell>
        </row>
        <row r="5201">
          <cell r="W5201" t="str">
            <v>QGAND03</v>
          </cell>
          <cell r="AD5201">
            <v>7000</v>
          </cell>
        </row>
        <row r="5202">
          <cell r="W5202" t="str">
            <v>QGAND03</v>
          </cell>
          <cell r="AD5202">
            <v>7000</v>
          </cell>
        </row>
        <row r="5203">
          <cell r="W5203" t="str">
            <v>QGAND03</v>
          </cell>
          <cell r="AD5203">
            <v>7000</v>
          </cell>
        </row>
        <row r="5204">
          <cell r="W5204" t="str">
            <v>QGAND03</v>
          </cell>
          <cell r="AD5204">
            <v>7000</v>
          </cell>
        </row>
        <row r="5205">
          <cell r="W5205" t="str">
            <v>QGAND03</v>
          </cell>
          <cell r="AD5205">
            <v>7000</v>
          </cell>
        </row>
        <row r="5206">
          <cell r="W5206" t="str">
            <v>QGAND03</v>
          </cell>
          <cell r="AD5206">
            <v>7000</v>
          </cell>
        </row>
        <row r="5207">
          <cell r="W5207" t="str">
            <v>QGAND03</v>
          </cell>
          <cell r="AD5207">
            <v>7000</v>
          </cell>
        </row>
        <row r="5208">
          <cell r="W5208" t="str">
            <v>QGAND03</v>
          </cell>
          <cell r="AD5208">
            <v>7000</v>
          </cell>
        </row>
        <row r="5209">
          <cell r="W5209" t="str">
            <v>QGAND03</v>
          </cell>
          <cell r="AD5209">
            <v>7000</v>
          </cell>
        </row>
        <row r="5210">
          <cell r="W5210" t="str">
            <v>QGAND03</v>
          </cell>
          <cell r="AD5210">
            <v>7000</v>
          </cell>
        </row>
        <row r="5211">
          <cell r="W5211" t="str">
            <v>QGAND04</v>
          </cell>
          <cell r="AD5211">
            <v>28602</v>
          </cell>
        </row>
        <row r="5212">
          <cell r="W5212" t="str">
            <v>QGAND04</v>
          </cell>
          <cell r="AD5212">
            <v>28602</v>
          </cell>
        </row>
        <row r="5213">
          <cell r="W5213" t="str">
            <v>QGAND04</v>
          </cell>
          <cell r="AD5213">
            <v>28602</v>
          </cell>
        </row>
        <row r="5214">
          <cell r="W5214" t="str">
            <v>QGAND04</v>
          </cell>
          <cell r="AD5214">
            <v>28602</v>
          </cell>
        </row>
        <row r="5215">
          <cell r="W5215" t="str">
            <v>QGAND04</v>
          </cell>
          <cell r="AD5215">
            <v>28602</v>
          </cell>
        </row>
        <row r="5216">
          <cell r="W5216" t="str">
            <v>QGAND04</v>
          </cell>
          <cell r="AD5216">
            <v>28602</v>
          </cell>
        </row>
        <row r="5217">
          <cell r="W5217" t="str">
            <v>QGAND04</v>
          </cell>
          <cell r="AD5217">
            <v>28910</v>
          </cell>
        </row>
        <row r="5218">
          <cell r="W5218" t="str">
            <v>QGAND04</v>
          </cell>
          <cell r="AD5218">
            <v>28910</v>
          </cell>
        </row>
        <row r="5219">
          <cell r="W5219" t="str">
            <v>QGAND04</v>
          </cell>
          <cell r="AD5219">
            <v>28910</v>
          </cell>
        </row>
        <row r="5220">
          <cell r="W5220" t="str">
            <v>QGAND04</v>
          </cell>
          <cell r="AD5220">
            <v>28910</v>
          </cell>
        </row>
        <row r="5221">
          <cell r="W5221" t="str">
            <v>QGAND04</v>
          </cell>
          <cell r="AD5221">
            <v>28910</v>
          </cell>
        </row>
        <row r="5222">
          <cell r="W5222" t="str">
            <v>QGAND04</v>
          </cell>
          <cell r="AD5222">
            <v>28910</v>
          </cell>
        </row>
        <row r="5223">
          <cell r="W5223" t="str">
            <v>QGAND04</v>
          </cell>
          <cell r="AD5223">
            <v>28910</v>
          </cell>
        </row>
        <row r="5224">
          <cell r="W5224" t="str">
            <v>QGAND04</v>
          </cell>
          <cell r="AD5224">
            <v>28910</v>
          </cell>
        </row>
        <row r="5225">
          <cell r="W5225" t="str">
            <v>QGAND04</v>
          </cell>
          <cell r="AD5225">
            <v>28910</v>
          </cell>
        </row>
        <row r="5226">
          <cell r="W5226" t="str">
            <v>QGAND04</v>
          </cell>
          <cell r="AD5226">
            <v>28910</v>
          </cell>
        </row>
        <row r="5227">
          <cell r="W5227" t="str">
            <v>QGAND04</v>
          </cell>
          <cell r="AD5227">
            <v>28910</v>
          </cell>
        </row>
        <row r="5228">
          <cell r="W5228" t="str">
            <v>QGAND04</v>
          </cell>
          <cell r="AD5228">
            <v>28910</v>
          </cell>
        </row>
        <row r="5229">
          <cell r="W5229" t="str">
            <v>QGAND04</v>
          </cell>
          <cell r="AD5229">
            <v>28910</v>
          </cell>
        </row>
        <row r="5230">
          <cell r="W5230" t="str">
            <v>QGAND04</v>
          </cell>
          <cell r="AD5230">
            <v>28910</v>
          </cell>
        </row>
        <row r="5231">
          <cell r="W5231" t="str">
            <v>QGAND04</v>
          </cell>
          <cell r="AD5231">
            <v>28910</v>
          </cell>
        </row>
        <row r="5232">
          <cell r="W5232" t="str">
            <v>QGAND04</v>
          </cell>
          <cell r="AD5232">
            <v>28910</v>
          </cell>
        </row>
        <row r="5233">
          <cell r="W5233" t="str">
            <v>QGAND04</v>
          </cell>
          <cell r="AD5233">
            <v>28910</v>
          </cell>
        </row>
        <row r="5234">
          <cell r="W5234" t="str">
            <v>QGAND04</v>
          </cell>
          <cell r="AD5234">
            <v>28910</v>
          </cell>
        </row>
        <row r="5235">
          <cell r="W5235" t="str">
            <v>QGAND04</v>
          </cell>
          <cell r="AD5235">
            <v>28910</v>
          </cell>
        </row>
        <row r="5236">
          <cell r="W5236" t="str">
            <v>QGAND04</v>
          </cell>
          <cell r="AD5236">
            <v>28910</v>
          </cell>
        </row>
        <row r="5237">
          <cell r="W5237" t="str">
            <v>QGAND04</v>
          </cell>
          <cell r="AD5237">
            <v>29050</v>
          </cell>
        </row>
        <row r="5238">
          <cell r="W5238" t="str">
            <v>QGAND04</v>
          </cell>
          <cell r="AD5238">
            <v>29250</v>
          </cell>
        </row>
        <row r="5239">
          <cell r="W5239" t="str">
            <v>QGAND04</v>
          </cell>
          <cell r="AD5239">
            <v>29250</v>
          </cell>
        </row>
        <row r="5240">
          <cell r="W5240" t="str">
            <v>QGAND04</v>
          </cell>
          <cell r="AD5240">
            <v>29250</v>
          </cell>
        </row>
        <row r="5241">
          <cell r="W5241" t="str">
            <v>QGAND04</v>
          </cell>
          <cell r="AD5241">
            <v>29250</v>
          </cell>
        </row>
        <row r="5242">
          <cell r="W5242" t="str">
            <v>QGAND04</v>
          </cell>
          <cell r="AD5242">
            <v>29250</v>
          </cell>
        </row>
        <row r="5243">
          <cell r="W5243" t="str">
            <v>QGAND04</v>
          </cell>
          <cell r="AD5243">
            <v>29250</v>
          </cell>
        </row>
        <row r="5244">
          <cell r="W5244" t="str">
            <v>QGAND04</v>
          </cell>
          <cell r="AD5244">
            <v>29250</v>
          </cell>
        </row>
        <row r="5245">
          <cell r="W5245" t="str">
            <v>QGAND04</v>
          </cell>
          <cell r="AD5245">
            <v>29250</v>
          </cell>
        </row>
        <row r="5246">
          <cell r="W5246" t="str">
            <v>QGAND04</v>
          </cell>
          <cell r="AD5246">
            <v>29250</v>
          </cell>
        </row>
        <row r="5247">
          <cell r="W5247" t="str">
            <v>QGAND04</v>
          </cell>
          <cell r="AD5247">
            <v>29250</v>
          </cell>
        </row>
        <row r="5248">
          <cell r="W5248" t="str">
            <v>QGAND04</v>
          </cell>
          <cell r="AD5248">
            <v>29250</v>
          </cell>
        </row>
        <row r="5249">
          <cell r="W5249" t="str">
            <v>QGAND04</v>
          </cell>
          <cell r="AD5249">
            <v>29250</v>
          </cell>
        </row>
        <row r="5250">
          <cell r="W5250" t="str">
            <v>QGAND04</v>
          </cell>
          <cell r="AD5250">
            <v>29250</v>
          </cell>
        </row>
        <row r="5251">
          <cell r="W5251" t="str">
            <v>QGAND04</v>
          </cell>
          <cell r="AD5251">
            <v>29250</v>
          </cell>
        </row>
        <row r="5252">
          <cell r="W5252" t="str">
            <v>QGAND04</v>
          </cell>
          <cell r="AD5252">
            <v>29250</v>
          </cell>
        </row>
        <row r="5253">
          <cell r="W5253" t="str">
            <v>QGAND04</v>
          </cell>
          <cell r="AD5253">
            <v>29250</v>
          </cell>
        </row>
        <row r="5254">
          <cell r="W5254" t="str">
            <v>QGAND04</v>
          </cell>
          <cell r="AD5254">
            <v>29250</v>
          </cell>
        </row>
        <row r="5255">
          <cell r="W5255" t="str">
            <v>QGAND04</v>
          </cell>
          <cell r="AD5255">
            <v>29250</v>
          </cell>
        </row>
        <row r="5256">
          <cell r="W5256" t="str">
            <v>QGAND04</v>
          </cell>
          <cell r="AD5256">
            <v>29250</v>
          </cell>
        </row>
        <row r="5257">
          <cell r="W5257" t="str">
            <v>QGAND04</v>
          </cell>
          <cell r="AD5257">
            <v>29250</v>
          </cell>
        </row>
        <row r="5258">
          <cell r="W5258" t="str">
            <v>QGAND04</v>
          </cell>
          <cell r="AD5258">
            <v>29250</v>
          </cell>
        </row>
        <row r="5259">
          <cell r="W5259" t="str">
            <v>QGAND04</v>
          </cell>
          <cell r="AD5259">
            <v>29250</v>
          </cell>
        </row>
        <row r="5260">
          <cell r="W5260" t="str">
            <v>QGAND04</v>
          </cell>
          <cell r="AD5260">
            <v>29250</v>
          </cell>
        </row>
        <row r="5261">
          <cell r="W5261" t="str">
            <v>QGAND04</v>
          </cell>
          <cell r="AD5261">
            <v>29250</v>
          </cell>
        </row>
        <row r="5262">
          <cell r="W5262" t="str">
            <v>QGAND04</v>
          </cell>
          <cell r="AD5262">
            <v>29250</v>
          </cell>
        </row>
        <row r="5263">
          <cell r="W5263" t="str">
            <v>QGAND04</v>
          </cell>
          <cell r="AD5263">
            <v>29250</v>
          </cell>
        </row>
        <row r="5264">
          <cell r="W5264" t="str">
            <v>QGAND04</v>
          </cell>
          <cell r="AD5264">
            <v>29250</v>
          </cell>
        </row>
        <row r="5265">
          <cell r="W5265" t="str">
            <v>QGAND04</v>
          </cell>
          <cell r="AD5265">
            <v>29250</v>
          </cell>
        </row>
        <row r="5266">
          <cell r="W5266" t="str">
            <v>QGAND04</v>
          </cell>
          <cell r="AD5266">
            <v>29250</v>
          </cell>
        </row>
        <row r="5267">
          <cell r="W5267" t="str">
            <v>QGAND04</v>
          </cell>
          <cell r="AD5267">
            <v>29250</v>
          </cell>
        </row>
        <row r="5268">
          <cell r="W5268" t="str">
            <v>QGAND04</v>
          </cell>
          <cell r="AD5268">
            <v>29250</v>
          </cell>
        </row>
        <row r="5269">
          <cell r="W5269" t="str">
            <v>QGAND04</v>
          </cell>
          <cell r="AD5269">
            <v>29250</v>
          </cell>
        </row>
        <row r="5270">
          <cell r="W5270" t="str">
            <v>QGAND04</v>
          </cell>
          <cell r="AD5270">
            <v>29250</v>
          </cell>
        </row>
        <row r="5271">
          <cell r="W5271" t="str">
            <v>QGAND04</v>
          </cell>
          <cell r="AD5271">
            <v>29250</v>
          </cell>
        </row>
        <row r="5272">
          <cell r="W5272" t="str">
            <v>QGAND04</v>
          </cell>
          <cell r="AD5272">
            <v>29250</v>
          </cell>
        </row>
        <row r="5273">
          <cell r="W5273" t="str">
            <v>QGAND04</v>
          </cell>
          <cell r="AD5273">
            <v>29350</v>
          </cell>
        </row>
        <row r="5274">
          <cell r="W5274" t="str">
            <v>QGAND04</v>
          </cell>
          <cell r="AD5274">
            <v>29500</v>
          </cell>
        </row>
        <row r="5275">
          <cell r="W5275" t="str">
            <v>QGAND04</v>
          </cell>
          <cell r="AD5275">
            <v>29500</v>
          </cell>
        </row>
        <row r="5276">
          <cell r="W5276" t="str">
            <v>QGAND04</v>
          </cell>
          <cell r="AD5276">
            <v>29500</v>
          </cell>
        </row>
        <row r="5277">
          <cell r="W5277" t="str">
            <v>QGAND04</v>
          </cell>
          <cell r="AD5277">
            <v>29500</v>
          </cell>
        </row>
        <row r="5278">
          <cell r="W5278" t="str">
            <v>QGAND04</v>
          </cell>
          <cell r="AD5278">
            <v>29500</v>
          </cell>
        </row>
        <row r="5279">
          <cell r="W5279" t="str">
            <v>QGAND04</v>
          </cell>
          <cell r="AD5279">
            <v>29500</v>
          </cell>
        </row>
        <row r="5280">
          <cell r="W5280" t="str">
            <v>QGAND04</v>
          </cell>
          <cell r="AD5280">
            <v>29500</v>
          </cell>
        </row>
        <row r="5281">
          <cell r="W5281" t="str">
            <v>QGAND04</v>
          </cell>
          <cell r="AD5281">
            <v>29500</v>
          </cell>
        </row>
        <row r="5282">
          <cell r="W5282" t="str">
            <v>QGAND04</v>
          </cell>
          <cell r="AD5282">
            <v>29500</v>
          </cell>
        </row>
        <row r="5283">
          <cell r="W5283" t="str">
            <v>QGAND04</v>
          </cell>
          <cell r="AD5283">
            <v>29500</v>
          </cell>
        </row>
        <row r="5284">
          <cell r="W5284" t="str">
            <v>QGAND04</v>
          </cell>
          <cell r="AD5284">
            <v>29500</v>
          </cell>
        </row>
        <row r="5285">
          <cell r="W5285" t="str">
            <v>QGAND04</v>
          </cell>
          <cell r="AD5285">
            <v>29500</v>
          </cell>
        </row>
        <row r="5286">
          <cell r="W5286" t="str">
            <v>QGAND04</v>
          </cell>
          <cell r="AD5286">
            <v>29500</v>
          </cell>
        </row>
        <row r="5287">
          <cell r="W5287" t="str">
            <v>QGAND04</v>
          </cell>
          <cell r="AD5287">
            <v>29500</v>
          </cell>
        </row>
        <row r="5288">
          <cell r="W5288" t="str">
            <v>QGAND04</v>
          </cell>
          <cell r="AD5288">
            <v>29500</v>
          </cell>
        </row>
        <row r="5289">
          <cell r="W5289" t="str">
            <v>QGAND04</v>
          </cell>
          <cell r="AD5289">
            <v>29500</v>
          </cell>
        </row>
        <row r="5290">
          <cell r="W5290" t="str">
            <v>QGAND04</v>
          </cell>
          <cell r="AD5290">
            <v>29500</v>
          </cell>
        </row>
        <row r="5291">
          <cell r="W5291" t="str">
            <v>QGAND04</v>
          </cell>
          <cell r="AD5291">
            <v>29500</v>
          </cell>
        </row>
        <row r="5292">
          <cell r="W5292" t="str">
            <v>QGAND04</v>
          </cell>
          <cell r="AD5292">
            <v>29500</v>
          </cell>
        </row>
        <row r="5293">
          <cell r="W5293" t="str">
            <v>QGAND04</v>
          </cell>
          <cell r="AD5293">
            <v>30000</v>
          </cell>
        </row>
        <row r="5294">
          <cell r="W5294" t="str">
            <v>QGAND04</v>
          </cell>
          <cell r="AD5294">
            <v>30000</v>
          </cell>
        </row>
        <row r="5295">
          <cell r="W5295" t="str">
            <v>QGAND04</v>
          </cell>
          <cell r="AD5295">
            <v>30000</v>
          </cell>
        </row>
        <row r="5296">
          <cell r="W5296" t="str">
            <v>QGAND04</v>
          </cell>
          <cell r="AD5296">
            <v>30000</v>
          </cell>
        </row>
        <row r="5297">
          <cell r="W5297" t="str">
            <v>QGAND04</v>
          </cell>
          <cell r="AD5297">
            <v>31000</v>
          </cell>
        </row>
        <row r="5298">
          <cell r="W5298" t="str">
            <v>QGAND04</v>
          </cell>
          <cell r="AD5298">
            <v>31000</v>
          </cell>
        </row>
        <row r="5299">
          <cell r="W5299" t="str">
            <v>QGAND04</v>
          </cell>
          <cell r="AD5299">
            <v>31000</v>
          </cell>
        </row>
        <row r="5300">
          <cell r="W5300" t="str">
            <v>QGAND04</v>
          </cell>
          <cell r="AD5300">
            <v>32800</v>
          </cell>
        </row>
        <row r="5301">
          <cell r="W5301" t="str">
            <v>QGARD01</v>
          </cell>
          <cell r="AD5301">
            <v>17160</v>
          </cell>
        </row>
        <row r="5302">
          <cell r="W5302" t="str">
            <v>QGARD01</v>
          </cell>
          <cell r="AD5302">
            <v>17160</v>
          </cell>
        </row>
        <row r="5303">
          <cell r="W5303" t="str">
            <v>QGARD01</v>
          </cell>
          <cell r="AD5303">
            <v>27000</v>
          </cell>
        </row>
        <row r="5304">
          <cell r="W5304" t="str">
            <v>QGARD01</v>
          </cell>
          <cell r="AD5304">
            <v>27000</v>
          </cell>
        </row>
        <row r="5305">
          <cell r="W5305" t="str">
            <v>QGARD01</v>
          </cell>
          <cell r="AD5305">
            <v>27000</v>
          </cell>
        </row>
        <row r="5306">
          <cell r="W5306" t="str">
            <v>QGARD01</v>
          </cell>
          <cell r="AD5306">
            <v>27000</v>
          </cell>
        </row>
        <row r="5307">
          <cell r="W5307" t="str">
            <v>QGARD01</v>
          </cell>
          <cell r="AD5307">
            <v>27000</v>
          </cell>
        </row>
        <row r="5308">
          <cell r="W5308" t="str">
            <v>QGARD01</v>
          </cell>
          <cell r="AD5308">
            <v>27000</v>
          </cell>
        </row>
        <row r="5309">
          <cell r="W5309" t="str">
            <v>QGARD01</v>
          </cell>
          <cell r="AD5309">
            <v>27000</v>
          </cell>
        </row>
        <row r="5310">
          <cell r="W5310" t="str">
            <v>QGARD01</v>
          </cell>
          <cell r="AD5310">
            <v>27000</v>
          </cell>
        </row>
        <row r="5311">
          <cell r="W5311" t="str">
            <v>QGARD01</v>
          </cell>
          <cell r="AD5311">
            <v>27000</v>
          </cell>
        </row>
        <row r="5312">
          <cell r="W5312" t="str">
            <v>QGARD01</v>
          </cell>
          <cell r="AD5312">
            <v>27000</v>
          </cell>
        </row>
        <row r="5313">
          <cell r="W5313" t="str">
            <v>QGARD01</v>
          </cell>
          <cell r="AD5313">
            <v>27000</v>
          </cell>
        </row>
        <row r="5314">
          <cell r="W5314" t="str">
            <v>QGARD01</v>
          </cell>
          <cell r="AD5314">
            <v>27000</v>
          </cell>
        </row>
        <row r="5315">
          <cell r="W5315" t="str">
            <v>QGARD01</v>
          </cell>
          <cell r="AD5315">
            <v>27000</v>
          </cell>
        </row>
        <row r="5316">
          <cell r="W5316" t="str">
            <v>QGARD01</v>
          </cell>
          <cell r="AD5316">
            <v>27000</v>
          </cell>
        </row>
        <row r="5317">
          <cell r="W5317" t="str">
            <v>QGARD01</v>
          </cell>
          <cell r="AD5317">
            <v>27000</v>
          </cell>
        </row>
        <row r="5318">
          <cell r="W5318" t="str">
            <v>QGARD01</v>
          </cell>
          <cell r="AD5318">
            <v>27000</v>
          </cell>
        </row>
        <row r="5319">
          <cell r="W5319" t="str">
            <v>QGARD01</v>
          </cell>
          <cell r="AD5319">
            <v>27000</v>
          </cell>
        </row>
        <row r="5320">
          <cell r="W5320" t="str">
            <v>QGARD01</v>
          </cell>
          <cell r="AD5320">
            <v>27000</v>
          </cell>
        </row>
        <row r="5321">
          <cell r="W5321" t="str">
            <v>QGARD01</v>
          </cell>
          <cell r="AD5321">
            <v>27000</v>
          </cell>
        </row>
        <row r="5322">
          <cell r="W5322" t="str">
            <v>QGARD01</v>
          </cell>
          <cell r="AD5322">
            <v>27000</v>
          </cell>
        </row>
        <row r="5323">
          <cell r="W5323" t="str">
            <v>QGARD01</v>
          </cell>
          <cell r="AD5323">
            <v>27000</v>
          </cell>
        </row>
        <row r="5324">
          <cell r="W5324" t="str">
            <v>QGARD01</v>
          </cell>
          <cell r="AD5324">
            <v>27000</v>
          </cell>
        </row>
        <row r="5325">
          <cell r="W5325" t="str">
            <v>QGARD01</v>
          </cell>
          <cell r="AD5325">
            <v>27000</v>
          </cell>
        </row>
        <row r="5326">
          <cell r="W5326" t="str">
            <v>QGARD01</v>
          </cell>
          <cell r="AD5326">
            <v>27000</v>
          </cell>
        </row>
        <row r="5327">
          <cell r="W5327" t="str">
            <v>QGARD01</v>
          </cell>
          <cell r="AD5327">
            <v>27000</v>
          </cell>
        </row>
        <row r="5328">
          <cell r="W5328" t="str">
            <v>QGARD01</v>
          </cell>
          <cell r="AD5328">
            <v>27000</v>
          </cell>
        </row>
        <row r="5329">
          <cell r="W5329" t="str">
            <v>QGARD01</v>
          </cell>
          <cell r="AD5329">
            <v>27000</v>
          </cell>
        </row>
        <row r="5330">
          <cell r="W5330" t="str">
            <v>QGARD01</v>
          </cell>
          <cell r="AD5330">
            <v>27000</v>
          </cell>
        </row>
        <row r="5331">
          <cell r="W5331" t="str">
            <v>QGARD01</v>
          </cell>
          <cell r="AD5331">
            <v>27000</v>
          </cell>
        </row>
        <row r="5332">
          <cell r="W5332" t="str">
            <v>QGARD01</v>
          </cell>
          <cell r="AD5332">
            <v>27000</v>
          </cell>
        </row>
        <row r="5333">
          <cell r="W5333" t="str">
            <v>QGARD01</v>
          </cell>
          <cell r="AD5333">
            <v>27000</v>
          </cell>
        </row>
        <row r="5334">
          <cell r="W5334" t="str">
            <v>QGARD01</v>
          </cell>
          <cell r="AD5334">
            <v>27000</v>
          </cell>
        </row>
        <row r="5335">
          <cell r="W5335" t="str">
            <v>QGARD01</v>
          </cell>
          <cell r="AD5335">
            <v>27000</v>
          </cell>
        </row>
        <row r="5336">
          <cell r="W5336" t="str">
            <v>QGARD01</v>
          </cell>
          <cell r="AD5336">
            <v>27000</v>
          </cell>
        </row>
        <row r="5337">
          <cell r="W5337" t="str">
            <v>QGARD01</v>
          </cell>
          <cell r="AD5337">
            <v>27000</v>
          </cell>
        </row>
        <row r="5338">
          <cell r="W5338" t="str">
            <v>QGARD01</v>
          </cell>
          <cell r="AD5338">
            <v>27000</v>
          </cell>
        </row>
        <row r="5339">
          <cell r="W5339" t="str">
            <v>AGAVI01</v>
          </cell>
          <cell r="AD5339">
            <v>1</v>
          </cell>
        </row>
        <row r="5340">
          <cell r="W5340" t="str">
            <v>QGEMA04</v>
          </cell>
          <cell r="AD5340">
            <v>20681.82</v>
          </cell>
        </row>
        <row r="5341">
          <cell r="W5341" t="str">
            <v>QGEMI01</v>
          </cell>
          <cell r="AD5341">
            <v>89000</v>
          </cell>
        </row>
        <row r="5342">
          <cell r="W5342" t="str">
            <v>QGEMI01</v>
          </cell>
          <cell r="AD5342">
            <v>90000</v>
          </cell>
        </row>
        <row r="5343">
          <cell r="W5343" t="str">
            <v>QGEMI01</v>
          </cell>
          <cell r="AD5343">
            <v>90000</v>
          </cell>
        </row>
        <row r="5344">
          <cell r="W5344" t="str">
            <v>QGEMI01</v>
          </cell>
          <cell r="AD5344">
            <v>90000</v>
          </cell>
        </row>
        <row r="5345">
          <cell r="W5345" t="str">
            <v>QGEMI01</v>
          </cell>
          <cell r="AD5345">
            <v>90500</v>
          </cell>
        </row>
        <row r="5346">
          <cell r="W5346" t="str">
            <v>QGENI03</v>
          </cell>
          <cell r="AD5346">
            <v>600000</v>
          </cell>
        </row>
        <row r="5347">
          <cell r="W5347" t="str">
            <v>QGENI03</v>
          </cell>
          <cell r="AD5347">
            <v>600000</v>
          </cell>
        </row>
        <row r="5348">
          <cell r="W5348" t="str">
            <v>QGENI03</v>
          </cell>
          <cell r="AD5348">
            <v>600000</v>
          </cell>
        </row>
        <row r="5349">
          <cell r="W5349" t="str">
            <v>QGENI03</v>
          </cell>
          <cell r="AD5349">
            <v>600000</v>
          </cell>
        </row>
        <row r="5350">
          <cell r="W5350" t="str">
            <v>QGENI03</v>
          </cell>
          <cell r="AD5350">
            <v>600000</v>
          </cell>
        </row>
        <row r="5351">
          <cell r="W5351" t="str">
            <v>QGENI03</v>
          </cell>
          <cell r="AD5351">
            <v>660000</v>
          </cell>
        </row>
        <row r="5352">
          <cell r="W5352" t="str">
            <v>QGENI03</v>
          </cell>
          <cell r="AD5352">
            <v>660000</v>
          </cell>
        </row>
        <row r="5353">
          <cell r="W5353" t="str">
            <v>QGENI03</v>
          </cell>
          <cell r="AD5353">
            <v>660000</v>
          </cell>
        </row>
        <row r="5354">
          <cell r="W5354" t="str">
            <v>QGENI01</v>
          </cell>
          <cell r="AD5354">
            <v>33000</v>
          </cell>
        </row>
        <row r="5355">
          <cell r="W5355" t="str">
            <v>QGENI01</v>
          </cell>
          <cell r="AD5355">
            <v>33000</v>
          </cell>
        </row>
        <row r="5356">
          <cell r="W5356" t="str">
            <v>QGENI01</v>
          </cell>
          <cell r="AD5356">
            <v>33500</v>
          </cell>
        </row>
        <row r="5357">
          <cell r="W5357" t="str">
            <v>QGENI02</v>
          </cell>
          <cell r="AD5357">
            <v>155000</v>
          </cell>
        </row>
        <row r="5358">
          <cell r="W5358" t="str">
            <v>QGENI02</v>
          </cell>
          <cell r="AD5358">
            <v>170000</v>
          </cell>
        </row>
        <row r="5359">
          <cell r="W5359" t="str">
            <v>QGOLD07</v>
          </cell>
          <cell r="AD5359">
            <v>88000</v>
          </cell>
        </row>
        <row r="5360">
          <cell r="W5360" t="str">
            <v>QGOLD07</v>
          </cell>
          <cell r="AD5360">
            <v>90000</v>
          </cell>
        </row>
        <row r="5361">
          <cell r="W5361" t="str">
            <v>QGOLD07</v>
          </cell>
          <cell r="AD5361">
            <v>90000</v>
          </cell>
        </row>
        <row r="5362">
          <cell r="W5362" t="str">
            <v>QGOLD07</v>
          </cell>
          <cell r="AD5362">
            <v>90500</v>
          </cell>
        </row>
        <row r="5363">
          <cell r="W5363" t="str">
            <v>QGOLD07</v>
          </cell>
          <cell r="AD5363">
            <v>90500</v>
          </cell>
        </row>
        <row r="5364">
          <cell r="W5364" t="str">
            <v>QGOLD07</v>
          </cell>
          <cell r="AD5364">
            <v>90500</v>
          </cell>
        </row>
        <row r="5365">
          <cell r="W5365" t="str">
            <v>QGOLD07</v>
          </cell>
          <cell r="AD5365">
            <v>90500</v>
          </cell>
        </row>
        <row r="5366">
          <cell r="W5366" t="str">
            <v>QGOLD07</v>
          </cell>
          <cell r="AD5366">
            <v>90500</v>
          </cell>
        </row>
        <row r="5367">
          <cell r="W5367" t="str">
            <v>QGOLD07</v>
          </cell>
          <cell r="AD5367">
            <v>90500</v>
          </cell>
        </row>
        <row r="5368">
          <cell r="W5368" t="str">
            <v>QGOLD07</v>
          </cell>
          <cell r="AD5368">
            <v>90500</v>
          </cell>
        </row>
        <row r="5369">
          <cell r="W5369" t="str">
            <v>QGOLD07</v>
          </cell>
          <cell r="AD5369">
            <v>90500</v>
          </cell>
        </row>
        <row r="5370">
          <cell r="W5370" t="str">
            <v>QGOLD07</v>
          </cell>
          <cell r="AD5370">
            <v>90500</v>
          </cell>
        </row>
        <row r="5371">
          <cell r="W5371" t="str">
            <v>QGOLD07</v>
          </cell>
          <cell r="AD5371">
            <v>90500</v>
          </cell>
        </row>
        <row r="5372">
          <cell r="W5372" t="str">
            <v>QGOLD07</v>
          </cell>
          <cell r="AD5372">
            <v>90500</v>
          </cell>
        </row>
        <row r="5373">
          <cell r="W5373" t="str">
            <v>QGOLD07</v>
          </cell>
          <cell r="AD5373">
            <v>90500</v>
          </cell>
        </row>
        <row r="5374">
          <cell r="W5374" t="str">
            <v>QGOLD07</v>
          </cell>
          <cell r="AD5374">
            <v>90500</v>
          </cell>
        </row>
        <row r="5375">
          <cell r="W5375" t="str">
            <v>QGGAM01</v>
          </cell>
          <cell r="AD5375">
            <v>57500</v>
          </cell>
        </row>
        <row r="5376">
          <cell r="W5376" t="str">
            <v>QGGAM01</v>
          </cell>
          <cell r="AD5376">
            <v>57500</v>
          </cell>
        </row>
        <row r="5377">
          <cell r="W5377" t="str">
            <v>QGGAM01</v>
          </cell>
          <cell r="AD5377">
            <v>57500</v>
          </cell>
        </row>
        <row r="5378">
          <cell r="W5378" t="str">
            <v>QGGAM01</v>
          </cell>
          <cell r="AD5378">
            <v>57500</v>
          </cell>
        </row>
        <row r="5379">
          <cell r="W5379" t="str">
            <v>QGGAM01</v>
          </cell>
          <cell r="AD5379">
            <v>57500</v>
          </cell>
        </row>
        <row r="5380">
          <cell r="W5380" t="str">
            <v>QGGAM01</v>
          </cell>
          <cell r="AD5380">
            <v>57500</v>
          </cell>
        </row>
        <row r="5381">
          <cell r="W5381" t="str">
            <v>QGGAM01</v>
          </cell>
          <cell r="AD5381">
            <v>57500</v>
          </cell>
        </row>
        <row r="5382">
          <cell r="W5382" t="str">
            <v>QGGAM01</v>
          </cell>
          <cell r="AD5382">
            <v>57500</v>
          </cell>
        </row>
        <row r="5383">
          <cell r="W5383" t="str">
            <v>QGOLD09</v>
          </cell>
          <cell r="AD5383">
            <v>88000</v>
          </cell>
        </row>
        <row r="5384">
          <cell r="W5384" t="str">
            <v>QGOLD09</v>
          </cell>
          <cell r="AD5384">
            <v>88000</v>
          </cell>
        </row>
        <row r="5385">
          <cell r="W5385" t="str">
            <v>QGOLD09</v>
          </cell>
          <cell r="AD5385">
            <v>88500</v>
          </cell>
        </row>
        <row r="5386">
          <cell r="W5386" t="str">
            <v>QGOLD10</v>
          </cell>
          <cell r="AD5386">
            <v>66000</v>
          </cell>
        </row>
        <row r="5387">
          <cell r="W5387" t="str">
            <v>QGOLD10</v>
          </cell>
          <cell r="AD5387">
            <v>68000</v>
          </cell>
        </row>
        <row r="5388">
          <cell r="W5388" t="str">
            <v>QGOLD10</v>
          </cell>
          <cell r="AD5388">
            <v>68000</v>
          </cell>
        </row>
        <row r="5389">
          <cell r="W5389" t="str">
            <v>QGIBG01</v>
          </cell>
          <cell r="AD5389">
            <v>3078</v>
          </cell>
        </row>
        <row r="5390">
          <cell r="W5390" t="str">
            <v>QGIBG01</v>
          </cell>
          <cell r="AD5390">
            <v>3100</v>
          </cell>
        </row>
        <row r="5391">
          <cell r="W5391" t="str">
            <v>QGIBG01</v>
          </cell>
          <cell r="AD5391">
            <v>3250</v>
          </cell>
        </row>
        <row r="5392">
          <cell r="W5392" t="str">
            <v>QGIBG01</v>
          </cell>
          <cell r="AD5392">
            <v>3250</v>
          </cell>
        </row>
        <row r="5393">
          <cell r="W5393" t="str">
            <v>AGIBG01</v>
          </cell>
          <cell r="AD5393">
            <v>3250</v>
          </cell>
        </row>
        <row r="5394">
          <cell r="W5394" t="str">
            <v>QGIBG01</v>
          </cell>
          <cell r="AD5394">
            <v>3300</v>
          </cell>
        </row>
        <row r="5395">
          <cell r="W5395" t="str">
            <v>QGIBG01</v>
          </cell>
          <cell r="AD5395">
            <v>3300</v>
          </cell>
        </row>
        <row r="5396">
          <cell r="W5396" t="str">
            <v>QGIBG01</v>
          </cell>
          <cell r="AD5396">
            <v>3300</v>
          </cell>
        </row>
        <row r="5397">
          <cell r="W5397" t="str">
            <v>QGIBG01</v>
          </cell>
          <cell r="AD5397">
            <v>3500</v>
          </cell>
        </row>
        <row r="5398">
          <cell r="W5398" t="str">
            <v>QGIBG01</v>
          </cell>
          <cell r="AD5398">
            <v>3500</v>
          </cell>
        </row>
        <row r="5399">
          <cell r="W5399" t="str">
            <v>QGIBG01</v>
          </cell>
          <cell r="AD5399">
            <v>3600</v>
          </cell>
        </row>
        <row r="5400">
          <cell r="W5400" t="str">
            <v>QGIBG01</v>
          </cell>
          <cell r="AD5400">
            <v>3600</v>
          </cell>
        </row>
        <row r="5401">
          <cell r="W5401" t="str">
            <v>QGIBG01</v>
          </cell>
          <cell r="AD5401">
            <v>3600</v>
          </cell>
        </row>
        <row r="5402">
          <cell r="W5402" t="str">
            <v>QGIBG03</v>
          </cell>
          <cell r="AD5402">
            <v>3100</v>
          </cell>
        </row>
        <row r="5403">
          <cell r="W5403" t="str">
            <v>QGIBG03</v>
          </cell>
          <cell r="AD5403">
            <v>3150</v>
          </cell>
        </row>
        <row r="5404">
          <cell r="W5404" t="str">
            <v>QGIBG03</v>
          </cell>
          <cell r="AD5404">
            <v>3150</v>
          </cell>
        </row>
        <row r="5405">
          <cell r="W5405" t="str">
            <v>QGIBG03</v>
          </cell>
          <cell r="AD5405">
            <v>3250</v>
          </cell>
        </row>
        <row r="5406">
          <cell r="W5406" t="str">
            <v>QGIBG03</v>
          </cell>
          <cell r="AD5406">
            <v>3250</v>
          </cell>
        </row>
        <row r="5407">
          <cell r="W5407" t="str">
            <v>QGIBG03</v>
          </cell>
          <cell r="AD5407">
            <v>3250</v>
          </cell>
        </row>
        <row r="5408">
          <cell r="W5408" t="str">
            <v>QGIBG03</v>
          </cell>
          <cell r="AD5408">
            <v>3250</v>
          </cell>
        </row>
        <row r="5409">
          <cell r="W5409" t="str">
            <v>QGIBG03</v>
          </cell>
          <cell r="AD5409">
            <v>3250</v>
          </cell>
        </row>
        <row r="5410">
          <cell r="W5410" t="str">
            <v>QGIBG03</v>
          </cell>
          <cell r="AD5410">
            <v>3250</v>
          </cell>
        </row>
        <row r="5411">
          <cell r="W5411" t="str">
            <v>QGIBG03</v>
          </cell>
          <cell r="AD5411">
            <v>3250</v>
          </cell>
        </row>
        <row r="5412">
          <cell r="W5412" t="str">
            <v>QGIBG03</v>
          </cell>
          <cell r="AD5412">
            <v>3250</v>
          </cell>
        </row>
        <row r="5413">
          <cell r="W5413" t="str">
            <v>QGIBG03</v>
          </cell>
          <cell r="AD5413">
            <v>3250</v>
          </cell>
        </row>
        <row r="5414">
          <cell r="W5414" t="str">
            <v>QGIBG03</v>
          </cell>
          <cell r="AD5414">
            <v>3250</v>
          </cell>
        </row>
        <row r="5415">
          <cell r="W5415" t="str">
            <v>QGIBG03</v>
          </cell>
          <cell r="AD5415">
            <v>3250</v>
          </cell>
        </row>
        <row r="5416">
          <cell r="W5416" t="str">
            <v>QGIBG03</v>
          </cell>
          <cell r="AD5416">
            <v>3250</v>
          </cell>
        </row>
        <row r="5417">
          <cell r="W5417" t="str">
            <v>QGIBG03</v>
          </cell>
          <cell r="AD5417">
            <v>3300</v>
          </cell>
        </row>
        <row r="5418">
          <cell r="W5418" t="str">
            <v>QGIBG03</v>
          </cell>
          <cell r="AD5418">
            <v>3300</v>
          </cell>
        </row>
        <row r="5419">
          <cell r="W5419" t="str">
            <v>QGIBG03</v>
          </cell>
          <cell r="AD5419">
            <v>3350</v>
          </cell>
        </row>
        <row r="5420">
          <cell r="W5420" t="str">
            <v>QGIBG03</v>
          </cell>
          <cell r="AD5420">
            <v>3350</v>
          </cell>
        </row>
        <row r="5421">
          <cell r="W5421" t="str">
            <v>QGIBG03</v>
          </cell>
          <cell r="AD5421">
            <v>3350</v>
          </cell>
        </row>
        <row r="5422">
          <cell r="W5422" t="str">
            <v>QGIBG03</v>
          </cell>
          <cell r="AD5422">
            <v>3350</v>
          </cell>
        </row>
        <row r="5423">
          <cell r="W5423" t="str">
            <v>QGIBG03</v>
          </cell>
          <cell r="AD5423">
            <v>3400</v>
          </cell>
        </row>
        <row r="5424">
          <cell r="W5424" t="str">
            <v>QGIBG03</v>
          </cell>
          <cell r="AD5424">
            <v>3400</v>
          </cell>
        </row>
        <row r="5425">
          <cell r="W5425" t="str">
            <v>QGIBG03</v>
          </cell>
          <cell r="AD5425">
            <v>3400</v>
          </cell>
        </row>
        <row r="5426">
          <cell r="W5426" t="str">
            <v>QGIBG03</v>
          </cell>
          <cell r="AD5426">
            <v>3400</v>
          </cell>
        </row>
        <row r="5427">
          <cell r="W5427" t="str">
            <v>QGIBG03</v>
          </cell>
          <cell r="AD5427">
            <v>3400</v>
          </cell>
        </row>
        <row r="5428">
          <cell r="W5428" t="str">
            <v>QGIBG03</v>
          </cell>
          <cell r="AD5428">
            <v>3500</v>
          </cell>
        </row>
        <row r="5429">
          <cell r="W5429" t="str">
            <v>QGIBG03</v>
          </cell>
          <cell r="AD5429">
            <v>3500</v>
          </cell>
        </row>
        <row r="5430">
          <cell r="W5430" t="str">
            <v>QGIBG03</v>
          </cell>
          <cell r="AD5430">
            <v>3500</v>
          </cell>
        </row>
        <row r="5431">
          <cell r="W5431" t="str">
            <v>QGIBG03</v>
          </cell>
          <cell r="AD5431">
            <v>3500</v>
          </cell>
        </row>
        <row r="5432">
          <cell r="W5432" t="str">
            <v>QGIBG03</v>
          </cell>
          <cell r="AD5432">
            <v>3500</v>
          </cell>
        </row>
        <row r="5433">
          <cell r="W5433" t="str">
            <v>QGIBG03</v>
          </cell>
          <cell r="AD5433">
            <v>3500</v>
          </cell>
        </row>
        <row r="5434">
          <cell r="W5434" t="str">
            <v>QGIBG03</v>
          </cell>
          <cell r="AD5434">
            <v>3500</v>
          </cell>
        </row>
        <row r="5435">
          <cell r="W5435" t="str">
            <v>QGIBG03</v>
          </cell>
          <cell r="AD5435">
            <v>3500</v>
          </cell>
        </row>
        <row r="5436">
          <cell r="W5436" t="str">
            <v>QGIBG03</v>
          </cell>
          <cell r="AD5436">
            <v>3500</v>
          </cell>
        </row>
        <row r="5437">
          <cell r="W5437" t="str">
            <v>QGIBG03</v>
          </cell>
          <cell r="AD5437">
            <v>3500</v>
          </cell>
        </row>
        <row r="5438">
          <cell r="W5438" t="str">
            <v>QGIBG03</v>
          </cell>
          <cell r="AD5438">
            <v>3500</v>
          </cell>
        </row>
        <row r="5439">
          <cell r="W5439" t="str">
            <v>QGIBG03</v>
          </cell>
          <cell r="AD5439">
            <v>3500</v>
          </cell>
        </row>
        <row r="5440">
          <cell r="W5440" t="str">
            <v>QGIBG03</v>
          </cell>
          <cell r="AD5440">
            <v>3500</v>
          </cell>
        </row>
        <row r="5441">
          <cell r="W5441" t="str">
            <v>QGIBG03</v>
          </cell>
          <cell r="AD5441">
            <v>3500</v>
          </cell>
        </row>
        <row r="5442">
          <cell r="W5442" t="str">
            <v>QGIBG03</v>
          </cell>
          <cell r="AD5442">
            <v>3500</v>
          </cell>
        </row>
        <row r="5443">
          <cell r="W5443" t="str">
            <v>QGIBG03</v>
          </cell>
          <cell r="AD5443">
            <v>3500</v>
          </cell>
        </row>
        <row r="5444">
          <cell r="W5444" t="str">
            <v>QGIBG03</v>
          </cell>
          <cell r="AD5444">
            <v>3500</v>
          </cell>
        </row>
        <row r="5445">
          <cell r="W5445" t="str">
            <v>QGIBG03</v>
          </cell>
          <cell r="AD5445">
            <v>3500</v>
          </cell>
        </row>
        <row r="5446">
          <cell r="W5446" t="str">
            <v>QGIBG03</v>
          </cell>
          <cell r="AD5446">
            <v>3500</v>
          </cell>
        </row>
        <row r="5447">
          <cell r="W5447" t="str">
            <v>QGIBG03</v>
          </cell>
          <cell r="AD5447">
            <v>3500</v>
          </cell>
        </row>
        <row r="5448">
          <cell r="W5448" t="str">
            <v>QGIBG03</v>
          </cell>
          <cell r="AD5448">
            <v>3500</v>
          </cell>
        </row>
        <row r="5449">
          <cell r="W5449" t="str">
            <v>QGIBG03</v>
          </cell>
          <cell r="AD5449">
            <v>3500</v>
          </cell>
        </row>
        <row r="5450">
          <cell r="W5450" t="str">
            <v>QGIBG03</v>
          </cell>
          <cell r="AD5450">
            <v>3500</v>
          </cell>
        </row>
        <row r="5451">
          <cell r="W5451" t="str">
            <v>QGIBG03</v>
          </cell>
          <cell r="AD5451">
            <v>3500</v>
          </cell>
        </row>
        <row r="5452">
          <cell r="W5452" t="str">
            <v>QGIBG03</v>
          </cell>
          <cell r="AD5452">
            <v>3600</v>
          </cell>
        </row>
        <row r="5453">
          <cell r="W5453" t="str">
            <v>QGIBG03</v>
          </cell>
          <cell r="AD5453">
            <v>3600</v>
          </cell>
        </row>
        <row r="5454">
          <cell r="W5454" t="str">
            <v>QGIBG03</v>
          </cell>
          <cell r="AD5454">
            <v>3600</v>
          </cell>
        </row>
        <row r="5455">
          <cell r="W5455" t="str">
            <v>QGIBG03</v>
          </cell>
          <cell r="AD5455">
            <v>3600</v>
          </cell>
        </row>
        <row r="5456">
          <cell r="W5456" t="str">
            <v>QGIBG03</v>
          </cell>
          <cell r="AD5456">
            <v>3600</v>
          </cell>
        </row>
        <row r="5457">
          <cell r="W5457" t="str">
            <v>QGIBG03</v>
          </cell>
          <cell r="AD5457">
            <v>3600</v>
          </cell>
        </row>
        <row r="5458">
          <cell r="W5458" t="str">
            <v>QGIBG03</v>
          </cell>
          <cell r="AD5458">
            <v>3600</v>
          </cell>
        </row>
        <row r="5459">
          <cell r="W5459" t="str">
            <v>QGIBG02</v>
          </cell>
          <cell r="AD5459">
            <v>20750</v>
          </cell>
        </row>
        <row r="5460">
          <cell r="W5460" t="str">
            <v>QGIBG02</v>
          </cell>
          <cell r="AD5460">
            <v>21000</v>
          </cell>
        </row>
        <row r="5461">
          <cell r="W5461" t="str">
            <v>QGIBG02</v>
          </cell>
          <cell r="AD5461">
            <v>21000</v>
          </cell>
        </row>
        <row r="5462">
          <cell r="W5462" t="str">
            <v>QGIBG02</v>
          </cell>
          <cell r="AD5462">
            <v>21000</v>
          </cell>
        </row>
        <row r="5463">
          <cell r="W5463" t="str">
            <v>QGIBG02</v>
          </cell>
          <cell r="AD5463">
            <v>21000</v>
          </cell>
        </row>
        <row r="5464">
          <cell r="W5464" t="str">
            <v>QGIBG02</v>
          </cell>
          <cell r="AD5464">
            <v>21000</v>
          </cell>
        </row>
        <row r="5465">
          <cell r="W5465" t="str">
            <v>QGIBG02</v>
          </cell>
          <cell r="AD5465">
            <v>21500</v>
          </cell>
        </row>
        <row r="5466">
          <cell r="W5466" t="str">
            <v>QGIBG02</v>
          </cell>
          <cell r="AD5466">
            <v>22000</v>
          </cell>
        </row>
        <row r="5467">
          <cell r="W5467" t="str">
            <v>QGIBG02</v>
          </cell>
          <cell r="AD5467">
            <v>22000</v>
          </cell>
        </row>
        <row r="5468">
          <cell r="W5468" t="str">
            <v>QGIBG02</v>
          </cell>
          <cell r="AD5468">
            <v>22000</v>
          </cell>
        </row>
        <row r="5469">
          <cell r="W5469" t="str">
            <v>QGIBG02</v>
          </cell>
          <cell r="AD5469">
            <v>22000</v>
          </cell>
        </row>
        <row r="5470">
          <cell r="W5470" t="str">
            <v>QGIBG02</v>
          </cell>
          <cell r="AD5470">
            <v>22000</v>
          </cell>
        </row>
        <row r="5471">
          <cell r="W5471" t="str">
            <v>QGIBG02</v>
          </cell>
          <cell r="AD5471">
            <v>22000</v>
          </cell>
        </row>
        <row r="5472">
          <cell r="W5472" t="str">
            <v>QGIBG02</v>
          </cell>
          <cell r="AD5472">
            <v>22000</v>
          </cell>
        </row>
        <row r="5473">
          <cell r="W5473" t="str">
            <v>QGIBG02</v>
          </cell>
          <cell r="AD5473">
            <v>22000</v>
          </cell>
        </row>
        <row r="5474">
          <cell r="W5474" t="str">
            <v>QGIBG02</v>
          </cell>
          <cell r="AD5474">
            <v>22000</v>
          </cell>
        </row>
        <row r="5475">
          <cell r="W5475" t="str">
            <v>QGIBG02</v>
          </cell>
          <cell r="AD5475">
            <v>22000</v>
          </cell>
        </row>
        <row r="5476">
          <cell r="W5476" t="str">
            <v>QGIBG02</v>
          </cell>
          <cell r="AD5476">
            <v>22500</v>
          </cell>
        </row>
        <row r="5477">
          <cell r="W5477" t="str">
            <v>QGIBG02</v>
          </cell>
          <cell r="AD5477">
            <v>22500</v>
          </cell>
        </row>
        <row r="5478">
          <cell r="W5478" t="str">
            <v>QGIBG02</v>
          </cell>
          <cell r="AD5478">
            <v>22500</v>
          </cell>
        </row>
        <row r="5479">
          <cell r="W5479" t="str">
            <v>QGIBG02</v>
          </cell>
          <cell r="AD5479">
            <v>22500</v>
          </cell>
        </row>
        <row r="5480">
          <cell r="W5480" t="str">
            <v>QGIBG02</v>
          </cell>
          <cell r="AD5480">
            <v>22500</v>
          </cell>
        </row>
        <row r="5481">
          <cell r="W5481" t="str">
            <v>QGIBG02</v>
          </cell>
          <cell r="AD5481">
            <v>22500</v>
          </cell>
        </row>
        <row r="5482">
          <cell r="W5482" t="str">
            <v>QGIBG02</v>
          </cell>
          <cell r="AD5482">
            <v>22500</v>
          </cell>
        </row>
        <row r="5483">
          <cell r="W5483" t="str">
            <v>QGIBG02</v>
          </cell>
          <cell r="AD5483">
            <v>22500</v>
          </cell>
        </row>
        <row r="5484">
          <cell r="W5484" t="str">
            <v>QGIBG02</v>
          </cell>
          <cell r="AD5484">
            <v>22500</v>
          </cell>
        </row>
        <row r="5485">
          <cell r="W5485" t="str">
            <v>QGIBG02</v>
          </cell>
          <cell r="AD5485">
            <v>22750</v>
          </cell>
        </row>
        <row r="5486">
          <cell r="W5486" t="str">
            <v>QGIBG02</v>
          </cell>
          <cell r="AD5486">
            <v>22750</v>
          </cell>
        </row>
        <row r="5487">
          <cell r="W5487" t="str">
            <v>QGIBG02</v>
          </cell>
          <cell r="AD5487">
            <v>22750</v>
          </cell>
        </row>
        <row r="5488">
          <cell r="W5488" t="str">
            <v>QGIBG02</v>
          </cell>
          <cell r="AD5488">
            <v>22750</v>
          </cell>
        </row>
        <row r="5489">
          <cell r="W5489" t="str">
            <v>QGIBG02</v>
          </cell>
          <cell r="AD5489">
            <v>23000</v>
          </cell>
        </row>
        <row r="5490">
          <cell r="W5490" t="str">
            <v>QGIBG02</v>
          </cell>
          <cell r="AD5490">
            <v>23000</v>
          </cell>
        </row>
        <row r="5491">
          <cell r="W5491" t="str">
            <v>QGIBG02</v>
          </cell>
          <cell r="AD5491">
            <v>23000</v>
          </cell>
        </row>
        <row r="5492">
          <cell r="W5492" t="str">
            <v>QGIBG02</v>
          </cell>
          <cell r="AD5492">
            <v>23500</v>
          </cell>
        </row>
        <row r="5493">
          <cell r="W5493" t="str">
            <v>QGIBG02</v>
          </cell>
          <cell r="AD5493">
            <v>23500</v>
          </cell>
        </row>
        <row r="5494">
          <cell r="W5494" t="str">
            <v>QGIBG02</v>
          </cell>
          <cell r="AD5494">
            <v>23500</v>
          </cell>
        </row>
        <row r="5495">
          <cell r="W5495" t="str">
            <v>QGIBG02</v>
          </cell>
          <cell r="AD5495">
            <v>23500</v>
          </cell>
        </row>
        <row r="5496">
          <cell r="W5496" t="str">
            <v>QGIBG02</v>
          </cell>
          <cell r="AD5496">
            <v>23500</v>
          </cell>
        </row>
        <row r="5497">
          <cell r="W5497" t="str">
            <v>QGIBG02</v>
          </cell>
          <cell r="AD5497">
            <v>23500</v>
          </cell>
        </row>
        <row r="5498">
          <cell r="W5498" t="str">
            <v>QGIBG02</v>
          </cell>
          <cell r="AD5498">
            <v>23500</v>
          </cell>
        </row>
        <row r="5499">
          <cell r="W5499" t="str">
            <v>QGIBG02</v>
          </cell>
          <cell r="AD5499">
            <v>23500</v>
          </cell>
        </row>
        <row r="5500">
          <cell r="W5500" t="str">
            <v>QGIBG02</v>
          </cell>
          <cell r="AD5500">
            <v>23500</v>
          </cell>
        </row>
        <row r="5501">
          <cell r="W5501" t="str">
            <v>QGIBG02</v>
          </cell>
          <cell r="AD5501">
            <v>23500</v>
          </cell>
        </row>
        <row r="5502">
          <cell r="W5502" t="str">
            <v>QGIBG02</v>
          </cell>
          <cell r="AD5502">
            <v>23500</v>
          </cell>
        </row>
        <row r="5503">
          <cell r="W5503" t="str">
            <v>QGIBG02</v>
          </cell>
          <cell r="AD5503">
            <v>23750</v>
          </cell>
        </row>
        <row r="5504">
          <cell r="W5504" t="str">
            <v>QGLOV01</v>
          </cell>
          <cell r="AD5504">
            <v>28500</v>
          </cell>
        </row>
        <row r="5505">
          <cell r="W5505" t="str">
            <v>QGLOV01</v>
          </cell>
          <cell r="AD5505">
            <v>30000</v>
          </cell>
        </row>
        <row r="5506">
          <cell r="W5506" t="str">
            <v>AGLOV01</v>
          </cell>
          <cell r="AD5506">
            <v>1</v>
          </cell>
        </row>
        <row r="5507">
          <cell r="W5507" t="str">
            <v>QGOAL01</v>
          </cell>
          <cell r="AD5507">
            <v>25750</v>
          </cell>
        </row>
        <row r="5508">
          <cell r="W5508" t="str">
            <v>QGOAL01</v>
          </cell>
          <cell r="AD5508">
            <v>26000</v>
          </cell>
        </row>
        <row r="5509">
          <cell r="W5509" t="str">
            <v>QGOAL01</v>
          </cell>
          <cell r="AD5509">
            <v>26000</v>
          </cell>
        </row>
        <row r="5510">
          <cell r="W5510" t="str">
            <v>QGOAL01</v>
          </cell>
          <cell r="AD5510">
            <v>26250</v>
          </cell>
        </row>
        <row r="5511">
          <cell r="W5511" t="str">
            <v>QGOAL01</v>
          </cell>
          <cell r="AD5511">
            <v>26250</v>
          </cell>
        </row>
        <row r="5512">
          <cell r="W5512" t="str">
            <v>QGOAL01</v>
          </cell>
          <cell r="AD5512">
            <v>26250</v>
          </cell>
        </row>
        <row r="5513">
          <cell r="W5513" t="str">
            <v>QGOAL01</v>
          </cell>
          <cell r="AD5513">
            <v>26250</v>
          </cell>
        </row>
        <row r="5514">
          <cell r="W5514" t="str">
            <v>QGOAL01</v>
          </cell>
          <cell r="AD5514">
            <v>26250</v>
          </cell>
        </row>
        <row r="5515">
          <cell r="W5515" t="str">
            <v>QGOAL01</v>
          </cell>
          <cell r="AD5515">
            <v>26250</v>
          </cell>
        </row>
        <row r="5516">
          <cell r="W5516" t="str">
            <v>QGOAL01</v>
          </cell>
          <cell r="AD5516">
            <v>26250</v>
          </cell>
        </row>
        <row r="5517">
          <cell r="W5517" t="str">
            <v>QGOAL01</v>
          </cell>
          <cell r="AD5517">
            <v>26500</v>
          </cell>
        </row>
        <row r="5518">
          <cell r="W5518" t="str">
            <v>QGOAL01</v>
          </cell>
          <cell r="AD5518">
            <v>26500</v>
          </cell>
        </row>
        <row r="5519">
          <cell r="W5519" t="str">
            <v>QGOAL01</v>
          </cell>
          <cell r="AD5519">
            <v>26500</v>
          </cell>
        </row>
        <row r="5520">
          <cell r="W5520" t="str">
            <v>QGOAL01</v>
          </cell>
          <cell r="AD5520">
            <v>26500</v>
          </cell>
        </row>
        <row r="5521">
          <cell r="W5521" t="str">
            <v>QGOAL01</v>
          </cell>
          <cell r="AD5521">
            <v>26500</v>
          </cell>
        </row>
        <row r="5522">
          <cell r="W5522" t="str">
            <v>QGOAL01</v>
          </cell>
          <cell r="AD5522">
            <v>26500</v>
          </cell>
        </row>
        <row r="5523">
          <cell r="W5523" t="str">
            <v>QGOAL01</v>
          </cell>
          <cell r="AD5523">
            <v>26500</v>
          </cell>
        </row>
        <row r="5524">
          <cell r="W5524" t="str">
            <v>QGOAL01</v>
          </cell>
          <cell r="AD5524">
            <v>26500</v>
          </cell>
        </row>
        <row r="5525">
          <cell r="W5525" t="str">
            <v>QGOAL01</v>
          </cell>
          <cell r="AD5525">
            <v>26500</v>
          </cell>
        </row>
        <row r="5526">
          <cell r="W5526" t="str">
            <v>QGOAL01</v>
          </cell>
          <cell r="AD5526">
            <v>26500</v>
          </cell>
        </row>
        <row r="5527">
          <cell r="W5527" t="str">
            <v>QGOAL01</v>
          </cell>
          <cell r="AD5527">
            <v>26500</v>
          </cell>
        </row>
        <row r="5528">
          <cell r="W5528" t="str">
            <v>QGOAL02</v>
          </cell>
          <cell r="AD5528">
            <v>46250</v>
          </cell>
        </row>
        <row r="5529">
          <cell r="W5529" t="str">
            <v>QGOAL02</v>
          </cell>
          <cell r="AD5529">
            <v>46250</v>
          </cell>
        </row>
        <row r="5530">
          <cell r="W5530" t="str">
            <v>QGOAL02</v>
          </cell>
          <cell r="AD5530">
            <v>46500</v>
          </cell>
        </row>
        <row r="5531">
          <cell r="W5531" t="str">
            <v>QGOAL02</v>
          </cell>
          <cell r="AD5531">
            <v>46500</v>
          </cell>
        </row>
        <row r="5532">
          <cell r="W5532" t="str">
            <v>QGOAL02</v>
          </cell>
          <cell r="AD5532">
            <v>46500</v>
          </cell>
        </row>
        <row r="5533">
          <cell r="W5533" t="str">
            <v>QGOAL02</v>
          </cell>
          <cell r="AD5533">
            <v>46500</v>
          </cell>
        </row>
        <row r="5534">
          <cell r="W5534" t="str">
            <v>QGOAL02</v>
          </cell>
          <cell r="AD5534">
            <v>46500</v>
          </cell>
        </row>
        <row r="5535">
          <cell r="W5535" t="str">
            <v>QGOAL02</v>
          </cell>
          <cell r="AD5535">
            <v>46500</v>
          </cell>
        </row>
        <row r="5536">
          <cell r="W5536" t="str">
            <v>QGOAL02</v>
          </cell>
          <cell r="AD5536">
            <v>46500</v>
          </cell>
        </row>
        <row r="5537">
          <cell r="W5537" t="str">
            <v>QGOAL02</v>
          </cell>
          <cell r="AD5537">
            <v>46500</v>
          </cell>
        </row>
        <row r="5538">
          <cell r="W5538" t="str">
            <v>QGOAL02</v>
          </cell>
          <cell r="AD5538">
            <v>46500</v>
          </cell>
        </row>
        <row r="5539">
          <cell r="W5539" t="str">
            <v>QGOAL02</v>
          </cell>
          <cell r="AD5539">
            <v>46500</v>
          </cell>
        </row>
        <row r="5540">
          <cell r="W5540" t="str">
            <v>QGOAL02</v>
          </cell>
          <cell r="AD5540">
            <v>46500</v>
          </cell>
        </row>
        <row r="5541">
          <cell r="W5541" t="str">
            <v>QGOAL02</v>
          </cell>
          <cell r="AD5541">
            <v>46500</v>
          </cell>
        </row>
        <row r="5542">
          <cell r="W5542" t="str">
            <v>QGOAL02</v>
          </cell>
          <cell r="AD5542">
            <v>46500</v>
          </cell>
        </row>
        <row r="5543">
          <cell r="W5543" t="str">
            <v>QGOAL02</v>
          </cell>
          <cell r="AD5543">
            <v>46500</v>
          </cell>
        </row>
        <row r="5544">
          <cell r="W5544" t="str">
            <v>QGOAL02</v>
          </cell>
          <cell r="AD5544">
            <v>46750</v>
          </cell>
        </row>
        <row r="5545">
          <cell r="W5545" t="str">
            <v>QGOAL02</v>
          </cell>
          <cell r="AD5545">
            <v>46750</v>
          </cell>
        </row>
        <row r="5546">
          <cell r="W5546" t="str">
            <v>QGOAL02</v>
          </cell>
          <cell r="AD5546">
            <v>46750</v>
          </cell>
        </row>
        <row r="5547">
          <cell r="W5547" t="str">
            <v>QGOAL02</v>
          </cell>
          <cell r="AD5547">
            <v>46750</v>
          </cell>
        </row>
        <row r="5548">
          <cell r="W5548" t="str">
            <v>QGOAL02</v>
          </cell>
          <cell r="AD5548">
            <v>46750</v>
          </cell>
        </row>
        <row r="5549">
          <cell r="W5549" t="str">
            <v>QGOAL02</v>
          </cell>
          <cell r="AD5549">
            <v>46750</v>
          </cell>
        </row>
        <row r="5550">
          <cell r="W5550" t="str">
            <v>QGOAL02</v>
          </cell>
          <cell r="AD5550">
            <v>46750</v>
          </cell>
        </row>
        <row r="5551">
          <cell r="W5551" t="str">
            <v>QGOAL02</v>
          </cell>
          <cell r="AD5551">
            <v>47000</v>
          </cell>
        </row>
        <row r="5552">
          <cell r="W5552" t="str">
            <v>QGOAL02</v>
          </cell>
          <cell r="AD5552">
            <v>47000</v>
          </cell>
        </row>
        <row r="5553">
          <cell r="W5553" t="str">
            <v>QGOAL02</v>
          </cell>
          <cell r="AD5553">
            <v>47000</v>
          </cell>
        </row>
        <row r="5554">
          <cell r="W5554" t="str">
            <v>QGOAL02</v>
          </cell>
          <cell r="AD5554">
            <v>47000</v>
          </cell>
        </row>
        <row r="5555">
          <cell r="W5555" t="str">
            <v>QGOAL02</v>
          </cell>
          <cell r="AD5555">
            <v>47000</v>
          </cell>
        </row>
        <row r="5556">
          <cell r="W5556" t="str">
            <v>QGOAL02</v>
          </cell>
          <cell r="AD5556">
            <v>47000</v>
          </cell>
        </row>
        <row r="5557">
          <cell r="W5557" t="str">
            <v>QGOAL02</v>
          </cell>
          <cell r="AD5557">
            <v>47000</v>
          </cell>
        </row>
        <row r="5558">
          <cell r="W5558" t="str">
            <v>QGOAL02</v>
          </cell>
          <cell r="AD5558">
            <v>47000</v>
          </cell>
        </row>
        <row r="5559">
          <cell r="W5559" t="str">
            <v>QGOAL02</v>
          </cell>
          <cell r="AD5559">
            <v>47000</v>
          </cell>
        </row>
        <row r="5560">
          <cell r="W5560" t="str">
            <v>QGOAL02</v>
          </cell>
          <cell r="AD5560">
            <v>47000</v>
          </cell>
        </row>
        <row r="5561">
          <cell r="W5561" t="str">
            <v>QGOAL02</v>
          </cell>
          <cell r="AD5561">
            <v>47500</v>
          </cell>
        </row>
        <row r="5562">
          <cell r="W5562" t="str">
            <v>QGOAL02</v>
          </cell>
          <cell r="AD5562">
            <v>47500</v>
          </cell>
        </row>
        <row r="5563">
          <cell r="W5563" t="str">
            <v>QGOAL02</v>
          </cell>
          <cell r="AD5563">
            <v>47500</v>
          </cell>
        </row>
        <row r="5564">
          <cell r="W5564" t="str">
            <v>QGOAL02</v>
          </cell>
          <cell r="AD5564">
            <v>47500</v>
          </cell>
        </row>
        <row r="5565">
          <cell r="W5565" t="str">
            <v>QGOAL02</v>
          </cell>
          <cell r="AD5565">
            <v>47500</v>
          </cell>
        </row>
        <row r="5566">
          <cell r="W5566" t="str">
            <v>QGOAL02</v>
          </cell>
          <cell r="AD5566">
            <v>47500</v>
          </cell>
        </row>
        <row r="5567">
          <cell r="W5567" t="str">
            <v>QGOAL02</v>
          </cell>
          <cell r="AD5567">
            <v>47500</v>
          </cell>
        </row>
        <row r="5568">
          <cell r="W5568" t="str">
            <v>QGOAL02</v>
          </cell>
          <cell r="AD5568">
            <v>47500</v>
          </cell>
        </row>
        <row r="5569">
          <cell r="W5569" t="str">
            <v>QGOAL02</v>
          </cell>
          <cell r="AD5569">
            <v>47500</v>
          </cell>
        </row>
        <row r="5570">
          <cell r="W5570" t="str">
            <v>QGOAL02</v>
          </cell>
          <cell r="AD5570">
            <v>47500</v>
          </cell>
        </row>
        <row r="5571">
          <cell r="W5571" t="str">
            <v>QGOAL02</v>
          </cell>
          <cell r="AD5571">
            <v>47500</v>
          </cell>
        </row>
        <row r="5572">
          <cell r="W5572" t="str">
            <v>QGOAL02</v>
          </cell>
          <cell r="AD5572">
            <v>47500</v>
          </cell>
        </row>
        <row r="5573">
          <cell r="W5573" t="str">
            <v>QGOAL02</v>
          </cell>
          <cell r="AD5573">
            <v>47500</v>
          </cell>
        </row>
        <row r="5574">
          <cell r="W5574" t="str">
            <v>QGOAL02</v>
          </cell>
          <cell r="AD5574">
            <v>47500</v>
          </cell>
        </row>
        <row r="5575">
          <cell r="W5575" t="str">
            <v>QGOAL02</v>
          </cell>
          <cell r="AD5575">
            <v>47500</v>
          </cell>
        </row>
        <row r="5576">
          <cell r="W5576" t="str">
            <v>QGOAL02</v>
          </cell>
          <cell r="AD5576">
            <v>47500</v>
          </cell>
        </row>
        <row r="5577">
          <cell r="W5577" t="str">
            <v>QGOAL02</v>
          </cell>
          <cell r="AD5577">
            <v>47500</v>
          </cell>
        </row>
        <row r="5578">
          <cell r="W5578" t="str">
            <v>QGOAL02</v>
          </cell>
          <cell r="AD5578">
            <v>47500</v>
          </cell>
        </row>
        <row r="5579">
          <cell r="W5579" t="str">
            <v>QGOAL02</v>
          </cell>
          <cell r="AD5579">
            <v>47500</v>
          </cell>
        </row>
        <row r="5580">
          <cell r="W5580" t="str">
            <v>QGOAL02</v>
          </cell>
          <cell r="AD5580">
            <v>47500</v>
          </cell>
        </row>
        <row r="5581">
          <cell r="W5581" t="str">
            <v>QGOAL02</v>
          </cell>
          <cell r="AD5581">
            <v>47500</v>
          </cell>
        </row>
        <row r="5582">
          <cell r="W5582" t="str">
            <v>QGOAL02</v>
          </cell>
          <cell r="AD5582">
            <v>47500</v>
          </cell>
        </row>
        <row r="5583">
          <cell r="W5583" t="str">
            <v>QGOAL02</v>
          </cell>
          <cell r="AD5583">
            <v>47500</v>
          </cell>
        </row>
        <row r="5584">
          <cell r="W5584" t="str">
            <v>QGOAL02</v>
          </cell>
          <cell r="AD5584">
            <v>47500</v>
          </cell>
        </row>
        <row r="5585">
          <cell r="W5585" t="str">
            <v>QGOAL02</v>
          </cell>
          <cell r="AD5585">
            <v>47500</v>
          </cell>
        </row>
        <row r="5586">
          <cell r="W5586" t="str">
            <v>QGOAL02</v>
          </cell>
          <cell r="AD5586">
            <v>47500</v>
          </cell>
        </row>
        <row r="5587">
          <cell r="W5587" t="str">
            <v>QGOAL02</v>
          </cell>
          <cell r="AD5587">
            <v>47500</v>
          </cell>
        </row>
        <row r="5588">
          <cell r="W5588" t="str">
            <v>QGOAL02</v>
          </cell>
          <cell r="AD5588">
            <v>47500</v>
          </cell>
        </row>
        <row r="5589">
          <cell r="W5589" t="str">
            <v>QGOLD01</v>
          </cell>
          <cell r="AD5589">
            <v>152000</v>
          </cell>
        </row>
        <row r="5590">
          <cell r="W5590" t="str">
            <v>QGOLD11</v>
          </cell>
          <cell r="AD5590">
            <v>9500</v>
          </cell>
        </row>
        <row r="5591">
          <cell r="W5591" t="str">
            <v>QGOLD11</v>
          </cell>
          <cell r="AD5591">
            <v>10000</v>
          </cell>
        </row>
        <row r="5592">
          <cell r="W5592" t="str">
            <v>QGOLD11</v>
          </cell>
          <cell r="AD5592">
            <v>10000</v>
          </cell>
        </row>
        <row r="5593">
          <cell r="W5593" t="str">
            <v>AGOLD05</v>
          </cell>
          <cell r="AD5593">
            <v>10000</v>
          </cell>
        </row>
        <row r="5594">
          <cell r="W5594" t="str">
            <v>QGOLD11</v>
          </cell>
          <cell r="AD5594">
            <v>10000</v>
          </cell>
        </row>
        <row r="5595">
          <cell r="W5595" t="str">
            <v>QGORD01</v>
          </cell>
          <cell r="AD5595">
            <v>129000</v>
          </cell>
        </row>
        <row r="5596">
          <cell r="W5596" t="str">
            <v>QGORD01</v>
          </cell>
          <cell r="AD5596">
            <v>129500</v>
          </cell>
        </row>
        <row r="5597">
          <cell r="W5597" t="str">
            <v>QGORD01</v>
          </cell>
          <cell r="AD5597">
            <v>129500</v>
          </cell>
        </row>
        <row r="5598">
          <cell r="W5598" t="str">
            <v>QGORD02</v>
          </cell>
          <cell r="AD5598">
            <v>250000</v>
          </cell>
        </row>
        <row r="5599">
          <cell r="W5599" t="str">
            <v>QGORD02</v>
          </cell>
          <cell r="AD5599">
            <v>250000</v>
          </cell>
        </row>
        <row r="5600">
          <cell r="W5600" t="str">
            <v>QGORD02</v>
          </cell>
          <cell r="AD5600">
            <v>250000</v>
          </cell>
        </row>
        <row r="5601">
          <cell r="W5601" t="str">
            <v>QGORD02</v>
          </cell>
          <cell r="AD5601">
            <v>250000</v>
          </cell>
        </row>
        <row r="5602">
          <cell r="W5602" t="str">
            <v>QGORD02</v>
          </cell>
          <cell r="AD5602">
            <v>250000</v>
          </cell>
        </row>
        <row r="5603">
          <cell r="W5603" t="str">
            <v>QGORD02</v>
          </cell>
          <cell r="AD5603">
            <v>250000</v>
          </cell>
        </row>
        <row r="5604">
          <cell r="W5604" t="str">
            <v>QGORD02</v>
          </cell>
          <cell r="AD5604">
            <v>250000</v>
          </cell>
        </row>
        <row r="5605">
          <cell r="W5605" t="str">
            <v>QGORD02</v>
          </cell>
          <cell r="AD5605">
            <v>250000</v>
          </cell>
        </row>
        <row r="5606">
          <cell r="W5606" t="str">
            <v>QGORD02</v>
          </cell>
          <cell r="AD5606">
            <v>250000</v>
          </cell>
        </row>
        <row r="5607">
          <cell r="W5607" t="str">
            <v>QGORD02</v>
          </cell>
          <cell r="AD5607">
            <v>250000</v>
          </cell>
        </row>
        <row r="5608">
          <cell r="W5608" t="str">
            <v>QGORD02</v>
          </cell>
          <cell r="AD5608">
            <v>250000</v>
          </cell>
        </row>
        <row r="5609">
          <cell r="W5609" t="str">
            <v>QGORD02</v>
          </cell>
          <cell r="AD5609">
            <v>250000</v>
          </cell>
        </row>
        <row r="5610">
          <cell r="W5610" t="str">
            <v>QGORD02</v>
          </cell>
          <cell r="AD5610">
            <v>250000</v>
          </cell>
        </row>
        <row r="5611">
          <cell r="W5611" t="str">
            <v>QGORD02</v>
          </cell>
          <cell r="AD5611">
            <v>250000</v>
          </cell>
        </row>
        <row r="5612">
          <cell r="W5612" t="str">
            <v>QGORD02</v>
          </cell>
          <cell r="AD5612">
            <v>251000</v>
          </cell>
        </row>
        <row r="5613">
          <cell r="W5613" t="str">
            <v>QGORD02</v>
          </cell>
          <cell r="AD5613">
            <v>251000</v>
          </cell>
        </row>
        <row r="5614">
          <cell r="W5614" t="str">
            <v>QGRAM04</v>
          </cell>
          <cell r="AD5614">
            <v>21000</v>
          </cell>
        </row>
        <row r="5615">
          <cell r="W5615" t="str">
            <v>QGRAN03</v>
          </cell>
          <cell r="AD5615">
            <v>40000</v>
          </cell>
        </row>
        <row r="5616">
          <cell r="W5616" t="str">
            <v>QGRAN03</v>
          </cell>
          <cell r="AD5616">
            <v>40000</v>
          </cell>
        </row>
        <row r="5617">
          <cell r="W5617" t="str">
            <v>QGRAS01</v>
          </cell>
          <cell r="AD5617">
            <v>820000</v>
          </cell>
        </row>
        <row r="5618">
          <cell r="W5618" t="str">
            <v>QGRAS01</v>
          </cell>
          <cell r="AD5618">
            <v>850000</v>
          </cell>
        </row>
        <row r="5619">
          <cell r="W5619" t="str">
            <v>QGRAS01</v>
          </cell>
          <cell r="AD5619">
            <v>880000</v>
          </cell>
        </row>
        <row r="5620">
          <cell r="W5620" t="str">
            <v>QGRAS01</v>
          </cell>
          <cell r="AD5620">
            <v>880000</v>
          </cell>
        </row>
        <row r="5621">
          <cell r="W5621" t="str">
            <v>QGRAS02</v>
          </cell>
          <cell r="AD5621">
            <v>45000</v>
          </cell>
        </row>
        <row r="5622">
          <cell r="W5622" t="str">
            <v>QGRAS02</v>
          </cell>
          <cell r="AD5622">
            <v>45000</v>
          </cell>
        </row>
        <row r="5623">
          <cell r="W5623" t="str">
            <v>QGRAS02</v>
          </cell>
          <cell r="AD5623">
            <v>46000</v>
          </cell>
        </row>
        <row r="5624">
          <cell r="W5624" t="str">
            <v>QGRAS02</v>
          </cell>
          <cell r="AD5624">
            <v>47000</v>
          </cell>
        </row>
        <row r="5625">
          <cell r="W5625" t="str">
            <v>QGRAS03</v>
          </cell>
          <cell r="AD5625">
            <v>215000</v>
          </cell>
        </row>
        <row r="5626">
          <cell r="W5626" t="str">
            <v>QGRET01</v>
          </cell>
          <cell r="AD5626">
            <v>42000</v>
          </cell>
        </row>
        <row r="5627">
          <cell r="W5627" t="str">
            <v>AGUNT01</v>
          </cell>
          <cell r="AD5627">
            <v>42500</v>
          </cell>
        </row>
        <row r="5628">
          <cell r="W5628" t="str">
            <v>AGUNT01</v>
          </cell>
          <cell r="AD5628">
            <v>42500</v>
          </cell>
        </row>
        <row r="5629">
          <cell r="W5629" t="str">
            <v>QGWVI01</v>
          </cell>
          <cell r="AD5629">
            <v>61150</v>
          </cell>
        </row>
        <row r="5630">
          <cell r="W5630" t="str">
            <v>QGWVI01</v>
          </cell>
          <cell r="AD5630">
            <v>71500</v>
          </cell>
        </row>
        <row r="5631">
          <cell r="W5631" t="str">
            <v>QGWVI01</v>
          </cell>
          <cell r="AD5631">
            <v>71500</v>
          </cell>
        </row>
        <row r="5632">
          <cell r="W5632" t="str">
            <v>QGWVI01</v>
          </cell>
          <cell r="AD5632">
            <v>79000</v>
          </cell>
        </row>
        <row r="5633">
          <cell r="W5633" t="str">
            <v>QGWVI01</v>
          </cell>
          <cell r="AD5633">
            <v>79000</v>
          </cell>
        </row>
        <row r="5634">
          <cell r="W5634" t="str">
            <v>QGWVI01</v>
          </cell>
          <cell r="AD5634">
            <v>79000</v>
          </cell>
        </row>
        <row r="5635">
          <cell r="W5635" t="str">
            <v>QGWVI01</v>
          </cell>
          <cell r="AD5635">
            <v>79000</v>
          </cell>
        </row>
        <row r="5636">
          <cell r="W5636" t="str">
            <v>AGWVI01</v>
          </cell>
          <cell r="AD5636">
            <v>79000</v>
          </cell>
        </row>
        <row r="5637">
          <cell r="W5637" t="str">
            <v>QGWVI01</v>
          </cell>
          <cell r="AD5637">
            <v>79000</v>
          </cell>
        </row>
        <row r="5638">
          <cell r="W5638" t="str">
            <v>QHADE03</v>
          </cell>
          <cell r="AD5638">
            <v>95000</v>
          </cell>
        </row>
        <row r="5639">
          <cell r="W5639" t="str">
            <v>QHADE03</v>
          </cell>
          <cell r="AD5639">
            <v>115000</v>
          </cell>
        </row>
        <row r="5640">
          <cell r="W5640" t="str">
            <v>QHADE03</v>
          </cell>
          <cell r="AD5640">
            <v>115000</v>
          </cell>
        </row>
        <row r="5641">
          <cell r="W5641" t="str">
            <v>QHADE03</v>
          </cell>
          <cell r="AD5641">
            <v>115000</v>
          </cell>
        </row>
        <row r="5642">
          <cell r="W5642" t="str">
            <v>QHADE02</v>
          </cell>
          <cell r="AD5642">
            <v>66000</v>
          </cell>
        </row>
        <row r="5643">
          <cell r="W5643" t="str">
            <v>QHADE02</v>
          </cell>
          <cell r="AD5643">
            <v>66000</v>
          </cell>
        </row>
        <row r="5644">
          <cell r="W5644" t="str">
            <v>QHADE02</v>
          </cell>
          <cell r="AD5644">
            <v>66000</v>
          </cell>
        </row>
        <row r="5645">
          <cell r="W5645" t="str">
            <v>QHADE02</v>
          </cell>
          <cell r="AD5645">
            <v>66000</v>
          </cell>
        </row>
        <row r="5646">
          <cell r="W5646" t="str">
            <v>QHADE02</v>
          </cell>
          <cell r="AD5646">
            <v>66000</v>
          </cell>
        </row>
        <row r="5647">
          <cell r="W5647" t="str">
            <v>QHADE01</v>
          </cell>
          <cell r="AD5647">
            <v>28500</v>
          </cell>
        </row>
        <row r="5648">
          <cell r="W5648" t="str">
            <v>QHADE01</v>
          </cell>
          <cell r="AD5648">
            <v>28500</v>
          </cell>
        </row>
        <row r="5649">
          <cell r="W5649" t="str">
            <v>QHADE01</v>
          </cell>
          <cell r="AD5649">
            <v>28500</v>
          </cell>
        </row>
        <row r="5650">
          <cell r="W5650" t="str">
            <v>QHADE01</v>
          </cell>
          <cell r="AD5650">
            <v>30000</v>
          </cell>
        </row>
        <row r="5651">
          <cell r="W5651" t="str">
            <v>QHEXA08</v>
          </cell>
          <cell r="AD5651">
            <v>17000</v>
          </cell>
        </row>
        <row r="5652">
          <cell r="W5652" t="str">
            <v>QHEXA08</v>
          </cell>
          <cell r="AD5652">
            <v>17000</v>
          </cell>
        </row>
        <row r="5653">
          <cell r="W5653" t="str">
            <v>QHEXA08</v>
          </cell>
          <cell r="AD5653">
            <v>17000</v>
          </cell>
        </row>
        <row r="5654">
          <cell r="W5654" t="str">
            <v>QHEXA08</v>
          </cell>
          <cell r="AD5654">
            <v>17000</v>
          </cell>
        </row>
        <row r="5655">
          <cell r="W5655" t="str">
            <v>QHEXA08</v>
          </cell>
          <cell r="AD5655">
            <v>17000</v>
          </cell>
        </row>
        <row r="5656">
          <cell r="W5656" t="str">
            <v>AHEXA05</v>
          </cell>
          <cell r="AD5656">
            <v>17000</v>
          </cell>
        </row>
        <row r="5657">
          <cell r="W5657" t="str">
            <v>AHEXA05</v>
          </cell>
          <cell r="AD5657">
            <v>17000</v>
          </cell>
        </row>
        <row r="5658">
          <cell r="W5658" t="str">
            <v>QHEXA04</v>
          </cell>
          <cell r="AD5658">
            <v>127000</v>
          </cell>
        </row>
        <row r="5659">
          <cell r="W5659" t="str">
            <v>QHEXA04</v>
          </cell>
          <cell r="AD5659">
            <v>138000</v>
          </cell>
        </row>
        <row r="5660">
          <cell r="W5660" t="str">
            <v>QHEXA04</v>
          </cell>
          <cell r="AD5660">
            <v>138000</v>
          </cell>
        </row>
        <row r="5661">
          <cell r="W5661" t="str">
            <v>QHEXA04</v>
          </cell>
          <cell r="AD5661">
            <v>138000</v>
          </cell>
        </row>
        <row r="5662">
          <cell r="W5662" t="str">
            <v>QHEXA04</v>
          </cell>
          <cell r="AD5662">
            <v>138000</v>
          </cell>
        </row>
        <row r="5663">
          <cell r="W5663" t="str">
            <v>QHEXA07</v>
          </cell>
          <cell r="AD5663">
            <v>74000</v>
          </cell>
        </row>
        <row r="5664">
          <cell r="W5664" t="str">
            <v>QHEXA07</v>
          </cell>
          <cell r="AD5664">
            <v>74000</v>
          </cell>
        </row>
        <row r="5665">
          <cell r="W5665" t="str">
            <v>QHEXA07</v>
          </cell>
          <cell r="AD5665">
            <v>74000</v>
          </cell>
        </row>
        <row r="5666">
          <cell r="W5666" t="str">
            <v>QHEXA07</v>
          </cell>
          <cell r="AD5666">
            <v>75000</v>
          </cell>
        </row>
        <row r="5667">
          <cell r="W5667" t="str">
            <v>QHEXA07</v>
          </cell>
          <cell r="AD5667">
            <v>75000</v>
          </cell>
        </row>
        <row r="5668">
          <cell r="W5668" t="str">
            <v>QHEXA07</v>
          </cell>
          <cell r="AD5668">
            <v>75000</v>
          </cell>
        </row>
        <row r="5669">
          <cell r="W5669" t="str">
            <v>QHEXA07</v>
          </cell>
          <cell r="AD5669">
            <v>75000</v>
          </cell>
        </row>
        <row r="5670">
          <cell r="W5670" t="str">
            <v>QHEXA07</v>
          </cell>
          <cell r="AD5670">
            <v>75000</v>
          </cell>
        </row>
        <row r="5671">
          <cell r="W5671" t="str">
            <v>QHEXA07</v>
          </cell>
          <cell r="AD5671">
            <v>75000</v>
          </cell>
        </row>
        <row r="5672">
          <cell r="W5672" t="str">
            <v>QHEXA07</v>
          </cell>
          <cell r="AD5672">
            <v>75000</v>
          </cell>
        </row>
        <row r="5673">
          <cell r="W5673" t="str">
            <v>QHEXA07</v>
          </cell>
          <cell r="AD5673">
            <v>75000</v>
          </cell>
        </row>
        <row r="5674">
          <cell r="W5674" t="str">
            <v>QHEXA07</v>
          </cell>
          <cell r="AD5674">
            <v>75000</v>
          </cell>
        </row>
        <row r="5675">
          <cell r="W5675" t="str">
            <v>QHEXA07</v>
          </cell>
          <cell r="AD5675">
            <v>75000</v>
          </cell>
        </row>
        <row r="5676">
          <cell r="W5676" t="str">
            <v>QHEXA07</v>
          </cell>
          <cell r="AD5676">
            <v>75000</v>
          </cell>
        </row>
        <row r="5677">
          <cell r="W5677" t="str">
            <v>QHEXA07</v>
          </cell>
          <cell r="AD5677">
            <v>75000</v>
          </cell>
        </row>
        <row r="5678">
          <cell r="W5678" t="str">
            <v>AHEXA04</v>
          </cell>
          <cell r="AD5678">
            <v>75000</v>
          </cell>
        </row>
        <row r="5679">
          <cell r="W5679" t="str">
            <v>QHEXA07</v>
          </cell>
          <cell r="AD5679">
            <v>75000</v>
          </cell>
        </row>
        <row r="5680">
          <cell r="W5680" t="str">
            <v>QHEXA07</v>
          </cell>
          <cell r="AD5680">
            <v>75000</v>
          </cell>
        </row>
        <row r="5681">
          <cell r="W5681" t="str">
            <v>QHEXA07</v>
          </cell>
          <cell r="AD5681">
            <v>75000</v>
          </cell>
        </row>
        <row r="5682">
          <cell r="W5682" t="str">
            <v>QHEXA07</v>
          </cell>
          <cell r="AD5682">
            <v>75000</v>
          </cell>
        </row>
        <row r="5683">
          <cell r="W5683" t="str">
            <v>QHEXA07</v>
          </cell>
          <cell r="AD5683">
            <v>75000</v>
          </cell>
        </row>
        <row r="5684">
          <cell r="W5684" t="str">
            <v>QHEXA07</v>
          </cell>
          <cell r="AD5684">
            <v>75000</v>
          </cell>
        </row>
        <row r="5685">
          <cell r="W5685" t="str">
            <v>QHEXA07</v>
          </cell>
          <cell r="AD5685">
            <v>75000</v>
          </cell>
        </row>
        <row r="5686">
          <cell r="W5686" t="str">
            <v>QHEXA02</v>
          </cell>
          <cell r="AD5686">
            <v>35000</v>
          </cell>
        </row>
        <row r="5687">
          <cell r="W5687" t="str">
            <v>QHEXA02</v>
          </cell>
          <cell r="AD5687">
            <v>38000</v>
          </cell>
        </row>
        <row r="5688">
          <cell r="W5688" t="str">
            <v>QHEXA02</v>
          </cell>
          <cell r="AD5688">
            <v>38000</v>
          </cell>
        </row>
        <row r="5689">
          <cell r="W5689" t="str">
            <v>QHEXA02</v>
          </cell>
          <cell r="AD5689">
            <v>38000</v>
          </cell>
        </row>
        <row r="5690">
          <cell r="W5690" t="str">
            <v>QHEXA02</v>
          </cell>
          <cell r="AD5690">
            <v>38000</v>
          </cell>
        </row>
        <row r="5691">
          <cell r="W5691" t="str">
            <v>QHEXA02</v>
          </cell>
          <cell r="AD5691">
            <v>38000</v>
          </cell>
        </row>
        <row r="5692">
          <cell r="W5692" t="str">
            <v>QHEXA02</v>
          </cell>
          <cell r="AD5692">
            <v>38000</v>
          </cell>
        </row>
        <row r="5693">
          <cell r="W5693" t="str">
            <v>QHEXA02</v>
          </cell>
          <cell r="AD5693">
            <v>38000</v>
          </cell>
        </row>
        <row r="5694">
          <cell r="W5694" t="str">
            <v>QHEXA02</v>
          </cell>
          <cell r="AD5694">
            <v>38000</v>
          </cell>
        </row>
        <row r="5695">
          <cell r="W5695" t="str">
            <v>QHEXA02</v>
          </cell>
          <cell r="AD5695">
            <v>38000</v>
          </cell>
        </row>
        <row r="5696">
          <cell r="W5696" t="str">
            <v>QHEXA02</v>
          </cell>
          <cell r="AD5696">
            <v>38000</v>
          </cell>
        </row>
        <row r="5697">
          <cell r="W5697" t="str">
            <v>QHEXA02</v>
          </cell>
          <cell r="AD5697">
            <v>38000</v>
          </cell>
        </row>
        <row r="5698">
          <cell r="W5698" t="str">
            <v>QHEXA02</v>
          </cell>
          <cell r="AD5698">
            <v>38000</v>
          </cell>
        </row>
        <row r="5699">
          <cell r="W5699" t="str">
            <v>QHEXA02</v>
          </cell>
          <cell r="AD5699">
            <v>38000</v>
          </cell>
        </row>
        <row r="5700">
          <cell r="W5700" t="str">
            <v>QHEXA02</v>
          </cell>
          <cell r="AD5700">
            <v>38000</v>
          </cell>
        </row>
        <row r="5701">
          <cell r="W5701" t="str">
            <v>QHEXA02</v>
          </cell>
          <cell r="AD5701">
            <v>38000</v>
          </cell>
        </row>
        <row r="5702">
          <cell r="W5702" t="str">
            <v>QHEXA02</v>
          </cell>
          <cell r="AD5702">
            <v>38000</v>
          </cell>
        </row>
        <row r="5703">
          <cell r="W5703" t="str">
            <v>QHEXA02</v>
          </cell>
          <cell r="AD5703">
            <v>38000</v>
          </cell>
        </row>
        <row r="5704">
          <cell r="W5704" t="str">
            <v>QHEXA02</v>
          </cell>
          <cell r="AD5704">
            <v>38000</v>
          </cell>
        </row>
        <row r="5705">
          <cell r="W5705" t="str">
            <v>QHEXA02</v>
          </cell>
          <cell r="AD5705">
            <v>38000</v>
          </cell>
        </row>
        <row r="5706">
          <cell r="W5706" t="str">
            <v>QHEXA02</v>
          </cell>
          <cell r="AD5706">
            <v>38000</v>
          </cell>
        </row>
        <row r="5707">
          <cell r="W5707" t="str">
            <v>QHEXA02</v>
          </cell>
          <cell r="AD5707">
            <v>38000</v>
          </cell>
        </row>
        <row r="5708">
          <cell r="W5708" t="str">
            <v>QHEXA02</v>
          </cell>
          <cell r="AD5708">
            <v>38000</v>
          </cell>
        </row>
        <row r="5709">
          <cell r="W5709" t="str">
            <v>QHEXA02</v>
          </cell>
          <cell r="AD5709">
            <v>38000</v>
          </cell>
        </row>
        <row r="5710">
          <cell r="W5710" t="str">
            <v>QHIDR01</v>
          </cell>
          <cell r="AD5710">
            <v>22000</v>
          </cell>
        </row>
        <row r="5711">
          <cell r="W5711" t="str">
            <v>QHIDR01</v>
          </cell>
          <cell r="AD5711">
            <v>22000</v>
          </cell>
        </row>
        <row r="5712">
          <cell r="W5712" t="str">
            <v>QHIDR01</v>
          </cell>
          <cell r="AD5712">
            <v>22000</v>
          </cell>
        </row>
        <row r="5713">
          <cell r="W5713" t="str">
            <v>QHIDR01</v>
          </cell>
          <cell r="AD5713">
            <v>22000</v>
          </cell>
        </row>
        <row r="5714">
          <cell r="W5714" t="str">
            <v>QHIDR01</v>
          </cell>
          <cell r="AD5714">
            <v>22000</v>
          </cell>
        </row>
        <row r="5715">
          <cell r="W5715" t="str">
            <v>QHIDR01</v>
          </cell>
          <cell r="AD5715">
            <v>22000</v>
          </cell>
        </row>
        <row r="5716">
          <cell r="W5716" t="str">
            <v>QHIDR01</v>
          </cell>
          <cell r="AD5716">
            <v>22500</v>
          </cell>
        </row>
        <row r="5717">
          <cell r="W5717" t="str">
            <v>QHIDR01</v>
          </cell>
          <cell r="AD5717">
            <v>22500</v>
          </cell>
        </row>
        <row r="5718">
          <cell r="W5718" t="str">
            <v>QHIDR01</v>
          </cell>
          <cell r="AD5718">
            <v>22500</v>
          </cell>
        </row>
        <row r="5719">
          <cell r="W5719" t="str">
            <v>QHIDR01</v>
          </cell>
          <cell r="AD5719">
            <v>22500</v>
          </cell>
        </row>
        <row r="5720">
          <cell r="W5720" t="str">
            <v>QHIDR01</v>
          </cell>
          <cell r="AD5720">
            <v>22500</v>
          </cell>
        </row>
        <row r="5721">
          <cell r="W5721" t="str">
            <v>QHIDR01</v>
          </cell>
          <cell r="AD5721">
            <v>22500</v>
          </cell>
        </row>
        <row r="5722">
          <cell r="W5722" t="str">
            <v>QHIDR01</v>
          </cell>
          <cell r="AD5722">
            <v>22500</v>
          </cell>
        </row>
        <row r="5723">
          <cell r="W5723" t="str">
            <v>QHIDR01</v>
          </cell>
          <cell r="AD5723">
            <v>22500</v>
          </cell>
        </row>
        <row r="5724">
          <cell r="W5724" t="str">
            <v>QHIDR01</v>
          </cell>
          <cell r="AD5724">
            <v>22500</v>
          </cell>
        </row>
        <row r="5725">
          <cell r="W5725" t="str">
            <v>QHIDR01</v>
          </cell>
          <cell r="AD5725">
            <v>22500</v>
          </cell>
        </row>
        <row r="5726">
          <cell r="W5726" t="str">
            <v>QHIDR01</v>
          </cell>
          <cell r="AD5726">
            <v>22500</v>
          </cell>
        </row>
        <row r="5727">
          <cell r="W5727" t="str">
            <v>QHIDR01</v>
          </cell>
          <cell r="AD5727">
            <v>22500</v>
          </cell>
        </row>
        <row r="5728">
          <cell r="W5728" t="str">
            <v>QHIDR01</v>
          </cell>
          <cell r="AD5728">
            <v>22500</v>
          </cell>
        </row>
        <row r="5729">
          <cell r="W5729" t="str">
            <v>QHIDR01</v>
          </cell>
          <cell r="AD5729">
            <v>22500</v>
          </cell>
        </row>
        <row r="5730">
          <cell r="W5730" t="str">
            <v>QHIDR01</v>
          </cell>
          <cell r="AD5730">
            <v>22500</v>
          </cell>
        </row>
        <row r="5731">
          <cell r="W5731" t="str">
            <v>QHIDR01</v>
          </cell>
          <cell r="AD5731">
            <v>22500</v>
          </cell>
        </row>
        <row r="5732">
          <cell r="W5732" t="str">
            <v>QHIDR01</v>
          </cell>
          <cell r="AD5732">
            <v>22500</v>
          </cell>
        </row>
        <row r="5733">
          <cell r="W5733" t="str">
            <v>QHIDR01</v>
          </cell>
          <cell r="AD5733">
            <v>22500</v>
          </cell>
        </row>
        <row r="5734">
          <cell r="W5734" t="str">
            <v>QHIDR01</v>
          </cell>
          <cell r="AD5734">
            <v>22500</v>
          </cell>
        </row>
        <row r="5735">
          <cell r="W5735" t="str">
            <v>QHIDR01</v>
          </cell>
          <cell r="AD5735">
            <v>22500</v>
          </cell>
        </row>
        <row r="5736">
          <cell r="W5736" t="str">
            <v>QHIDR01</v>
          </cell>
          <cell r="AD5736">
            <v>23000</v>
          </cell>
        </row>
        <row r="5737">
          <cell r="W5737" t="str">
            <v>QHIDR01</v>
          </cell>
          <cell r="AD5737">
            <v>23000</v>
          </cell>
        </row>
        <row r="5738">
          <cell r="W5738" t="str">
            <v>QHIDR01</v>
          </cell>
          <cell r="AD5738">
            <v>23500</v>
          </cell>
        </row>
        <row r="5739">
          <cell r="W5739" t="str">
            <v>QHIDR01</v>
          </cell>
          <cell r="AD5739">
            <v>23500</v>
          </cell>
        </row>
        <row r="5740">
          <cell r="W5740" t="str">
            <v>QHIDR01</v>
          </cell>
          <cell r="AD5740">
            <v>23500</v>
          </cell>
        </row>
        <row r="5741">
          <cell r="W5741" t="str">
            <v>QHIDR01</v>
          </cell>
          <cell r="AD5741">
            <v>23500</v>
          </cell>
        </row>
        <row r="5742">
          <cell r="W5742" t="str">
            <v>QHIDR01</v>
          </cell>
          <cell r="AD5742">
            <v>23500</v>
          </cell>
        </row>
        <row r="5743">
          <cell r="W5743" t="str">
            <v>QHIDR01</v>
          </cell>
          <cell r="AD5743">
            <v>23500</v>
          </cell>
        </row>
        <row r="5744">
          <cell r="W5744" t="str">
            <v>QHIDR01</v>
          </cell>
          <cell r="AD5744">
            <v>23500</v>
          </cell>
        </row>
        <row r="5745">
          <cell r="W5745" t="str">
            <v>QHIDR01</v>
          </cell>
          <cell r="AD5745">
            <v>23500</v>
          </cell>
        </row>
        <row r="5746">
          <cell r="W5746" t="str">
            <v>QHIDR01</v>
          </cell>
          <cell r="AD5746">
            <v>23500</v>
          </cell>
        </row>
        <row r="5747">
          <cell r="W5747" t="str">
            <v>QHIDR01</v>
          </cell>
          <cell r="AD5747">
            <v>23500</v>
          </cell>
        </row>
        <row r="5748">
          <cell r="W5748" t="str">
            <v>QHIDR01</v>
          </cell>
          <cell r="AD5748">
            <v>23500</v>
          </cell>
        </row>
        <row r="5749">
          <cell r="W5749" t="str">
            <v>QHIDR01</v>
          </cell>
          <cell r="AD5749">
            <v>23500</v>
          </cell>
        </row>
        <row r="5750">
          <cell r="W5750" t="str">
            <v>QHIDR01</v>
          </cell>
          <cell r="AD5750">
            <v>23500</v>
          </cell>
        </row>
        <row r="5751">
          <cell r="W5751" t="str">
            <v>QHIDR01</v>
          </cell>
          <cell r="AD5751">
            <v>23500</v>
          </cell>
        </row>
        <row r="5752">
          <cell r="W5752" t="str">
            <v>QHIDR01</v>
          </cell>
          <cell r="AD5752">
            <v>24000</v>
          </cell>
        </row>
        <row r="5753">
          <cell r="W5753" t="str">
            <v>QHIDR01</v>
          </cell>
          <cell r="AD5753">
            <v>25000</v>
          </cell>
        </row>
        <row r="5754">
          <cell r="W5754" t="str">
            <v>QHIJA01</v>
          </cell>
          <cell r="AD5754">
            <v>27000</v>
          </cell>
        </row>
        <row r="5755">
          <cell r="W5755" t="str">
            <v>QHIJA01</v>
          </cell>
          <cell r="AD5755">
            <v>27000</v>
          </cell>
        </row>
        <row r="5756">
          <cell r="W5756" t="str">
            <v>QHIJA01</v>
          </cell>
          <cell r="AD5756">
            <v>27000</v>
          </cell>
        </row>
        <row r="5757">
          <cell r="W5757" t="str">
            <v>QHIJA01</v>
          </cell>
          <cell r="AD5757">
            <v>27000</v>
          </cell>
        </row>
        <row r="5758">
          <cell r="W5758" t="str">
            <v>QHIJA01</v>
          </cell>
          <cell r="AD5758">
            <v>27000</v>
          </cell>
        </row>
        <row r="5759">
          <cell r="W5759" t="str">
            <v>QHIJA01</v>
          </cell>
          <cell r="AD5759">
            <v>27000</v>
          </cell>
        </row>
        <row r="5760">
          <cell r="W5760" t="str">
            <v>QHIJA01</v>
          </cell>
          <cell r="AD5760">
            <v>27000</v>
          </cell>
        </row>
        <row r="5761">
          <cell r="W5761" t="str">
            <v>QHIJA01</v>
          </cell>
          <cell r="AD5761">
            <v>27000</v>
          </cell>
        </row>
        <row r="5762">
          <cell r="W5762" t="str">
            <v>QHIJA01</v>
          </cell>
          <cell r="AD5762">
            <v>27000</v>
          </cell>
        </row>
        <row r="5763">
          <cell r="W5763" t="str">
            <v>QHIJA01</v>
          </cell>
          <cell r="AD5763">
            <v>27000</v>
          </cell>
        </row>
        <row r="5764">
          <cell r="W5764" t="str">
            <v>QHIJA01</v>
          </cell>
          <cell r="AD5764">
            <v>27000</v>
          </cell>
        </row>
        <row r="5765">
          <cell r="W5765" t="str">
            <v>QHIJA01</v>
          </cell>
          <cell r="AD5765">
            <v>27000</v>
          </cell>
        </row>
        <row r="5766">
          <cell r="W5766" t="str">
            <v>QHIJA01</v>
          </cell>
          <cell r="AD5766">
            <v>27000</v>
          </cell>
        </row>
        <row r="5767">
          <cell r="W5767" t="str">
            <v>QHIJA01</v>
          </cell>
          <cell r="AD5767">
            <v>27000</v>
          </cell>
        </row>
        <row r="5768">
          <cell r="W5768" t="str">
            <v>QHIJA01</v>
          </cell>
          <cell r="AD5768">
            <v>27000</v>
          </cell>
        </row>
        <row r="5769">
          <cell r="W5769" t="str">
            <v>QHIJA01</v>
          </cell>
          <cell r="AD5769">
            <v>27000</v>
          </cell>
        </row>
        <row r="5770">
          <cell r="W5770" t="str">
            <v>QHIJA01</v>
          </cell>
          <cell r="AD5770">
            <v>27000</v>
          </cell>
        </row>
        <row r="5771">
          <cell r="W5771" t="str">
            <v>QHIJA01</v>
          </cell>
          <cell r="AD5771">
            <v>27000</v>
          </cell>
        </row>
        <row r="5772">
          <cell r="W5772" t="str">
            <v>QHIJA01</v>
          </cell>
          <cell r="AD5772">
            <v>27000</v>
          </cell>
        </row>
        <row r="5773">
          <cell r="W5773" t="str">
            <v>QHIJA01</v>
          </cell>
          <cell r="AD5773">
            <v>27000</v>
          </cell>
        </row>
        <row r="5774">
          <cell r="W5774" t="str">
            <v>QHIJA01</v>
          </cell>
          <cell r="AD5774">
            <v>27000</v>
          </cell>
        </row>
        <row r="5775">
          <cell r="W5775" t="str">
            <v>QHIJA01</v>
          </cell>
          <cell r="AD5775">
            <v>27000</v>
          </cell>
        </row>
        <row r="5776">
          <cell r="W5776" t="str">
            <v>QHIJA01</v>
          </cell>
          <cell r="AD5776">
            <v>27000</v>
          </cell>
        </row>
        <row r="5777">
          <cell r="W5777" t="str">
            <v>QHIJA01</v>
          </cell>
          <cell r="AD5777">
            <v>27000</v>
          </cell>
        </row>
        <row r="5778">
          <cell r="W5778" t="str">
            <v>QHIJA01</v>
          </cell>
          <cell r="AD5778">
            <v>27000</v>
          </cell>
        </row>
        <row r="5779">
          <cell r="W5779" t="str">
            <v>QHIJA01</v>
          </cell>
          <cell r="AD5779">
            <v>27000</v>
          </cell>
        </row>
        <row r="5780">
          <cell r="W5780" t="str">
            <v>QHIJA01</v>
          </cell>
          <cell r="AD5780">
            <v>27000</v>
          </cell>
        </row>
        <row r="5781">
          <cell r="W5781" t="str">
            <v>QHIJA01</v>
          </cell>
          <cell r="AD5781">
            <v>27000</v>
          </cell>
        </row>
        <row r="5782">
          <cell r="W5782" t="str">
            <v>QHIJA01</v>
          </cell>
          <cell r="AD5782">
            <v>27000</v>
          </cell>
        </row>
        <row r="5783">
          <cell r="W5783" t="str">
            <v>QHIJA01</v>
          </cell>
          <cell r="AD5783">
            <v>27000</v>
          </cell>
        </row>
        <row r="5784">
          <cell r="W5784" t="str">
            <v>QHIJA01</v>
          </cell>
          <cell r="AD5784">
            <v>27000</v>
          </cell>
        </row>
        <row r="5785">
          <cell r="W5785" t="str">
            <v>QHIJA01</v>
          </cell>
          <cell r="AD5785">
            <v>27000</v>
          </cell>
        </row>
        <row r="5786">
          <cell r="W5786" t="str">
            <v>QHIJA01</v>
          </cell>
          <cell r="AD5786">
            <v>27000</v>
          </cell>
        </row>
        <row r="5787">
          <cell r="W5787" t="str">
            <v>QHIJA01</v>
          </cell>
          <cell r="AD5787">
            <v>27000</v>
          </cell>
        </row>
        <row r="5788">
          <cell r="W5788" t="str">
            <v>QHIJA01</v>
          </cell>
          <cell r="AD5788">
            <v>27000</v>
          </cell>
        </row>
        <row r="5789">
          <cell r="W5789" t="str">
            <v>QHOKK03</v>
          </cell>
          <cell r="AD5789">
            <v>56000</v>
          </cell>
        </row>
        <row r="5790">
          <cell r="W5790" t="str">
            <v>QHOKK03</v>
          </cell>
          <cell r="AD5790">
            <v>56500</v>
          </cell>
        </row>
        <row r="5791">
          <cell r="W5791" t="str">
            <v>QHOKK03</v>
          </cell>
          <cell r="AD5791">
            <v>56500</v>
          </cell>
        </row>
        <row r="5792">
          <cell r="W5792" t="str">
            <v>QHOKK03</v>
          </cell>
          <cell r="AD5792">
            <v>56500</v>
          </cell>
        </row>
        <row r="5793">
          <cell r="W5793" t="str">
            <v>QHOKK03</v>
          </cell>
          <cell r="AD5793">
            <v>56500</v>
          </cell>
        </row>
        <row r="5794">
          <cell r="W5794" t="str">
            <v>QHOKK03</v>
          </cell>
          <cell r="AD5794">
            <v>56500</v>
          </cell>
        </row>
        <row r="5795">
          <cell r="W5795" t="str">
            <v>QHOKK03</v>
          </cell>
          <cell r="AD5795">
            <v>56500</v>
          </cell>
        </row>
        <row r="5796">
          <cell r="W5796" t="str">
            <v>QHOKK01</v>
          </cell>
          <cell r="AD5796">
            <v>23500</v>
          </cell>
        </row>
        <row r="5797">
          <cell r="W5797" t="str">
            <v>QHOKK01</v>
          </cell>
          <cell r="AD5797">
            <v>24000</v>
          </cell>
        </row>
        <row r="5798">
          <cell r="W5798" t="str">
            <v>QHOKK01</v>
          </cell>
          <cell r="AD5798">
            <v>24000</v>
          </cell>
        </row>
        <row r="5799">
          <cell r="W5799" t="str">
            <v>QHOKK01</v>
          </cell>
          <cell r="AD5799">
            <v>24000</v>
          </cell>
        </row>
        <row r="5800">
          <cell r="W5800" t="str">
            <v>QHOKK01</v>
          </cell>
          <cell r="AD5800">
            <v>24000</v>
          </cell>
        </row>
        <row r="5801">
          <cell r="W5801" t="str">
            <v>QHOW 02</v>
          </cell>
          <cell r="AD5801">
            <v>42000</v>
          </cell>
        </row>
        <row r="5802">
          <cell r="W5802" t="str">
            <v>QHSPA02</v>
          </cell>
          <cell r="AD5802">
            <v>35000</v>
          </cell>
        </row>
        <row r="5803">
          <cell r="W5803" t="str">
            <v>QHSPA02</v>
          </cell>
          <cell r="AD5803">
            <v>35000</v>
          </cell>
        </row>
        <row r="5804">
          <cell r="W5804" t="str">
            <v>QHSPA02</v>
          </cell>
          <cell r="AD5804">
            <v>36000</v>
          </cell>
        </row>
        <row r="5805">
          <cell r="W5805" t="str">
            <v>QHSPA02</v>
          </cell>
          <cell r="AD5805">
            <v>36000</v>
          </cell>
        </row>
        <row r="5806">
          <cell r="W5806" t="str">
            <v>QHSPA02</v>
          </cell>
          <cell r="AD5806">
            <v>36000</v>
          </cell>
        </row>
        <row r="5807">
          <cell r="W5807" t="str">
            <v>QHSPA02</v>
          </cell>
          <cell r="AD5807">
            <v>36000</v>
          </cell>
        </row>
        <row r="5808">
          <cell r="W5808" t="str">
            <v>QHSPA02</v>
          </cell>
          <cell r="AD5808">
            <v>36000</v>
          </cell>
        </row>
        <row r="5809">
          <cell r="W5809" t="str">
            <v>QHSPA02</v>
          </cell>
          <cell r="AD5809">
            <v>36000</v>
          </cell>
        </row>
        <row r="5810">
          <cell r="W5810" t="str">
            <v>QHSPA02</v>
          </cell>
          <cell r="AD5810">
            <v>36000</v>
          </cell>
        </row>
        <row r="5811">
          <cell r="W5811" t="str">
            <v>QHSPA02</v>
          </cell>
          <cell r="AD5811">
            <v>36000</v>
          </cell>
        </row>
        <row r="5812">
          <cell r="W5812" t="str">
            <v>QHSPA01</v>
          </cell>
          <cell r="AD5812">
            <v>130000</v>
          </cell>
        </row>
        <row r="5813">
          <cell r="W5813" t="str">
            <v>QHSPA01</v>
          </cell>
          <cell r="AD5813">
            <v>130000</v>
          </cell>
        </row>
        <row r="5814">
          <cell r="W5814" t="str">
            <v>QHSPA01</v>
          </cell>
          <cell r="AD5814">
            <v>130000</v>
          </cell>
        </row>
        <row r="5815">
          <cell r="W5815" t="str">
            <v>QHSPA01</v>
          </cell>
          <cell r="AD5815">
            <v>130000</v>
          </cell>
        </row>
        <row r="5816">
          <cell r="W5816" t="str">
            <v>QHSPA01</v>
          </cell>
          <cell r="AD5816">
            <v>130000</v>
          </cell>
        </row>
        <row r="5817">
          <cell r="W5817" t="str">
            <v>QHSPA01</v>
          </cell>
          <cell r="AD5817">
            <v>130000</v>
          </cell>
        </row>
        <row r="5818">
          <cell r="W5818" t="str">
            <v>QHSPA01</v>
          </cell>
          <cell r="AD5818">
            <v>130000</v>
          </cell>
        </row>
        <row r="5819">
          <cell r="W5819" t="str">
            <v>QHSPA01</v>
          </cell>
          <cell r="AD5819">
            <v>130000</v>
          </cell>
        </row>
        <row r="5820">
          <cell r="W5820" t="str">
            <v>QHSPA01</v>
          </cell>
          <cell r="AD5820">
            <v>130000</v>
          </cell>
        </row>
        <row r="5821">
          <cell r="W5821" t="str">
            <v>QHSPA01</v>
          </cell>
          <cell r="AD5821">
            <v>130000</v>
          </cell>
        </row>
        <row r="5822">
          <cell r="W5822" t="str">
            <v>QHSPA01</v>
          </cell>
          <cell r="AD5822">
            <v>130000</v>
          </cell>
        </row>
        <row r="5823">
          <cell r="W5823" t="str">
            <v>QHSPA01</v>
          </cell>
          <cell r="AD5823">
            <v>137500</v>
          </cell>
        </row>
        <row r="5824">
          <cell r="W5824" t="str">
            <v>QHSPA01</v>
          </cell>
          <cell r="AD5824">
            <v>137500</v>
          </cell>
        </row>
        <row r="5825">
          <cell r="W5825" t="str">
            <v>QHSPA01</v>
          </cell>
          <cell r="AD5825">
            <v>137500</v>
          </cell>
        </row>
        <row r="5826">
          <cell r="W5826" t="str">
            <v>QHSPA01</v>
          </cell>
          <cell r="AD5826">
            <v>137500</v>
          </cell>
        </row>
        <row r="5827">
          <cell r="W5827" t="str">
            <v>QHSPA01</v>
          </cell>
          <cell r="AD5827">
            <v>137500</v>
          </cell>
        </row>
        <row r="5828">
          <cell r="W5828" t="str">
            <v>QHSPA01</v>
          </cell>
          <cell r="AD5828">
            <v>137500</v>
          </cell>
        </row>
        <row r="5829">
          <cell r="W5829" t="str">
            <v>QHSPA01</v>
          </cell>
          <cell r="AD5829">
            <v>160000</v>
          </cell>
        </row>
        <row r="5830">
          <cell r="W5830" t="str">
            <v>QINFI02</v>
          </cell>
          <cell r="AD5830">
            <v>108500</v>
          </cell>
        </row>
        <row r="5831">
          <cell r="W5831" t="str">
            <v>QJAGU03</v>
          </cell>
          <cell r="AD5831">
            <v>65000</v>
          </cell>
        </row>
        <row r="5832">
          <cell r="W5832" t="str">
            <v>QJAGU03</v>
          </cell>
          <cell r="AD5832">
            <v>65000</v>
          </cell>
        </row>
        <row r="5833">
          <cell r="W5833" t="str">
            <v>QJAGU03</v>
          </cell>
          <cell r="AD5833">
            <v>65000</v>
          </cell>
        </row>
        <row r="5834">
          <cell r="W5834" t="str">
            <v>QJAGU03</v>
          </cell>
          <cell r="AD5834">
            <v>65000</v>
          </cell>
        </row>
        <row r="5835">
          <cell r="W5835" t="str">
            <v>QJAGU03</v>
          </cell>
          <cell r="AD5835">
            <v>65000</v>
          </cell>
        </row>
        <row r="5836">
          <cell r="W5836" t="str">
            <v>AJAGU03</v>
          </cell>
          <cell r="AD5836">
            <v>65000</v>
          </cell>
        </row>
        <row r="5837">
          <cell r="W5837" t="str">
            <v>QJAGU03</v>
          </cell>
          <cell r="AD5837">
            <v>65000</v>
          </cell>
        </row>
        <row r="5838">
          <cell r="W5838" t="str">
            <v>QJAGU03</v>
          </cell>
          <cell r="AD5838">
            <v>65000</v>
          </cell>
        </row>
        <row r="5839">
          <cell r="W5839" t="str">
            <v>QJAGU03</v>
          </cell>
          <cell r="AD5839">
            <v>65000</v>
          </cell>
        </row>
        <row r="5840">
          <cell r="W5840" t="str">
            <v>QJAGU03</v>
          </cell>
          <cell r="AD5840">
            <v>65000</v>
          </cell>
        </row>
        <row r="5841">
          <cell r="W5841" t="str">
            <v>QJAGU03</v>
          </cell>
          <cell r="AD5841">
            <v>65000</v>
          </cell>
        </row>
        <row r="5842">
          <cell r="W5842" t="str">
            <v>QJAGU03</v>
          </cell>
          <cell r="AD5842">
            <v>65000</v>
          </cell>
        </row>
        <row r="5843">
          <cell r="W5843" t="str">
            <v>QJAGU03</v>
          </cell>
          <cell r="AD5843">
            <v>65000</v>
          </cell>
        </row>
        <row r="5844">
          <cell r="W5844" t="str">
            <v>AJAGU03</v>
          </cell>
          <cell r="AD5844">
            <v>66000</v>
          </cell>
        </row>
        <row r="5845">
          <cell r="W5845" t="str">
            <v>QJAGU03</v>
          </cell>
          <cell r="AD5845">
            <v>66000</v>
          </cell>
        </row>
        <row r="5846">
          <cell r="W5846" t="str">
            <v>QJAGU03</v>
          </cell>
          <cell r="AD5846">
            <v>66000</v>
          </cell>
        </row>
        <row r="5847">
          <cell r="W5847" t="str">
            <v>QJAGU03</v>
          </cell>
          <cell r="AD5847">
            <v>67000</v>
          </cell>
        </row>
        <row r="5848">
          <cell r="W5848" t="str">
            <v>QJAGU03</v>
          </cell>
          <cell r="AD5848">
            <v>67000</v>
          </cell>
        </row>
        <row r="5849">
          <cell r="W5849" t="str">
            <v>QJAGU03</v>
          </cell>
          <cell r="AD5849">
            <v>67000</v>
          </cell>
        </row>
        <row r="5850">
          <cell r="W5850" t="str">
            <v>QJAGU03</v>
          </cell>
          <cell r="AD5850">
            <v>67000</v>
          </cell>
        </row>
        <row r="5851">
          <cell r="W5851" t="str">
            <v>QJAGU03</v>
          </cell>
          <cell r="AD5851">
            <v>67000</v>
          </cell>
        </row>
        <row r="5852">
          <cell r="W5852" t="str">
            <v>QJAGU03</v>
          </cell>
          <cell r="AD5852">
            <v>67000</v>
          </cell>
        </row>
        <row r="5853">
          <cell r="W5853" t="str">
            <v>QJAGU03</v>
          </cell>
          <cell r="AD5853">
            <v>67000</v>
          </cell>
        </row>
        <row r="5854">
          <cell r="W5854" t="str">
            <v>QJAGU03</v>
          </cell>
          <cell r="AD5854">
            <v>67000</v>
          </cell>
        </row>
        <row r="5855">
          <cell r="W5855" t="str">
            <v>QJAGU03</v>
          </cell>
          <cell r="AD5855">
            <v>67000</v>
          </cell>
        </row>
        <row r="5856">
          <cell r="W5856" t="str">
            <v>QJAGU03</v>
          </cell>
          <cell r="AD5856">
            <v>67000</v>
          </cell>
        </row>
        <row r="5857">
          <cell r="W5857" t="str">
            <v>AJAGU03</v>
          </cell>
          <cell r="AD5857">
            <v>67000</v>
          </cell>
        </row>
        <row r="5858">
          <cell r="W5858" t="str">
            <v>QJAGU03</v>
          </cell>
          <cell r="AD5858">
            <v>67000</v>
          </cell>
        </row>
        <row r="5859">
          <cell r="W5859" t="str">
            <v>QJAGU03</v>
          </cell>
          <cell r="AD5859">
            <v>67000</v>
          </cell>
        </row>
        <row r="5860">
          <cell r="W5860" t="str">
            <v>QJAGU03</v>
          </cell>
          <cell r="AD5860">
            <v>67000</v>
          </cell>
        </row>
        <row r="5861">
          <cell r="W5861" t="str">
            <v>QJAGU03</v>
          </cell>
          <cell r="AD5861">
            <v>67000</v>
          </cell>
        </row>
        <row r="5862">
          <cell r="W5862" t="str">
            <v>QJAGU03</v>
          </cell>
          <cell r="AD5862">
            <v>67000</v>
          </cell>
        </row>
        <row r="5863">
          <cell r="W5863" t="str">
            <v>QJAGU03</v>
          </cell>
          <cell r="AD5863">
            <v>68000</v>
          </cell>
        </row>
        <row r="5864">
          <cell r="W5864" t="str">
            <v>QJAGU03</v>
          </cell>
          <cell r="AD5864">
            <v>68000</v>
          </cell>
        </row>
        <row r="5865">
          <cell r="W5865" t="str">
            <v>QJAGU03</v>
          </cell>
          <cell r="AD5865">
            <v>68000</v>
          </cell>
        </row>
        <row r="5866">
          <cell r="W5866" t="str">
            <v>QJAGU03</v>
          </cell>
          <cell r="AD5866">
            <v>68000</v>
          </cell>
        </row>
        <row r="5867">
          <cell r="W5867" t="str">
            <v>QJAGU03</v>
          </cell>
          <cell r="AD5867">
            <v>68000</v>
          </cell>
        </row>
        <row r="5868">
          <cell r="W5868" t="str">
            <v>QJAGU03</v>
          </cell>
          <cell r="AD5868">
            <v>68000</v>
          </cell>
        </row>
        <row r="5869">
          <cell r="W5869" t="str">
            <v>QJAGU03</v>
          </cell>
          <cell r="AD5869">
            <v>68000</v>
          </cell>
        </row>
        <row r="5870">
          <cell r="W5870" t="str">
            <v>QJAGU03</v>
          </cell>
          <cell r="AD5870">
            <v>68000</v>
          </cell>
        </row>
        <row r="5871">
          <cell r="W5871" t="str">
            <v>QJAGU03</v>
          </cell>
          <cell r="AD5871">
            <v>68000</v>
          </cell>
        </row>
        <row r="5872">
          <cell r="W5872" t="str">
            <v>QJAGU03</v>
          </cell>
          <cell r="AD5872">
            <v>68000</v>
          </cell>
        </row>
        <row r="5873">
          <cell r="W5873" t="str">
            <v>QJAGU03</v>
          </cell>
          <cell r="AD5873">
            <v>68000</v>
          </cell>
        </row>
        <row r="5874">
          <cell r="W5874" t="str">
            <v>QJAGU03</v>
          </cell>
          <cell r="AD5874">
            <v>68000</v>
          </cell>
        </row>
        <row r="5875">
          <cell r="W5875" t="str">
            <v>QJAGU03</v>
          </cell>
          <cell r="AD5875">
            <v>68000</v>
          </cell>
        </row>
        <row r="5876">
          <cell r="W5876" t="str">
            <v>QJAGU03</v>
          </cell>
          <cell r="AD5876">
            <v>68000</v>
          </cell>
        </row>
        <row r="5877">
          <cell r="W5877" t="str">
            <v>QJAGU03</v>
          </cell>
          <cell r="AD5877">
            <v>68000</v>
          </cell>
        </row>
        <row r="5878">
          <cell r="W5878" t="str">
            <v>AJAGU03</v>
          </cell>
          <cell r="AD5878">
            <v>68000</v>
          </cell>
        </row>
        <row r="5879">
          <cell r="W5879" t="str">
            <v>AJAGU03</v>
          </cell>
          <cell r="AD5879">
            <v>68000</v>
          </cell>
        </row>
        <row r="5880">
          <cell r="W5880" t="str">
            <v>AJAGU03</v>
          </cell>
          <cell r="AD5880">
            <v>68000</v>
          </cell>
        </row>
        <row r="5881">
          <cell r="W5881" t="str">
            <v>AJAGU03</v>
          </cell>
          <cell r="AD5881">
            <v>68000</v>
          </cell>
        </row>
        <row r="5882">
          <cell r="W5882" t="str">
            <v>AJAGU03</v>
          </cell>
          <cell r="AD5882">
            <v>68000</v>
          </cell>
        </row>
        <row r="5883">
          <cell r="W5883" t="str">
            <v>AJAGU03</v>
          </cell>
          <cell r="AD5883">
            <v>68000</v>
          </cell>
        </row>
        <row r="5884">
          <cell r="W5884" t="str">
            <v>QJAGU03</v>
          </cell>
          <cell r="AD5884">
            <v>68000</v>
          </cell>
        </row>
        <row r="5885">
          <cell r="W5885" t="str">
            <v>QJAGU03</v>
          </cell>
          <cell r="AD5885">
            <v>68000</v>
          </cell>
        </row>
        <row r="5886">
          <cell r="W5886" t="str">
            <v>AJAGU03</v>
          </cell>
          <cell r="AD5886">
            <v>68000</v>
          </cell>
        </row>
        <row r="5887">
          <cell r="W5887" t="str">
            <v>QJAGU03</v>
          </cell>
          <cell r="AD5887">
            <v>68000</v>
          </cell>
        </row>
        <row r="5888">
          <cell r="W5888" t="str">
            <v>QJAGU03</v>
          </cell>
          <cell r="AD5888">
            <v>68000</v>
          </cell>
        </row>
        <row r="5889">
          <cell r="W5889" t="str">
            <v>QJAGU03</v>
          </cell>
          <cell r="AD5889">
            <v>68000</v>
          </cell>
        </row>
        <row r="5890">
          <cell r="W5890" t="str">
            <v>QJAGU03</v>
          </cell>
          <cell r="AD5890">
            <v>68000</v>
          </cell>
        </row>
        <row r="5891">
          <cell r="W5891" t="str">
            <v>QJAGU03</v>
          </cell>
          <cell r="AD5891">
            <v>68000</v>
          </cell>
        </row>
        <row r="5892">
          <cell r="W5892" t="str">
            <v>QJAGU03</v>
          </cell>
          <cell r="AD5892">
            <v>68000</v>
          </cell>
        </row>
        <row r="5893">
          <cell r="W5893" t="str">
            <v>QJAGU03</v>
          </cell>
          <cell r="AD5893">
            <v>68000</v>
          </cell>
        </row>
        <row r="5894">
          <cell r="W5894" t="str">
            <v>QJAGU03</v>
          </cell>
          <cell r="AD5894">
            <v>69000</v>
          </cell>
        </row>
        <row r="5895">
          <cell r="W5895" t="str">
            <v>QJAGU03</v>
          </cell>
          <cell r="AD5895">
            <v>69000</v>
          </cell>
        </row>
        <row r="5896">
          <cell r="W5896" t="str">
            <v>AJAGU03</v>
          </cell>
          <cell r="AD5896">
            <v>69000</v>
          </cell>
        </row>
        <row r="5897">
          <cell r="W5897" t="str">
            <v>AJAGU03</v>
          </cell>
          <cell r="AD5897">
            <v>69000</v>
          </cell>
        </row>
        <row r="5898">
          <cell r="W5898" t="str">
            <v>AJAGU03</v>
          </cell>
          <cell r="AD5898">
            <v>69000</v>
          </cell>
        </row>
        <row r="5899">
          <cell r="W5899" t="str">
            <v>QJAGU03</v>
          </cell>
          <cell r="AD5899">
            <v>69000</v>
          </cell>
        </row>
        <row r="5900">
          <cell r="W5900" t="str">
            <v>AJAGU03</v>
          </cell>
          <cell r="AD5900">
            <v>69000</v>
          </cell>
        </row>
        <row r="5901">
          <cell r="W5901" t="str">
            <v>AJAGU03</v>
          </cell>
          <cell r="AD5901">
            <v>69000</v>
          </cell>
        </row>
        <row r="5902">
          <cell r="W5902" t="str">
            <v>AJAGU03</v>
          </cell>
          <cell r="AD5902">
            <v>69000</v>
          </cell>
        </row>
        <row r="5903">
          <cell r="W5903" t="str">
            <v>AJAGU03</v>
          </cell>
          <cell r="AD5903">
            <v>69000</v>
          </cell>
        </row>
        <row r="5904">
          <cell r="W5904" t="str">
            <v>QJAGU03</v>
          </cell>
          <cell r="AD5904">
            <v>69000</v>
          </cell>
        </row>
        <row r="5905">
          <cell r="W5905" t="str">
            <v>QJAGU03</v>
          </cell>
          <cell r="AD5905">
            <v>69000</v>
          </cell>
        </row>
        <row r="5906">
          <cell r="W5906" t="str">
            <v>QJAGU03</v>
          </cell>
          <cell r="AD5906">
            <v>69000</v>
          </cell>
        </row>
        <row r="5907">
          <cell r="W5907" t="str">
            <v>QJAGU03</v>
          </cell>
          <cell r="AD5907">
            <v>70000</v>
          </cell>
        </row>
        <row r="5908">
          <cell r="W5908" t="str">
            <v>QJAGU03</v>
          </cell>
          <cell r="AD5908">
            <v>70000</v>
          </cell>
        </row>
        <row r="5909">
          <cell r="W5909" t="str">
            <v>QJAGU03</v>
          </cell>
          <cell r="AD5909">
            <v>70000</v>
          </cell>
        </row>
        <row r="5910">
          <cell r="W5910" t="str">
            <v>QJAGU03</v>
          </cell>
          <cell r="AD5910">
            <v>70000</v>
          </cell>
        </row>
        <row r="5911">
          <cell r="W5911" t="str">
            <v>QJAGU03</v>
          </cell>
          <cell r="AD5911">
            <v>70000</v>
          </cell>
        </row>
        <row r="5912">
          <cell r="W5912" t="str">
            <v>QJAGU03</v>
          </cell>
          <cell r="AD5912">
            <v>70000</v>
          </cell>
        </row>
        <row r="5913">
          <cell r="W5913" t="str">
            <v>QJAGU03</v>
          </cell>
          <cell r="AD5913">
            <v>70000</v>
          </cell>
        </row>
        <row r="5914">
          <cell r="W5914" t="str">
            <v>QJAGU03</v>
          </cell>
          <cell r="AD5914">
            <v>70000</v>
          </cell>
        </row>
        <row r="5915">
          <cell r="W5915" t="str">
            <v>QJAGU03</v>
          </cell>
          <cell r="AD5915">
            <v>70000</v>
          </cell>
        </row>
        <row r="5916">
          <cell r="W5916" t="str">
            <v>QJAGU03</v>
          </cell>
          <cell r="AD5916">
            <v>70000</v>
          </cell>
        </row>
        <row r="5917">
          <cell r="W5917" t="str">
            <v>QJAGU03</v>
          </cell>
          <cell r="AD5917">
            <v>70000</v>
          </cell>
        </row>
        <row r="5918">
          <cell r="W5918" t="str">
            <v>QJAGU03</v>
          </cell>
          <cell r="AD5918">
            <v>70000</v>
          </cell>
        </row>
        <row r="5919">
          <cell r="W5919" t="str">
            <v>QJAGU03</v>
          </cell>
          <cell r="AD5919">
            <v>70000</v>
          </cell>
        </row>
        <row r="5920">
          <cell r="W5920" t="str">
            <v>QJAGU03</v>
          </cell>
          <cell r="AD5920">
            <v>70000</v>
          </cell>
        </row>
        <row r="5921">
          <cell r="W5921" t="str">
            <v>QJAGU03</v>
          </cell>
          <cell r="AD5921">
            <v>70000</v>
          </cell>
        </row>
        <row r="5922">
          <cell r="W5922" t="str">
            <v>QJAGU03</v>
          </cell>
          <cell r="AD5922">
            <v>70000</v>
          </cell>
        </row>
        <row r="5923">
          <cell r="W5923" t="str">
            <v>QJAGU03</v>
          </cell>
          <cell r="AD5923">
            <v>70000</v>
          </cell>
        </row>
        <row r="5924">
          <cell r="W5924" t="str">
            <v>QJAGU03</v>
          </cell>
          <cell r="AD5924">
            <v>70000</v>
          </cell>
        </row>
        <row r="5925">
          <cell r="W5925" t="str">
            <v>QJAGU03</v>
          </cell>
          <cell r="AD5925">
            <v>70000</v>
          </cell>
        </row>
        <row r="5926">
          <cell r="W5926" t="str">
            <v>QJAGU03</v>
          </cell>
          <cell r="AD5926">
            <v>70000</v>
          </cell>
        </row>
        <row r="5927">
          <cell r="W5927" t="str">
            <v>QJAGU03</v>
          </cell>
          <cell r="AD5927">
            <v>70000</v>
          </cell>
        </row>
        <row r="5928">
          <cell r="W5928" t="str">
            <v>AJAGU03</v>
          </cell>
          <cell r="AD5928">
            <v>70000</v>
          </cell>
        </row>
        <row r="5929">
          <cell r="W5929" t="str">
            <v>AJAGU03</v>
          </cell>
          <cell r="AD5929">
            <v>70000</v>
          </cell>
        </row>
        <row r="5930">
          <cell r="W5930" t="str">
            <v>AJAGU03</v>
          </cell>
          <cell r="AD5930">
            <v>70000</v>
          </cell>
        </row>
        <row r="5931">
          <cell r="W5931" t="str">
            <v>QJAGU03</v>
          </cell>
          <cell r="AD5931">
            <v>70000</v>
          </cell>
        </row>
        <row r="5932">
          <cell r="W5932" t="str">
            <v>QJAGU03</v>
          </cell>
          <cell r="AD5932">
            <v>70000</v>
          </cell>
        </row>
        <row r="5933">
          <cell r="W5933" t="str">
            <v>QJAGU03</v>
          </cell>
          <cell r="AD5933">
            <v>70000</v>
          </cell>
        </row>
        <row r="5934">
          <cell r="W5934" t="str">
            <v>QJAGU03</v>
          </cell>
          <cell r="AD5934">
            <v>70000</v>
          </cell>
        </row>
        <row r="5935">
          <cell r="W5935" t="str">
            <v>QJAGU03</v>
          </cell>
          <cell r="AD5935">
            <v>70000</v>
          </cell>
        </row>
        <row r="5936">
          <cell r="W5936" t="str">
            <v>QJAGU03</v>
          </cell>
          <cell r="AD5936">
            <v>70000</v>
          </cell>
        </row>
        <row r="5937">
          <cell r="W5937" t="str">
            <v>QJAGU03</v>
          </cell>
          <cell r="AD5937">
            <v>70000</v>
          </cell>
        </row>
        <row r="5938">
          <cell r="W5938" t="str">
            <v>QJAGU03</v>
          </cell>
          <cell r="AD5938">
            <v>70000</v>
          </cell>
        </row>
        <row r="5939">
          <cell r="W5939" t="str">
            <v>QJAGU03</v>
          </cell>
          <cell r="AD5939">
            <v>70000</v>
          </cell>
        </row>
        <row r="5940">
          <cell r="W5940" t="str">
            <v>QJAGU03</v>
          </cell>
          <cell r="AD5940">
            <v>70000</v>
          </cell>
        </row>
        <row r="5941">
          <cell r="W5941" t="str">
            <v>QJAGU03</v>
          </cell>
          <cell r="AD5941">
            <v>70000</v>
          </cell>
        </row>
        <row r="5942">
          <cell r="W5942" t="str">
            <v>QJAGU03</v>
          </cell>
          <cell r="AD5942">
            <v>70000</v>
          </cell>
        </row>
        <row r="5943">
          <cell r="W5943" t="str">
            <v>QJAGU03</v>
          </cell>
          <cell r="AD5943">
            <v>70000</v>
          </cell>
        </row>
        <row r="5944">
          <cell r="W5944" t="str">
            <v>QJAGU03</v>
          </cell>
          <cell r="AD5944">
            <v>70000</v>
          </cell>
        </row>
        <row r="5945">
          <cell r="W5945" t="str">
            <v>QJAGU03</v>
          </cell>
          <cell r="AD5945">
            <v>70000</v>
          </cell>
        </row>
        <row r="5946">
          <cell r="W5946" t="str">
            <v>QJAGU03</v>
          </cell>
          <cell r="AD5946">
            <v>70000</v>
          </cell>
        </row>
        <row r="5947">
          <cell r="W5947" t="str">
            <v>QJAGU03</v>
          </cell>
          <cell r="AD5947">
            <v>70000</v>
          </cell>
        </row>
        <row r="5948">
          <cell r="W5948" t="str">
            <v>QJAGU03</v>
          </cell>
          <cell r="AD5948">
            <v>70000</v>
          </cell>
        </row>
        <row r="5949">
          <cell r="W5949" t="str">
            <v>QJAGU03</v>
          </cell>
          <cell r="AD5949">
            <v>70000</v>
          </cell>
        </row>
        <row r="5950">
          <cell r="W5950" t="str">
            <v>QJAGU03</v>
          </cell>
          <cell r="AD5950">
            <v>70000</v>
          </cell>
        </row>
        <row r="5951">
          <cell r="W5951" t="str">
            <v>QJAGU03</v>
          </cell>
          <cell r="AD5951">
            <v>70000</v>
          </cell>
        </row>
        <row r="5952">
          <cell r="W5952" t="str">
            <v>QJAGU03</v>
          </cell>
          <cell r="AD5952">
            <v>70000</v>
          </cell>
        </row>
        <row r="5953">
          <cell r="W5953" t="str">
            <v>QJAGU04</v>
          </cell>
          <cell r="AD5953">
            <v>51000</v>
          </cell>
        </row>
        <row r="5954">
          <cell r="W5954" t="str">
            <v>QJAGU04</v>
          </cell>
          <cell r="AD5954">
            <v>51000</v>
          </cell>
        </row>
        <row r="5955">
          <cell r="W5955" t="str">
            <v>QJAGU04</v>
          </cell>
          <cell r="AD5955">
            <v>51000</v>
          </cell>
        </row>
        <row r="5956">
          <cell r="W5956" t="str">
            <v>QJAGU04</v>
          </cell>
          <cell r="AD5956">
            <v>51000</v>
          </cell>
        </row>
        <row r="5957">
          <cell r="W5957" t="str">
            <v>QJAGU04</v>
          </cell>
          <cell r="AD5957">
            <v>51000</v>
          </cell>
        </row>
        <row r="5958">
          <cell r="W5958" t="str">
            <v>QJAGU04</v>
          </cell>
          <cell r="AD5958">
            <v>51000</v>
          </cell>
        </row>
        <row r="5959">
          <cell r="W5959" t="str">
            <v>QJAGU04</v>
          </cell>
          <cell r="AD5959">
            <v>51000</v>
          </cell>
        </row>
        <row r="5960">
          <cell r="W5960" t="str">
            <v>QJAGU04</v>
          </cell>
          <cell r="AD5960">
            <v>51000</v>
          </cell>
        </row>
        <row r="5961">
          <cell r="W5961" t="str">
            <v>QJAGU04</v>
          </cell>
          <cell r="AD5961">
            <v>51000</v>
          </cell>
        </row>
        <row r="5962">
          <cell r="W5962" t="str">
            <v>QJAGU04</v>
          </cell>
          <cell r="AD5962">
            <v>51000</v>
          </cell>
        </row>
        <row r="5963">
          <cell r="W5963" t="str">
            <v>QJAGU04</v>
          </cell>
          <cell r="AD5963">
            <v>51000</v>
          </cell>
        </row>
        <row r="5964">
          <cell r="W5964" t="str">
            <v>QJAGU04</v>
          </cell>
          <cell r="AD5964">
            <v>51000</v>
          </cell>
        </row>
        <row r="5965">
          <cell r="W5965" t="str">
            <v>QJAGU04</v>
          </cell>
          <cell r="AD5965">
            <v>51000</v>
          </cell>
        </row>
        <row r="5966">
          <cell r="W5966" t="str">
            <v>QJAGU04</v>
          </cell>
          <cell r="AD5966">
            <v>51000</v>
          </cell>
        </row>
        <row r="5967">
          <cell r="W5967" t="str">
            <v>QJAGU04</v>
          </cell>
          <cell r="AD5967">
            <v>51000</v>
          </cell>
        </row>
        <row r="5968">
          <cell r="W5968" t="str">
            <v>QJAGU04</v>
          </cell>
          <cell r="AD5968">
            <v>51500</v>
          </cell>
        </row>
        <row r="5969">
          <cell r="W5969" t="str">
            <v>QJAGU04</v>
          </cell>
          <cell r="AD5969">
            <v>51500</v>
          </cell>
        </row>
        <row r="5970">
          <cell r="W5970" t="str">
            <v>QJAGU04</v>
          </cell>
          <cell r="AD5970">
            <v>52000</v>
          </cell>
        </row>
        <row r="5971">
          <cell r="W5971" t="str">
            <v>QJAGU04</v>
          </cell>
          <cell r="AD5971">
            <v>52000</v>
          </cell>
        </row>
        <row r="5972">
          <cell r="W5972" t="str">
            <v>QJAGU04</v>
          </cell>
          <cell r="AD5972">
            <v>52000</v>
          </cell>
        </row>
        <row r="5973">
          <cell r="W5973" t="str">
            <v>QJAGU04</v>
          </cell>
          <cell r="AD5973">
            <v>52000</v>
          </cell>
        </row>
        <row r="5974">
          <cell r="W5974" t="str">
            <v>QJAGU04</v>
          </cell>
          <cell r="AD5974">
            <v>52500</v>
          </cell>
        </row>
        <row r="5975">
          <cell r="W5975" t="str">
            <v>QJAGU04</v>
          </cell>
          <cell r="AD5975">
            <v>52500</v>
          </cell>
        </row>
        <row r="5976">
          <cell r="W5976" t="str">
            <v>QJAGU04</v>
          </cell>
          <cell r="AD5976">
            <v>52500</v>
          </cell>
        </row>
        <row r="5977">
          <cell r="W5977" t="str">
            <v>QJAGU04</v>
          </cell>
          <cell r="AD5977">
            <v>52500</v>
          </cell>
        </row>
        <row r="5978">
          <cell r="W5978" t="str">
            <v>QJAGU04</v>
          </cell>
          <cell r="AD5978">
            <v>52500</v>
          </cell>
        </row>
        <row r="5979">
          <cell r="W5979" t="str">
            <v>QJAGU04</v>
          </cell>
          <cell r="AD5979">
            <v>52500</v>
          </cell>
        </row>
        <row r="5980">
          <cell r="W5980" t="str">
            <v>QJAGU04</v>
          </cell>
          <cell r="AD5980">
            <v>52500</v>
          </cell>
        </row>
        <row r="5981">
          <cell r="W5981" t="str">
            <v>QJAGU04</v>
          </cell>
          <cell r="AD5981">
            <v>52500</v>
          </cell>
        </row>
        <row r="5982">
          <cell r="W5982" t="str">
            <v>QJAGU04</v>
          </cell>
          <cell r="AD5982">
            <v>52500</v>
          </cell>
        </row>
        <row r="5983">
          <cell r="W5983" t="str">
            <v>QJAGU04</v>
          </cell>
          <cell r="AD5983">
            <v>52500</v>
          </cell>
        </row>
        <row r="5984">
          <cell r="W5984" t="str">
            <v>QJAGU04</v>
          </cell>
          <cell r="AD5984">
            <v>52500</v>
          </cell>
        </row>
        <row r="5985">
          <cell r="W5985" t="str">
            <v>QJAGU04</v>
          </cell>
          <cell r="AD5985">
            <v>52500</v>
          </cell>
        </row>
        <row r="5986">
          <cell r="W5986" t="str">
            <v>QJAGU04</v>
          </cell>
          <cell r="AD5986">
            <v>52500</v>
          </cell>
        </row>
        <row r="5987">
          <cell r="W5987" t="str">
            <v>QJAGU04</v>
          </cell>
          <cell r="AD5987">
            <v>52500</v>
          </cell>
        </row>
        <row r="5988">
          <cell r="W5988" t="str">
            <v>QJAGU04</v>
          </cell>
          <cell r="AD5988">
            <v>52500</v>
          </cell>
        </row>
        <row r="5989">
          <cell r="W5989" t="str">
            <v>QJAGU04</v>
          </cell>
          <cell r="AD5989">
            <v>52500</v>
          </cell>
        </row>
        <row r="5990">
          <cell r="W5990" t="str">
            <v>QJAGU04</v>
          </cell>
          <cell r="AD5990">
            <v>52500</v>
          </cell>
        </row>
        <row r="5991">
          <cell r="W5991" t="str">
            <v>QJAGU04</v>
          </cell>
          <cell r="AD5991">
            <v>52500</v>
          </cell>
        </row>
        <row r="5992">
          <cell r="W5992" t="str">
            <v>QJAGU04</v>
          </cell>
          <cell r="AD5992">
            <v>52500</v>
          </cell>
        </row>
        <row r="5993">
          <cell r="W5993" t="str">
            <v>QJAGU04</v>
          </cell>
          <cell r="AD5993">
            <v>52500</v>
          </cell>
        </row>
        <row r="5994">
          <cell r="W5994" t="str">
            <v>QJAGU04</v>
          </cell>
          <cell r="AD5994">
            <v>52500</v>
          </cell>
        </row>
        <row r="5995">
          <cell r="W5995" t="str">
            <v>QJAGU04</v>
          </cell>
          <cell r="AD5995">
            <v>52500</v>
          </cell>
        </row>
        <row r="5996">
          <cell r="W5996" t="str">
            <v>QJAGU04</v>
          </cell>
          <cell r="AD5996">
            <v>52500</v>
          </cell>
        </row>
        <row r="5997">
          <cell r="W5997" t="str">
            <v>QJAGU04</v>
          </cell>
          <cell r="AD5997">
            <v>52500</v>
          </cell>
        </row>
        <row r="5998">
          <cell r="W5998" t="str">
            <v>QJAGU04</v>
          </cell>
          <cell r="AD5998">
            <v>52500</v>
          </cell>
        </row>
        <row r="5999">
          <cell r="W5999" t="str">
            <v>QJAGU04</v>
          </cell>
          <cell r="AD5999">
            <v>52500</v>
          </cell>
        </row>
        <row r="6000">
          <cell r="W6000" t="str">
            <v>QJAGU04</v>
          </cell>
          <cell r="AD6000">
            <v>52500</v>
          </cell>
        </row>
        <row r="6001">
          <cell r="W6001" t="str">
            <v>QJAGU04</v>
          </cell>
          <cell r="AD6001">
            <v>52500</v>
          </cell>
        </row>
        <row r="6002">
          <cell r="W6002" t="str">
            <v>QJAGU04</v>
          </cell>
          <cell r="AD6002">
            <v>52500</v>
          </cell>
        </row>
        <row r="6003">
          <cell r="W6003" t="str">
            <v>QJAGU04</v>
          </cell>
          <cell r="AD6003">
            <v>52500</v>
          </cell>
        </row>
        <row r="6004">
          <cell r="W6004" t="str">
            <v>AJAGU05</v>
          </cell>
          <cell r="AD6004">
            <v>52500</v>
          </cell>
        </row>
        <row r="6005">
          <cell r="W6005" t="str">
            <v>AJAGU05</v>
          </cell>
          <cell r="AD6005">
            <v>52500</v>
          </cell>
        </row>
        <row r="6006">
          <cell r="W6006" t="str">
            <v>AJAGU05</v>
          </cell>
          <cell r="AD6006">
            <v>52500</v>
          </cell>
        </row>
        <row r="6007">
          <cell r="W6007" t="str">
            <v>QJAGU04</v>
          </cell>
          <cell r="AD6007">
            <v>52500</v>
          </cell>
        </row>
        <row r="6008">
          <cell r="W6008" t="str">
            <v>QJAGU04</v>
          </cell>
          <cell r="AD6008">
            <v>52500</v>
          </cell>
        </row>
        <row r="6009">
          <cell r="W6009" t="str">
            <v>QJAGU04</v>
          </cell>
          <cell r="AD6009">
            <v>52500</v>
          </cell>
        </row>
        <row r="6010">
          <cell r="W6010" t="str">
            <v>QJAGU04</v>
          </cell>
          <cell r="AD6010">
            <v>52500</v>
          </cell>
        </row>
        <row r="6011">
          <cell r="W6011" t="str">
            <v>QJAGU04</v>
          </cell>
          <cell r="AD6011">
            <v>52500</v>
          </cell>
        </row>
        <row r="6012">
          <cell r="W6012" t="str">
            <v>QJAGU04</v>
          </cell>
          <cell r="AD6012">
            <v>52500</v>
          </cell>
        </row>
        <row r="6013">
          <cell r="W6013" t="str">
            <v>QJAGU04</v>
          </cell>
          <cell r="AD6013">
            <v>52500</v>
          </cell>
        </row>
        <row r="6014">
          <cell r="W6014" t="str">
            <v>QJAGU04</v>
          </cell>
          <cell r="AD6014">
            <v>52500</v>
          </cell>
        </row>
        <row r="6015">
          <cell r="W6015" t="str">
            <v>QJAGU04</v>
          </cell>
          <cell r="AD6015">
            <v>52500</v>
          </cell>
        </row>
        <row r="6016">
          <cell r="W6016" t="str">
            <v>QJAGU04</v>
          </cell>
          <cell r="AD6016">
            <v>52500</v>
          </cell>
        </row>
        <row r="6017">
          <cell r="W6017" t="str">
            <v>QJAGU04</v>
          </cell>
          <cell r="AD6017">
            <v>52500</v>
          </cell>
        </row>
        <row r="6018">
          <cell r="W6018" t="str">
            <v>QJAGU04</v>
          </cell>
          <cell r="AD6018">
            <v>52500</v>
          </cell>
        </row>
        <row r="6019">
          <cell r="W6019" t="str">
            <v>QJAGU04</v>
          </cell>
          <cell r="AD6019">
            <v>52500</v>
          </cell>
        </row>
        <row r="6020">
          <cell r="W6020" t="str">
            <v>QJAGU04</v>
          </cell>
          <cell r="AD6020">
            <v>52500</v>
          </cell>
        </row>
        <row r="6021">
          <cell r="W6021" t="str">
            <v>QJAGU04</v>
          </cell>
          <cell r="AD6021">
            <v>52500</v>
          </cell>
        </row>
        <row r="6022">
          <cell r="W6022" t="str">
            <v>QJAGU04</v>
          </cell>
          <cell r="AD6022">
            <v>52500</v>
          </cell>
        </row>
        <row r="6023">
          <cell r="W6023" t="str">
            <v>QJAGU04</v>
          </cell>
          <cell r="AD6023">
            <v>52500</v>
          </cell>
        </row>
        <row r="6024">
          <cell r="W6024" t="str">
            <v>QJAGU04</v>
          </cell>
          <cell r="AD6024">
            <v>52500</v>
          </cell>
        </row>
        <row r="6025">
          <cell r="W6025" t="str">
            <v>AJAGU05</v>
          </cell>
          <cell r="AD6025">
            <v>52500</v>
          </cell>
        </row>
        <row r="6026">
          <cell r="W6026" t="str">
            <v>AJAGU05</v>
          </cell>
          <cell r="AD6026">
            <v>52500</v>
          </cell>
        </row>
        <row r="6027">
          <cell r="W6027" t="str">
            <v>QJAGU04</v>
          </cell>
          <cell r="AD6027">
            <v>52500</v>
          </cell>
        </row>
        <row r="6028">
          <cell r="W6028" t="str">
            <v>QJAGU04</v>
          </cell>
          <cell r="AD6028">
            <v>52500</v>
          </cell>
        </row>
        <row r="6029">
          <cell r="W6029" t="str">
            <v>QJAGU04</v>
          </cell>
          <cell r="AD6029">
            <v>52500</v>
          </cell>
        </row>
        <row r="6030">
          <cell r="W6030" t="str">
            <v>AJAGU05</v>
          </cell>
          <cell r="AD6030">
            <v>52500</v>
          </cell>
        </row>
        <row r="6031">
          <cell r="W6031" t="str">
            <v>QJAGU04</v>
          </cell>
          <cell r="AD6031">
            <v>52500</v>
          </cell>
        </row>
        <row r="6032">
          <cell r="W6032" t="str">
            <v>QJAGU04</v>
          </cell>
          <cell r="AD6032">
            <v>52500</v>
          </cell>
        </row>
        <row r="6033">
          <cell r="W6033" t="str">
            <v>QJAGU04</v>
          </cell>
          <cell r="AD6033">
            <v>52500</v>
          </cell>
        </row>
        <row r="6034">
          <cell r="W6034" t="str">
            <v>QJAGU04</v>
          </cell>
          <cell r="AD6034">
            <v>52500</v>
          </cell>
        </row>
        <row r="6035">
          <cell r="W6035" t="str">
            <v>QJAGU04</v>
          </cell>
          <cell r="AD6035">
            <v>52500</v>
          </cell>
        </row>
        <row r="6036">
          <cell r="W6036" t="str">
            <v>QJAGU04</v>
          </cell>
          <cell r="AD6036">
            <v>52500</v>
          </cell>
        </row>
        <row r="6037">
          <cell r="W6037" t="str">
            <v>QJAGU04</v>
          </cell>
          <cell r="AD6037">
            <v>52500</v>
          </cell>
        </row>
        <row r="6038">
          <cell r="W6038" t="str">
            <v>QJAGU04</v>
          </cell>
          <cell r="AD6038">
            <v>52500</v>
          </cell>
        </row>
        <row r="6039">
          <cell r="W6039" t="str">
            <v>QJAGU04</v>
          </cell>
          <cell r="AD6039">
            <v>53000</v>
          </cell>
        </row>
        <row r="6040">
          <cell r="W6040" t="str">
            <v>QJAGU04</v>
          </cell>
          <cell r="AD6040">
            <v>53000</v>
          </cell>
        </row>
        <row r="6041">
          <cell r="W6041" t="str">
            <v>QJAGU04</v>
          </cell>
          <cell r="AD6041">
            <v>53000</v>
          </cell>
        </row>
        <row r="6042">
          <cell r="W6042" t="str">
            <v>QJAGU04</v>
          </cell>
          <cell r="AD6042">
            <v>53000</v>
          </cell>
        </row>
        <row r="6043">
          <cell r="W6043" t="str">
            <v>QJAGU04</v>
          </cell>
          <cell r="AD6043">
            <v>53000</v>
          </cell>
        </row>
        <row r="6044">
          <cell r="W6044" t="str">
            <v>QJAGU04</v>
          </cell>
          <cell r="AD6044">
            <v>53000</v>
          </cell>
        </row>
        <row r="6045">
          <cell r="W6045" t="str">
            <v>QJAGU04</v>
          </cell>
          <cell r="AD6045">
            <v>53000</v>
          </cell>
        </row>
        <row r="6046">
          <cell r="W6046" t="str">
            <v>QJAGU04</v>
          </cell>
          <cell r="AD6046">
            <v>53000</v>
          </cell>
        </row>
        <row r="6047">
          <cell r="W6047" t="str">
            <v>AJAGU05</v>
          </cell>
          <cell r="AD6047">
            <v>53000</v>
          </cell>
        </row>
        <row r="6048">
          <cell r="W6048" t="str">
            <v>QJAGU04</v>
          </cell>
          <cell r="AD6048">
            <v>53000</v>
          </cell>
        </row>
        <row r="6049">
          <cell r="W6049" t="str">
            <v>QJAGU04</v>
          </cell>
          <cell r="AD6049">
            <v>53000</v>
          </cell>
        </row>
        <row r="6050">
          <cell r="W6050" t="str">
            <v>QJAGU04</v>
          </cell>
          <cell r="AD6050">
            <v>53500</v>
          </cell>
        </row>
        <row r="6051">
          <cell r="W6051" t="str">
            <v>QJAGU04</v>
          </cell>
          <cell r="AD6051">
            <v>53500</v>
          </cell>
        </row>
        <row r="6052">
          <cell r="W6052" t="str">
            <v>QJAGU04</v>
          </cell>
          <cell r="AD6052">
            <v>53500</v>
          </cell>
        </row>
        <row r="6053">
          <cell r="W6053" t="str">
            <v>QJAGU04</v>
          </cell>
          <cell r="AD6053">
            <v>53500</v>
          </cell>
        </row>
        <row r="6054">
          <cell r="W6054" t="str">
            <v>QJAGU04</v>
          </cell>
          <cell r="AD6054">
            <v>53500</v>
          </cell>
        </row>
        <row r="6055">
          <cell r="W6055" t="str">
            <v>QJAGU04</v>
          </cell>
          <cell r="AD6055">
            <v>53500</v>
          </cell>
        </row>
        <row r="6056">
          <cell r="W6056" t="str">
            <v>QJAGU04</v>
          </cell>
          <cell r="AD6056">
            <v>53500</v>
          </cell>
        </row>
        <row r="6057">
          <cell r="W6057" t="str">
            <v>QJAGU04</v>
          </cell>
          <cell r="AD6057">
            <v>53500</v>
          </cell>
        </row>
        <row r="6058">
          <cell r="W6058" t="str">
            <v>QJAGU04</v>
          </cell>
          <cell r="AD6058">
            <v>53500</v>
          </cell>
        </row>
        <row r="6059">
          <cell r="W6059" t="str">
            <v>QJAGU04</v>
          </cell>
          <cell r="AD6059">
            <v>53500</v>
          </cell>
        </row>
        <row r="6060">
          <cell r="W6060" t="str">
            <v>QJAGU04</v>
          </cell>
          <cell r="AD6060">
            <v>54000</v>
          </cell>
        </row>
        <row r="6061">
          <cell r="W6061" t="str">
            <v>QJAGU04</v>
          </cell>
          <cell r="AD6061">
            <v>54000</v>
          </cell>
        </row>
        <row r="6062">
          <cell r="W6062" t="str">
            <v>QJAGU04</v>
          </cell>
          <cell r="AD6062">
            <v>54000</v>
          </cell>
        </row>
        <row r="6063">
          <cell r="W6063" t="str">
            <v>QJAGU04</v>
          </cell>
          <cell r="AD6063">
            <v>54000</v>
          </cell>
        </row>
        <row r="6064">
          <cell r="W6064" t="str">
            <v>QJAGU04</v>
          </cell>
          <cell r="AD6064">
            <v>54000</v>
          </cell>
        </row>
        <row r="6065">
          <cell r="W6065" t="str">
            <v>QJAGU04</v>
          </cell>
          <cell r="AD6065">
            <v>54000</v>
          </cell>
        </row>
        <row r="6066">
          <cell r="W6066" t="str">
            <v>QJAGU04</v>
          </cell>
          <cell r="AD6066">
            <v>54000</v>
          </cell>
        </row>
        <row r="6067">
          <cell r="W6067" t="str">
            <v>QJAGU04</v>
          </cell>
          <cell r="AD6067">
            <v>54500</v>
          </cell>
        </row>
        <row r="6068">
          <cell r="W6068" t="str">
            <v>QJAGU04</v>
          </cell>
          <cell r="AD6068">
            <v>54500</v>
          </cell>
        </row>
        <row r="6069">
          <cell r="W6069" t="str">
            <v>QJAGU04</v>
          </cell>
          <cell r="AD6069">
            <v>54500</v>
          </cell>
        </row>
        <row r="6070">
          <cell r="W6070" t="str">
            <v>QJAGU04</v>
          </cell>
          <cell r="AD6070">
            <v>54500</v>
          </cell>
        </row>
        <row r="6071">
          <cell r="W6071" t="str">
            <v>QJAGU04</v>
          </cell>
          <cell r="AD6071">
            <v>54500</v>
          </cell>
        </row>
        <row r="6072">
          <cell r="W6072" t="str">
            <v>QJAGU04</v>
          </cell>
          <cell r="AD6072">
            <v>54500</v>
          </cell>
        </row>
        <row r="6073">
          <cell r="W6073" t="str">
            <v>QJAGU04</v>
          </cell>
          <cell r="AD6073">
            <v>55000</v>
          </cell>
        </row>
        <row r="6074">
          <cell r="W6074" t="str">
            <v>QJAGU04</v>
          </cell>
          <cell r="AD6074">
            <v>55000</v>
          </cell>
        </row>
        <row r="6075">
          <cell r="W6075" t="str">
            <v>QJAGU04</v>
          </cell>
          <cell r="AD6075">
            <v>55000</v>
          </cell>
        </row>
        <row r="6076">
          <cell r="W6076" t="str">
            <v>QJAGU04</v>
          </cell>
          <cell r="AD6076">
            <v>55000</v>
          </cell>
        </row>
        <row r="6077">
          <cell r="W6077" t="str">
            <v>QJAGU04</v>
          </cell>
          <cell r="AD6077">
            <v>55000</v>
          </cell>
        </row>
        <row r="6078">
          <cell r="W6078" t="str">
            <v>QJAGU04</v>
          </cell>
          <cell r="AD6078">
            <v>55000</v>
          </cell>
        </row>
        <row r="6079">
          <cell r="W6079" t="str">
            <v>QJAGU04</v>
          </cell>
          <cell r="AD6079">
            <v>55000</v>
          </cell>
        </row>
        <row r="6080">
          <cell r="W6080" t="str">
            <v>QJAGU04</v>
          </cell>
          <cell r="AD6080">
            <v>56000</v>
          </cell>
        </row>
        <row r="6081">
          <cell r="W6081" t="str">
            <v>QJAGU04</v>
          </cell>
          <cell r="AD6081">
            <v>58000</v>
          </cell>
        </row>
        <row r="6082">
          <cell r="W6082" t="str">
            <v>QJAGU04</v>
          </cell>
          <cell r="AD6082">
            <v>58000</v>
          </cell>
        </row>
        <row r="6083">
          <cell r="W6083" t="str">
            <v>QJAGU50</v>
          </cell>
          <cell r="AD6083">
            <v>62000</v>
          </cell>
        </row>
        <row r="6084">
          <cell r="W6084" t="str">
            <v>QJAGU50</v>
          </cell>
          <cell r="AD6084">
            <v>62000</v>
          </cell>
        </row>
        <row r="6085">
          <cell r="W6085" t="str">
            <v>QJAGU50</v>
          </cell>
          <cell r="AD6085">
            <v>63000</v>
          </cell>
        </row>
        <row r="6086">
          <cell r="W6086" t="str">
            <v>QJAGU50</v>
          </cell>
          <cell r="AD6086">
            <v>63000</v>
          </cell>
        </row>
        <row r="6087">
          <cell r="W6087" t="str">
            <v>QJAGU50</v>
          </cell>
          <cell r="AD6087">
            <v>63000</v>
          </cell>
        </row>
        <row r="6088">
          <cell r="W6088" t="str">
            <v>QJAGU50</v>
          </cell>
          <cell r="AD6088">
            <v>63000</v>
          </cell>
        </row>
        <row r="6089">
          <cell r="W6089" t="str">
            <v>QJAGU50</v>
          </cell>
          <cell r="AD6089">
            <v>65000</v>
          </cell>
        </row>
        <row r="6090">
          <cell r="W6090" t="str">
            <v>QJAGU50</v>
          </cell>
          <cell r="AD6090">
            <v>65000</v>
          </cell>
        </row>
        <row r="6091">
          <cell r="W6091" t="str">
            <v>QJAGU57</v>
          </cell>
          <cell r="AD6091">
            <v>350000</v>
          </cell>
        </row>
        <row r="6092">
          <cell r="W6092" t="str">
            <v>QJAGU57</v>
          </cell>
          <cell r="AD6092">
            <v>350000</v>
          </cell>
        </row>
        <row r="6093">
          <cell r="W6093" t="str">
            <v>QJAGU57</v>
          </cell>
          <cell r="AD6093">
            <v>350000</v>
          </cell>
        </row>
        <row r="6094">
          <cell r="W6094" t="str">
            <v>QJAGU57</v>
          </cell>
          <cell r="AD6094">
            <v>350000</v>
          </cell>
        </row>
        <row r="6095">
          <cell r="W6095" t="str">
            <v>QJAGU57</v>
          </cell>
          <cell r="AD6095">
            <v>350000</v>
          </cell>
        </row>
        <row r="6096">
          <cell r="W6096" t="str">
            <v>QJAGU57</v>
          </cell>
          <cell r="AD6096">
            <v>350000</v>
          </cell>
        </row>
        <row r="6097">
          <cell r="W6097" t="str">
            <v>QJAGU57</v>
          </cell>
          <cell r="AD6097">
            <v>350000</v>
          </cell>
        </row>
        <row r="6098">
          <cell r="W6098" t="str">
            <v>QJAGU57</v>
          </cell>
          <cell r="AD6098">
            <v>350000</v>
          </cell>
        </row>
        <row r="6099">
          <cell r="W6099" t="str">
            <v>QJAGU57</v>
          </cell>
          <cell r="AD6099">
            <v>350000</v>
          </cell>
        </row>
        <row r="6100">
          <cell r="W6100" t="str">
            <v>QJAGU57</v>
          </cell>
          <cell r="AD6100">
            <v>350000</v>
          </cell>
        </row>
        <row r="6101">
          <cell r="W6101" t="str">
            <v>QJAGU57</v>
          </cell>
          <cell r="AD6101">
            <v>350000</v>
          </cell>
        </row>
        <row r="6102">
          <cell r="W6102" t="str">
            <v>QJAGU57</v>
          </cell>
          <cell r="AD6102">
            <v>350000</v>
          </cell>
        </row>
        <row r="6103">
          <cell r="W6103" t="str">
            <v>QJAGU57</v>
          </cell>
          <cell r="AD6103">
            <v>350000</v>
          </cell>
        </row>
        <row r="6104">
          <cell r="W6104" t="str">
            <v>AJAGU49</v>
          </cell>
          <cell r="AD6104">
            <v>70000</v>
          </cell>
        </row>
        <row r="6105">
          <cell r="W6105" t="str">
            <v>QJAGU06</v>
          </cell>
          <cell r="AD6105">
            <v>40000</v>
          </cell>
        </row>
        <row r="6106">
          <cell r="W6106" t="str">
            <v>QJAGU06</v>
          </cell>
          <cell r="AD6106">
            <v>40000</v>
          </cell>
        </row>
        <row r="6107">
          <cell r="W6107" t="str">
            <v>QJAGU06</v>
          </cell>
          <cell r="AD6107">
            <v>40000</v>
          </cell>
        </row>
        <row r="6108">
          <cell r="W6108" t="str">
            <v>QJAGU06</v>
          </cell>
          <cell r="AD6108">
            <v>40000</v>
          </cell>
        </row>
        <row r="6109">
          <cell r="W6109" t="str">
            <v>QJAGU06</v>
          </cell>
          <cell r="AD6109">
            <v>40000</v>
          </cell>
        </row>
        <row r="6110">
          <cell r="W6110" t="str">
            <v>AJAGU07</v>
          </cell>
          <cell r="AD6110">
            <v>40000</v>
          </cell>
        </row>
        <row r="6111">
          <cell r="W6111" t="str">
            <v>QJAGU06</v>
          </cell>
          <cell r="AD6111">
            <v>40000</v>
          </cell>
        </row>
        <row r="6112">
          <cell r="W6112" t="str">
            <v>QJAGU06</v>
          </cell>
          <cell r="AD6112">
            <v>40000</v>
          </cell>
        </row>
        <row r="6113">
          <cell r="W6113" t="str">
            <v>QJAGU53</v>
          </cell>
          <cell r="AD6113">
            <v>72500</v>
          </cell>
        </row>
        <row r="6114">
          <cell r="W6114" t="str">
            <v>QJAGU53</v>
          </cell>
          <cell r="AD6114">
            <v>72500</v>
          </cell>
        </row>
        <row r="6115">
          <cell r="W6115" t="str">
            <v>QJAGU53</v>
          </cell>
          <cell r="AD6115">
            <v>72500</v>
          </cell>
        </row>
        <row r="6116">
          <cell r="W6116" t="str">
            <v>QJAGU53</v>
          </cell>
          <cell r="AD6116">
            <v>72500</v>
          </cell>
        </row>
        <row r="6117">
          <cell r="W6117" t="str">
            <v>QJAGU53</v>
          </cell>
          <cell r="AD6117">
            <v>72500</v>
          </cell>
        </row>
        <row r="6118">
          <cell r="W6118" t="str">
            <v>QJAGU42</v>
          </cell>
          <cell r="AD6118">
            <v>72500</v>
          </cell>
        </row>
        <row r="6119">
          <cell r="W6119" t="str">
            <v>QJAGU42</v>
          </cell>
          <cell r="AD6119">
            <v>72500</v>
          </cell>
        </row>
        <row r="6120">
          <cell r="W6120" t="str">
            <v>QJAGU42</v>
          </cell>
          <cell r="AD6120">
            <v>72500</v>
          </cell>
        </row>
        <row r="6121">
          <cell r="W6121" t="str">
            <v>QJAGU42</v>
          </cell>
          <cell r="AD6121">
            <v>72500</v>
          </cell>
        </row>
        <row r="6122">
          <cell r="W6122" t="str">
            <v>QJAGU42</v>
          </cell>
          <cell r="AD6122">
            <v>72500</v>
          </cell>
        </row>
        <row r="6123">
          <cell r="W6123" t="str">
            <v>QJAGU42</v>
          </cell>
          <cell r="AD6123">
            <v>72500</v>
          </cell>
        </row>
        <row r="6124">
          <cell r="W6124" t="str">
            <v>QJAGU42</v>
          </cell>
          <cell r="AD6124">
            <v>72500</v>
          </cell>
        </row>
        <row r="6125">
          <cell r="W6125" t="str">
            <v>QJAGU42</v>
          </cell>
          <cell r="AD6125">
            <v>72500</v>
          </cell>
        </row>
        <row r="6126">
          <cell r="W6126" t="str">
            <v>QJAGU42</v>
          </cell>
          <cell r="AD6126">
            <v>72500</v>
          </cell>
        </row>
        <row r="6127">
          <cell r="W6127" t="str">
            <v>QJAGU42</v>
          </cell>
          <cell r="AD6127">
            <v>72500</v>
          </cell>
        </row>
        <row r="6128">
          <cell r="W6128" t="str">
            <v>QJAGU42</v>
          </cell>
          <cell r="AD6128">
            <v>72500</v>
          </cell>
        </row>
        <row r="6129">
          <cell r="W6129" t="str">
            <v>QJAGU42</v>
          </cell>
          <cell r="AD6129">
            <v>72500</v>
          </cell>
        </row>
        <row r="6130">
          <cell r="W6130" t="str">
            <v>QJAGU42</v>
          </cell>
          <cell r="AD6130">
            <v>72500</v>
          </cell>
        </row>
        <row r="6131">
          <cell r="W6131" t="str">
            <v>QJAGU42</v>
          </cell>
          <cell r="AD6131">
            <v>72500</v>
          </cell>
        </row>
        <row r="6132">
          <cell r="W6132" t="str">
            <v>QJAGU42</v>
          </cell>
          <cell r="AD6132">
            <v>73500</v>
          </cell>
        </row>
        <row r="6133">
          <cell r="W6133" t="str">
            <v>QJAGU42</v>
          </cell>
          <cell r="AD6133">
            <v>73500</v>
          </cell>
        </row>
        <row r="6134">
          <cell r="W6134" t="str">
            <v>QJAGU42</v>
          </cell>
          <cell r="AD6134">
            <v>73500</v>
          </cell>
        </row>
        <row r="6135">
          <cell r="W6135" t="str">
            <v>QJAGU42</v>
          </cell>
          <cell r="AD6135">
            <v>73500</v>
          </cell>
        </row>
        <row r="6136">
          <cell r="W6136" t="str">
            <v>QJAGU42</v>
          </cell>
          <cell r="AD6136">
            <v>73500</v>
          </cell>
        </row>
        <row r="6137">
          <cell r="W6137" t="str">
            <v>QJAGU42</v>
          </cell>
          <cell r="AD6137">
            <v>73500</v>
          </cell>
        </row>
        <row r="6138">
          <cell r="W6138" t="str">
            <v>QJAGU42</v>
          </cell>
          <cell r="AD6138">
            <v>73500</v>
          </cell>
        </row>
        <row r="6139">
          <cell r="W6139" t="str">
            <v>QJAGU42</v>
          </cell>
          <cell r="AD6139">
            <v>73500</v>
          </cell>
        </row>
        <row r="6140">
          <cell r="W6140" t="str">
            <v>QJAGU42</v>
          </cell>
          <cell r="AD6140">
            <v>73500</v>
          </cell>
        </row>
        <row r="6141">
          <cell r="W6141" t="str">
            <v>QJAGU42</v>
          </cell>
          <cell r="AD6141">
            <v>73500</v>
          </cell>
        </row>
        <row r="6142">
          <cell r="W6142" t="str">
            <v>QJAGU42</v>
          </cell>
          <cell r="AD6142">
            <v>73500</v>
          </cell>
        </row>
        <row r="6143">
          <cell r="W6143" t="str">
            <v>QJAGU42</v>
          </cell>
          <cell r="AD6143">
            <v>73500</v>
          </cell>
        </row>
        <row r="6144">
          <cell r="W6144" t="str">
            <v>QJAGU42</v>
          </cell>
          <cell r="AD6144">
            <v>73500</v>
          </cell>
        </row>
        <row r="6145">
          <cell r="W6145" t="str">
            <v>QJAGU42</v>
          </cell>
          <cell r="AD6145">
            <v>73500</v>
          </cell>
        </row>
        <row r="6146">
          <cell r="W6146" t="str">
            <v>QJAGU42</v>
          </cell>
          <cell r="AD6146">
            <v>73500</v>
          </cell>
        </row>
        <row r="6147">
          <cell r="W6147" t="str">
            <v>QJAGU42</v>
          </cell>
          <cell r="AD6147">
            <v>73500</v>
          </cell>
        </row>
        <row r="6148">
          <cell r="W6148" t="str">
            <v>QJAGU42</v>
          </cell>
          <cell r="AD6148">
            <v>73500</v>
          </cell>
        </row>
        <row r="6149">
          <cell r="W6149" t="str">
            <v>QJAGU42</v>
          </cell>
          <cell r="AD6149">
            <v>73500</v>
          </cell>
        </row>
        <row r="6150">
          <cell r="W6150" t="str">
            <v>QJAGU42</v>
          </cell>
          <cell r="AD6150">
            <v>73500</v>
          </cell>
        </row>
        <row r="6151">
          <cell r="W6151" t="str">
            <v>QJAGU42</v>
          </cell>
          <cell r="AD6151">
            <v>73500</v>
          </cell>
        </row>
        <row r="6152">
          <cell r="W6152" t="str">
            <v>QJAGU42</v>
          </cell>
          <cell r="AD6152">
            <v>73500</v>
          </cell>
        </row>
        <row r="6153">
          <cell r="W6153" t="str">
            <v>QJAGU42</v>
          </cell>
          <cell r="AD6153">
            <v>73500</v>
          </cell>
        </row>
        <row r="6154">
          <cell r="W6154" t="str">
            <v>QJAGU42</v>
          </cell>
          <cell r="AD6154">
            <v>73500</v>
          </cell>
        </row>
        <row r="6155">
          <cell r="W6155" t="str">
            <v>QJAGU42</v>
          </cell>
          <cell r="AD6155">
            <v>73500</v>
          </cell>
        </row>
        <row r="6156">
          <cell r="W6156" t="str">
            <v>QJAGU42</v>
          </cell>
          <cell r="AD6156">
            <v>73500</v>
          </cell>
        </row>
        <row r="6157">
          <cell r="W6157" t="str">
            <v>QJAGU42</v>
          </cell>
          <cell r="AD6157">
            <v>73500</v>
          </cell>
        </row>
        <row r="6158">
          <cell r="W6158" t="str">
            <v>QJAGU42</v>
          </cell>
          <cell r="AD6158">
            <v>73500</v>
          </cell>
        </row>
        <row r="6159">
          <cell r="W6159" t="str">
            <v>QJAGU42</v>
          </cell>
          <cell r="AD6159">
            <v>73500</v>
          </cell>
        </row>
        <row r="6160">
          <cell r="W6160" t="str">
            <v>QJAGU42</v>
          </cell>
          <cell r="AD6160">
            <v>73500</v>
          </cell>
        </row>
        <row r="6161">
          <cell r="W6161" t="str">
            <v>QJAGU42</v>
          </cell>
          <cell r="AD6161">
            <v>73500</v>
          </cell>
        </row>
        <row r="6162">
          <cell r="W6162" t="str">
            <v>QJAGU42</v>
          </cell>
          <cell r="AD6162">
            <v>73500</v>
          </cell>
        </row>
        <row r="6163">
          <cell r="W6163" t="str">
            <v>QJAGU42</v>
          </cell>
          <cell r="AD6163">
            <v>73500</v>
          </cell>
        </row>
        <row r="6164">
          <cell r="W6164" t="str">
            <v>QJAGU42</v>
          </cell>
          <cell r="AD6164">
            <v>73500</v>
          </cell>
        </row>
        <row r="6165">
          <cell r="W6165" t="str">
            <v>QJAGU42</v>
          </cell>
          <cell r="AD6165">
            <v>73500</v>
          </cell>
        </row>
        <row r="6166">
          <cell r="W6166" t="str">
            <v>QJAGU42</v>
          </cell>
          <cell r="AD6166">
            <v>73500</v>
          </cell>
        </row>
        <row r="6167">
          <cell r="W6167" t="str">
            <v>QJAGU42</v>
          </cell>
          <cell r="AD6167">
            <v>73500</v>
          </cell>
        </row>
        <row r="6168">
          <cell r="W6168" t="str">
            <v>QJAGU42</v>
          </cell>
          <cell r="AD6168">
            <v>73500</v>
          </cell>
        </row>
        <row r="6169">
          <cell r="W6169" t="str">
            <v>QJAGU42</v>
          </cell>
          <cell r="AD6169">
            <v>73500</v>
          </cell>
        </row>
        <row r="6170">
          <cell r="W6170" t="str">
            <v>QJAGU42</v>
          </cell>
          <cell r="AD6170">
            <v>73500</v>
          </cell>
        </row>
        <row r="6171">
          <cell r="W6171" t="str">
            <v>QJAGU42</v>
          </cell>
          <cell r="AD6171">
            <v>73500</v>
          </cell>
        </row>
        <row r="6172">
          <cell r="W6172" t="str">
            <v>QJAGU42</v>
          </cell>
          <cell r="AD6172">
            <v>73500</v>
          </cell>
        </row>
        <row r="6173">
          <cell r="W6173" t="str">
            <v>QJAGU42</v>
          </cell>
          <cell r="AD6173">
            <v>73500</v>
          </cell>
        </row>
        <row r="6174">
          <cell r="W6174" t="str">
            <v>QJAGU42</v>
          </cell>
          <cell r="AD6174">
            <v>73500</v>
          </cell>
        </row>
        <row r="6175">
          <cell r="W6175" t="str">
            <v>QJAGU42</v>
          </cell>
          <cell r="AD6175">
            <v>73500</v>
          </cell>
        </row>
        <row r="6176">
          <cell r="W6176" t="str">
            <v>QJAGU42</v>
          </cell>
          <cell r="AD6176">
            <v>73500</v>
          </cell>
        </row>
        <row r="6177">
          <cell r="W6177" t="str">
            <v>QJAGU42</v>
          </cell>
          <cell r="AD6177">
            <v>73500</v>
          </cell>
        </row>
        <row r="6178">
          <cell r="W6178" t="str">
            <v>QJAGU42</v>
          </cell>
          <cell r="AD6178">
            <v>73500</v>
          </cell>
        </row>
        <row r="6179">
          <cell r="W6179" t="str">
            <v>QJAGU42</v>
          </cell>
          <cell r="AD6179">
            <v>73500</v>
          </cell>
        </row>
        <row r="6180">
          <cell r="W6180" t="str">
            <v>QJAGU42</v>
          </cell>
          <cell r="AD6180">
            <v>73500</v>
          </cell>
        </row>
        <row r="6181">
          <cell r="W6181" t="str">
            <v>QJAGU42</v>
          </cell>
          <cell r="AD6181">
            <v>73500</v>
          </cell>
        </row>
        <row r="6182">
          <cell r="W6182" t="str">
            <v>QJAGU42</v>
          </cell>
          <cell r="AD6182">
            <v>73500</v>
          </cell>
        </row>
        <row r="6183">
          <cell r="W6183" t="str">
            <v>QJAGU42</v>
          </cell>
          <cell r="AD6183">
            <v>73500</v>
          </cell>
        </row>
        <row r="6184">
          <cell r="W6184" t="str">
            <v>QJAGU42</v>
          </cell>
          <cell r="AD6184">
            <v>73500</v>
          </cell>
        </row>
        <row r="6185">
          <cell r="W6185" t="str">
            <v>AJAGU52</v>
          </cell>
          <cell r="AD6185">
            <v>73500</v>
          </cell>
        </row>
        <row r="6186">
          <cell r="W6186" t="str">
            <v>QJAGU42</v>
          </cell>
          <cell r="AD6186">
            <v>73500</v>
          </cell>
        </row>
        <row r="6187">
          <cell r="W6187" t="str">
            <v>QJAGU42</v>
          </cell>
          <cell r="AD6187">
            <v>73500</v>
          </cell>
        </row>
        <row r="6188">
          <cell r="W6188" t="str">
            <v>QJAGU42</v>
          </cell>
          <cell r="AD6188">
            <v>73500</v>
          </cell>
        </row>
        <row r="6189">
          <cell r="W6189" t="str">
            <v>QJAGU42</v>
          </cell>
          <cell r="AD6189">
            <v>73500</v>
          </cell>
        </row>
        <row r="6190">
          <cell r="W6190" t="str">
            <v>QJAGU42</v>
          </cell>
          <cell r="AD6190">
            <v>73500</v>
          </cell>
        </row>
        <row r="6191">
          <cell r="W6191" t="str">
            <v>QJAGU42</v>
          </cell>
          <cell r="AD6191">
            <v>73500</v>
          </cell>
        </row>
        <row r="6192">
          <cell r="W6192" t="str">
            <v>QJAGU42</v>
          </cell>
          <cell r="AD6192">
            <v>73500</v>
          </cell>
        </row>
        <row r="6193">
          <cell r="W6193" t="str">
            <v>QJAGU42</v>
          </cell>
          <cell r="AD6193">
            <v>73500</v>
          </cell>
        </row>
        <row r="6194">
          <cell r="W6194" t="str">
            <v>QJAGU42</v>
          </cell>
          <cell r="AD6194">
            <v>73500</v>
          </cell>
        </row>
        <row r="6195">
          <cell r="W6195" t="str">
            <v>QJAGU42</v>
          </cell>
          <cell r="AD6195">
            <v>73500</v>
          </cell>
        </row>
        <row r="6196">
          <cell r="W6196" t="str">
            <v>QJAGU42</v>
          </cell>
          <cell r="AD6196">
            <v>73500</v>
          </cell>
        </row>
        <row r="6197">
          <cell r="W6197" t="str">
            <v>QJAGU42</v>
          </cell>
          <cell r="AD6197">
            <v>73500</v>
          </cell>
        </row>
        <row r="6198">
          <cell r="W6198" t="str">
            <v>QJAGU40</v>
          </cell>
          <cell r="AD6198">
            <v>73500</v>
          </cell>
        </row>
        <row r="6199">
          <cell r="W6199" t="str">
            <v>QJAGU40</v>
          </cell>
          <cell r="AD6199">
            <v>74000</v>
          </cell>
        </row>
        <row r="6200">
          <cell r="W6200" t="str">
            <v>QJAGU40</v>
          </cell>
          <cell r="AD6200">
            <v>75000</v>
          </cell>
        </row>
        <row r="6201">
          <cell r="W6201" t="str">
            <v>QJAGU40</v>
          </cell>
          <cell r="AD6201">
            <v>75000</v>
          </cell>
        </row>
        <row r="6202">
          <cell r="W6202" t="str">
            <v>QJAGU40</v>
          </cell>
          <cell r="AD6202">
            <v>75000</v>
          </cell>
        </row>
        <row r="6203">
          <cell r="W6203" t="str">
            <v>QJAGU40</v>
          </cell>
          <cell r="AD6203">
            <v>75000</v>
          </cell>
        </row>
        <row r="6204">
          <cell r="W6204" t="str">
            <v>QJAGU40</v>
          </cell>
          <cell r="AD6204">
            <v>75000</v>
          </cell>
        </row>
        <row r="6205">
          <cell r="W6205" t="str">
            <v>QJAGU40</v>
          </cell>
          <cell r="AD6205">
            <v>75000</v>
          </cell>
        </row>
        <row r="6206">
          <cell r="W6206" t="str">
            <v>QJAGU40</v>
          </cell>
          <cell r="AD6206">
            <v>75000</v>
          </cell>
        </row>
        <row r="6207">
          <cell r="W6207" t="str">
            <v>QJAGU40</v>
          </cell>
          <cell r="AD6207">
            <v>75000</v>
          </cell>
        </row>
        <row r="6208">
          <cell r="W6208" t="str">
            <v>QJAGU40</v>
          </cell>
          <cell r="AD6208">
            <v>75000</v>
          </cell>
        </row>
        <row r="6209">
          <cell r="W6209" t="str">
            <v>QJAGU40</v>
          </cell>
          <cell r="AD6209">
            <v>75000</v>
          </cell>
        </row>
        <row r="6210">
          <cell r="W6210" t="str">
            <v>QJAGU40</v>
          </cell>
          <cell r="AD6210">
            <v>75000</v>
          </cell>
        </row>
        <row r="6211">
          <cell r="W6211" t="str">
            <v>QJAGU40</v>
          </cell>
          <cell r="AD6211">
            <v>75000</v>
          </cell>
        </row>
        <row r="6212">
          <cell r="W6212" t="str">
            <v>QJAGU40</v>
          </cell>
          <cell r="AD6212">
            <v>75000</v>
          </cell>
        </row>
        <row r="6213">
          <cell r="W6213" t="str">
            <v>QJAGU40</v>
          </cell>
          <cell r="AD6213">
            <v>75000</v>
          </cell>
        </row>
        <row r="6214">
          <cell r="W6214" t="str">
            <v>QJAGU40</v>
          </cell>
          <cell r="AD6214">
            <v>75000</v>
          </cell>
        </row>
        <row r="6215">
          <cell r="W6215" t="str">
            <v>QJAGU40</v>
          </cell>
          <cell r="AD6215">
            <v>75000</v>
          </cell>
        </row>
        <row r="6216">
          <cell r="W6216" t="str">
            <v>QJAGU40</v>
          </cell>
          <cell r="AD6216">
            <v>75000</v>
          </cell>
        </row>
        <row r="6217">
          <cell r="W6217" t="str">
            <v>QJAGU40</v>
          </cell>
          <cell r="AD6217">
            <v>75000</v>
          </cell>
        </row>
        <row r="6218">
          <cell r="W6218" t="str">
            <v>QJAGU40</v>
          </cell>
          <cell r="AD6218">
            <v>75000</v>
          </cell>
        </row>
        <row r="6219">
          <cell r="W6219" t="str">
            <v>QJAGU40</v>
          </cell>
          <cell r="AD6219">
            <v>75000</v>
          </cell>
        </row>
        <row r="6220">
          <cell r="W6220" t="str">
            <v>QJAGU40</v>
          </cell>
          <cell r="AD6220">
            <v>75000</v>
          </cell>
        </row>
        <row r="6221">
          <cell r="W6221" t="str">
            <v>QJAGU40</v>
          </cell>
          <cell r="AD6221">
            <v>75000</v>
          </cell>
        </row>
        <row r="6222">
          <cell r="W6222" t="str">
            <v>QJAGU40</v>
          </cell>
          <cell r="AD6222">
            <v>75000</v>
          </cell>
        </row>
        <row r="6223">
          <cell r="W6223" t="str">
            <v>QJAGU40</v>
          </cell>
          <cell r="AD6223">
            <v>75000</v>
          </cell>
        </row>
        <row r="6224">
          <cell r="W6224" t="str">
            <v>QJAGU40</v>
          </cell>
          <cell r="AD6224">
            <v>75000</v>
          </cell>
        </row>
        <row r="6225">
          <cell r="W6225" t="str">
            <v>QJAGU40</v>
          </cell>
          <cell r="AD6225">
            <v>75000</v>
          </cell>
        </row>
        <row r="6226">
          <cell r="W6226" t="str">
            <v>QJAGU40</v>
          </cell>
          <cell r="AD6226">
            <v>75000</v>
          </cell>
        </row>
        <row r="6227">
          <cell r="W6227" t="str">
            <v>QJAGU40</v>
          </cell>
          <cell r="AD6227">
            <v>75000</v>
          </cell>
        </row>
        <row r="6228">
          <cell r="W6228" t="str">
            <v>QJAGU40</v>
          </cell>
          <cell r="AD6228">
            <v>75000</v>
          </cell>
        </row>
        <row r="6229">
          <cell r="W6229" t="str">
            <v>QJAGU40</v>
          </cell>
          <cell r="AD6229">
            <v>75000</v>
          </cell>
        </row>
        <row r="6230">
          <cell r="W6230" t="str">
            <v>QJAGU40</v>
          </cell>
          <cell r="AD6230">
            <v>75000</v>
          </cell>
        </row>
        <row r="6231">
          <cell r="W6231" t="str">
            <v>QJAGU40</v>
          </cell>
          <cell r="AD6231">
            <v>75000</v>
          </cell>
        </row>
        <row r="6232">
          <cell r="W6232" t="str">
            <v>QJAGU40</v>
          </cell>
          <cell r="AD6232">
            <v>75000</v>
          </cell>
        </row>
        <row r="6233">
          <cell r="W6233" t="str">
            <v>QJAGU40</v>
          </cell>
          <cell r="AD6233">
            <v>75000</v>
          </cell>
        </row>
        <row r="6234">
          <cell r="W6234" t="str">
            <v>QJAGU40</v>
          </cell>
          <cell r="AD6234">
            <v>75000</v>
          </cell>
        </row>
        <row r="6235">
          <cell r="W6235" t="str">
            <v>QJAGU40</v>
          </cell>
          <cell r="AD6235">
            <v>75000</v>
          </cell>
        </row>
        <row r="6236">
          <cell r="W6236" t="str">
            <v>QJAGU40</v>
          </cell>
          <cell r="AD6236">
            <v>75000</v>
          </cell>
        </row>
        <row r="6237">
          <cell r="W6237" t="str">
            <v>QJAGU40</v>
          </cell>
          <cell r="AD6237">
            <v>75000</v>
          </cell>
        </row>
        <row r="6238">
          <cell r="W6238" t="str">
            <v>QJAGU40</v>
          </cell>
          <cell r="AD6238">
            <v>75000</v>
          </cell>
        </row>
        <row r="6239">
          <cell r="W6239" t="str">
            <v>QJAGU40</v>
          </cell>
          <cell r="AD6239">
            <v>75000</v>
          </cell>
        </row>
        <row r="6240">
          <cell r="W6240" t="str">
            <v>QJAGU40</v>
          </cell>
          <cell r="AD6240">
            <v>75000</v>
          </cell>
        </row>
        <row r="6241">
          <cell r="W6241" t="str">
            <v>QJAGU40</v>
          </cell>
          <cell r="AD6241">
            <v>75000</v>
          </cell>
        </row>
        <row r="6242">
          <cell r="W6242" t="str">
            <v>QJAGU40</v>
          </cell>
          <cell r="AD6242">
            <v>75000</v>
          </cell>
        </row>
        <row r="6243">
          <cell r="W6243" t="str">
            <v>QJAGU40</v>
          </cell>
          <cell r="AD6243">
            <v>75000</v>
          </cell>
        </row>
        <row r="6244">
          <cell r="W6244" t="str">
            <v>QJAGU40</v>
          </cell>
          <cell r="AD6244">
            <v>75000</v>
          </cell>
        </row>
        <row r="6245">
          <cell r="W6245" t="str">
            <v>QJAGU40</v>
          </cell>
          <cell r="AD6245">
            <v>75000</v>
          </cell>
        </row>
        <row r="6246">
          <cell r="W6246" t="str">
            <v>QJAGU40</v>
          </cell>
          <cell r="AD6246">
            <v>75000</v>
          </cell>
        </row>
        <row r="6247">
          <cell r="W6247" t="str">
            <v>QJAGU40</v>
          </cell>
          <cell r="AD6247">
            <v>75000</v>
          </cell>
        </row>
        <row r="6248">
          <cell r="W6248" t="str">
            <v>QJAGU40</v>
          </cell>
          <cell r="AD6248">
            <v>75000</v>
          </cell>
        </row>
        <row r="6249">
          <cell r="W6249" t="str">
            <v>QJAGU40</v>
          </cell>
          <cell r="AD6249">
            <v>75000</v>
          </cell>
        </row>
        <row r="6250">
          <cell r="W6250" t="str">
            <v>QJAGU40</v>
          </cell>
          <cell r="AD6250">
            <v>75000</v>
          </cell>
        </row>
        <row r="6251">
          <cell r="W6251" t="str">
            <v>QJAGU40</v>
          </cell>
          <cell r="AD6251">
            <v>75000</v>
          </cell>
        </row>
        <row r="6252">
          <cell r="W6252" t="str">
            <v>QJAGU40</v>
          </cell>
          <cell r="AD6252">
            <v>75000</v>
          </cell>
        </row>
        <row r="6253">
          <cell r="W6253" t="str">
            <v>QJAGU40</v>
          </cell>
          <cell r="AD6253">
            <v>75000</v>
          </cell>
        </row>
        <row r="6254">
          <cell r="W6254" t="str">
            <v>QJAGU40</v>
          </cell>
          <cell r="AD6254">
            <v>75000</v>
          </cell>
        </row>
        <row r="6255">
          <cell r="W6255" t="str">
            <v>QJAGU40</v>
          </cell>
          <cell r="AD6255">
            <v>75000</v>
          </cell>
        </row>
        <row r="6256">
          <cell r="W6256" t="str">
            <v>QJAGU40</v>
          </cell>
          <cell r="AD6256">
            <v>75000</v>
          </cell>
        </row>
        <row r="6257">
          <cell r="W6257" t="str">
            <v>QJAGU40</v>
          </cell>
          <cell r="AD6257">
            <v>75000</v>
          </cell>
        </row>
        <row r="6258">
          <cell r="W6258" t="str">
            <v>QJAGU40</v>
          </cell>
          <cell r="AD6258">
            <v>75000</v>
          </cell>
        </row>
        <row r="6259">
          <cell r="W6259" t="str">
            <v>QJAGU40</v>
          </cell>
          <cell r="AD6259">
            <v>75000</v>
          </cell>
        </row>
        <row r="6260">
          <cell r="W6260" t="str">
            <v>QJAGU40</v>
          </cell>
          <cell r="AD6260">
            <v>75000</v>
          </cell>
        </row>
        <row r="6261">
          <cell r="W6261" t="str">
            <v>AJAGU12</v>
          </cell>
          <cell r="AD6261">
            <v>1</v>
          </cell>
        </row>
        <row r="6262">
          <cell r="W6262" t="str">
            <v>QJAGU55</v>
          </cell>
          <cell r="AD6262">
            <v>125000</v>
          </cell>
        </row>
        <row r="6263">
          <cell r="W6263" t="str">
            <v>QJAGU55</v>
          </cell>
          <cell r="AD6263">
            <v>125000</v>
          </cell>
        </row>
        <row r="6264">
          <cell r="W6264" t="str">
            <v>QJAGU55</v>
          </cell>
          <cell r="AD6264">
            <v>125000</v>
          </cell>
        </row>
        <row r="6265">
          <cell r="W6265" t="str">
            <v>QJAGU55</v>
          </cell>
          <cell r="AD6265">
            <v>125000</v>
          </cell>
        </row>
        <row r="6266">
          <cell r="W6266" t="str">
            <v>QJAGU55</v>
          </cell>
          <cell r="AD6266">
            <v>130000</v>
          </cell>
        </row>
        <row r="6267">
          <cell r="W6267" t="str">
            <v>QJAGU55</v>
          </cell>
          <cell r="AD6267">
            <v>155000</v>
          </cell>
        </row>
        <row r="6268">
          <cell r="W6268" t="str">
            <v>QJAGU55</v>
          </cell>
          <cell r="AD6268">
            <v>160000</v>
          </cell>
        </row>
        <row r="6269">
          <cell r="W6269" t="str">
            <v>QJAGU56</v>
          </cell>
          <cell r="AD6269">
            <v>73000</v>
          </cell>
        </row>
        <row r="6270">
          <cell r="W6270" t="str">
            <v>QJAGU56</v>
          </cell>
          <cell r="AD6270">
            <v>75000</v>
          </cell>
        </row>
        <row r="6271">
          <cell r="W6271" t="str">
            <v>QJAGU56</v>
          </cell>
          <cell r="AD6271">
            <v>75000</v>
          </cell>
        </row>
        <row r="6272">
          <cell r="W6272" t="str">
            <v>QJAGU56</v>
          </cell>
          <cell r="AD6272">
            <v>85000</v>
          </cell>
        </row>
        <row r="6273">
          <cell r="W6273" t="str">
            <v>QJAGU56</v>
          </cell>
          <cell r="AD6273">
            <v>85000</v>
          </cell>
        </row>
        <row r="6274">
          <cell r="W6274" t="str">
            <v>QJAGU44</v>
          </cell>
          <cell r="AD6274">
            <v>127000</v>
          </cell>
        </row>
        <row r="6275">
          <cell r="W6275" t="str">
            <v>QJAGU44</v>
          </cell>
          <cell r="AD6275">
            <v>127000</v>
          </cell>
        </row>
        <row r="6276">
          <cell r="W6276" t="str">
            <v>QJAGU44</v>
          </cell>
          <cell r="AD6276">
            <v>127000</v>
          </cell>
        </row>
        <row r="6277">
          <cell r="W6277" t="str">
            <v>QJAGU44</v>
          </cell>
          <cell r="AD6277">
            <v>127000</v>
          </cell>
        </row>
        <row r="6278">
          <cell r="W6278" t="str">
            <v>QJAGU44</v>
          </cell>
          <cell r="AD6278">
            <v>150000</v>
          </cell>
        </row>
        <row r="6279">
          <cell r="W6279" t="str">
            <v>QJAGU44</v>
          </cell>
          <cell r="AD6279">
            <v>150000</v>
          </cell>
        </row>
        <row r="6280">
          <cell r="W6280" t="str">
            <v>QJAGU43</v>
          </cell>
          <cell r="AD6280">
            <v>75000</v>
          </cell>
        </row>
        <row r="6281">
          <cell r="W6281" t="str">
            <v>QJAGU43</v>
          </cell>
          <cell r="AD6281">
            <v>75000</v>
          </cell>
        </row>
        <row r="6282">
          <cell r="W6282" t="str">
            <v>QJAGU43</v>
          </cell>
          <cell r="AD6282">
            <v>75000</v>
          </cell>
        </row>
        <row r="6283">
          <cell r="W6283" t="str">
            <v>QJAGU43</v>
          </cell>
          <cell r="AD6283">
            <v>77000</v>
          </cell>
        </row>
        <row r="6284">
          <cell r="W6284" t="str">
            <v>QJAGU43</v>
          </cell>
          <cell r="AD6284">
            <v>77000</v>
          </cell>
        </row>
        <row r="6285">
          <cell r="W6285" t="str">
            <v>QJAGU43</v>
          </cell>
          <cell r="AD6285">
            <v>80000</v>
          </cell>
        </row>
        <row r="6286">
          <cell r="W6286" t="str">
            <v>QJAGU43</v>
          </cell>
          <cell r="AD6286">
            <v>80000</v>
          </cell>
        </row>
        <row r="6287">
          <cell r="W6287" t="str">
            <v>QJAGU43</v>
          </cell>
          <cell r="AD6287">
            <v>80000</v>
          </cell>
        </row>
        <row r="6288">
          <cell r="W6288" t="str">
            <v>QJAGU43</v>
          </cell>
          <cell r="AD6288">
            <v>80000</v>
          </cell>
        </row>
        <row r="6289">
          <cell r="W6289" t="str">
            <v>QJAGU43</v>
          </cell>
          <cell r="AD6289">
            <v>80000</v>
          </cell>
        </row>
        <row r="6290">
          <cell r="W6290" t="str">
            <v>QJAGU43</v>
          </cell>
          <cell r="AD6290">
            <v>80000</v>
          </cell>
        </row>
        <row r="6291">
          <cell r="W6291" t="str">
            <v>QJAGU43</v>
          </cell>
          <cell r="AD6291">
            <v>82500</v>
          </cell>
        </row>
        <row r="6292">
          <cell r="W6292" t="str">
            <v>QJAGU43</v>
          </cell>
          <cell r="AD6292">
            <v>82500</v>
          </cell>
        </row>
        <row r="6293">
          <cell r="W6293" t="str">
            <v>QJAGU43</v>
          </cell>
          <cell r="AD6293">
            <v>85000</v>
          </cell>
        </row>
        <row r="6294">
          <cell r="W6294" t="str">
            <v>QJAGU43</v>
          </cell>
          <cell r="AD6294">
            <v>85000</v>
          </cell>
        </row>
        <row r="6295">
          <cell r="W6295" t="str">
            <v>QJAGU43</v>
          </cell>
          <cell r="AD6295">
            <v>85000</v>
          </cell>
        </row>
        <row r="6296">
          <cell r="W6296" t="str">
            <v>QJAGU47</v>
          </cell>
          <cell r="AD6296">
            <v>125000</v>
          </cell>
        </row>
        <row r="6297">
          <cell r="W6297" t="str">
            <v>QJAGU47</v>
          </cell>
          <cell r="AD6297">
            <v>125000</v>
          </cell>
        </row>
        <row r="6298">
          <cell r="W6298" t="str">
            <v>QJAGU47</v>
          </cell>
          <cell r="AD6298">
            <v>125000</v>
          </cell>
        </row>
        <row r="6299">
          <cell r="W6299" t="str">
            <v>QJAGU47</v>
          </cell>
          <cell r="AD6299">
            <v>127000</v>
          </cell>
        </row>
        <row r="6300">
          <cell r="W6300" t="str">
            <v>QJAGU47</v>
          </cell>
          <cell r="AD6300">
            <v>127000</v>
          </cell>
        </row>
        <row r="6301">
          <cell r="W6301" t="str">
            <v>QJAGU47</v>
          </cell>
          <cell r="AD6301">
            <v>127000</v>
          </cell>
        </row>
        <row r="6302">
          <cell r="W6302" t="str">
            <v>QJAGU47</v>
          </cell>
          <cell r="AD6302">
            <v>127000</v>
          </cell>
        </row>
        <row r="6303">
          <cell r="W6303" t="str">
            <v>QJAGU47</v>
          </cell>
          <cell r="AD6303">
            <v>127000</v>
          </cell>
        </row>
        <row r="6304">
          <cell r="W6304" t="str">
            <v>QJAGU47</v>
          </cell>
          <cell r="AD6304">
            <v>135000</v>
          </cell>
        </row>
        <row r="6305">
          <cell r="W6305" t="str">
            <v>QJAGU47</v>
          </cell>
          <cell r="AD6305">
            <v>135000</v>
          </cell>
        </row>
        <row r="6306">
          <cell r="W6306" t="str">
            <v>QJAGU47</v>
          </cell>
          <cell r="AD6306">
            <v>135000</v>
          </cell>
        </row>
        <row r="6307">
          <cell r="W6307" t="str">
            <v>QJAGU47</v>
          </cell>
          <cell r="AD6307">
            <v>155000</v>
          </cell>
        </row>
        <row r="6308">
          <cell r="W6308" t="str">
            <v>QJAGU47</v>
          </cell>
          <cell r="AD6308">
            <v>160000</v>
          </cell>
        </row>
        <row r="6309">
          <cell r="W6309" t="str">
            <v>QJAGU47</v>
          </cell>
          <cell r="AD6309">
            <v>160000</v>
          </cell>
        </row>
        <row r="6310">
          <cell r="W6310" t="str">
            <v>QJAGU47</v>
          </cell>
          <cell r="AD6310">
            <v>160000</v>
          </cell>
        </row>
        <row r="6311">
          <cell r="W6311" t="str">
            <v>QJAGU47</v>
          </cell>
          <cell r="AD6311">
            <v>160000</v>
          </cell>
        </row>
        <row r="6312">
          <cell r="W6312" t="str">
            <v>QJAGU47</v>
          </cell>
          <cell r="AD6312">
            <v>160000</v>
          </cell>
        </row>
        <row r="6313">
          <cell r="W6313" t="str">
            <v>QJAGU46</v>
          </cell>
          <cell r="AD6313">
            <v>77000</v>
          </cell>
        </row>
        <row r="6314">
          <cell r="W6314" t="str">
            <v>QJAGU46</v>
          </cell>
          <cell r="AD6314">
            <v>77000</v>
          </cell>
        </row>
        <row r="6315">
          <cell r="W6315" t="str">
            <v>QJAGU46</v>
          </cell>
          <cell r="AD6315">
            <v>77000</v>
          </cell>
        </row>
        <row r="6316">
          <cell r="W6316" t="str">
            <v>QJAGU46</v>
          </cell>
          <cell r="AD6316">
            <v>77000</v>
          </cell>
        </row>
        <row r="6317">
          <cell r="W6317" t="str">
            <v>QJAGU46</v>
          </cell>
          <cell r="AD6317">
            <v>80000</v>
          </cell>
        </row>
        <row r="6318">
          <cell r="W6318" t="str">
            <v>QJAGU46</v>
          </cell>
          <cell r="AD6318">
            <v>85000</v>
          </cell>
        </row>
        <row r="6319">
          <cell r="W6319" t="str">
            <v>QJAGU46</v>
          </cell>
          <cell r="AD6319">
            <v>85000</v>
          </cell>
        </row>
        <row r="6320">
          <cell r="W6320" t="str">
            <v>QJAGU46</v>
          </cell>
          <cell r="AD6320">
            <v>85000</v>
          </cell>
        </row>
        <row r="6321">
          <cell r="W6321" t="str">
            <v>QJAGU46</v>
          </cell>
          <cell r="AD6321">
            <v>85000</v>
          </cell>
        </row>
        <row r="6322">
          <cell r="W6322" t="str">
            <v>QJAGU46</v>
          </cell>
          <cell r="AD6322">
            <v>85000</v>
          </cell>
        </row>
        <row r="6323">
          <cell r="W6323" t="str">
            <v>QJAGU46</v>
          </cell>
          <cell r="AD6323">
            <v>85000</v>
          </cell>
        </row>
        <row r="6324">
          <cell r="W6324" t="str">
            <v>QJAGU46</v>
          </cell>
          <cell r="AD6324">
            <v>90000</v>
          </cell>
        </row>
        <row r="6325">
          <cell r="W6325" t="str">
            <v>QJAGU46</v>
          </cell>
          <cell r="AD6325">
            <v>90000</v>
          </cell>
        </row>
        <row r="6326">
          <cell r="W6326" t="str">
            <v>QJAGU13</v>
          </cell>
          <cell r="AD6326">
            <v>66000</v>
          </cell>
        </row>
        <row r="6327">
          <cell r="W6327" t="str">
            <v>QJAGU13</v>
          </cell>
          <cell r="AD6327">
            <v>66000</v>
          </cell>
        </row>
        <row r="6328">
          <cell r="W6328" t="str">
            <v>QJAGU13</v>
          </cell>
          <cell r="AD6328">
            <v>66000</v>
          </cell>
        </row>
        <row r="6329">
          <cell r="W6329" t="str">
            <v>QJAGU13</v>
          </cell>
          <cell r="AD6329">
            <v>67000</v>
          </cell>
        </row>
        <row r="6330">
          <cell r="W6330" t="str">
            <v>QJAGU13</v>
          </cell>
          <cell r="AD6330">
            <v>67000</v>
          </cell>
        </row>
        <row r="6331">
          <cell r="W6331" t="str">
            <v>QJAGU13</v>
          </cell>
          <cell r="AD6331">
            <v>67000</v>
          </cell>
        </row>
        <row r="6332">
          <cell r="W6332" t="str">
            <v>QJAGU13</v>
          </cell>
          <cell r="AD6332">
            <v>67000</v>
          </cell>
        </row>
        <row r="6333">
          <cell r="W6333" t="str">
            <v>QJAGU13</v>
          </cell>
          <cell r="AD6333">
            <v>67000</v>
          </cell>
        </row>
        <row r="6334">
          <cell r="W6334" t="str">
            <v>QJAGU13</v>
          </cell>
          <cell r="AD6334">
            <v>67000</v>
          </cell>
        </row>
        <row r="6335">
          <cell r="W6335" t="str">
            <v>QJAGU13</v>
          </cell>
          <cell r="AD6335">
            <v>67000</v>
          </cell>
        </row>
        <row r="6336">
          <cell r="W6336" t="str">
            <v>QJAGU13</v>
          </cell>
          <cell r="AD6336">
            <v>67000</v>
          </cell>
        </row>
        <row r="6337">
          <cell r="W6337" t="str">
            <v>QJAGU13</v>
          </cell>
          <cell r="AD6337">
            <v>67000</v>
          </cell>
        </row>
        <row r="6338">
          <cell r="W6338" t="str">
            <v>QJAGU13</v>
          </cell>
          <cell r="AD6338">
            <v>67000</v>
          </cell>
        </row>
        <row r="6339">
          <cell r="W6339" t="str">
            <v>QJAGU13</v>
          </cell>
          <cell r="AD6339">
            <v>67000</v>
          </cell>
        </row>
        <row r="6340">
          <cell r="W6340" t="str">
            <v>QJAGU13</v>
          </cell>
          <cell r="AD6340">
            <v>67000</v>
          </cell>
        </row>
        <row r="6341">
          <cell r="W6341" t="str">
            <v>QJAGU13</v>
          </cell>
          <cell r="AD6341">
            <v>67000</v>
          </cell>
        </row>
        <row r="6342">
          <cell r="W6342" t="str">
            <v>QJAGU13</v>
          </cell>
          <cell r="AD6342">
            <v>67000</v>
          </cell>
        </row>
        <row r="6343">
          <cell r="W6343" t="str">
            <v>QJAGU13</v>
          </cell>
          <cell r="AD6343">
            <v>67000</v>
          </cell>
        </row>
        <row r="6344">
          <cell r="W6344" t="str">
            <v>QJAGU13</v>
          </cell>
          <cell r="AD6344">
            <v>67000</v>
          </cell>
        </row>
        <row r="6345">
          <cell r="W6345" t="str">
            <v>QJAGU13</v>
          </cell>
          <cell r="AD6345">
            <v>67000</v>
          </cell>
        </row>
        <row r="6346">
          <cell r="W6346" t="str">
            <v>QJAGU13</v>
          </cell>
          <cell r="AD6346">
            <v>67000</v>
          </cell>
        </row>
        <row r="6347">
          <cell r="W6347" t="str">
            <v>QJAGU13</v>
          </cell>
          <cell r="AD6347">
            <v>67000</v>
          </cell>
        </row>
        <row r="6348">
          <cell r="W6348" t="str">
            <v>QJAGU13</v>
          </cell>
          <cell r="AD6348">
            <v>67000</v>
          </cell>
        </row>
        <row r="6349">
          <cell r="W6349" t="str">
            <v>QJAGU13</v>
          </cell>
          <cell r="AD6349">
            <v>67000</v>
          </cell>
        </row>
        <row r="6350">
          <cell r="W6350" t="str">
            <v>QJAGU13</v>
          </cell>
          <cell r="AD6350">
            <v>67000</v>
          </cell>
        </row>
        <row r="6351">
          <cell r="W6351" t="str">
            <v>QJAGU13</v>
          </cell>
          <cell r="AD6351">
            <v>67000</v>
          </cell>
        </row>
        <row r="6352">
          <cell r="W6352" t="str">
            <v>QJAGU13</v>
          </cell>
          <cell r="AD6352">
            <v>67000</v>
          </cell>
        </row>
        <row r="6353">
          <cell r="W6353" t="str">
            <v>QJAGU13</v>
          </cell>
          <cell r="AD6353">
            <v>67000</v>
          </cell>
        </row>
        <row r="6354">
          <cell r="W6354" t="str">
            <v>QJAGU13</v>
          </cell>
          <cell r="AD6354">
            <v>67000</v>
          </cell>
        </row>
        <row r="6355">
          <cell r="W6355" t="str">
            <v>QJAGU13</v>
          </cell>
          <cell r="AD6355">
            <v>67000</v>
          </cell>
        </row>
        <row r="6356">
          <cell r="W6356" t="str">
            <v>QJAGU13</v>
          </cell>
          <cell r="AD6356">
            <v>67500</v>
          </cell>
        </row>
        <row r="6357">
          <cell r="W6357" t="str">
            <v>QJAGU13</v>
          </cell>
          <cell r="AD6357">
            <v>67500</v>
          </cell>
        </row>
        <row r="6358">
          <cell r="W6358" t="str">
            <v>QJAGU13</v>
          </cell>
          <cell r="AD6358">
            <v>67500</v>
          </cell>
        </row>
        <row r="6359">
          <cell r="W6359" t="str">
            <v>QJAGU13</v>
          </cell>
          <cell r="AD6359">
            <v>67500</v>
          </cell>
        </row>
        <row r="6360">
          <cell r="W6360" t="str">
            <v>QJAGU13</v>
          </cell>
          <cell r="AD6360">
            <v>67500</v>
          </cell>
        </row>
        <row r="6361">
          <cell r="W6361" t="str">
            <v>QJAGU13</v>
          </cell>
          <cell r="AD6361">
            <v>67500</v>
          </cell>
        </row>
        <row r="6362">
          <cell r="W6362" t="str">
            <v>QJAGU13</v>
          </cell>
          <cell r="AD6362">
            <v>67500</v>
          </cell>
        </row>
        <row r="6363">
          <cell r="W6363" t="str">
            <v>QJAGU13</v>
          </cell>
          <cell r="AD6363">
            <v>67500</v>
          </cell>
        </row>
        <row r="6364">
          <cell r="W6364" t="str">
            <v>QJAGU13</v>
          </cell>
          <cell r="AD6364">
            <v>67500</v>
          </cell>
        </row>
        <row r="6365">
          <cell r="W6365" t="str">
            <v>QJAGU13</v>
          </cell>
          <cell r="AD6365">
            <v>67500</v>
          </cell>
        </row>
        <row r="6366">
          <cell r="W6366" t="str">
            <v>QJAGU13</v>
          </cell>
          <cell r="AD6366">
            <v>67500</v>
          </cell>
        </row>
        <row r="6367">
          <cell r="W6367" t="str">
            <v>QJAGU13</v>
          </cell>
          <cell r="AD6367">
            <v>67500</v>
          </cell>
        </row>
        <row r="6368">
          <cell r="W6368" t="str">
            <v>QJAGU13</v>
          </cell>
          <cell r="AD6368">
            <v>67500</v>
          </cell>
        </row>
        <row r="6369">
          <cell r="W6369" t="str">
            <v>QJAGU13</v>
          </cell>
          <cell r="AD6369">
            <v>67500</v>
          </cell>
        </row>
        <row r="6370">
          <cell r="W6370" t="str">
            <v>QJAGU13</v>
          </cell>
          <cell r="AD6370">
            <v>67500</v>
          </cell>
        </row>
        <row r="6371">
          <cell r="W6371" t="str">
            <v>QJAGU13</v>
          </cell>
          <cell r="AD6371">
            <v>68000</v>
          </cell>
        </row>
        <row r="6372">
          <cell r="W6372" t="str">
            <v>QJAGU13</v>
          </cell>
          <cell r="AD6372">
            <v>68000</v>
          </cell>
        </row>
        <row r="6373">
          <cell r="W6373" t="str">
            <v>QJAGU13</v>
          </cell>
          <cell r="AD6373">
            <v>68000</v>
          </cell>
        </row>
        <row r="6374">
          <cell r="W6374" t="str">
            <v>QJAGU13</v>
          </cell>
          <cell r="AD6374">
            <v>68000</v>
          </cell>
        </row>
        <row r="6375">
          <cell r="W6375" t="str">
            <v>QJAGU13</v>
          </cell>
          <cell r="AD6375">
            <v>68000</v>
          </cell>
        </row>
        <row r="6376">
          <cell r="W6376" t="str">
            <v>QJAGU13</v>
          </cell>
          <cell r="AD6376">
            <v>68000</v>
          </cell>
        </row>
        <row r="6377">
          <cell r="W6377" t="str">
            <v>QJAGU13</v>
          </cell>
          <cell r="AD6377">
            <v>68500</v>
          </cell>
        </row>
        <row r="6378">
          <cell r="W6378" t="str">
            <v>QJAGU13</v>
          </cell>
          <cell r="AD6378">
            <v>68500</v>
          </cell>
        </row>
        <row r="6379">
          <cell r="W6379" t="str">
            <v>QJAGU13</v>
          </cell>
          <cell r="AD6379">
            <v>68500</v>
          </cell>
        </row>
        <row r="6380">
          <cell r="W6380" t="str">
            <v>QJAGU13</v>
          </cell>
          <cell r="AD6380">
            <v>68500</v>
          </cell>
        </row>
        <row r="6381">
          <cell r="W6381" t="str">
            <v>QJAGU13</v>
          </cell>
          <cell r="AD6381">
            <v>68500</v>
          </cell>
        </row>
        <row r="6382">
          <cell r="W6382" t="str">
            <v>QJAGU13</v>
          </cell>
          <cell r="AD6382">
            <v>68500</v>
          </cell>
        </row>
        <row r="6383">
          <cell r="W6383" t="str">
            <v>QJAGU13</v>
          </cell>
          <cell r="AD6383">
            <v>68500</v>
          </cell>
        </row>
        <row r="6384">
          <cell r="W6384" t="str">
            <v>QJAGU13</v>
          </cell>
          <cell r="AD6384">
            <v>68500</v>
          </cell>
        </row>
        <row r="6385">
          <cell r="W6385" t="str">
            <v>QJAGU13</v>
          </cell>
          <cell r="AD6385">
            <v>68500</v>
          </cell>
        </row>
        <row r="6386">
          <cell r="W6386" t="str">
            <v>QJAGU13</v>
          </cell>
          <cell r="AD6386">
            <v>68500</v>
          </cell>
        </row>
        <row r="6387">
          <cell r="W6387" t="str">
            <v>QJAGU13</v>
          </cell>
          <cell r="AD6387">
            <v>68500</v>
          </cell>
        </row>
        <row r="6388">
          <cell r="W6388" t="str">
            <v>QJAGU13</v>
          </cell>
          <cell r="AD6388">
            <v>68500</v>
          </cell>
        </row>
        <row r="6389">
          <cell r="W6389" t="str">
            <v>QJAGU13</v>
          </cell>
          <cell r="AD6389">
            <v>68500</v>
          </cell>
        </row>
        <row r="6390">
          <cell r="W6390" t="str">
            <v>QJAGU13</v>
          </cell>
          <cell r="AD6390">
            <v>69000</v>
          </cell>
        </row>
        <row r="6391">
          <cell r="W6391" t="str">
            <v>QJAGU13</v>
          </cell>
          <cell r="AD6391">
            <v>70000</v>
          </cell>
        </row>
        <row r="6392">
          <cell r="W6392" t="str">
            <v>QJAGU13</v>
          </cell>
          <cell r="AD6392">
            <v>70000</v>
          </cell>
        </row>
        <row r="6393">
          <cell r="W6393" t="str">
            <v>QJAGU13</v>
          </cell>
          <cell r="AD6393">
            <v>70000</v>
          </cell>
        </row>
        <row r="6394">
          <cell r="W6394" t="str">
            <v>QJAGU13</v>
          </cell>
          <cell r="AD6394">
            <v>70000</v>
          </cell>
        </row>
        <row r="6395">
          <cell r="W6395" t="str">
            <v>QJAGU13</v>
          </cell>
          <cell r="AD6395">
            <v>70000</v>
          </cell>
        </row>
        <row r="6396">
          <cell r="W6396" t="str">
            <v>QJAGU13</v>
          </cell>
          <cell r="AD6396">
            <v>70000</v>
          </cell>
        </row>
        <row r="6397">
          <cell r="W6397" t="str">
            <v>QJAGU13</v>
          </cell>
          <cell r="AD6397">
            <v>70000</v>
          </cell>
        </row>
        <row r="6398">
          <cell r="W6398" t="str">
            <v>QJAGU13</v>
          </cell>
          <cell r="AD6398">
            <v>70000</v>
          </cell>
        </row>
        <row r="6399">
          <cell r="W6399" t="str">
            <v>QJAGU13</v>
          </cell>
          <cell r="AD6399">
            <v>70000</v>
          </cell>
        </row>
        <row r="6400">
          <cell r="W6400" t="str">
            <v>QJAGU13</v>
          </cell>
          <cell r="AD6400">
            <v>70000</v>
          </cell>
        </row>
        <row r="6401">
          <cell r="W6401" t="str">
            <v>QJAGU13</v>
          </cell>
          <cell r="AD6401">
            <v>70000</v>
          </cell>
        </row>
        <row r="6402">
          <cell r="W6402" t="str">
            <v>QJAGU13</v>
          </cell>
          <cell r="AD6402">
            <v>70000</v>
          </cell>
        </row>
        <row r="6403">
          <cell r="W6403" t="str">
            <v>QJAGU13</v>
          </cell>
          <cell r="AD6403">
            <v>70000</v>
          </cell>
        </row>
        <row r="6404">
          <cell r="W6404" t="str">
            <v>QJAGU13</v>
          </cell>
          <cell r="AD6404">
            <v>70000</v>
          </cell>
        </row>
        <row r="6405">
          <cell r="W6405" t="str">
            <v>QJAGU13</v>
          </cell>
          <cell r="AD6405">
            <v>70000</v>
          </cell>
        </row>
        <row r="6406">
          <cell r="W6406" t="str">
            <v>QJAGU13</v>
          </cell>
          <cell r="AD6406">
            <v>70000</v>
          </cell>
        </row>
        <row r="6407">
          <cell r="W6407" t="str">
            <v>QJAGU13</v>
          </cell>
          <cell r="AD6407">
            <v>70000</v>
          </cell>
        </row>
        <row r="6408">
          <cell r="W6408" t="str">
            <v>QJAGU13</v>
          </cell>
          <cell r="AD6408">
            <v>70000</v>
          </cell>
        </row>
        <row r="6409">
          <cell r="W6409" t="str">
            <v>QJAGU58</v>
          </cell>
          <cell r="AD6409">
            <v>77000</v>
          </cell>
        </row>
        <row r="6410">
          <cell r="W6410" t="str">
            <v>QJAGU58</v>
          </cell>
          <cell r="AD6410">
            <v>77000</v>
          </cell>
        </row>
        <row r="6411">
          <cell r="W6411" t="str">
            <v>QJAGU58</v>
          </cell>
          <cell r="AD6411">
            <v>77000</v>
          </cell>
        </row>
        <row r="6412">
          <cell r="W6412" t="str">
            <v>QJAGU58</v>
          </cell>
          <cell r="AD6412">
            <v>77000</v>
          </cell>
        </row>
        <row r="6413">
          <cell r="W6413" t="str">
            <v>QJAGU58</v>
          </cell>
          <cell r="AD6413">
            <v>77000</v>
          </cell>
        </row>
        <row r="6414">
          <cell r="W6414" t="str">
            <v>QJAGU58</v>
          </cell>
          <cell r="AD6414">
            <v>77000</v>
          </cell>
        </row>
        <row r="6415">
          <cell r="W6415" t="str">
            <v>QJAGU58</v>
          </cell>
          <cell r="AD6415">
            <v>77000</v>
          </cell>
        </row>
        <row r="6416">
          <cell r="W6416" t="str">
            <v>QJAGU58</v>
          </cell>
          <cell r="AD6416">
            <v>77000</v>
          </cell>
        </row>
        <row r="6417">
          <cell r="W6417" t="str">
            <v>QJAGU58</v>
          </cell>
          <cell r="AD6417">
            <v>77000</v>
          </cell>
        </row>
        <row r="6418">
          <cell r="W6418" t="str">
            <v>QJAGU58</v>
          </cell>
          <cell r="AD6418">
            <v>77000</v>
          </cell>
        </row>
        <row r="6419">
          <cell r="W6419" t="str">
            <v>QJAGU58</v>
          </cell>
          <cell r="AD6419">
            <v>77000</v>
          </cell>
        </row>
        <row r="6420">
          <cell r="W6420" t="str">
            <v>QJAGU58</v>
          </cell>
          <cell r="AD6420">
            <v>77000</v>
          </cell>
        </row>
        <row r="6421">
          <cell r="W6421" t="str">
            <v>QJAGU58</v>
          </cell>
          <cell r="AD6421">
            <v>77000</v>
          </cell>
        </row>
        <row r="6422">
          <cell r="W6422" t="str">
            <v>QJAGU58</v>
          </cell>
          <cell r="AD6422">
            <v>77000</v>
          </cell>
        </row>
        <row r="6423">
          <cell r="W6423" t="str">
            <v>QJAGU58</v>
          </cell>
          <cell r="AD6423">
            <v>77000</v>
          </cell>
        </row>
        <row r="6424">
          <cell r="W6424" t="str">
            <v>QJAGU58</v>
          </cell>
          <cell r="AD6424">
            <v>77000</v>
          </cell>
        </row>
        <row r="6425">
          <cell r="W6425" t="str">
            <v>QJAGU58</v>
          </cell>
          <cell r="AD6425">
            <v>77000</v>
          </cell>
        </row>
        <row r="6426">
          <cell r="W6426" t="str">
            <v>QJAGU58</v>
          </cell>
          <cell r="AD6426">
            <v>77000</v>
          </cell>
        </row>
        <row r="6427">
          <cell r="W6427" t="str">
            <v>QJAGU58</v>
          </cell>
          <cell r="AD6427">
            <v>77000</v>
          </cell>
        </row>
        <row r="6428">
          <cell r="W6428" t="str">
            <v>QJAGU58</v>
          </cell>
          <cell r="AD6428">
            <v>77000</v>
          </cell>
        </row>
        <row r="6429">
          <cell r="W6429" t="str">
            <v>QJAGU58</v>
          </cell>
          <cell r="AD6429">
            <v>77000</v>
          </cell>
        </row>
        <row r="6430">
          <cell r="W6430" t="str">
            <v>QJAGU58</v>
          </cell>
          <cell r="AD6430">
            <v>77000</v>
          </cell>
        </row>
        <row r="6431">
          <cell r="W6431" t="str">
            <v>QJAGU58</v>
          </cell>
          <cell r="AD6431">
            <v>77000</v>
          </cell>
        </row>
        <row r="6432">
          <cell r="W6432" t="str">
            <v>QJAGU58</v>
          </cell>
          <cell r="AD6432">
            <v>77000</v>
          </cell>
        </row>
        <row r="6433">
          <cell r="W6433" t="str">
            <v>QJAGU58</v>
          </cell>
          <cell r="AD6433">
            <v>77000</v>
          </cell>
        </row>
        <row r="6434">
          <cell r="W6434" t="str">
            <v>QJAGU58</v>
          </cell>
          <cell r="AD6434">
            <v>77000</v>
          </cell>
        </row>
        <row r="6435">
          <cell r="W6435" t="str">
            <v>QJAGU58</v>
          </cell>
          <cell r="AD6435">
            <v>77000</v>
          </cell>
        </row>
        <row r="6436">
          <cell r="W6436" t="str">
            <v>QJAGU58</v>
          </cell>
          <cell r="AD6436">
            <v>77000</v>
          </cell>
        </row>
        <row r="6437">
          <cell r="W6437" t="str">
            <v>QJAGU58</v>
          </cell>
          <cell r="AD6437">
            <v>77000</v>
          </cell>
        </row>
        <row r="6438">
          <cell r="W6438" t="str">
            <v>QJAGU58</v>
          </cell>
          <cell r="AD6438">
            <v>77000</v>
          </cell>
        </row>
        <row r="6439">
          <cell r="W6439" t="str">
            <v>QJAGU58</v>
          </cell>
          <cell r="AD6439">
            <v>77000</v>
          </cell>
        </row>
        <row r="6440">
          <cell r="W6440" t="str">
            <v>QJAGU58</v>
          </cell>
          <cell r="AD6440">
            <v>77000</v>
          </cell>
        </row>
        <row r="6441">
          <cell r="W6441" t="str">
            <v>QJAGU58</v>
          </cell>
          <cell r="AD6441">
            <v>77000</v>
          </cell>
        </row>
        <row r="6442">
          <cell r="W6442" t="str">
            <v>QJAGU58</v>
          </cell>
          <cell r="AD6442">
            <v>77000</v>
          </cell>
        </row>
        <row r="6443">
          <cell r="W6443" t="str">
            <v>QJAGU58</v>
          </cell>
          <cell r="AD6443">
            <v>77000</v>
          </cell>
        </row>
        <row r="6444">
          <cell r="W6444" t="str">
            <v>QJAGU58</v>
          </cell>
          <cell r="AD6444">
            <v>77000</v>
          </cell>
        </row>
        <row r="6445">
          <cell r="W6445" t="str">
            <v>QJAGU58</v>
          </cell>
          <cell r="AD6445">
            <v>78000</v>
          </cell>
        </row>
        <row r="6446">
          <cell r="W6446" t="str">
            <v>QJAGU58</v>
          </cell>
          <cell r="AD6446">
            <v>80000</v>
          </cell>
        </row>
        <row r="6447">
          <cell r="W6447" t="str">
            <v>QJAGU58</v>
          </cell>
          <cell r="AD6447">
            <v>80000</v>
          </cell>
        </row>
        <row r="6448">
          <cell r="W6448" t="str">
            <v>QJAGU58</v>
          </cell>
          <cell r="AD6448">
            <v>80000</v>
          </cell>
        </row>
        <row r="6449">
          <cell r="W6449" t="str">
            <v>QJAGU58</v>
          </cell>
          <cell r="AD6449">
            <v>80000</v>
          </cell>
        </row>
        <row r="6450">
          <cell r="W6450" t="str">
            <v>QJAGU58</v>
          </cell>
          <cell r="AD6450">
            <v>80000</v>
          </cell>
        </row>
        <row r="6451">
          <cell r="W6451" t="str">
            <v>QJAGU58</v>
          </cell>
          <cell r="AD6451">
            <v>80000</v>
          </cell>
        </row>
        <row r="6452">
          <cell r="W6452" t="str">
            <v>QJAGU58</v>
          </cell>
          <cell r="AD6452">
            <v>80000</v>
          </cell>
        </row>
        <row r="6453">
          <cell r="W6453" t="str">
            <v>QJAGU58</v>
          </cell>
          <cell r="AD6453">
            <v>80000</v>
          </cell>
        </row>
        <row r="6454">
          <cell r="W6454" t="str">
            <v>QJAGU58</v>
          </cell>
          <cell r="AD6454">
            <v>80000</v>
          </cell>
        </row>
        <row r="6455">
          <cell r="W6455" t="str">
            <v>QJAGU58</v>
          </cell>
          <cell r="AD6455">
            <v>80000</v>
          </cell>
        </row>
        <row r="6456">
          <cell r="W6456" t="str">
            <v>QJAGU58</v>
          </cell>
          <cell r="AD6456">
            <v>80000</v>
          </cell>
        </row>
        <row r="6457">
          <cell r="W6457" t="str">
            <v>QJAGU58</v>
          </cell>
          <cell r="AD6457">
            <v>80000</v>
          </cell>
        </row>
        <row r="6458">
          <cell r="W6458" t="str">
            <v>QJAGU58</v>
          </cell>
          <cell r="AD6458">
            <v>80000</v>
          </cell>
        </row>
        <row r="6459">
          <cell r="W6459" t="str">
            <v>QJAGU58</v>
          </cell>
          <cell r="AD6459">
            <v>80000</v>
          </cell>
        </row>
        <row r="6460">
          <cell r="W6460" t="str">
            <v>QJAGU29</v>
          </cell>
          <cell r="AD6460">
            <v>77000</v>
          </cell>
        </row>
        <row r="6461">
          <cell r="W6461" t="str">
            <v>QJAGU29</v>
          </cell>
          <cell r="AD6461">
            <v>89000</v>
          </cell>
        </row>
        <row r="6462">
          <cell r="W6462" t="str">
            <v>QJAGU29</v>
          </cell>
          <cell r="AD6462">
            <v>89000</v>
          </cell>
        </row>
        <row r="6463">
          <cell r="W6463" t="str">
            <v>QJAGU29</v>
          </cell>
          <cell r="AD6463">
            <v>90000</v>
          </cell>
        </row>
        <row r="6464">
          <cell r="W6464" t="str">
            <v>QJAGU29</v>
          </cell>
          <cell r="AD6464">
            <v>90000</v>
          </cell>
        </row>
        <row r="6465">
          <cell r="W6465" t="str">
            <v>QJAGU29</v>
          </cell>
          <cell r="AD6465">
            <v>90000</v>
          </cell>
        </row>
        <row r="6466">
          <cell r="W6466" t="str">
            <v>QJAGU29</v>
          </cell>
          <cell r="AD6466">
            <v>90000</v>
          </cell>
        </row>
        <row r="6467">
          <cell r="W6467" t="str">
            <v>QJAGU29</v>
          </cell>
          <cell r="AD6467">
            <v>91000</v>
          </cell>
        </row>
        <row r="6468">
          <cell r="W6468" t="str">
            <v>QJAGU29</v>
          </cell>
          <cell r="AD6468">
            <v>91000</v>
          </cell>
        </row>
        <row r="6469">
          <cell r="W6469" t="str">
            <v>QJAGU29</v>
          </cell>
          <cell r="AD6469">
            <v>95000</v>
          </cell>
        </row>
        <row r="6470">
          <cell r="W6470" t="str">
            <v>QJAGU29</v>
          </cell>
          <cell r="AD6470">
            <v>95000</v>
          </cell>
        </row>
        <row r="6471">
          <cell r="W6471" t="str">
            <v>QJAGU29</v>
          </cell>
          <cell r="AD6471">
            <v>95000</v>
          </cell>
        </row>
        <row r="6472">
          <cell r="W6472" t="str">
            <v>QJAGU29</v>
          </cell>
          <cell r="AD6472">
            <v>95000</v>
          </cell>
        </row>
        <row r="6473">
          <cell r="W6473" t="str">
            <v>QJAGU29</v>
          </cell>
          <cell r="AD6473">
            <v>95000</v>
          </cell>
        </row>
        <row r="6474">
          <cell r="W6474" t="str">
            <v>QJAGU29</v>
          </cell>
          <cell r="AD6474">
            <v>95000</v>
          </cell>
        </row>
        <row r="6475">
          <cell r="W6475" t="str">
            <v>QJAGU29</v>
          </cell>
          <cell r="AD6475">
            <v>95000</v>
          </cell>
        </row>
        <row r="6476">
          <cell r="W6476" t="str">
            <v>QJAGU29</v>
          </cell>
          <cell r="AD6476">
            <v>95000</v>
          </cell>
        </row>
        <row r="6477">
          <cell r="W6477" t="str">
            <v>QJAGU29</v>
          </cell>
          <cell r="AD6477">
            <v>95000</v>
          </cell>
        </row>
        <row r="6478">
          <cell r="W6478" t="str">
            <v>QJAGU29</v>
          </cell>
          <cell r="AD6478">
            <v>95000</v>
          </cell>
        </row>
        <row r="6479">
          <cell r="W6479" t="str">
            <v>QJAGU29</v>
          </cell>
          <cell r="AD6479">
            <v>95000</v>
          </cell>
        </row>
        <row r="6480">
          <cell r="W6480" t="str">
            <v>QJAGU29</v>
          </cell>
          <cell r="AD6480">
            <v>95000</v>
          </cell>
        </row>
        <row r="6481">
          <cell r="W6481" t="str">
            <v>QJAGU29</v>
          </cell>
          <cell r="AD6481">
            <v>95000</v>
          </cell>
        </row>
        <row r="6482">
          <cell r="W6482" t="str">
            <v>QJAGU29</v>
          </cell>
          <cell r="AD6482">
            <v>95000</v>
          </cell>
        </row>
        <row r="6483">
          <cell r="W6483" t="str">
            <v>QJAGU29</v>
          </cell>
          <cell r="AD6483">
            <v>95000</v>
          </cell>
        </row>
        <row r="6484">
          <cell r="W6484" t="str">
            <v>QJAGU29</v>
          </cell>
          <cell r="AD6484">
            <v>95000</v>
          </cell>
        </row>
        <row r="6485">
          <cell r="W6485" t="str">
            <v>QJAGU29</v>
          </cell>
          <cell r="AD6485">
            <v>95000</v>
          </cell>
        </row>
        <row r="6486">
          <cell r="W6486" t="str">
            <v>QJAGU29</v>
          </cell>
          <cell r="AD6486">
            <v>95000</v>
          </cell>
        </row>
        <row r="6487">
          <cell r="W6487" t="str">
            <v>QJAGU29</v>
          </cell>
          <cell r="AD6487">
            <v>95000</v>
          </cell>
        </row>
        <row r="6488">
          <cell r="W6488" t="str">
            <v>QJAGU29</v>
          </cell>
          <cell r="AD6488">
            <v>95000</v>
          </cell>
        </row>
        <row r="6489">
          <cell r="W6489" t="str">
            <v>QJAGU29</v>
          </cell>
          <cell r="AD6489">
            <v>95000</v>
          </cell>
        </row>
        <row r="6490">
          <cell r="W6490" t="str">
            <v>QJAGU29</v>
          </cell>
          <cell r="AD6490">
            <v>95000</v>
          </cell>
        </row>
        <row r="6491">
          <cell r="W6491" t="str">
            <v>QJAGU29</v>
          </cell>
          <cell r="AD6491">
            <v>95000</v>
          </cell>
        </row>
        <row r="6492">
          <cell r="W6492" t="str">
            <v>QJAGU29</v>
          </cell>
          <cell r="AD6492">
            <v>95000</v>
          </cell>
        </row>
        <row r="6493">
          <cell r="W6493" t="str">
            <v>QJAGU29</v>
          </cell>
          <cell r="AD6493">
            <v>95000</v>
          </cell>
        </row>
        <row r="6494">
          <cell r="W6494" t="str">
            <v>QJAGU29</v>
          </cell>
          <cell r="AD6494">
            <v>95000</v>
          </cell>
        </row>
        <row r="6495">
          <cell r="W6495" t="str">
            <v>QJAGU29</v>
          </cell>
          <cell r="AD6495">
            <v>95000</v>
          </cell>
        </row>
        <row r="6496">
          <cell r="W6496" t="str">
            <v>QJAGU29</v>
          </cell>
          <cell r="AD6496">
            <v>95000</v>
          </cell>
        </row>
        <row r="6497">
          <cell r="W6497" t="str">
            <v>QJAGU29</v>
          </cell>
          <cell r="AD6497">
            <v>95000</v>
          </cell>
        </row>
        <row r="6498">
          <cell r="W6498" t="str">
            <v>QJAGU29</v>
          </cell>
          <cell r="AD6498">
            <v>95000</v>
          </cell>
        </row>
        <row r="6499">
          <cell r="W6499" t="str">
            <v>QJAGU29</v>
          </cell>
          <cell r="AD6499">
            <v>95000</v>
          </cell>
        </row>
        <row r="6500">
          <cell r="W6500" t="str">
            <v>QJAGU29</v>
          </cell>
          <cell r="AD6500">
            <v>95000</v>
          </cell>
        </row>
        <row r="6501">
          <cell r="W6501" t="str">
            <v>QJAGU29</v>
          </cell>
          <cell r="AD6501">
            <v>95000</v>
          </cell>
        </row>
        <row r="6502">
          <cell r="W6502" t="str">
            <v>QJAGU29</v>
          </cell>
          <cell r="AD6502">
            <v>95000</v>
          </cell>
        </row>
        <row r="6503">
          <cell r="W6503" t="str">
            <v>QJAGU29</v>
          </cell>
          <cell r="AD6503">
            <v>95000</v>
          </cell>
        </row>
        <row r="6504">
          <cell r="W6504" t="str">
            <v>QJAGU29</v>
          </cell>
          <cell r="AD6504">
            <v>95000</v>
          </cell>
        </row>
        <row r="6505">
          <cell r="W6505" t="str">
            <v>QJAGU29</v>
          </cell>
          <cell r="AD6505">
            <v>95000</v>
          </cell>
        </row>
        <row r="6506">
          <cell r="W6506" t="str">
            <v>QJAGU29</v>
          </cell>
          <cell r="AD6506">
            <v>95000</v>
          </cell>
        </row>
        <row r="6507">
          <cell r="W6507" t="str">
            <v>QJAGU29</v>
          </cell>
          <cell r="AD6507">
            <v>95000</v>
          </cell>
        </row>
        <row r="6508">
          <cell r="W6508" t="str">
            <v>QJAGU29</v>
          </cell>
          <cell r="AD6508">
            <v>95000</v>
          </cell>
        </row>
        <row r="6509">
          <cell r="W6509" t="str">
            <v>QJAGU29</v>
          </cell>
          <cell r="AD6509">
            <v>95000</v>
          </cell>
        </row>
        <row r="6510">
          <cell r="W6510" t="str">
            <v>QJAGU29</v>
          </cell>
          <cell r="AD6510">
            <v>95000</v>
          </cell>
        </row>
        <row r="6511">
          <cell r="W6511" t="str">
            <v>QJAGU29</v>
          </cell>
          <cell r="AD6511">
            <v>95000</v>
          </cell>
        </row>
        <row r="6512">
          <cell r="W6512" t="str">
            <v>QJAGU29</v>
          </cell>
          <cell r="AD6512">
            <v>100000</v>
          </cell>
        </row>
        <row r="6513">
          <cell r="W6513" t="str">
            <v>QJAGU29</v>
          </cell>
          <cell r="AD6513">
            <v>100000</v>
          </cell>
        </row>
        <row r="6514">
          <cell r="W6514" t="str">
            <v>AJAGU21</v>
          </cell>
          <cell r="AD6514">
            <v>1</v>
          </cell>
        </row>
        <row r="6515">
          <cell r="W6515" t="str">
            <v>QJAGU16</v>
          </cell>
          <cell r="AD6515">
            <v>44500</v>
          </cell>
        </row>
        <row r="6516">
          <cell r="W6516" t="str">
            <v>AJAGU22</v>
          </cell>
          <cell r="AD6516">
            <v>44500</v>
          </cell>
        </row>
        <row r="6517">
          <cell r="W6517" t="str">
            <v>QJAGU52</v>
          </cell>
          <cell r="AD6517">
            <v>70000</v>
          </cell>
        </row>
        <row r="6518">
          <cell r="W6518" t="str">
            <v>QJAGU52</v>
          </cell>
          <cell r="AD6518">
            <v>70000</v>
          </cell>
        </row>
        <row r="6519">
          <cell r="W6519" t="str">
            <v>QJAGU25</v>
          </cell>
          <cell r="AD6519">
            <v>70000</v>
          </cell>
        </row>
        <row r="6520">
          <cell r="W6520" t="str">
            <v>QJAGU25</v>
          </cell>
          <cell r="AD6520">
            <v>70000</v>
          </cell>
        </row>
        <row r="6521">
          <cell r="W6521" t="str">
            <v>QJAGU25</v>
          </cell>
          <cell r="AD6521">
            <v>70000</v>
          </cell>
        </row>
        <row r="6522">
          <cell r="W6522" t="str">
            <v>QJAGU25</v>
          </cell>
          <cell r="AD6522">
            <v>70000</v>
          </cell>
        </row>
        <row r="6523">
          <cell r="W6523" t="str">
            <v>QJAGU25</v>
          </cell>
          <cell r="AD6523">
            <v>70000</v>
          </cell>
        </row>
        <row r="6524">
          <cell r="W6524" t="str">
            <v>QJAGU25</v>
          </cell>
          <cell r="AD6524">
            <v>70000</v>
          </cell>
        </row>
        <row r="6525">
          <cell r="W6525" t="str">
            <v>QJAGU25</v>
          </cell>
          <cell r="AD6525">
            <v>72000</v>
          </cell>
        </row>
        <row r="6526">
          <cell r="W6526" t="str">
            <v>QJAGU25</v>
          </cell>
          <cell r="AD6526">
            <v>72500</v>
          </cell>
        </row>
        <row r="6527">
          <cell r="W6527" t="str">
            <v>QJAGU25</v>
          </cell>
          <cell r="AD6527">
            <v>72500</v>
          </cell>
        </row>
        <row r="6528">
          <cell r="W6528" t="str">
            <v>QJAGU25</v>
          </cell>
          <cell r="AD6528">
            <v>72500</v>
          </cell>
        </row>
        <row r="6529">
          <cell r="W6529" t="str">
            <v>QJAGU25</v>
          </cell>
          <cell r="AD6529">
            <v>72500</v>
          </cell>
        </row>
        <row r="6530">
          <cell r="W6530" t="str">
            <v>QJAGU25</v>
          </cell>
          <cell r="AD6530">
            <v>72500</v>
          </cell>
        </row>
        <row r="6531">
          <cell r="W6531" t="str">
            <v>QJAGU25</v>
          </cell>
          <cell r="AD6531">
            <v>72500</v>
          </cell>
        </row>
        <row r="6532">
          <cell r="W6532" t="str">
            <v>QJAGU25</v>
          </cell>
          <cell r="AD6532">
            <v>72500</v>
          </cell>
        </row>
        <row r="6533">
          <cell r="W6533" t="str">
            <v>QJAGU25</v>
          </cell>
          <cell r="AD6533">
            <v>72500</v>
          </cell>
        </row>
        <row r="6534">
          <cell r="W6534" t="str">
            <v>QJAGU39</v>
          </cell>
          <cell r="AD6534">
            <v>43000</v>
          </cell>
        </row>
        <row r="6535">
          <cell r="W6535" t="str">
            <v>QJAMD01</v>
          </cell>
          <cell r="AD6535">
            <v>140800</v>
          </cell>
        </row>
        <row r="6536">
          <cell r="W6536" t="str">
            <v>QJAMD01</v>
          </cell>
          <cell r="AD6536">
            <v>140800</v>
          </cell>
        </row>
        <row r="6537">
          <cell r="W6537" t="str">
            <v>QJAMD01</v>
          </cell>
          <cell r="AD6537">
            <v>140800</v>
          </cell>
        </row>
        <row r="6538">
          <cell r="W6538" t="str">
            <v>QJAMD01</v>
          </cell>
          <cell r="AD6538">
            <v>140800</v>
          </cell>
        </row>
        <row r="6539">
          <cell r="W6539" t="str">
            <v>QJAMD01</v>
          </cell>
          <cell r="AD6539">
            <v>140800</v>
          </cell>
        </row>
        <row r="6540">
          <cell r="W6540" t="str">
            <v>QJAMD01</v>
          </cell>
          <cell r="AD6540">
            <v>140800</v>
          </cell>
        </row>
        <row r="6541">
          <cell r="W6541" t="str">
            <v>QJAMD01</v>
          </cell>
          <cell r="AD6541">
            <v>140800</v>
          </cell>
        </row>
        <row r="6542">
          <cell r="W6542" t="str">
            <v>QJAMD01</v>
          </cell>
          <cell r="AD6542">
            <v>140800</v>
          </cell>
        </row>
        <row r="6543">
          <cell r="W6543" t="str">
            <v>QJAMD01</v>
          </cell>
          <cell r="AD6543">
            <v>140800</v>
          </cell>
        </row>
        <row r="6544">
          <cell r="W6544" t="str">
            <v>QJAMD01</v>
          </cell>
          <cell r="AD6544">
            <v>140800</v>
          </cell>
        </row>
        <row r="6545">
          <cell r="W6545" t="str">
            <v>QJAMD01</v>
          </cell>
          <cell r="AD6545">
            <v>140800</v>
          </cell>
        </row>
        <row r="6546">
          <cell r="W6546" t="str">
            <v>QJAMD01</v>
          </cell>
          <cell r="AD6546">
            <v>140800</v>
          </cell>
        </row>
        <row r="6547">
          <cell r="W6547" t="str">
            <v>QJAMD01</v>
          </cell>
          <cell r="AD6547">
            <v>140800</v>
          </cell>
        </row>
        <row r="6548">
          <cell r="W6548" t="str">
            <v>QJAMD01</v>
          </cell>
          <cell r="AD6548">
            <v>140800</v>
          </cell>
        </row>
        <row r="6549">
          <cell r="W6549" t="str">
            <v>QJAMD01</v>
          </cell>
          <cell r="AD6549">
            <v>140800</v>
          </cell>
        </row>
        <row r="6550">
          <cell r="W6550" t="str">
            <v>QJAMD01</v>
          </cell>
          <cell r="AD6550">
            <v>140800</v>
          </cell>
        </row>
        <row r="6551">
          <cell r="W6551" t="str">
            <v>QJAMD01</v>
          </cell>
          <cell r="AD6551">
            <v>140800</v>
          </cell>
        </row>
        <row r="6552">
          <cell r="W6552" t="str">
            <v>QJAMD01</v>
          </cell>
          <cell r="AD6552">
            <v>140800</v>
          </cell>
        </row>
        <row r="6553">
          <cell r="W6553" t="str">
            <v>QJAMD01</v>
          </cell>
          <cell r="AD6553">
            <v>140800</v>
          </cell>
        </row>
        <row r="6554">
          <cell r="W6554" t="str">
            <v>QJAMD01</v>
          </cell>
          <cell r="AD6554">
            <v>140800</v>
          </cell>
        </row>
        <row r="6555">
          <cell r="W6555" t="str">
            <v>QJAMD02</v>
          </cell>
          <cell r="AD6555">
            <v>233200</v>
          </cell>
        </row>
        <row r="6556">
          <cell r="W6556" t="str">
            <v>QJAMD02</v>
          </cell>
          <cell r="AD6556">
            <v>233200</v>
          </cell>
        </row>
        <row r="6557">
          <cell r="W6557" t="str">
            <v>QJAMD02</v>
          </cell>
          <cell r="AD6557">
            <v>233200</v>
          </cell>
        </row>
        <row r="6558">
          <cell r="W6558" t="str">
            <v>QJAMD02</v>
          </cell>
          <cell r="AD6558">
            <v>233200</v>
          </cell>
        </row>
        <row r="6559">
          <cell r="W6559" t="str">
            <v>QJAMD02</v>
          </cell>
          <cell r="AD6559">
            <v>233200</v>
          </cell>
        </row>
        <row r="6560">
          <cell r="W6560" t="str">
            <v>QJAMD02</v>
          </cell>
          <cell r="AD6560">
            <v>233200</v>
          </cell>
        </row>
        <row r="6561">
          <cell r="W6561" t="str">
            <v>QJAMD02</v>
          </cell>
          <cell r="AD6561">
            <v>233200</v>
          </cell>
        </row>
        <row r="6562">
          <cell r="W6562" t="str">
            <v>QJAMD02</v>
          </cell>
          <cell r="AD6562">
            <v>233200</v>
          </cell>
        </row>
        <row r="6563">
          <cell r="W6563" t="str">
            <v>QJAMD02</v>
          </cell>
          <cell r="AD6563">
            <v>233200</v>
          </cell>
        </row>
        <row r="6564">
          <cell r="W6564" t="str">
            <v>QJAMD02</v>
          </cell>
          <cell r="AD6564">
            <v>233200</v>
          </cell>
        </row>
        <row r="6565">
          <cell r="W6565" t="str">
            <v>QJAMD02</v>
          </cell>
          <cell r="AD6565">
            <v>233200</v>
          </cell>
        </row>
        <row r="6566">
          <cell r="W6566" t="str">
            <v>QJAMD02</v>
          </cell>
          <cell r="AD6566">
            <v>233200</v>
          </cell>
        </row>
        <row r="6567">
          <cell r="W6567" t="str">
            <v>QJAMD02</v>
          </cell>
          <cell r="AD6567">
            <v>233200</v>
          </cell>
        </row>
        <row r="6568">
          <cell r="W6568" t="str">
            <v>QJAMD02</v>
          </cell>
          <cell r="AD6568">
            <v>233200</v>
          </cell>
        </row>
        <row r="6569">
          <cell r="W6569" t="str">
            <v>QJAMD02</v>
          </cell>
          <cell r="AD6569">
            <v>233200</v>
          </cell>
        </row>
        <row r="6570">
          <cell r="W6570" t="str">
            <v>QJAMD02</v>
          </cell>
          <cell r="AD6570">
            <v>233200</v>
          </cell>
        </row>
        <row r="6571">
          <cell r="W6571" t="str">
            <v>QJAMD02</v>
          </cell>
          <cell r="AD6571">
            <v>233200</v>
          </cell>
        </row>
        <row r="6572">
          <cell r="W6572" t="str">
            <v>QJAMD02</v>
          </cell>
          <cell r="AD6572">
            <v>233200</v>
          </cell>
        </row>
        <row r="6573">
          <cell r="W6573" t="str">
            <v>QJAMD02</v>
          </cell>
          <cell r="AD6573">
            <v>233200</v>
          </cell>
        </row>
        <row r="6574">
          <cell r="W6574" t="str">
            <v>QJAMD02</v>
          </cell>
          <cell r="AD6574">
            <v>233200</v>
          </cell>
        </row>
        <row r="6575">
          <cell r="W6575" t="str">
            <v>QJAMD02</v>
          </cell>
          <cell r="AD6575">
            <v>233200</v>
          </cell>
        </row>
        <row r="6576">
          <cell r="W6576" t="str">
            <v>QJAMD02</v>
          </cell>
          <cell r="AD6576">
            <v>233200</v>
          </cell>
        </row>
        <row r="6577">
          <cell r="W6577" t="str">
            <v>QJAMD02</v>
          </cell>
          <cell r="AD6577">
            <v>233200</v>
          </cell>
        </row>
        <row r="6578">
          <cell r="W6578" t="str">
            <v>QJAMD02</v>
          </cell>
          <cell r="AD6578">
            <v>233200</v>
          </cell>
        </row>
        <row r="6579">
          <cell r="W6579" t="str">
            <v>QJAMD02</v>
          </cell>
          <cell r="AD6579">
            <v>233200</v>
          </cell>
        </row>
        <row r="6580">
          <cell r="W6580" t="str">
            <v>QJAMD02</v>
          </cell>
          <cell r="AD6580">
            <v>233200</v>
          </cell>
        </row>
        <row r="6581">
          <cell r="W6581" t="str">
            <v>QJAMD02</v>
          </cell>
          <cell r="AD6581">
            <v>233200</v>
          </cell>
        </row>
        <row r="6582">
          <cell r="W6582" t="str">
            <v>QJAMD02</v>
          </cell>
          <cell r="AD6582">
            <v>233200</v>
          </cell>
        </row>
        <row r="6583">
          <cell r="W6583" t="str">
            <v>QJAMD02</v>
          </cell>
          <cell r="AD6583">
            <v>233200</v>
          </cell>
        </row>
        <row r="6584">
          <cell r="W6584" t="str">
            <v>QJAMD02</v>
          </cell>
          <cell r="AD6584">
            <v>233200</v>
          </cell>
        </row>
        <row r="6585">
          <cell r="W6585" t="str">
            <v>QJAMD02</v>
          </cell>
          <cell r="AD6585">
            <v>233200</v>
          </cell>
        </row>
        <row r="6586">
          <cell r="W6586" t="str">
            <v>QJAMD02</v>
          </cell>
          <cell r="AD6586">
            <v>233200</v>
          </cell>
        </row>
        <row r="6587">
          <cell r="W6587" t="str">
            <v>QJAMD02</v>
          </cell>
          <cell r="AD6587">
            <v>233200</v>
          </cell>
        </row>
        <row r="6588">
          <cell r="W6588" t="str">
            <v>QJAMD02</v>
          </cell>
          <cell r="AD6588">
            <v>233200</v>
          </cell>
        </row>
        <row r="6589">
          <cell r="W6589" t="str">
            <v>QJAMD02</v>
          </cell>
          <cell r="AD6589">
            <v>233200</v>
          </cell>
        </row>
        <row r="6590">
          <cell r="W6590" t="str">
            <v>QJAMD02</v>
          </cell>
          <cell r="AD6590">
            <v>233200</v>
          </cell>
        </row>
        <row r="6591">
          <cell r="W6591" t="str">
            <v>QJAMD02</v>
          </cell>
          <cell r="AD6591">
            <v>233200</v>
          </cell>
        </row>
        <row r="6592">
          <cell r="W6592" t="str">
            <v>QJAMD02</v>
          </cell>
          <cell r="AD6592">
            <v>233200</v>
          </cell>
        </row>
        <row r="6593">
          <cell r="W6593" t="str">
            <v>QJAMD02</v>
          </cell>
          <cell r="AD6593">
            <v>332200</v>
          </cell>
        </row>
        <row r="6594">
          <cell r="W6594" t="str">
            <v>QJAMD03</v>
          </cell>
          <cell r="AD6594">
            <v>332200</v>
          </cell>
        </row>
        <row r="6595">
          <cell r="W6595" t="str">
            <v>QJAMD03</v>
          </cell>
          <cell r="AD6595">
            <v>332200</v>
          </cell>
        </row>
        <row r="6596">
          <cell r="W6596" t="str">
            <v>QJAMD03</v>
          </cell>
          <cell r="AD6596">
            <v>332200</v>
          </cell>
        </row>
        <row r="6597">
          <cell r="W6597" t="str">
            <v>QJAMD03</v>
          </cell>
          <cell r="AD6597">
            <v>332200</v>
          </cell>
        </row>
        <row r="6598">
          <cell r="W6598" t="str">
            <v>QJAMD03</v>
          </cell>
          <cell r="AD6598">
            <v>332200</v>
          </cell>
        </row>
        <row r="6599">
          <cell r="W6599" t="str">
            <v>QJAMD03</v>
          </cell>
          <cell r="AD6599">
            <v>332200</v>
          </cell>
        </row>
        <row r="6600">
          <cell r="W6600" t="str">
            <v>QJAMD03</v>
          </cell>
          <cell r="AD6600">
            <v>332200</v>
          </cell>
        </row>
        <row r="6601">
          <cell r="W6601" t="str">
            <v>QJAMD03</v>
          </cell>
          <cell r="AD6601">
            <v>332200</v>
          </cell>
        </row>
        <row r="6602">
          <cell r="W6602" t="str">
            <v>QJAMD03</v>
          </cell>
          <cell r="AD6602">
            <v>332200</v>
          </cell>
        </row>
        <row r="6603">
          <cell r="W6603" t="str">
            <v>QJAMD03</v>
          </cell>
          <cell r="AD6603">
            <v>332200</v>
          </cell>
        </row>
        <row r="6604">
          <cell r="W6604" t="str">
            <v>QJAMD03</v>
          </cell>
          <cell r="AD6604">
            <v>332200</v>
          </cell>
        </row>
        <row r="6605">
          <cell r="W6605" t="str">
            <v>QJAMD03</v>
          </cell>
          <cell r="AD6605">
            <v>332200</v>
          </cell>
        </row>
        <row r="6606">
          <cell r="W6606" t="str">
            <v>QJAMD03</v>
          </cell>
          <cell r="AD6606">
            <v>332200</v>
          </cell>
        </row>
        <row r="6607">
          <cell r="W6607" t="str">
            <v>QJAMD03</v>
          </cell>
          <cell r="AD6607">
            <v>332200</v>
          </cell>
        </row>
        <row r="6608">
          <cell r="W6608" t="str">
            <v>QJAMD03</v>
          </cell>
          <cell r="AD6608">
            <v>332200</v>
          </cell>
        </row>
        <row r="6609">
          <cell r="W6609" t="str">
            <v>QJAMD03</v>
          </cell>
          <cell r="AD6609">
            <v>332200</v>
          </cell>
        </row>
        <row r="6610">
          <cell r="W6610" t="str">
            <v>QJAMD03</v>
          </cell>
          <cell r="AD6610">
            <v>332200</v>
          </cell>
        </row>
        <row r="6611">
          <cell r="W6611" t="str">
            <v>QJAMD03</v>
          </cell>
          <cell r="AD6611">
            <v>332200</v>
          </cell>
        </row>
        <row r="6612">
          <cell r="W6612" t="str">
            <v>QJAMD03</v>
          </cell>
          <cell r="AD6612">
            <v>332200</v>
          </cell>
        </row>
        <row r="6613">
          <cell r="W6613" t="str">
            <v>QJAMD03</v>
          </cell>
          <cell r="AD6613">
            <v>332200</v>
          </cell>
        </row>
        <row r="6614">
          <cell r="W6614" t="str">
            <v>QJAMD03</v>
          </cell>
          <cell r="AD6614">
            <v>332200</v>
          </cell>
        </row>
        <row r="6615">
          <cell r="W6615" t="str">
            <v>QJAMD03</v>
          </cell>
          <cell r="AD6615">
            <v>332200</v>
          </cell>
        </row>
        <row r="6616">
          <cell r="W6616" t="str">
            <v>QJAMD03</v>
          </cell>
          <cell r="AD6616">
            <v>332200</v>
          </cell>
        </row>
        <row r="6617">
          <cell r="W6617" t="str">
            <v>QJAMD03</v>
          </cell>
          <cell r="AD6617">
            <v>332200</v>
          </cell>
        </row>
        <row r="6618">
          <cell r="W6618" t="str">
            <v>QJAPR05</v>
          </cell>
          <cell r="AD6618">
            <v>85000</v>
          </cell>
        </row>
        <row r="6619">
          <cell r="W6619" t="str">
            <v>QJAPR05</v>
          </cell>
          <cell r="AD6619">
            <v>85000</v>
          </cell>
        </row>
        <row r="6620">
          <cell r="W6620" t="str">
            <v>QJAPR05</v>
          </cell>
          <cell r="AD6620">
            <v>85000</v>
          </cell>
        </row>
        <row r="6621">
          <cell r="W6621" t="str">
            <v>QJAPR05</v>
          </cell>
          <cell r="AD6621">
            <v>85000</v>
          </cell>
        </row>
        <row r="6622">
          <cell r="W6622" t="str">
            <v>QJAPR05</v>
          </cell>
          <cell r="AD6622">
            <v>85000</v>
          </cell>
        </row>
        <row r="6623">
          <cell r="W6623" t="str">
            <v>QJAPR05</v>
          </cell>
          <cell r="AD6623">
            <v>85000</v>
          </cell>
        </row>
        <row r="6624">
          <cell r="W6624" t="str">
            <v>QJAPR05</v>
          </cell>
          <cell r="AD6624">
            <v>85000</v>
          </cell>
        </row>
        <row r="6625">
          <cell r="W6625" t="str">
            <v>AJAPR03</v>
          </cell>
          <cell r="AD6625">
            <v>85000</v>
          </cell>
        </row>
        <row r="6626">
          <cell r="W6626" t="str">
            <v>QJAPR05</v>
          </cell>
          <cell r="AD6626">
            <v>85000</v>
          </cell>
        </row>
        <row r="6627">
          <cell r="W6627" t="str">
            <v>QJAPR06</v>
          </cell>
          <cell r="AD6627">
            <v>84000</v>
          </cell>
        </row>
        <row r="6628">
          <cell r="W6628" t="str">
            <v>QJAPR06</v>
          </cell>
          <cell r="AD6628">
            <v>85000</v>
          </cell>
        </row>
        <row r="6629">
          <cell r="W6629" t="str">
            <v>QJAPR06</v>
          </cell>
          <cell r="AD6629">
            <v>85000</v>
          </cell>
        </row>
        <row r="6630">
          <cell r="W6630" t="str">
            <v>QJAPR06</v>
          </cell>
          <cell r="AD6630">
            <v>85000</v>
          </cell>
        </row>
        <row r="6631">
          <cell r="W6631" t="str">
            <v>QJAPR06</v>
          </cell>
          <cell r="AD6631">
            <v>85000</v>
          </cell>
        </row>
        <row r="6632">
          <cell r="W6632" t="str">
            <v>QJAPR06</v>
          </cell>
          <cell r="AD6632">
            <v>85000</v>
          </cell>
        </row>
        <row r="6633">
          <cell r="W6633" t="str">
            <v>QJAPR06</v>
          </cell>
          <cell r="AD6633">
            <v>85000</v>
          </cell>
        </row>
        <row r="6634">
          <cell r="W6634" t="str">
            <v>QJAPR04</v>
          </cell>
          <cell r="AD6634">
            <v>41500</v>
          </cell>
        </row>
        <row r="6635">
          <cell r="W6635" t="str">
            <v>QJAPR04</v>
          </cell>
          <cell r="AD6635">
            <v>45000</v>
          </cell>
        </row>
        <row r="6636">
          <cell r="W6636" t="str">
            <v>QJAPR04</v>
          </cell>
          <cell r="AD6636">
            <v>45000</v>
          </cell>
        </row>
        <row r="6637">
          <cell r="W6637" t="str">
            <v>QJAPR04</v>
          </cell>
          <cell r="AD6637">
            <v>45000</v>
          </cell>
        </row>
        <row r="6638">
          <cell r="W6638" t="str">
            <v>QJAPR04</v>
          </cell>
          <cell r="AD6638">
            <v>45000</v>
          </cell>
        </row>
        <row r="6639">
          <cell r="W6639" t="str">
            <v>QJAPR04</v>
          </cell>
          <cell r="AD6639">
            <v>45000</v>
          </cell>
        </row>
        <row r="6640">
          <cell r="W6640" t="str">
            <v>QJAPR04</v>
          </cell>
          <cell r="AD6640">
            <v>45000</v>
          </cell>
        </row>
        <row r="6641">
          <cell r="W6641" t="str">
            <v>QJAPR04</v>
          </cell>
          <cell r="AD6641">
            <v>46000</v>
          </cell>
        </row>
        <row r="6642">
          <cell r="W6642" t="str">
            <v>QJAPR04</v>
          </cell>
          <cell r="AD6642">
            <v>46000</v>
          </cell>
        </row>
        <row r="6643">
          <cell r="W6643" t="str">
            <v>QJAPR04</v>
          </cell>
          <cell r="AD6643">
            <v>46000</v>
          </cell>
        </row>
        <row r="6644">
          <cell r="W6644" t="str">
            <v>QJAPR04</v>
          </cell>
          <cell r="AD6644">
            <v>46000</v>
          </cell>
        </row>
        <row r="6645">
          <cell r="W6645" t="str">
            <v>QJATR04</v>
          </cell>
          <cell r="AD6645">
            <v>110000</v>
          </cell>
        </row>
        <row r="6646">
          <cell r="W6646" t="str">
            <v>QKACA01</v>
          </cell>
          <cell r="AD6646">
            <v>76000</v>
          </cell>
        </row>
        <row r="6647">
          <cell r="W6647" t="str">
            <v>QKACA01</v>
          </cell>
          <cell r="AD6647">
            <v>76000</v>
          </cell>
        </row>
        <row r="6648">
          <cell r="W6648" t="str">
            <v>QKACA01</v>
          </cell>
          <cell r="AD6648">
            <v>78000</v>
          </cell>
        </row>
        <row r="6649">
          <cell r="W6649" t="str">
            <v>QKACA01</v>
          </cell>
          <cell r="AD6649">
            <v>78000</v>
          </cell>
        </row>
        <row r="6650">
          <cell r="W6650" t="str">
            <v>QKACA01</v>
          </cell>
          <cell r="AD6650">
            <v>78000</v>
          </cell>
        </row>
        <row r="6651">
          <cell r="W6651" t="str">
            <v>QKACA01</v>
          </cell>
          <cell r="AD6651">
            <v>78000</v>
          </cell>
        </row>
        <row r="6652">
          <cell r="W6652" t="str">
            <v>QKACA01</v>
          </cell>
          <cell r="AD6652">
            <v>78000</v>
          </cell>
        </row>
        <row r="6653">
          <cell r="W6653" t="str">
            <v>QKACA01</v>
          </cell>
          <cell r="AD6653">
            <v>80000</v>
          </cell>
        </row>
        <row r="6654">
          <cell r="W6654" t="str">
            <v>QKACA01</v>
          </cell>
          <cell r="AD6654">
            <v>80000</v>
          </cell>
        </row>
        <row r="6655">
          <cell r="W6655" t="str">
            <v>QKACA01</v>
          </cell>
          <cell r="AD6655">
            <v>80000</v>
          </cell>
        </row>
        <row r="6656">
          <cell r="W6656" t="str">
            <v>QKACA01</v>
          </cell>
          <cell r="AD6656">
            <v>80000</v>
          </cell>
        </row>
        <row r="6657">
          <cell r="W6657" t="str">
            <v>QKACA01</v>
          </cell>
          <cell r="AD6657">
            <v>80000</v>
          </cell>
        </row>
        <row r="6658">
          <cell r="W6658" t="str">
            <v>QKACA01</v>
          </cell>
          <cell r="AD6658">
            <v>80000</v>
          </cell>
        </row>
        <row r="6659">
          <cell r="W6659" t="str">
            <v>QKACA02</v>
          </cell>
          <cell r="AD6659">
            <v>21000</v>
          </cell>
        </row>
        <row r="6660">
          <cell r="W6660" t="str">
            <v>QKACA02</v>
          </cell>
          <cell r="AD6660">
            <v>21000</v>
          </cell>
        </row>
        <row r="6661">
          <cell r="W6661" t="str">
            <v>QKACA02</v>
          </cell>
          <cell r="AD6661">
            <v>21000</v>
          </cell>
        </row>
        <row r="6662">
          <cell r="W6662" t="str">
            <v>QKACA02</v>
          </cell>
          <cell r="AD6662">
            <v>22000</v>
          </cell>
        </row>
        <row r="6663">
          <cell r="W6663" t="str">
            <v>QKACA02</v>
          </cell>
          <cell r="AD6663">
            <v>22000</v>
          </cell>
        </row>
        <row r="6664">
          <cell r="W6664" t="str">
            <v>QKACA02</v>
          </cell>
          <cell r="AD6664">
            <v>23000</v>
          </cell>
        </row>
        <row r="6665">
          <cell r="W6665" t="str">
            <v>QKACA02</v>
          </cell>
          <cell r="AD6665">
            <v>23000</v>
          </cell>
        </row>
        <row r="6666">
          <cell r="W6666" t="str">
            <v>QKACA02</v>
          </cell>
          <cell r="AD6666">
            <v>23000</v>
          </cell>
        </row>
        <row r="6667">
          <cell r="W6667" t="str">
            <v>QKACA02</v>
          </cell>
          <cell r="AD6667">
            <v>23000</v>
          </cell>
        </row>
        <row r="6668">
          <cell r="W6668" t="str">
            <v>QKACA11</v>
          </cell>
          <cell r="AD6668">
            <v>12000</v>
          </cell>
        </row>
        <row r="6669">
          <cell r="W6669" t="str">
            <v>QKACA11</v>
          </cell>
          <cell r="AD6669">
            <v>12000</v>
          </cell>
        </row>
        <row r="6670">
          <cell r="W6670" t="str">
            <v>QKACA11</v>
          </cell>
          <cell r="AD6670">
            <v>12000</v>
          </cell>
        </row>
        <row r="6671">
          <cell r="W6671" t="str">
            <v>QKACA11</v>
          </cell>
          <cell r="AD6671">
            <v>12000</v>
          </cell>
        </row>
        <row r="6672">
          <cell r="W6672" t="str">
            <v>QKACA11</v>
          </cell>
          <cell r="AD6672">
            <v>12000</v>
          </cell>
        </row>
        <row r="6673">
          <cell r="W6673" t="str">
            <v>QKACA11</v>
          </cell>
          <cell r="AD6673">
            <v>13000</v>
          </cell>
        </row>
        <row r="6674">
          <cell r="W6674" t="str">
            <v>QKACA11</v>
          </cell>
          <cell r="AD6674">
            <v>13000</v>
          </cell>
        </row>
        <row r="6675">
          <cell r="W6675" t="str">
            <v>QKACA07</v>
          </cell>
          <cell r="AD6675">
            <v>70000</v>
          </cell>
        </row>
        <row r="6676">
          <cell r="W6676" t="str">
            <v>QKACA07</v>
          </cell>
          <cell r="AD6676">
            <v>73000</v>
          </cell>
        </row>
        <row r="6677">
          <cell r="W6677" t="str">
            <v>QKACA07</v>
          </cell>
          <cell r="AD6677">
            <v>75000</v>
          </cell>
        </row>
        <row r="6678">
          <cell r="W6678" t="str">
            <v>QKACA07</v>
          </cell>
          <cell r="AD6678">
            <v>75000</v>
          </cell>
        </row>
        <row r="6679">
          <cell r="W6679" t="str">
            <v>QKACA07</v>
          </cell>
          <cell r="AD6679">
            <v>75000</v>
          </cell>
        </row>
        <row r="6680">
          <cell r="W6680" t="str">
            <v>QKACA07</v>
          </cell>
          <cell r="AD6680">
            <v>75000</v>
          </cell>
        </row>
        <row r="6681">
          <cell r="W6681" t="str">
            <v>ZZKALE01</v>
          </cell>
          <cell r="AD6681">
            <v>1</v>
          </cell>
        </row>
        <row r="6682">
          <cell r="W6682" t="str">
            <v>QKALI09</v>
          </cell>
          <cell r="AD6682">
            <v>161000</v>
          </cell>
        </row>
        <row r="6683">
          <cell r="W6683" t="str">
            <v>QKALI09</v>
          </cell>
          <cell r="AD6683">
            <v>167000</v>
          </cell>
        </row>
        <row r="6684">
          <cell r="W6684" t="str">
            <v>QKALI09</v>
          </cell>
          <cell r="AD6684">
            <v>167000</v>
          </cell>
        </row>
        <row r="6685">
          <cell r="W6685" t="str">
            <v>QKALI09</v>
          </cell>
          <cell r="AD6685">
            <v>167000</v>
          </cell>
        </row>
        <row r="6686">
          <cell r="W6686" t="str">
            <v>QKALI01</v>
          </cell>
          <cell r="AD6686">
            <v>50000</v>
          </cell>
        </row>
        <row r="6687">
          <cell r="W6687" t="str">
            <v>QKALI01</v>
          </cell>
          <cell r="AD6687">
            <v>50000</v>
          </cell>
        </row>
        <row r="6688">
          <cell r="W6688" t="str">
            <v>QKALI01</v>
          </cell>
          <cell r="AD6688">
            <v>61000</v>
          </cell>
        </row>
        <row r="6689">
          <cell r="W6689" t="str">
            <v>QKALI01</v>
          </cell>
          <cell r="AD6689">
            <v>64350</v>
          </cell>
        </row>
        <row r="6690">
          <cell r="W6690" t="str">
            <v>QKALI01</v>
          </cell>
          <cell r="AD6690">
            <v>64350</v>
          </cell>
        </row>
        <row r="6691">
          <cell r="W6691" t="str">
            <v>QKALI01</v>
          </cell>
          <cell r="AD6691">
            <v>70000</v>
          </cell>
        </row>
        <row r="6692">
          <cell r="W6692" t="str">
            <v>QKALI01</v>
          </cell>
          <cell r="AD6692">
            <v>70500</v>
          </cell>
        </row>
        <row r="6693">
          <cell r="W6693" t="str">
            <v>QKALI01</v>
          </cell>
          <cell r="AD6693">
            <v>70500</v>
          </cell>
        </row>
        <row r="6694">
          <cell r="W6694" t="str">
            <v>QKALI01</v>
          </cell>
          <cell r="AD6694">
            <v>70500</v>
          </cell>
        </row>
        <row r="6695">
          <cell r="W6695" t="str">
            <v>QKALI01</v>
          </cell>
          <cell r="AD6695">
            <v>71500</v>
          </cell>
        </row>
        <row r="6696">
          <cell r="W6696" t="str">
            <v>QKALI01</v>
          </cell>
          <cell r="AD6696">
            <v>71500</v>
          </cell>
        </row>
        <row r="6697">
          <cell r="W6697" t="str">
            <v>QKALI01</v>
          </cell>
          <cell r="AD6697">
            <v>71500</v>
          </cell>
        </row>
        <row r="6698">
          <cell r="W6698" t="str">
            <v>QKALI01</v>
          </cell>
          <cell r="AD6698">
            <v>71500</v>
          </cell>
        </row>
        <row r="6699">
          <cell r="W6699" t="str">
            <v>QKALI01</v>
          </cell>
          <cell r="AD6699">
            <v>71500</v>
          </cell>
        </row>
        <row r="6700">
          <cell r="W6700" t="str">
            <v>QKALI01</v>
          </cell>
          <cell r="AD6700">
            <v>71500</v>
          </cell>
        </row>
        <row r="6701">
          <cell r="W6701" t="str">
            <v>QKALI01</v>
          </cell>
          <cell r="AD6701">
            <v>71500</v>
          </cell>
        </row>
        <row r="6702">
          <cell r="W6702" t="str">
            <v>QKALI01</v>
          </cell>
          <cell r="AD6702">
            <v>71500</v>
          </cell>
        </row>
        <row r="6703">
          <cell r="W6703" t="str">
            <v>QKALI01</v>
          </cell>
          <cell r="AD6703">
            <v>71500</v>
          </cell>
        </row>
        <row r="6704">
          <cell r="W6704" t="str">
            <v>QKALI01</v>
          </cell>
          <cell r="AD6704">
            <v>71500</v>
          </cell>
        </row>
        <row r="6705">
          <cell r="W6705" t="str">
            <v>QKALI01</v>
          </cell>
          <cell r="AD6705">
            <v>71500</v>
          </cell>
        </row>
        <row r="6706">
          <cell r="W6706" t="str">
            <v>QKALI01</v>
          </cell>
          <cell r="AD6706">
            <v>71500</v>
          </cell>
        </row>
        <row r="6707">
          <cell r="W6707" t="str">
            <v>QKALI01</v>
          </cell>
          <cell r="AD6707">
            <v>71500</v>
          </cell>
        </row>
        <row r="6708">
          <cell r="W6708" t="str">
            <v>QKALI01</v>
          </cell>
          <cell r="AD6708">
            <v>71500</v>
          </cell>
        </row>
        <row r="6709">
          <cell r="W6709" t="str">
            <v>QKALI01</v>
          </cell>
          <cell r="AD6709">
            <v>71500</v>
          </cell>
        </row>
        <row r="6710">
          <cell r="W6710" t="str">
            <v>QKALI01</v>
          </cell>
          <cell r="AD6710">
            <v>71500</v>
          </cell>
        </row>
        <row r="6711">
          <cell r="W6711" t="str">
            <v>QKALI01</v>
          </cell>
          <cell r="AD6711">
            <v>71500</v>
          </cell>
        </row>
        <row r="6712">
          <cell r="W6712" t="str">
            <v>QKALI01</v>
          </cell>
          <cell r="AD6712">
            <v>71500</v>
          </cell>
        </row>
        <row r="6713">
          <cell r="W6713" t="str">
            <v>QKALI01</v>
          </cell>
          <cell r="AD6713">
            <v>71500</v>
          </cell>
        </row>
        <row r="6714">
          <cell r="W6714" t="str">
            <v>QKALI01</v>
          </cell>
          <cell r="AD6714">
            <v>71500</v>
          </cell>
        </row>
        <row r="6715">
          <cell r="W6715" t="str">
            <v>QKALI01</v>
          </cell>
          <cell r="AD6715">
            <v>71500</v>
          </cell>
        </row>
        <row r="6716">
          <cell r="W6716" t="str">
            <v>QKALI01</v>
          </cell>
          <cell r="AD6716">
            <v>71500</v>
          </cell>
        </row>
        <row r="6717">
          <cell r="W6717" t="str">
            <v>QKALI01</v>
          </cell>
          <cell r="AD6717">
            <v>71500</v>
          </cell>
        </row>
        <row r="6718">
          <cell r="W6718" t="str">
            <v>QKALI01</v>
          </cell>
          <cell r="AD6718">
            <v>71500</v>
          </cell>
        </row>
        <row r="6719">
          <cell r="W6719" t="str">
            <v>QKALI01</v>
          </cell>
          <cell r="AD6719">
            <v>71500</v>
          </cell>
        </row>
        <row r="6720">
          <cell r="W6720" t="str">
            <v>QKALI01</v>
          </cell>
          <cell r="AD6720">
            <v>71500</v>
          </cell>
        </row>
        <row r="6721">
          <cell r="W6721" t="str">
            <v>QKALI01</v>
          </cell>
          <cell r="AD6721">
            <v>71500</v>
          </cell>
        </row>
        <row r="6722">
          <cell r="W6722" t="str">
            <v>QKALI01</v>
          </cell>
          <cell r="AD6722">
            <v>71500</v>
          </cell>
        </row>
        <row r="6723">
          <cell r="W6723" t="str">
            <v>QKALI01</v>
          </cell>
          <cell r="AD6723">
            <v>71500</v>
          </cell>
        </row>
        <row r="6724">
          <cell r="W6724" t="str">
            <v>QKALI01</v>
          </cell>
          <cell r="AD6724">
            <v>71500</v>
          </cell>
        </row>
        <row r="6725">
          <cell r="W6725" t="str">
            <v>QKALI01</v>
          </cell>
          <cell r="AD6725">
            <v>71500</v>
          </cell>
        </row>
        <row r="6726">
          <cell r="W6726" t="str">
            <v>QKALI01</v>
          </cell>
          <cell r="AD6726">
            <v>71500</v>
          </cell>
        </row>
        <row r="6727">
          <cell r="W6727" t="str">
            <v>QKALI01</v>
          </cell>
          <cell r="AD6727">
            <v>71500</v>
          </cell>
        </row>
        <row r="6728">
          <cell r="W6728" t="str">
            <v>QKALI01</v>
          </cell>
          <cell r="AD6728">
            <v>71500</v>
          </cell>
        </row>
        <row r="6729">
          <cell r="W6729" t="str">
            <v>QKALI01</v>
          </cell>
          <cell r="AD6729">
            <v>71500</v>
          </cell>
        </row>
        <row r="6730">
          <cell r="W6730" t="str">
            <v>QKALI01</v>
          </cell>
          <cell r="AD6730">
            <v>71500</v>
          </cell>
        </row>
        <row r="6731">
          <cell r="W6731" t="str">
            <v>QKALI01</v>
          </cell>
          <cell r="AD6731">
            <v>71500</v>
          </cell>
        </row>
        <row r="6732">
          <cell r="W6732" t="str">
            <v>QKALI01</v>
          </cell>
          <cell r="AD6732">
            <v>71500</v>
          </cell>
        </row>
        <row r="6733">
          <cell r="W6733" t="str">
            <v>QKALI01</v>
          </cell>
          <cell r="AD6733">
            <v>71500</v>
          </cell>
        </row>
        <row r="6734">
          <cell r="W6734" t="str">
            <v>QKALI01</v>
          </cell>
          <cell r="AD6734">
            <v>71500</v>
          </cell>
        </row>
        <row r="6735">
          <cell r="W6735" t="str">
            <v>QKALI01</v>
          </cell>
          <cell r="AD6735">
            <v>71500</v>
          </cell>
        </row>
        <row r="6736">
          <cell r="W6736" t="str">
            <v>QKALI01</v>
          </cell>
          <cell r="AD6736">
            <v>71500</v>
          </cell>
        </row>
        <row r="6737">
          <cell r="W6737" t="str">
            <v>QKALI01</v>
          </cell>
          <cell r="AD6737">
            <v>71500</v>
          </cell>
        </row>
        <row r="6738">
          <cell r="W6738" t="str">
            <v>QKALI01</v>
          </cell>
          <cell r="AD6738">
            <v>71500</v>
          </cell>
        </row>
        <row r="6739">
          <cell r="W6739" t="str">
            <v>QKALI01</v>
          </cell>
          <cell r="AD6739">
            <v>71500</v>
          </cell>
        </row>
        <row r="6740">
          <cell r="W6740" t="str">
            <v>QKALI01</v>
          </cell>
          <cell r="AD6740">
            <v>71500</v>
          </cell>
        </row>
        <row r="6741">
          <cell r="W6741" t="str">
            <v>QKALI01</v>
          </cell>
          <cell r="AD6741">
            <v>71500</v>
          </cell>
        </row>
        <row r="6742">
          <cell r="W6742" t="str">
            <v>QKALI01</v>
          </cell>
          <cell r="AD6742">
            <v>71500</v>
          </cell>
        </row>
        <row r="6743">
          <cell r="W6743" t="str">
            <v>QKALI01</v>
          </cell>
          <cell r="AD6743">
            <v>71500</v>
          </cell>
        </row>
        <row r="6744">
          <cell r="W6744" t="str">
            <v>QKALI01</v>
          </cell>
          <cell r="AD6744">
            <v>71500</v>
          </cell>
        </row>
        <row r="6745">
          <cell r="W6745" t="str">
            <v>QKALI01</v>
          </cell>
          <cell r="AD6745">
            <v>71500</v>
          </cell>
        </row>
        <row r="6746">
          <cell r="W6746" t="str">
            <v>QKALI01</v>
          </cell>
          <cell r="AD6746">
            <v>71500</v>
          </cell>
        </row>
        <row r="6747">
          <cell r="W6747" t="str">
            <v>QKALI01</v>
          </cell>
          <cell r="AD6747">
            <v>71500</v>
          </cell>
        </row>
        <row r="6748">
          <cell r="W6748" t="str">
            <v>QKALI01</v>
          </cell>
          <cell r="AD6748">
            <v>71500</v>
          </cell>
        </row>
        <row r="6749">
          <cell r="W6749" t="str">
            <v>QKALI01</v>
          </cell>
          <cell r="AD6749">
            <v>71500</v>
          </cell>
        </row>
        <row r="6750">
          <cell r="W6750" t="str">
            <v>QKALI01</v>
          </cell>
          <cell r="AD6750">
            <v>72000</v>
          </cell>
        </row>
        <row r="6751">
          <cell r="W6751" t="str">
            <v>QKALI03</v>
          </cell>
          <cell r="AD6751">
            <v>38000</v>
          </cell>
        </row>
        <row r="6752">
          <cell r="W6752" t="str">
            <v>QKALI03</v>
          </cell>
          <cell r="AD6752">
            <v>38000</v>
          </cell>
        </row>
        <row r="6753">
          <cell r="W6753" t="str">
            <v>QKALI03</v>
          </cell>
          <cell r="AD6753">
            <v>38000</v>
          </cell>
        </row>
        <row r="6754">
          <cell r="W6754" t="str">
            <v>QKALI03</v>
          </cell>
          <cell r="AD6754">
            <v>38000</v>
          </cell>
        </row>
        <row r="6755">
          <cell r="W6755" t="str">
            <v>QKALI03</v>
          </cell>
          <cell r="AD6755">
            <v>38000</v>
          </cell>
        </row>
        <row r="6756">
          <cell r="W6756" t="str">
            <v>QKALI03</v>
          </cell>
          <cell r="AD6756">
            <v>38000</v>
          </cell>
        </row>
        <row r="6757">
          <cell r="W6757" t="str">
            <v>QKALI03</v>
          </cell>
          <cell r="AD6757">
            <v>38000</v>
          </cell>
        </row>
        <row r="6758">
          <cell r="W6758" t="str">
            <v>QKALI03</v>
          </cell>
          <cell r="AD6758">
            <v>38000</v>
          </cell>
        </row>
        <row r="6759">
          <cell r="W6759" t="str">
            <v>QKALI03</v>
          </cell>
          <cell r="AD6759">
            <v>38000</v>
          </cell>
        </row>
        <row r="6760">
          <cell r="W6760" t="str">
            <v>QKALI03</v>
          </cell>
          <cell r="AD6760">
            <v>38500</v>
          </cell>
        </row>
        <row r="6761">
          <cell r="W6761" t="str">
            <v>QKALI03</v>
          </cell>
          <cell r="AD6761">
            <v>38500</v>
          </cell>
        </row>
        <row r="6762">
          <cell r="W6762" t="str">
            <v>QKALI03</v>
          </cell>
          <cell r="AD6762">
            <v>38500</v>
          </cell>
        </row>
        <row r="6763">
          <cell r="W6763" t="str">
            <v>QKALI03</v>
          </cell>
          <cell r="AD6763">
            <v>39000</v>
          </cell>
        </row>
        <row r="6764">
          <cell r="W6764" t="str">
            <v>QKALI03</v>
          </cell>
          <cell r="AD6764">
            <v>39000</v>
          </cell>
        </row>
        <row r="6765">
          <cell r="W6765" t="str">
            <v>QKALI03</v>
          </cell>
          <cell r="AD6765">
            <v>39000</v>
          </cell>
        </row>
        <row r="6766">
          <cell r="W6766" t="str">
            <v>QKALI03</v>
          </cell>
          <cell r="AD6766">
            <v>39000</v>
          </cell>
        </row>
        <row r="6767">
          <cell r="W6767" t="str">
            <v>QKALI03</v>
          </cell>
          <cell r="AD6767">
            <v>39000</v>
          </cell>
        </row>
        <row r="6768">
          <cell r="W6768" t="str">
            <v>QKALI03</v>
          </cell>
          <cell r="AD6768">
            <v>39000</v>
          </cell>
        </row>
        <row r="6769">
          <cell r="W6769" t="str">
            <v>QKALI03</v>
          </cell>
          <cell r="AD6769">
            <v>39000</v>
          </cell>
        </row>
        <row r="6770">
          <cell r="W6770" t="str">
            <v>QKALI03</v>
          </cell>
          <cell r="AD6770">
            <v>39000</v>
          </cell>
        </row>
        <row r="6771">
          <cell r="W6771" t="str">
            <v>QKALI03</v>
          </cell>
          <cell r="AD6771">
            <v>39000</v>
          </cell>
        </row>
        <row r="6772">
          <cell r="W6772" t="str">
            <v>QKALI03</v>
          </cell>
          <cell r="AD6772">
            <v>39000</v>
          </cell>
        </row>
        <row r="6773">
          <cell r="W6773" t="str">
            <v>QKALI03</v>
          </cell>
          <cell r="AD6773">
            <v>39000</v>
          </cell>
        </row>
        <row r="6774">
          <cell r="W6774" t="str">
            <v>QKALI03</v>
          </cell>
          <cell r="AD6774">
            <v>39000</v>
          </cell>
        </row>
        <row r="6775">
          <cell r="W6775" t="str">
            <v>QKALI03</v>
          </cell>
          <cell r="AD6775">
            <v>39000</v>
          </cell>
        </row>
        <row r="6776">
          <cell r="W6776" t="str">
            <v>QKALI03</v>
          </cell>
          <cell r="AD6776">
            <v>39500</v>
          </cell>
        </row>
        <row r="6777">
          <cell r="W6777" t="str">
            <v>QKALI03</v>
          </cell>
          <cell r="AD6777">
            <v>39500</v>
          </cell>
        </row>
        <row r="6778">
          <cell r="W6778" t="str">
            <v>QKALI03</v>
          </cell>
          <cell r="AD6778">
            <v>39500</v>
          </cell>
        </row>
        <row r="6779">
          <cell r="W6779" t="str">
            <v>QKALI03</v>
          </cell>
          <cell r="AD6779">
            <v>39500</v>
          </cell>
        </row>
        <row r="6780">
          <cell r="W6780" t="str">
            <v>QKALI05</v>
          </cell>
          <cell r="AD6780">
            <v>15000</v>
          </cell>
        </row>
        <row r="6781">
          <cell r="W6781" t="str">
            <v>QKALI05</v>
          </cell>
          <cell r="AD6781">
            <v>15750</v>
          </cell>
        </row>
        <row r="6782">
          <cell r="W6782" t="str">
            <v>QKALI05</v>
          </cell>
          <cell r="AD6782">
            <v>15750</v>
          </cell>
        </row>
        <row r="6783">
          <cell r="W6783" t="str">
            <v>QKALI05</v>
          </cell>
          <cell r="AD6783">
            <v>15750</v>
          </cell>
        </row>
        <row r="6784">
          <cell r="W6784" t="str">
            <v>QKALI05</v>
          </cell>
          <cell r="AD6784">
            <v>15750</v>
          </cell>
        </row>
        <row r="6785">
          <cell r="W6785" t="str">
            <v>QKALI05</v>
          </cell>
          <cell r="AD6785">
            <v>17500</v>
          </cell>
        </row>
        <row r="6786">
          <cell r="W6786" t="str">
            <v>QKALI05</v>
          </cell>
          <cell r="AD6786">
            <v>17500</v>
          </cell>
        </row>
        <row r="6787">
          <cell r="W6787" t="str">
            <v>QKALI05</v>
          </cell>
          <cell r="AD6787">
            <v>17500</v>
          </cell>
        </row>
        <row r="6788">
          <cell r="W6788" t="str">
            <v>QKALI05</v>
          </cell>
          <cell r="AD6788">
            <v>17500</v>
          </cell>
        </row>
        <row r="6789">
          <cell r="W6789" t="str">
            <v>QKALI05</v>
          </cell>
          <cell r="AD6789">
            <v>17500</v>
          </cell>
        </row>
        <row r="6790">
          <cell r="W6790" t="str">
            <v>QKALI05</v>
          </cell>
          <cell r="AD6790">
            <v>17500</v>
          </cell>
        </row>
        <row r="6791">
          <cell r="W6791" t="str">
            <v>QKALI05</v>
          </cell>
          <cell r="AD6791">
            <v>17500</v>
          </cell>
        </row>
        <row r="6792">
          <cell r="W6792" t="str">
            <v>QKALI05</v>
          </cell>
          <cell r="AD6792">
            <v>17500</v>
          </cell>
        </row>
        <row r="6793">
          <cell r="W6793" t="str">
            <v>QKALI05</v>
          </cell>
          <cell r="AD6793">
            <v>17500</v>
          </cell>
        </row>
        <row r="6794">
          <cell r="W6794" t="str">
            <v>QKALI05</v>
          </cell>
          <cell r="AD6794">
            <v>17500</v>
          </cell>
        </row>
        <row r="6795">
          <cell r="W6795" t="str">
            <v>QKALI05</v>
          </cell>
          <cell r="AD6795">
            <v>17500</v>
          </cell>
        </row>
        <row r="6796">
          <cell r="W6796" t="str">
            <v>QKALI05</v>
          </cell>
          <cell r="AD6796">
            <v>17500</v>
          </cell>
        </row>
        <row r="6797">
          <cell r="W6797" t="str">
            <v>QKALI05</v>
          </cell>
          <cell r="AD6797">
            <v>17500</v>
          </cell>
        </row>
        <row r="6798">
          <cell r="W6798" t="str">
            <v>QKALI05</v>
          </cell>
          <cell r="AD6798">
            <v>17500</v>
          </cell>
        </row>
        <row r="6799">
          <cell r="W6799" t="str">
            <v>QKALI05</v>
          </cell>
          <cell r="AD6799">
            <v>17500</v>
          </cell>
        </row>
        <row r="6800">
          <cell r="W6800" t="str">
            <v>QKALI05</v>
          </cell>
          <cell r="AD6800">
            <v>17500</v>
          </cell>
        </row>
        <row r="6801">
          <cell r="W6801" t="str">
            <v>QKALI05</v>
          </cell>
          <cell r="AD6801">
            <v>17500</v>
          </cell>
        </row>
        <row r="6802">
          <cell r="W6802" t="str">
            <v>QKALI05</v>
          </cell>
          <cell r="AD6802">
            <v>17500</v>
          </cell>
        </row>
        <row r="6803">
          <cell r="W6803" t="str">
            <v>QKALI05</v>
          </cell>
          <cell r="AD6803">
            <v>17500</v>
          </cell>
        </row>
        <row r="6804">
          <cell r="W6804" t="str">
            <v>QKALI05</v>
          </cell>
          <cell r="AD6804">
            <v>17500</v>
          </cell>
        </row>
        <row r="6805">
          <cell r="W6805" t="str">
            <v>QKALI05</v>
          </cell>
          <cell r="AD6805">
            <v>17500</v>
          </cell>
        </row>
        <row r="6806">
          <cell r="W6806" t="str">
            <v>QKALI05</v>
          </cell>
          <cell r="AD6806">
            <v>17500</v>
          </cell>
        </row>
        <row r="6807">
          <cell r="W6807" t="str">
            <v>QKALI05</v>
          </cell>
          <cell r="AD6807">
            <v>17500</v>
          </cell>
        </row>
        <row r="6808">
          <cell r="W6808" t="str">
            <v>QKALI05</v>
          </cell>
          <cell r="AD6808">
            <v>17500</v>
          </cell>
        </row>
        <row r="6809">
          <cell r="W6809" t="str">
            <v>QKALI05</v>
          </cell>
          <cell r="AD6809">
            <v>17500</v>
          </cell>
        </row>
        <row r="6810">
          <cell r="W6810" t="str">
            <v>QKALI05</v>
          </cell>
          <cell r="AD6810">
            <v>17500</v>
          </cell>
        </row>
        <row r="6811">
          <cell r="W6811" t="str">
            <v>QKALI05</v>
          </cell>
          <cell r="AD6811">
            <v>17500</v>
          </cell>
        </row>
        <row r="6812">
          <cell r="W6812" t="str">
            <v>QKALI05</v>
          </cell>
          <cell r="AD6812">
            <v>17500</v>
          </cell>
        </row>
        <row r="6813">
          <cell r="W6813" t="str">
            <v>QKALI05</v>
          </cell>
          <cell r="AD6813">
            <v>17500</v>
          </cell>
        </row>
        <row r="6814">
          <cell r="W6814" t="str">
            <v>QKALI05</v>
          </cell>
          <cell r="AD6814">
            <v>17500</v>
          </cell>
        </row>
        <row r="6815">
          <cell r="W6815" t="str">
            <v>QKALI05</v>
          </cell>
          <cell r="AD6815">
            <v>17500</v>
          </cell>
        </row>
        <row r="6816">
          <cell r="W6816" t="str">
            <v>QKALI05</v>
          </cell>
          <cell r="AD6816">
            <v>17500</v>
          </cell>
        </row>
        <row r="6817">
          <cell r="W6817" t="str">
            <v>QKALI05</v>
          </cell>
          <cell r="AD6817">
            <v>17500</v>
          </cell>
        </row>
        <row r="6818">
          <cell r="W6818" t="str">
            <v>QKALI05</v>
          </cell>
          <cell r="AD6818">
            <v>17500</v>
          </cell>
        </row>
        <row r="6819">
          <cell r="W6819" t="str">
            <v>QKALI05</v>
          </cell>
          <cell r="AD6819">
            <v>17500</v>
          </cell>
        </row>
        <row r="6820">
          <cell r="W6820" t="str">
            <v>QKALI05</v>
          </cell>
          <cell r="AD6820">
            <v>17500</v>
          </cell>
        </row>
        <row r="6821">
          <cell r="W6821" t="str">
            <v>QKALI05</v>
          </cell>
          <cell r="AD6821">
            <v>17500</v>
          </cell>
        </row>
        <row r="6822">
          <cell r="W6822" t="str">
            <v>QKALI05</v>
          </cell>
          <cell r="AD6822">
            <v>17500</v>
          </cell>
        </row>
        <row r="6823">
          <cell r="W6823" t="str">
            <v>QKALI05</v>
          </cell>
          <cell r="AD6823">
            <v>18000</v>
          </cell>
        </row>
        <row r="6824">
          <cell r="W6824" t="str">
            <v>QKALI05</v>
          </cell>
          <cell r="AD6824">
            <v>18000</v>
          </cell>
        </row>
        <row r="6825">
          <cell r="W6825" t="str">
            <v>QKALI05</v>
          </cell>
          <cell r="AD6825">
            <v>18000</v>
          </cell>
        </row>
        <row r="6826">
          <cell r="W6826" t="str">
            <v>QKALI05</v>
          </cell>
          <cell r="AD6826">
            <v>18000</v>
          </cell>
        </row>
        <row r="6827">
          <cell r="W6827" t="str">
            <v>QKALI05</v>
          </cell>
          <cell r="AD6827">
            <v>18000</v>
          </cell>
        </row>
        <row r="6828">
          <cell r="W6828" t="str">
            <v>QKALI05</v>
          </cell>
          <cell r="AD6828">
            <v>18000</v>
          </cell>
        </row>
        <row r="6829">
          <cell r="W6829" t="str">
            <v>QKAOS04</v>
          </cell>
          <cell r="AD6829">
            <v>16170</v>
          </cell>
        </row>
        <row r="6830">
          <cell r="W6830" t="str">
            <v>QKAOS02</v>
          </cell>
          <cell r="AD6830">
            <v>1</v>
          </cell>
        </row>
        <row r="6831">
          <cell r="W6831" t="str">
            <v>QKAOS02</v>
          </cell>
          <cell r="AD6831">
            <v>1</v>
          </cell>
        </row>
        <row r="6832">
          <cell r="W6832" t="str">
            <v>QKAOS02</v>
          </cell>
          <cell r="AD6832">
            <v>1</v>
          </cell>
        </row>
        <row r="6833">
          <cell r="W6833" t="str">
            <v>QKARI07</v>
          </cell>
          <cell r="AD6833">
            <v>125000</v>
          </cell>
        </row>
        <row r="6834">
          <cell r="W6834" t="str">
            <v>QKARI07</v>
          </cell>
          <cell r="AD6834">
            <v>125000</v>
          </cell>
        </row>
        <row r="6835">
          <cell r="W6835" t="str">
            <v>QKARI07</v>
          </cell>
          <cell r="AD6835">
            <v>125000</v>
          </cell>
        </row>
        <row r="6836">
          <cell r="W6836" t="str">
            <v>QKARI06</v>
          </cell>
          <cell r="AD6836">
            <v>62500</v>
          </cell>
        </row>
        <row r="6837">
          <cell r="W6837" t="str">
            <v>QKARI06</v>
          </cell>
          <cell r="AD6837">
            <v>62500</v>
          </cell>
        </row>
        <row r="6838">
          <cell r="W6838" t="str">
            <v>QKARI06</v>
          </cell>
          <cell r="AD6838">
            <v>62500</v>
          </cell>
        </row>
        <row r="6839">
          <cell r="W6839" t="str">
            <v>QKARI06</v>
          </cell>
          <cell r="AD6839">
            <v>62500</v>
          </cell>
        </row>
        <row r="6840">
          <cell r="W6840" t="str">
            <v>QKARI06</v>
          </cell>
          <cell r="AD6840">
            <v>62500</v>
          </cell>
        </row>
        <row r="6841">
          <cell r="W6841" t="str">
            <v>QKARI06</v>
          </cell>
          <cell r="AD6841">
            <v>62500</v>
          </cell>
        </row>
        <row r="6842">
          <cell r="W6842" t="str">
            <v>AKARI08</v>
          </cell>
          <cell r="AD6842">
            <v>62500</v>
          </cell>
        </row>
        <row r="6843">
          <cell r="W6843" t="str">
            <v>QKARI06</v>
          </cell>
          <cell r="AD6843">
            <v>63500</v>
          </cell>
        </row>
        <row r="6844">
          <cell r="W6844" t="str">
            <v>QKARI06</v>
          </cell>
          <cell r="AD6844">
            <v>65000</v>
          </cell>
        </row>
        <row r="6845">
          <cell r="W6845" t="str">
            <v>QKARI08</v>
          </cell>
          <cell r="AD6845">
            <v>17000</v>
          </cell>
        </row>
        <row r="6846">
          <cell r="W6846" t="str">
            <v>QKARI08</v>
          </cell>
          <cell r="AD6846">
            <v>17000</v>
          </cell>
        </row>
        <row r="6847">
          <cell r="W6847" t="str">
            <v>QKARI08</v>
          </cell>
          <cell r="AD6847">
            <v>17000</v>
          </cell>
        </row>
        <row r="6848">
          <cell r="W6848" t="str">
            <v>QKARI08</v>
          </cell>
          <cell r="AD6848">
            <v>17000</v>
          </cell>
        </row>
        <row r="6849">
          <cell r="W6849" t="str">
            <v>QKARI08</v>
          </cell>
          <cell r="AD6849">
            <v>17000</v>
          </cell>
        </row>
        <row r="6850">
          <cell r="W6850" t="str">
            <v>QKARI08</v>
          </cell>
          <cell r="AD6850">
            <v>17500</v>
          </cell>
        </row>
        <row r="6851">
          <cell r="W6851" t="str">
            <v>QKARI08</v>
          </cell>
          <cell r="AD6851">
            <v>18500</v>
          </cell>
        </row>
        <row r="6852">
          <cell r="W6852" t="str">
            <v>QKARI08</v>
          </cell>
          <cell r="AD6852">
            <v>18500</v>
          </cell>
        </row>
        <row r="6853">
          <cell r="W6853" t="str">
            <v>QKARI01</v>
          </cell>
          <cell r="AD6853">
            <v>26363.64</v>
          </cell>
        </row>
        <row r="6854">
          <cell r="W6854" t="str">
            <v>QKARI01</v>
          </cell>
          <cell r="AD6854">
            <v>26363.64</v>
          </cell>
        </row>
        <row r="6855">
          <cell r="W6855" t="str">
            <v>QKARI01</v>
          </cell>
          <cell r="AD6855">
            <v>42750</v>
          </cell>
        </row>
        <row r="6856">
          <cell r="W6856" t="str">
            <v>QKARI01</v>
          </cell>
          <cell r="AD6856">
            <v>42750</v>
          </cell>
        </row>
        <row r="6857">
          <cell r="W6857" t="str">
            <v>QKARI01</v>
          </cell>
          <cell r="AD6857">
            <v>42750</v>
          </cell>
        </row>
        <row r="6858">
          <cell r="W6858" t="str">
            <v>QKARI01</v>
          </cell>
          <cell r="AD6858">
            <v>42750</v>
          </cell>
        </row>
        <row r="6859">
          <cell r="W6859" t="str">
            <v>QKARI01</v>
          </cell>
          <cell r="AD6859">
            <v>48000</v>
          </cell>
        </row>
        <row r="6860">
          <cell r="W6860" t="str">
            <v>QKARI01</v>
          </cell>
          <cell r="AD6860">
            <v>48000</v>
          </cell>
        </row>
        <row r="6861">
          <cell r="W6861" t="str">
            <v>QKARI01</v>
          </cell>
          <cell r="AD6861">
            <v>52000</v>
          </cell>
        </row>
        <row r="6862">
          <cell r="W6862" t="str">
            <v>QKARI01</v>
          </cell>
          <cell r="AD6862">
            <v>52000</v>
          </cell>
        </row>
        <row r="6863">
          <cell r="W6863" t="str">
            <v>QKARI01</v>
          </cell>
          <cell r="AD6863">
            <v>52000</v>
          </cell>
        </row>
        <row r="6864">
          <cell r="W6864" t="str">
            <v>QKARI01</v>
          </cell>
          <cell r="AD6864">
            <v>52000</v>
          </cell>
        </row>
        <row r="6865">
          <cell r="W6865" t="str">
            <v>QKARI01</v>
          </cell>
          <cell r="AD6865">
            <v>52000</v>
          </cell>
        </row>
        <row r="6866">
          <cell r="W6866" t="str">
            <v>QKARI01</v>
          </cell>
          <cell r="AD6866">
            <v>52000</v>
          </cell>
        </row>
        <row r="6867">
          <cell r="W6867" t="str">
            <v>QKARI01</v>
          </cell>
          <cell r="AD6867">
            <v>52000</v>
          </cell>
        </row>
        <row r="6868">
          <cell r="W6868" t="str">
            <v>QKARI01</v>
          </cell>
          <cell r="AD6868">
            <v>52000</v>
          </cell>
        </row>
        <row r="6869">
          <cell r="W6869" t="str">
            <v>QKARI01</v>
          </cell>
          <cell r="AD6869">
            <v>52000</v>
          </cell>
        </row>
        <row r="6870">
          <cell r="W6870" t="str">
            <v>QKARI01</v>
          </cell>
          <cell r="AD6870">
            <v>52000</v>
          </cell>
        </row>
        <row r="6871">
          <cell r="W6871" t="str">
            <v>QKARI01</v>
          </cell>
          <cell r="AD6871">
            <v>52000</v>
          </cell>
        </row>
        <row r="6872">
          <cell r="W6872" t="str">
            <v>QKARI01</v>
          </cell>
          <cell r="AD6872">
            <v>52000</v>
          </cell>
        </row>
        <row r="6873">
          <cell r="W6873" t="str">
            <v>QKARI01</v>
          </cell>
          <cell r="AD6873">
            <v>52000</v>
          </cell>
        </row>
        <row r="6874">
          <cell r="W6874" t="str">
            <v>QKARI01</v>
          </cell>
          <cell r="AD6874">
            <v>52000</v>
          </cell>
        </row>
        <row r="6875">
          <cell r="W6875" t="str">
            <v>QKARI01</v>
          </cell>
          <cell r="AD6875">
            <v>52000</v>
          </cell>
        </row>
        <row r="6876">
          <cell r="W6876" t="str">
            <v>QKARI01</v>
          </cell>
          <cell r="AD6876">
            <v>52000</v>
          </cell>
        </row>
        <row r="6877">
          <cell r="W6877" t="str">
            <v>QKARI01</v>
          </cell>
          <cell r="AD6877">
            <v>52000</v>
          </cell>
        </row>
        <row r="6878">
          <cell r="W6878" t="str">
            <v>QKARI01</v>
          </cell>
          <cell r="AD6878">
            <v>52000</v>
          </cell>
        </row>
        <row r="6879">
          <cell r="W6879" t="str">
            <v>QKARI01</v>
          </cell>
          <cell r="AD6879">
            <v>52000</v>
          </cell>
        </row>
        <row r="6880">
          <cell r="W6880" t="str">
            <v>QKARI01</v>
          </cell>
          <cell r="AD6880">
            <v>52000</v>
          </cell>
        </row>
        <row r="6881">
          <cell r="W6881" t="str">
            <v>QKARI01</v>
          </cell>
          <cell r="AD6881">
            <v>52000</v>
          </cell>
        </row>
        <row r="6882">
          <cell r="W6882" t="str">
            <v>QKARI01</v>
          </cell>
          <cell r="AD6882">
            <v>52000</v>
          </cell>
        </row>
        <row r="6883">
          <cell r="W6883" t="str">
            <v>QKARI01</v>
          </cell>
          <cell r="AD6883">
            <v>52000</v>
          </cell>
        </row>
        <row r="6884">
          <cell r="W6884" t="str">
            <v>QKARI01</v>
          </cell>
          <cell r="AD6884">
            <v>52000</v>
          </cell>
        </row>
        <row r="6885">
          <cell r="W6885" t="str">
            <v>QKARI01</v>
          </cell>
          <cell r="AD6885">
            <v>52000</v>
          </cell>
        </row>
        <row r="6886">
          <cell r="W6886" t="str">
            <v>QKARI01</v>
          </cell>
          <cell r="AD6886">
            <v>52000</v>
          </cell>
        </row>
        <row r="6887">
          <cell r="W6887" t="str">
            <v>QKARI01</v>
          </cell>
          <cell r="AD6887">
            <v>52000</v>
          </cell>
        </row>
        <row r="6888">
          <cell r="W6888" t="str">
            <v>QKARI01</v>
          </cell>
          <cell r="AD6888">
            <v>52000</v>
          </cell>
        </row>
        <row r="6889">
          <cell r="W6889" t="str">
            <v>QKARI01</v>
          </cell>
          <cell r="AD6889">
            <v>52000</v>
          </cell>
        </row>
        <row r="6890">
          <cell r="W6890" t="str">
            <v>QKARI01</v>
          </cell>
          <cell r="AD6890">
            <v>52000</v>
          </cell>
        </row>
        <row r="6891">
          <cell r="W6891" t="str">
            <v>QKARI01</v>
          </cell>
          <cell r="AD6891">
            <v>52000</v>
          </cell>
        </row>
        <row r="6892">
          <cell r="W6892" t="str">
            <v>QKARI01</v>
          </cell>
          <cell r="AD6892">
            <v>52000</v>
          </cell>
        </row>
        <row r="6893">
          <cell r="W6893" t="str">
            <v>QKARI01</v>
          </cell>
          <cell r="AD6893">
            <v>52000</v>
          </cell>
        </row>
        <row r="6894">
          <cell r="W6894" t="str">
            <v>QKARI01</v>
          </cell>
          <cell r="AD6894">
            <v>52000</v>
          </cell>
        </row>
        <row r="6895">
          <cell r="W6895" t="str">
            <v>QKARI01</v>
          </cell>
          <cell r="AD6895">
            <v>52000</v>
          </cell>
        </row>
        <row r="6896">
          <cell r="W6896" t="str">
            <v>QKARI01</v>
          </cell>
          <cell r="AD6896">
            <v>52000</v>
          </cell>
        </row>
        <row r="6897">
          <cell r="W6897" t="str">
            <v>QKARI01</v>
          </cell>
          <cell r="AD6897">
            <v>52000</v>
          </cell>
        </row>
        <row r="6898">
          <cell r="W6898" t="str">
            <v>QKARI01</v>
          </cell>
          <cell r="AD6898">
            <v>52000</v>
          </cell>
        </row>
        <row r="6899">
          <cell r="W6899" t="str">
            <v>QKARI01</v>
          </cell>
          <cell r="AD6899">
            <v>52000</v>
          </cell>
        </row>
        <row r="6900">
          <cell r="W6900" t="str">
            <v>QKARI01</v>
          </cell>
          <cell r="AD6900">
            <v>52000</v>
          </cell>
        </row>
        <row r="6901">
          <cell r="W6901" t="str">
            <v>QKARI01</v>
          </cell>
          <cell r="AD6901">
            <v>52500</v>
          </cell>
        </row>
        <row r="6902">
          <cell r="W6902" t="str">
            <v>QKARI01</v>
          </cell>
          <cell r="AD6902">
            <v>52500</v>
          </cell>
        </row>
        <row r="6903">
          <cell r="W6903" t="str">
            <v>QKARI01</v>
          </cell>
          <cell r="AD6903">
            <v>52500</v>
          </cell>
        </row>
        <row r="6904">
          <cell r="W6904" t="str">
            <v>QKARI01</v>
          </cell>
          <cell r="AD6904">
            <v>52500</v>
          </cell>
        </row>
        <row r="6905">
          <cell r="W6905" t="str">
            <v>QKARI01</v>
          </cell>
          <cell r="AD6905">
            <v>52500</v>
          </cell>
        </row>
        <row r="6906">
          <cell r="W6906" t="str">
            <v>QKARI01</v>
          </cell>
          <cell r="AD6906">
            <v>52500</v>
          </cell>
        </row>
        <row r="6907">
          <cell r="W6907" t="str">
            <v>QKARI01</v>
          </cell>
          <cell r="AD6907">
            <v>52500</v>
          </cell>
        </row>
        <row r="6908">
          <cell r="W6908" t="str">
            <v>QKARI01</v>
          </cell>
          <cell r="AD6908">
            <v>52500</v>
          </cell>
        </row>
        <row r="6909">
          <cell r="W6909" t="str">
            <v>QKARI01</v>
          </cell>
          <cell r="AD6909">
            <v>52500</v>
          </cell>
        </row>
        <row r="6910">
          <cell r="W6910" t="str">
            <v>QKARI01</v>
          </cell>
          <cell r="AD6910">
            <v>52500</v>
          </cell>
        </row>
        <row r="6911">
          <cell r="W6911" t="str">
            <v>QKARI01</v>
          </cell>
          <cell r="AD6911">
            <v>52500</v>
          </cell>
        </row>
        <row r="6912">
          <cell r="W6912" t="str">
            <v>QKARI01</v>
          </cell>
          <cell r="AD6912">
            <v>52500</v>
          </cell>
        </row>
        <row r="6913">
          <cell r="W6913" t="str">
            <v>QKARI01</v>
          </cell>
          <cell r="AD6913">
            <v>52500</v>
          </cell>
        </row>
        <row r="6914">
          <cell r="W6914" t="str">
            <v>QKARI01</v>
          </cell>
          <cell r="AD6914">
            <v>52500</v>
          </cell>
        </row>
        <row r="6915">
          <cell r="W6915" t="str">
            <v>QKARI01</v>
          </cell>
          <cell r="AD6915">
            <v>52500</v>
          </cell>
        </row>
        <row r="6916">
          <cell r="W6916" t="str">
            <v>QKARI01</v>
          </cell>
          <cell r="AD6916">
            <v>52500</v>
          </cell>
        </row>
        <row r="6917">
          <cell r="W6917" t="str">
            <v>QKARI01</v>
          </cell>
          <cell r="AD6917">
            <v>52500</v>
          </cell>
        </row>
        <row r="6918">
          <cell r="W6918" t="str">
            <v>QKARI01</v>
          </cell>
          <cell r="AD6918">
            <v>52500</v>
          </cell>
        </row>
        <row r="6919">
          <cell r="W6919" t="str">
            <v>QKARI01</v>
          </cell>
          <cell r="AD6919">
            <v>52500</v>
          </cell>
        </row>
        <row r="6920">
          <cell r="W6920" t="str">
            <v>QKARI01</v>
          </cell>
          <cell r="AD6920">
            <v>53000</v>
          </cell>
        </row>
        <row r="6921">
          <cell r="W6921" t="str">
            <v>QKARI01</v>
          </cell>
          <cell r="AD6921">
            <v>53000</v>
          </cell>
        </row>
        <row r="6922">
          <cell r="W6922" t="str">
            <v>QKARI01</v>
          </cell>
          <cell r="AD6922">
            <v>53000</v>
          </cell>
        </row>
        <row r="6923">
          <cell r="W6923" t="str">
            <v>QKARI01</v>
          </cell>
          <cell r="AD6923">
            <v>54000</v>
          </cell>
        </row>
        <row r="6924">
          <cell r="W6924" t="str">
            <v>QKARI01</v>
          </cell>
          <cell r="AD6924">
            <v>54000</v>
          </cell>
        </row>
        <row r="6925">
          <cell r="W6925" t="str">
            <v>QKARI01</v>
          </cell>
          <cell r="AD6925">
            <v>54000</v>
          </cell>
        </row>
        <row r="6926">
          <cell r="W6926" t="str">
            <v>QKARI01</v>
          </cell>
          <cell r="AD6926">
            <v>54000</v>
          </cell>
        </row>
        <row r="6927">
          <cell r="W6927" t="str">
            <v>QKARI01</v>
          </cell>
          <cell r="AD6927">
            <v>54500</v>
          </cell>
        </row>
        <row r="6928">
          <cell r="W6928" t="str">
            <v>QKARI01</v>
          </cell>
          <cell r="AD6928">
            <v>54500</v>
          </cell>
        </row>
        <row r="6929">
          <cell r="W6929" t="str">
            <v>QKARI01</v>
          </cell>
          <cell r="AD6929">
            <v>54500</v>
          </cell>
        </row>
        <row r="6930">
          <cell r="W6930" t="str">
            <v>QKARI01</v>
          </cell>
          <cell r="AD6930">
            <v>54500</v>
          </cell>
        </row>
        <row r="6931">
          <cell r="W6931" t="str">
            <v>QKARI01</v>
          </cell>
          <cell r="AD6931">
            <v>54500</v>
          </cell>
        </row>
        <row r="6932">
          <cell r="W6932" t="str">
            <v>QKARI01</v>
          </cell>
          <cell r="AD6932">
            <v>55000</v>
          </cell>
        </row>
        <row r="6933">
          <cell r="W6933" t="str">
            <v>QKARI03</v>
          </cell>
          <cell r="AD6933">
            <v>10909.090399999999</v>
          </cell>
        </row>
        <row r="6934">
          <cell r="W6934" t="str">
            <v>QKARI03</v>
          </cell>
          <cell r="AD6934">
            <v>19500</v>
          </cell>
        </row>
        <row r="6935">
          <cell r="W6935" t="str">
            <v>QKARI03</v>
          </cell>
          <cell r="AD6935">
            <v>19500</v>
          </cell>
        </row>
        <row r="6936">
          <cell r="W6936" t="str">
            <v>QKARI03</v>
          </cell>
          <cell r="AD6936">
            <v>19500</v>
          </cell>
        </row>
        <row r="6937">
          <cell r="W6937" t="str">
            <v>QKARI03</v>
          </cell>
          <cell r="AD6937">
            <v>19500</v>
          </cell>
        </row>
        <row r="6938">
          <cell r="W6938" t="str">
            <v>QKARI03</v>
          </cell>
          <cell r="AD6938">
            <v>22500</v>
          </cell>
        </row>
        <row r="6939">
          <cell r="W6939" t="str">
            <v>QKARI03</v>
          </cell>
          <cell r="AD6939">
            <v>23000</v>
          </cell>
        </row>
        <row r="6940">
          <cell r="W6940" t="str">
            <v>QKARI03</v>
          </cell>
          <cell r="AD6940">
            <v>23500</v>
          </cell>
        </row>
        <row r="6941">
          <cell r="W6941" t="str">
            <v>QKARI03</v>
          </cell>
          <cell r="AD6941">
            <v>23500</v>
          </cell>
        </row>
        <row r="6942">
          <cell r="W6942" t="str">
            <v>QKARI03</v>
          </cell>
          <cell r="AD6942">
            <v>23500</v>
          </cell>
        </row>
        <row r="6943">
          <cell r="W6943" t="str">
            <v>QKARI03</v>
          </cell>
          <cell r="AD6943">
            <v>23500</v>
          </cell>
        </row>
        <row r="6944">
          <cell r="W6944" t="str">
            <v>QKARI03</v>
          </cell>
          <cell r="AD6944">
            <v>23500</v>
          </cell>
        </row>
        <row r="6945">
          <cell r="W6945" t="str">
            <v>QKARI03</v>
          </cell>
          <cell r="AD6945">
            <v>23500</v>
          </cell>
        </row>
        <row r="6946">
          <cell r="W6946" t="str">
            <v>QKARI03</v>
          </cell>
          <cell r="AD6946">
            <v>23500</v>
          </cell>
        </row>
        <row r="6947">
          <cell r="W6947" t="str">
            <v>QKARI03</v>
          </cell>
          <cell r="AD6947">
            <v>23500</v>
          </cell>
        </row>
        <row r="6948">
          <cell r="W6948" t="str">
            <v>QKARI03</v>
          </cell>
          <cell r="AD6948">
            <v>23500</v>
          </cell>
        </row>
        <row r="6949">
          <cell r="W6949" t="str">
            <v>QKARI03</v>
          </cell>
          <cell r="AD6949">
            <v>23500</v>
          </cell>
        </row>
        <row r="6950">
          <cell r="W6950" t="str">
            <v>QKARI03</v>
          </cell>
          <cell r="AD6950">
            <v>23500</v>
          </cell>
        </row>
        <row r="6951">
          <cell r="W6951" t="str">
            <v>QKARI03</v>
          </cell>
          <cell r="AD6951">
            <v>23500</v>
          </cell>
        </row>
        <row r="6952">
          <cell r="W6952" t="str">
            <v>QKARI03</v>
          </cell>
          <cell r="AD6952">
            <v>23500</v>
          </cell>
        </row>
        <row r="6953">
          <cell r="W6953" t="str">
            <v>QKARI03</v>
          </cell>
          <cell r="AD6953">
            <v>23500</v>
          </cell>
        </row>
        <row r="6954">
          <cell r="W6954" t="str">
            <v>QKARI03</v>
          </cell>
          <cell r="AD6954">
            <v>23500</v>
          </cell>
        </row>
        <row r="6955">
          <cell r="W6955" t="str">
            <v>QKARI03</v>
          </cell>
          <cell r="AD6955">
            <v>23500</v>
          </cell>
        </row>
        <row r="6956">
          <cell r="W6956" t="str">
            <v>QKARI03</v>
          </cell>
          <cell r="AD6956">
            <v>23500</v>
          </cell>
        </row>
        <row r="6957">
          <cell r="W6957" t="str">
            <v>QKARI03</v>
          </cell>
          <cell r="AD6957">
            <v>23500</v>
          </cell>
        </row>
        <row r="6958">
          <cell r="W6958" t="str">
            <v>QKARI03</v>
          </cell>
          <cell r="AD6958">
            <v>23500</v>
          </cell>
        </row>
        <row r="6959">
          <cell r="W6959" t="str">
            <v>QKARI03</v>
          </cell>
          <cell r="AD6959">
            <v>23500</v>
          </cell>
        </row>
        <row r="6960">
          <cell r="W6960" t="str">
            <v>QKARI03</v>
          </cell>
          <cell r="AD6960">
            <v>23500</v>
          </cell>
        </row>
        <row r="6961">
          <cell r="W6961" t="str">
            <v>QKARI03</v>
          </cell>
          <cell r="AD6961">
            <v>23500</v>
          </cell>
        </row>
        <row r="6962">
          <cell r="W6962" t="str">
            <v>QKARI03</v>
          </cell>
          <cell r="AD6962">
            <v>23500</v>
          </cell>
        </row>
        <row r="6963">
          <cell r="W6963" t="str">
            <v>QKARI03</v>
          </cell>
          <cell r="AD6963">
            <v>23500</v>
          </cell>
        </row>
        <row r="6964">
          <cell r="W6964" t="str">
            <v>QKARI03</v>
          </cell>
          <cell r="AD6964">
            <v>23500</v>
          </cell>
        </row>
        <row r="6965">
          <cell r="W6965" t="str">
            <v>QKARI03</v>
          </cell>
          <cell r="AD6965">
            <v>23500</v>
          </cell>
        </row>
        <row r="6966">
          <cell r="W6966" t="str">
            <v>QKARI03</v>
          </cell>
          <cell r="AD6966">
            <v>23500</v>
          </cell>
        </row>
        <row r="6967">
          <cell r="W6967" t="str">
            <v>QKARI03</v>
          </cell>
          <cell r="AD6967">
            <v>23500</v>
          </cell>
        </row>
        <row r="6968">
          <cell r="W6968" t="str">
            <v>QKARI03</v>
          </cell>
          <cell r="AD6968">
            <v>23500</v>
          </cell>
        </row>
        <row r="6969">
          <cell r="W6969" t="str">
            <v>QKARI03</v>
          </cell>
          <cell r="AD6969">
            <v>23500</v>
          </cell>
        </row>
        <row r="6970">
          <cell r="W6970" t="str">
            <v>QKARI03</v>
          </cell>
          <cell r="AD6970">
            <v>23500</v>
          </cell>
        </row>
        <row r="6971">
          <cell r="W6971" t="str">
            <v>QKARI03</v>
          </cell>
          <cell r="AD6971">
            <v>23500</v>
          </cell>
        </row>
        <row r="6972">
          <cell r="W6972" t="str">
            <v>QKARI03</v>
          </cell>
          <cell r="AD6972">
            <v>23500</v>
          </cell>
        </row>
        <row r="6973">
          <cell r="W6973" t="str">
            <v>QKARI03</v>
          </cell>
          <cell r="AD6973">
            <v>23500</v>
          </cell>
        </row>
        <row r="6974">
          <cell r="W6974" t="str">
            <v>QKARI03</v>
          </cell>
          <cell r="AD6974">
            <v>23500</v>
          </cell>
        </row>
        <row r="6975">
          <cell r="W6975" t="str">
            <v>QKARI03</v>
          </cell>
          <cell r="AD6975">
            <v>23500</v>
          </cell>
        </row>
        <row r="6976">
          <cell r="W6976" t="str">
            <v>QKARI03</v>
          </cell>
          <cell r="AD6976">
            <v>23500</v>
          </cell>
        </row>
        <row r="6977">
          <cell r="W6977" t="str">
            <v>QKARI03</v>
          </cell>
          <cell r="AD6977">
            <v>23500</v>
          </cell>
        </row>
        <row r="6978">
          <cell r="W6978" t="str">
            <v>QKARI03</v>
          </cell>
          <cell r="AD6978">
            <v>23500</v>
          </cell>
        </row>
        <row r="6979">
          <cell r="W6979" t="str">
            <v>QKARI03</v>
          </cell>
          <cell r="AD6979">
            <v>23500</v>
          </cell>
        </row>
        <row r="6980">
          <cell r="W6980" t="str">
            <v>QKARI03</v>
          </cell>
          <cell r="AD6980">
            <v>23500</v>
          </cell>
        </row>
        <row r="6981">
          <cell r="W6981" t="str">
            <v>QKARI03</v>
          </cell>
          <cell r="AD6981">
            <v>23500</v>
          </cell>
        </row>
        <row r="6982">
          <cell r="W6982" t="str">
            <v>QKARI03</v>
          </cell>
          <cell r="AD6982">
            <v>23500</v>
          </cell>
        </row>
        <row r="6983">
          <cell r="W6983" t="str">
            <v>QKARI03</v>
          </cell>
          <cell r="AD6983">
            <v>23500</v>
          </cell>
        </row>
        <row r="6984">
          <cell r="W6984" t="str">
            <v>QKARI03</v>
          </cell>
          <cell r="AD6984">
            <v>23500</v>
          </cell>
        </row>
        <row r="6985">
          <cell r="W6985" t="str">
            <v>QKARI03</v>
          </cell>
          <cell r="AD6985">
            <v>23500</v>
          </cell>
        </row>
        <row r="6986">
          <cell r="W6986" t="str">
            <v>QKARI03</v>
          </cell>
          <cell r="AD6986">
            <v>23500</v>
          </cell>
        </row>
        <row r="6987">
          <cell r="W6987" t="str">
            <v>QKARI03</v>
          </cell>
          <cell r="AD6987">
            <v>23500</v>
          </cell>
        </row>
        <row r="6988">
          <cell r="W6988" t="str">
            <v>QKARI03</v>
          </cell>
          <cell r="AD6988">
            <v>23500</v>
          </cell>
        </row>
        <row r="6989">
          <cell r="W6989" t="str">
            <v>QKARI03</v>
          </cell>
          <cell r="AD6989">
            <v>23500</v>
          </cell>
        </row>
        <row r="6990">
          <cell r="W6990" t="str">
            <v>QKARI03</v>
          </cell>
          <cell r="AD6990">
            <v>23500</v>
          </cell>
        </row>
        <row r="6991">
          <cell r="W6991" t="str">
            <v>AKARI04</v>
          </cell>
          <cell r="AD6991">
            <v>23500</v>
          </cell>
        </row>
        <row r="6992">
          <cell r="W6992" t="str">
            <v>QKARI03</v>
          </cell>
          <cell r="AD6992">
            <v>23500</v>
          </cell>
        </row>
        <row r="6993">
          <cell r="W6993" t="str">
            <v>QKARI03</v>
          </cell>
          <cell r="AD6993">
            <v>23500</v>
          </cell>
        </row>
        <row r="6994">
          <cell r="W6994" t="str">
            <v>QKARI03</v>
          </cell>
          <cell r="AD6994">
            <v>23500</v>
          </cell>
        </row>
        <row r="6995">
          <cell r="W6995" t="str">
            <v>QKARI03</v>
          </cell>
          <cell r="AD6995">
            <v>23500</v>
          </cell>
        </row>
        <row r="6996">
          <cell r="W6996" t="str">
            <v>QKARI03</v>
          </cell>
          <cell r="AD6996">
            <v>23500</v>
          </cell>
        </row>
        <row r="6997">
          <cell r="W6997" t="str">
            <v>QKARI03</v>
          </cell>
          <cell r="AD6997">
            <v>23500</v>
          </cell>
        </row>
        <row r="6998">
          <cell r="W6998" t="str">
            <v>QKARI03</v>
          </cell>
          <cell r="AD6998">
            <v>23500</v>
          </cell>
        </row>
        <row r="6999">
          <cell r="W6999" t="str">
            <v>QKARI03</v>
          </cell>
          <cell r="AD6999">
            <v>23500</v>
          </cell>
        </row>
        <row r="7000">
          <cell r="W7000" t="str">
            <v>QKARI03</v>
          </cell>
          <cell r="AD7000">
            <v>23500</v>
          </cell>
        </row>
        <row r="7001">
          <cell r="W7001" t="str">
            <v>QKARI03</v>
          </cell>
          <cell r="AD7001">
            <v>23500</v>
          </cell>
        </row>
        <row r="7002">
          <cell r="W7002" t="str">
            <v>QKARI03</v>
          </cell>
          <cell r="AD7002">
            <v>23500</v>
          </cell>
        </row>
        <row r="7003">
          <cell r="W7003" t="str">
            <v>QKARI03</v>
          </cell>
          <cell r="AD7003">
            <v>23500</v>
          </cell>
        </row>
        <row r="7004">
          <cell r="W7004" t="str">
            <v>QKARI03</v>
          </cell>
          <cell r="AD7004">
            <v>23500</v>
          </cell>
        </row>
        <row r="7005">
          <cell r="W7005" t="str">
            <v>QKARI03</v>
          </cell>
          <cell r="AD7005">
            <v>23500</v>
          </cell>
        </row>
        <row r="7006">
          <cell r="W7006" t="str">
            <v>QKARI03</v>
          </cell>
          <cell r="AD7006">
            <v>23500</v>
          </cell>
        </row>
        <row r="7007">
          <cell r="W7007" t="str">
            <v>QKARI03</v>
          </cell>
          <cell r="AD7007">
            <v>23500</v>
          </cell>
        </row>
        <row r="7008">
          <cell r="W7008" t="str">
            <v>QKARI03</v>
          </cell>
          <cell r="AD7008">
            <v>23500</v>
          </cell>
        </row>
        <row r="7009">
          <cell r="W7009" t="str">
            <v>QKARI03</v>
          </cell>
          <cell r="AD7009">
            <v>23500</v>
          </cell>
        </row>
        <row r="7010">
          <cell r="W7010" t="str">
            <v>QKARI03</v>
          </cell>
          <cell r="AD7010">
            <v>24000</v>
          </cell>
        </row>
        <row r="7011">
          <cell r="W7011" t="str">
            <v>QKARI03</v>
          </cell>
          <cell r="AD7011">
            <v>25000</v>
          </cell>
        </row>
        <row r="7012">
          <cell r="W7012" t="str">
            <v>QKAYA01</v>
          </cell>
          <cell r="AD7012">
            <v>230000</v>
          </cell>
        </row>
        <row r="7013">
          <cell r="W7013" t="str">
            <v>QKAYA01</v>
          </cell>
          <cell r="AD7013">
            <v>230000</v>
          </cell>
        </row>
        <row r="7014">
          <cell r="W7014" t="str">
            <v>QKAYA01</v>
          </cell>
          <cell r="AD7014">
            <v>230000</v>
          </cell>
        </row>
        <row r="7015">
          <cell r="W7015" t="str">
            <v>QKAYA01</v>
          </cell>
          <cell r="AD7015">
            <v>230000</v>
          </cell>
        </row>
        <row r="7016">
          <cell r="W7016" t="str">
            <v>QKAYA01</v>
          </cell>
          <cell r="AD7016">
            <v>230000</v>
          </cell>
        </row>
        <row r="7017">
          <cell r="W7017" t="str">
            <v>QKAYA01</v>
          </cell>
          <cell r="AD7017">
            <v>230000</v>
          </cell>
        </row>
        <row r="7018">
          <cell r="W7018" t="str">
            <v>QKAYA01</v>
          </cell>
          <cell r="AD7018">
            <v>250000</v>
          </cell>
        </row>
        <row r="7019">
          <cell r="W7019" t="str">
            <v>QKAYA01</v>
          </cell>
          <cell r="AD7019">
            <v>250000</v>
          </cell>
        </row>
        <row r="7020">
          <cell r="W7020" t="str">
            <v>QKAYA01</v>
          </cell>
          <cell r="AD7020">
            <v>250000</v>
          </cell>
        </row>
        <row r="7021">
          <cell r="W7021" t="str">
            <v>AKAYA04</v>
          </cell>
          <cell r="AD7021">
            <v>1</v>
          </cell>
        </row>
        <row r="7022">
          <cell r="W7022" t="str">
            <v>QKAYA02</v>
          </cell>
          <cell r="AD7022">
            <v>117000</v>
          </cell>
        </row>
        <row r="7023">
          <cell r="W7023" t="str">
            <v>QKAYA02</v>
          </cell>
          <cell r="AD7023">
            <v>117000</v>
          </cell>
        </row>
        <row r="7024">
          <cell r="W7024" t="str">
            <v>QKAYA02</v>
          </cell>
          <cell r="AD7024">
            <v>125000</v>
          </cell>
        </row>
        <row r="7025">
          <cell r="W7025" t="str">
            <v>QKAYA02</v>
          </cell>
          <cell r="AD7025">
            <v>125000</v>
          </cell>
        </row>
        <row r="7026">
          <cell r="W7026" t="str">
            <v>QKAYA02</v>
          </cell>
          <cell r="AD7026">
            <v>125000</v>
          </cell>
        </row>
        <row r="7027">
          <cell r="W7027" t="str">
            <v>QKAYA02</v>
          </cell>
          <cell r="AD7027">
            <v>125000</v>
          </cell>
        </row>
        <row r="7028">
          <cell r="W7028" t="str">
            <v>QKAYA02</v>
          </cell>
          <cell r="AD7028">
            <v>125000</v>
          </cell>
        </row>
        <row r="7029">
          <cell r="W7029" t="str">
            <v>QKAYA02</v>
          </cell>
          <cell r="AD7029">
            <v>125000</v>
          </cell>
        </row>
        <row r="7030">
          <cell r="W7030" t="str">
            <v>QKAYA02</v>
          </cell>
          <cell r="AD7030">
            <v>125000</v>
          </cell>
        </row>
        <row r="7031">
          <cell r="W7031" t="str">
            <v>QKAYA02</v>
          </cell>
          <cell r="AD7031">
            <v>125000</v>
          </cell>
        </row>
        <row r="7032">
          <cell r="W7032" t="str">
            <v>QKAYA02</v>
          </cell>
          <cell r="AD7032">
            <v>125000</v>
          </cell>
        </row>
        <row r="7033">
          <cell r="W7033" t="str">
            <v>QKAYA02</v>
          </cell>
          <cell r="AD7033">
            <v>125000</v>
          </cell>
        </row>
        <row r="7034">
          <cell r="W7034" t="str">
            <v>QKAYA02</v>
          </cell>
          <cell r="AD7034">
            <v>125000</v>
          </cell>
        </row>
        <row r="7035">
          <cell r="W7035" t="str">
            <v>QKAYA02</v>
          </cell>
          <cell r="AD7035">
            <v>125000</v>
          </cell>
        </row>
        <row r="7036">
          <cell r="W7036" t="str">
            <v>QKAYA02</v>
          </cell>
          <cell r="AD7036">
            <v>125000</v>
          </cell>
        </row>
        <row r="7037">
          <cell r="W7037" t="str">
            <v>QKAYA02</v>
          </cell>
          <cell r="AD7037">
            <v>125000</v>
          </cell>
        </row>
        <row r="7038">
          <cell r="W7038" t="str">
            <v>QKAYA02</v>
          </cell>
          <cell r="AD7038">
            <v>125000</v>
          </cell>
        </row>
        <row r="7039">
          <cell r="W7039" t="str">
            <v>QKAYA02</v>
          </cell>
          <cell r="AD7039">
            <v>125000</v>
          </cell>
        </row>
        <row r="7040">
          <cell r="W7040" t="str">
            <v>QKAYA02</v>
          </cell>
          <cell r="AD7040">
            <v>125000</v>
          </cell>
        </row>
        <row r="7041">
          <cell r="W7041" t="str">
            <v>QKAYA02</v>
          </cell>
          <cell r="AD7041">
            <v>125000</v>
          </cell>
        </row>
        <row r="7042">
          <cell r="W7042" t="str">
            <v>QKAYA02</v>
          </cell>
          <cell r="AD7042">
            <v>125000</v>
          </cell>
        </row>
        <row r="7043">
          <cell r="W7043" t="str">
            <v>QKAYA02</v>
          </cell>
          <cell r="AD7043">
            <v>125000</v>
          </cell>
        </row>
        <row r="7044">
          <cell r="W7044" t="str">
            <v>QKAYA02</v>
          </cell>
          <cell r="AD7044">
            <v>125000</v>
          </cell>
        </row>
        <row r="7045">
          <cell r="W7045" t="str">
            <v>QKAYA02</v>
          </cell>
          <cell r="AD7045">
            <v>125000</v>
          </cell>
        </row>
        <row r="7046">
          <cell r="W7046" t="str">
            <v>QKAYA02</v>
          </cell>
          <cell r="AD7046">
            <v>125000</v>
          </cell>
        </row>
        <row r="7047">
          <cell r="W7047" t="str">
            <v>QKAYA02</v>
          </cell>
          <cell r="AD7047">
            <v>125000</v>
          </cell>
        </row>
        <row r="7048">
          <cell r="W7048" t="str">
            <v>QKAYA02</v>
          </cell>
          <cell r="AD7048">
            <v>125000</v>
          </cell>
        </row>
        <row r="7049">
          <cell r="W7049" t="str">
            <v>QKAYA02</v>
          </cell>
          <cell r="AD7049">
            <v>125000</v>
          </cell>
        </row>
        <row r="7050">
          <cell r="W7050" t="str">
            <v>QKAYA02</v>
          </cell>
          <cell r="AD7050">
            <v>125000</v>
          </cell>
        </row>
        <row r="7051">
          <cell r="W7051" t="str">
            <v>QKCLK01</v>
          </cell>
          <cell r="AD7051">
            <v>36000</v>
          </cell>
        </row>
        <row r="7052">
          <cell r="W7052" t="str">
            <v>QKCLK01</v>
          </cell>
          <cell r="AD7052">
            <v>36000</v>
          </cell>
        </row>
        <row r="7053">
          <cell r="W7053" t="str">
            <v>QKCLK01</v>
          </cell>
          <cell r="AD7053">
            <v>36000</v>
          </cell>
        </row>
        <row r="7054">
          <cell r="W7054" t="str">
            <v>QKCLK01</v>
          </cell>
          <cell r="AD7054">
            <v>36000</v>
          </cell>
        </row>
        <row r="7055">
          <cell r="W7055" t="str">
            <v>QKCLK01</v>
          </cell>
          <cell r="AD7055">
            <v>36000</v>
          </cell>
        </row>
        <row r="7056">
          <cell r="W7056" t="str">
            <v>QKCLK01</v>
          </cell>
          <cell r="AD7056">
            <v>36000</v>
          </cell>
        </row>
        <row r="7057">
          <cell r="W7057" t="str">
            <v>QKCLK01</v>
          </cell>
          <cell r="AD7057">
            <v>36000</v>
          </cell>
        </row>
        <row r="7058">
          <cell r="W7058" t="str">
            <v>QKCLK01</v>
          </cell>
          <cell r="AD7058">
            <v>36000</v>
          </cell>
        </row>
        <row r="7059">
          <cell r="W7059" t="str">
            <v>QKCLK01</v>
          </cell>
          <cell r="AD7059">
            <v>36000</v>
          </cell>
        </row>
        <row r="7060">
          <cell r="W7060" t="str">
            <v>QKCLK01</v>
          </cell>
          <cell r="AD7060">
            <v>36000</v>
          </cell>
        </row>
        <row r="7061">
          <cell r="W7061" t="str">
            <v>QKICK02</v>
          </cell>
          <cell r="AD7061">
            <v>76000</v>
          </cell>
        </row>
        <row r="7062">
          <cell r="W7062" t="str">
            <v>QKICK02</v>
          </cell>
          <cell r="AD7062">
            <v>76000</v>
          </cell>
        </row>
        <row r="7063">
          <cell r="W7063" t="str">
            <v>AKICK02</v>
          </cell>
          <cell r="AD7063">
            <v>76000</v>
          </cell>
        </row>
        <row r="7064">
          <cell r="W7064" t="str">
            <v>QKICK03</v>
          </cell>
          <cell r="AD7064">
            <v>132500</v>
          </cell>
        </row>
        <row r="7065">
          <cell r="W7065" t="str">
            <v>QKICK01</v>
          </cell>
          <cell r="AD7065">
            <v>30000</v>
          </cell>
        </row>
        <row r="7066">
          <cell r="W7066" t="str">
            <v>QKICK01</v>
          </cell>
          <cell r="AD7066">
            <v>33000</v>
          </cell>
        </row>
        <row r="7067">
          <cell r="W7067" t="str">
            <v>QKLER01</v>
          </cell>
          <cell r="AD7067">
            <v>48500</v>
          </cell>
        </row>
        <row r="7068">
          <cell r="W7068" t="str">
            <v>QKLER01</v>
          </cell>
          <cell r="AD7068">
            <v>48500</v>
          </cell>
        </row>
        <row r="7069">
          <cell r="W7069" t="str">
            <v>QKLER01</v>
          </cell>
          <cell r="AD7069">
            <v>48500</v>
          </cell>
        </row>
        <row r="7070">
          <cell r="W7070" t="str">
            <v>QKLER01</v>
          </cell>
          <cell r="AD7070">
            <v>48500</v>
          </cell>
        </row>
        <row r="7071">
          <cell r="W7071" t="str">
            <v>QKLER01</v>
          </cell>
          <cell r="AD7071">
            <v>48500</v>
          </cell>
        </row>
        <row r="7072">
          <cell r="W7072" t="str">
            <v>QKLER01</v>
          </cell>
          <cell r="AD7072">
            <v>48500</v>
          </cell>
        </row>
        <row r="7073">
          <cell r="W7073" t="str">
            <v>QKLER01</v>
          </cell>
          <cell r="AD7073">
            <v>48500</v>
          </cell>
        </row>
        <row r="7074">
          <cell r="W7074" t="str">
            <v>QKLER01</v>
          </cell>
          <cell r="AD7074">
            <v>48500</v>
          </cell>
        </row>
        <row r="7075">
          <cell r="W7075" t="str">
            <v>QKLER01</v>
          </cell>
          <cell r="AD7075">
            <v>48500</v>
          </cell>
        </row>
        <row r="7076">
          <cell r="W7076" t="str">
            <v>QKLER01</v>
          </cell>
          <cell r="AD7076">
            <v>48500</v>
          </cell>
        </row>
        <row r="7077">
          <cell r="W7077" t="str">
            <v>QKLER01</v>
          </cell>
          <cell r="AD7077">
            <v>49000</v>
          </cell>
        </row>
        <row r="7078">
          <cell r="W7078" t="str">
            <v>QKLER01</v>
          </cell>
          <cell r="AD7078">
            <v>49000</v>
          </cell>
        </row>
        <row r="7079">
          <cell r="W7079" t="str">
            <v>QKLER01</v>
          </cell>
          <cell r="AD7079">
            <v>49000</v>
          </cell>
        </row>
        <row r="7080">
          <cell r="W7080" t="str">
            <v>QKLER01</v>
          </cell>
          <cell r="AD7080">
            <v>49500</v>
          </cell>
        </row>
        <row r="7081">
          <cell r="W7081" t="str">
            <v>QKLER01</v>
          </cell>
          <cell r="AD7081">
            <v>52500</v>
          </cell>
        </row>
        <row r="7082">
          <cell r="W7082" t="str">
            <v>QKLER01</v>
          </cell>
          <cell r="AD7082">
            <v>52500</v>
          </cell>
        </row>
        <row r="7083">
          <cell r="W7083" t="str">
            <v>QKLER02</v>
          </cell>
          <cell r="AD7083">
            <v>220000</v>
          </cell>
        </row>
        <row r="7084">
          <cell r="W7084" t="str">
            <v>QKNO301</v>
          </cell>
          <cell r="AD7084">
            <v>36500</v>
          </cell>
        </row>
        <row r="7085">
          <cell r="W7085" t="str">
            <v>QKNO301</v>
          </cell>
          <cell r="AD7085">
            <v>36500</v>
          </cell>
        </row>
        <row r="7086">
          <cell r="W7086" t="str">
            <v>QKNO301</v>
          </cell>
          <cell r="AD7086">
            <v>37000</v>
          </cell>
        </row>
        <row r="7087">
          <cell r="W7087" t="str">
            <v>QKNO301</v>
          </cell>
          <cell r="AD7087">
            <v>37000</v>
          </cell>
        </row>
        <row r="7088">
          <cell r="W7088" t="str">
            <v>QKNO301</v>
          </cell>
          <cell r="AD7088">
            <v>37000</v>
          </cell>
        </row>
        <row r="7089">
          <cell r="W7089" t="str">
            <v>QKNO301</v>
          </cell>
          <cell r="AD7089">
            <v>37000</v>
          </cell>
        </row>
        <row r="7090">
          <cell r="W7090" t="str">
            <v>QKNO301</v>
          </cell>
          <cell r="AD7090">
            <v>37000</v>
          </cell>
        </row>
        <row r="7091">
          <cell r="W7091" t="str">
            <v>QKNO301</v>
          </cell>
          <cell r="AD7091">
            <v>37000</v>
          </cell>
        </row>
        <row r="7092">
          <cell r="W7092" t="str">
            <v>QKNO301</v>
          </cell>
          <cell r="AD7092">
            <v>37000</v>
          </cell>
        </row>
        <row r="7093">
          <cell r="W7093" t="str">
            <v>QKNO301</v>
          </cell>
          <cell r="AD7093">
            <v>37000</v>
          </cell>
        </row>
        <row r="7094">
          <cell r="W7094" t="str">
            <v>QKNO301</v>
          </cell>
          <cell r="AD7094">
            <v>37500</v>
          </cell>
        </row>
        <row r="7095">
          <cell r="W7095" t="str">
            <v>QKNO301</v>
          </cell>
          <cell r="AD7095">
            <v>37500</v>
          </cell>
        </row>
        <row r="7096">
          <cell r="W7096" t="str">
            <v>QKNO301</v>
          </cell>
          <cell r="AD7096">
            <v>37500</v>
          </cell>
        </row>
        <row r="7097">
          <cell r="W7097" t="str">
            <v>QKNO301</v>
          </cell>
          <cell r="AD7097">
            <v>37500</v>
          </cell>
        </row>
        <row r="7098">
          <cell r="W7098" t="str">
            <v>QKNO301</v>
          </cell>
          <cell r="AD7098">
            <v>37500</v>
          </cell>
        </row>
        <row r="7099">
          <cell r="W7099" t="str">
            <v>QKNO301</v>
          </cell>
          <cell r="AD7099">
            <v>37500</v>
          </cell>
        </row>
        <row r="7100">
          <cell r="W7100" t="str">
            <v>QKNO301</v>
          </cell>
          <cell r="AD7100">
            <v>37500</v>
          </cell>
        </row>
        <row r="7101">
          <cell r="W7101" t="str">
            <v>QKNO301</v>
          </cell>
          <cell r="AD7101">
            <v>37500</v>
          </cell>
        </row>
        <row r="7102">
          <cell r="W7102" t="str">
            <v>QKNO301</v>
          </cell>
          <cell r="AD7102">
            <v>37500</v>
          </cell>
        </row>
        <row r="7103">
          <cell r="W7103" t="str">
            <v>QKNO301</v>
          </cell>
          <cell r="AD7103">
            <v>37500</v>
          </cell>
        </row>
        <row r="7104">
          <cell r="W7104" t="str">
            <v>QKNO301</v>
          </cell>
          <cell r="AD7104">
            <v>37500</v>
          </cell>
        </row>
        <row r="7105">
          <cell r="W7105" t="str">
            <v>QKNO301</v>
          </cell>
          <cell r="AD7105">
            <v>37500</v>
          </cell>
        </row>
        <row r="7106">
          <cell r="W7106" t="str">
            <v>QKNO301</v>
          </cell>
          <cell r="AD7106">
            <v>37500</v>
          </cell>
        </row>
        <row r="7107">
          <cell r="W7107" t="str">
            <v>QKNO301</v>
          </cell>
          <cell r="AD7107">
            <v>38000</v>
          </cell>
        </row>
        <row r="7108">
          <cell r="W7108" t="str">
            <v>QKNO303</v>
          </cell>
          <cell r="AD7108">
            <v>42500</v>
          </cell>
        </row>
        <row r="7109">
          <cell r="W7109" t="str">
            <v>QKNO303</v>
          </cell>
          <cell r="AD7109">
            <v>42500</v>
          </cell>
        </row>
        <row r="7110">
          <cell r="W7110" t="str">
            <v>QKNO303</v>
          </cell>
          <cell r="AD7110">
            <v>42500</v>
          </cell>
        </row>
        <row r="7111">
          <cell r="W7111" t="str">
            <v>QKNO303</v>
          </cell>
          <cell r="AD7111">
            <v>42500</v>
          </cell>
        </row>
        <row r="7112">
          <cell r="W7112" t="str">
            <v>QKNO303</v>
          </cell>
          <cell r="AD7112">
            <v>42500</v>
          </cell>
        </row>
        <row r="7113">
          <cell r="W7113" t="str">
            <v>QKNO303</v>
          </cell>
          <cell r="AD7113">
            <v>42500</v>
          </cell>
        </row>
        <row r="7114">
          <cell r="W7114" t="str">
            <v>QKNO303</v>
          </cell>
          <cell r="AD7114">
            <v>42500</v>
          </cell>
        </row>
        <row r="7115">
          <cell r="W7115" t="str">
            <v>QKNO303</v>
          </cell>
          <cell r="AD7115">
            <v>42500</v>
          </cell>
        </row>
        <row r="7116">
          <cell r="W7116" t="str">
            <v>QKNO303</v>
          </cell>
          <cell r="AD7116">
            <v>42500</v>
          </cell>
        </row>
        <row r="7117">
          <cell r="W7117" t="str">
            <v>QKNO303</v>
          </cell>
          <cell r="AD7117">
            <v>42500</v>
          </cell>
        </row>
        <row r="7118">
          <cell r="W7118" t="str">
            <v>QKNO303</v>
          </cell>
          <cell r="AD7118">
            <v>42500</v>
          </cell>
        </row>
        <row r="7119">
          <cell r="W7119" t="str">
            <v>QKNO303</v>
          </cell>
          <cell r="AD7119">
            <v>42500</v>
          </cell>
        </row>
        <row r="7120">
          <cell r="W7120" t="str">
            <v>QKNO303</v>
          </cell>
          <cell r="AD7120">
            <v>42500</v>
          </cell>
        </row>
        <row r="7121">
          <cell r="W7121" t="str">
            <v>QKNOC03</v>
          </cell>
          <cell r="AD7121">
            <v>220000</v>
          </cell>
        </row>
        <row r="7122">
          <cell r="W7122" t="str">
            <v>QKNOC03</v>
          </cell>
          <cell r="AD7122">
            <v>235000</v>
          </cell>
        </row>
        <row r="7123">
          <cell r="W7123" t="str">
            <v>QKNOC03</v>
          </cell>
          <cell r="AD7123">
            <v>235000</v>
          </cell>
        </row>
        <row r="7124">
          <cell r="W7124" t="str">
            <v>QKNOC03</v>
          </cell>
          <cell r="AD7124">
            <v>250000</v>
          </cell>
        </row>
        <row r="7125">
          <cell r="W7125" t="str">
            <v>QKNOC03</v>
          </cell>
          <cell r="AD7125">
            <v>250000</v>
          </cell>
        </row>
        <row r="7126">
          <cell r="W7126" t="str">
            <v>QKNOC03</v>
          </cell>
          <cell r="AD7126">
            <v>250000</v>
          </cell>
        </row>
        <row r="7127">
          <cell r="W7127" t="str">
            <v>QKNOC03</v>
          </cell>
          <cell r="AD7127">
            <v>250000</v>
          </cell>
        </row>
        <row r="7128">
          <cell r="W7128" t="str">
            <v>QKNOC03</v>
          </cell>
          <cell r="AD7128">
            <v>250000</v>
          </cell>
        </row>
        <row r="7129">
          <cell r="W7129" t="str">
            <v>QKNOC03</v>
          </cell>
          <cell r="AD7129">
            <v>250000</v>
          </cell>
        </row>
        <row r="7130">
          <cell r="W7130" t="str">
            <v>QKNOC03</v>
          </cell>
          <cell r="AD7130">
            <v>265000</v>
          </cell>
        </row>
        <row r="7131">
          <cell r="W7131" t="str">
            <v>QKNOC05</v>
          </cell>
          <cell r="AD7131">
            <v>108500</v>
          </cell>
        </row>
        <row r="7132">
          <cell r="W7132" t="str">
            <v>QKNOC05</v>
          </cell>
          <cell r="AD7132">
            <v>115000</v>
          </cell>
        </row>
        <row r="7133">
          <cell r="W7133" t="str">
            <v>QKNOC05</v>
          </cell>
          <cell r="AD7133">
            <v>115000</v>
          </cell>
        </row>
        <row r="7134">
          <cell r="W7134" t="str">
            <v>QKNOC05</v>
          </cell>
          <cell r="AD7134">
            <v>115000</v>
          </cell>
        </row>
        <row r="7135">
          <cell r="W7135" t="str">
            <v>QKNOC05</v>
          </cell>
          <cell r="AD7135">
            <v>130000</v>
          </cell>
        </row>
        <row r="7136">
          <cell r="W7136" t="str">
            <v>QKNOC05</v>
          </cell>
          <cell r="AD7136">
            <v>130000</v>
          </cell>
        </row>
        <row r="7137">
          <cell r="W7137" t="str">
            <v>QKNOC05</v>
          </cell>
          <cell r="AD7137">
            <v>130000</v>
          </cell>
        </row>
        <row r="7138">
          <cell r="W7138" t="str">
            <v>QKNOC05</v>
          </cell>
          <cell r="AD7138">
            <v>138000</v>
          </cell>
        </row>
        <row r="7139">
          <cell r="W7139" t="str">
            <v>QKNOC05</v>
          </cell>
          <cell r="AD7139">
            <v>138000</v>
          </cell>
        </row>
        <row r="7140">
          <cell r="W7140" t="str">
            <v>QKNOC02</v>
          </cell>
          <cell r="AD7140">
            <v>44350</v>
          </cell>
        </row>
        <row r="7141">
          <cell r="W7141" t="str">
            <v>AKNOC02</v>
          </cell>
          <cell r="AD7141">
            <v>51000</v>
          </cell>
        </row>
        <row r="7142">
          <cell r="W7142" t="str">
            <v>QKNOC02</v>
          </cell>
          <cell r="AD7142">
            <v>53000</v>
          </cell>
        </row>
        <row r="7143">
          <cell r="W7143" t="str">
            <v>QKNOC02</v>
          </cell>
          <cell r="AD7143">
            <v>53000</v>
          </cell>
        </row>
        <row r="7144">
          <cell r="W7144" t="str">
            <v>QKONS01</v>
          </cell>
          <cell r="AD7144">
            <v>28500</v>
          </cell>
        </row>
        <row r="7145">
          <cell r="W7145" t="str">
            <v>QKONS01</v>
          </cell>
          <cell r="AD7145">
            <v>28500</v>
          </cell>
        </row>
        <row r="7146">
          <cell r="W7146" t="str">
            <v>QKRAN02</v>
          </cell>
          <cell r="AD7146">
            <v>12500</v>
          </cell>
        </row>
        <row r="7147">
          <cell r="W7147" t="str">
            <v>QKRAN02</v>
          </cell>
          <cell r="AD7147">
            <v>12500</v>
          </cell>
        </row>
        <row r="7148">
          <cell r="W7148" t="str">
            <v>QKRES02</v>
          </cell>
          <cell r="AD7148">
            <v>39500</v>
          </cell>
        </row>
        <row r="7149">
          <cell r="W7149" t="str">
            <v>QKRES03</v>
          </cell>
          <cell r="AD7149">
            <v>3181.8199760699999</v>
          </cell>
        </row>
        <row r="7150">
          <cell r="W7150" t="str">
            <v>QKRES03</v>
          </cell>
          <cell r="AD7150">
            <v>3750</v>
          </cell>
        </row>
        <row r="7151">
          <cell r="W7151" t="str">
            <v>QKRES03</v>
          </cell>
          <cell r="AD7151">
            <v>4000</v>
          </cell>
        </row>
        <row r="7152">
          <cell r="W7152" t="str">
            <v>QKRES03</v>
          </cell>
          <cell r="AD7152">
            <v>4000</v>
          </cell>
        </row>
        <row r="7153">
          <cell r="W7153" t="str">
            <v>QKRES03</v>
          </cell>
          <cell r="AD7153">
            <v>4000</v>
          </cell>
        </row>
        <row r="7154">
          <cell r="W7154" t="str">
            <v>QKRES03</v>
          </cell>
          <cell r="AD7154">
            <v>4500</v>
          </cell>
        </row>
        <row r="7155">
          <cell r="W7155" t="str">
            <v>QKUBI07</v>
          </cell>
          <cell r="AD7155">
            <v>62600</v>
          </cell>
        </row>
        <row r="7156">
          <cell r="W7156" t="str">
            <v>AKUBI01</v>
          </cell>
          <cell r="AD7156">
            <v>1</v>
          </cell>
        </row>
        <row r="7157">
          <cell r="W7157" t="str">
            <v>QKUBI02</v>
          </cell>
          <cell r="AD7157">
            <v>73000</v>
          </cell>
        </row>
        <row r="7158">
          <cell r="W7158" t="str">
            <v>QKUBI02</v>
          </cell>
          <cell r="AD7158">
            <v>75000</v>
          </cell>
        </row>
        <row r="7159">
          <cell r="W7159" t="str">
            <v>QKUBI02</v>
          </cell>
          <cell r="AD7159">
            <v>75000</v>
          </cell>
        </row>
        <row r="7160">
          <cell r="W7160" t="str">
            <v>QKUBI02</v>
          </cell>
          <cell r="AD7160">
            <v>75000</v>
          </cell>
        </row>
        <row r="7161">
          <cell r="W7161" t="str">
            <v>QKUBI02</v>
          </cell>
          <cell r="AD7161">
            <v>75000</v>
          </cell>
        </row>
        <row r="7162">
          <cell r="W7162" t="str">
            <v>QKUBI02</v>
          </cell>
          <cell r="AD7162">
            <v>75000</v>
          </cell>
        </row>
        <row r="7163">
          <cell r="W7163" t="str">
            <v>QKUBI02</v>
          </cell>
          <cell r="AD7163">
            <v>75000</v>
          </cell>
        </row>
        <row r="7164">
          <cell r="W7164" t="str">
            <v>QKUBI02</v>
          </cell>
          <cell r="AD7164">
            <v>75000</v>
          </cell>
        </row>
        <row r="7165">
          <cell r="W7165" t="str">
            <v>QKUBI11</v>
          </cell>
          <cell r="AD7165">
            <v>59500</v>
          </cell>
        </row>
        <row r="7166">
          <cell r="W7166" t="str">
            <v>QKUBI11</v>
          </cell>
          <cell r="AD7166">
            <v>59500</v>
          </cell>
        </row>
        <row r="7167">
          <cell r="W7167" t="str">
            <v>QKUBI12</v>
          </cell>
          <cell r="AD7167">
            <v>355000</v>
          </cell>
        </row>
        <row r="7168">
          <cell r="W7168" t="str">
            <v>QKUBI03</v>
          </cell>
          <cell r="AD7168">
            <v>86000</v>
          </cell>
        </row>
        <row r="7169">
          <cell r="W7169" t="str">
            <v>QKUBI03</v>
          </cell>
          <cell r="AD7169">
            <v>87000</v>
          </cell>
        </row>
        <row r="7170">
          <cell r="W7170" t="str">
            <v>QKUBI03</v>
          </cell>
          <cell r="AD7170">
            <v>88500</v>
          </cell>
        </row>
        <row r="7171">
          <cell r="W7171" t="str">
            <v>QKUBI03</v>
          </cell>
          <cell r="AD7171">
            <v>88500</v>
          </cell>
        </row>
        <row r="7172">
          <cell r="W7172" t="str">
            <v>QKUPR01</v>
          </cell>
          <cell r="AD7172">
            <v>61500</v>
          </cell>
        </row>
        <row r="7173">
          <cell r="W7173" t="str">
            <v>QKUPR01</v>
          </cell>
          <cell r="AD7173">
            <v>67000</v>
          </cell>
        </row>
        <row r="7174">
          <cell r="W7174" t="str">
            <v>QKUPR01</v>
          </cell>
          <cell r="AD7174">
            <v>67000</v>
          </cell>
        </row>
        <row r="7175">
          <cell r="W7175" t="str">
            <v>QKUPR01</v>
          </cell>
          <cell r="AD7175">
            <v>67000</v>
          </cell>
        </row>
        <row r="7176">
          <cell r="W7176" t="str">
            <v>QKUPR01</v>
          </cell>
          <cell r="AD7176">
            <v>67000</v>
          </cell>
        </row>
        <row r="7177">
          <cell r="W7177" t="str">
            <v>QKUPR01</v>
          </cell>
          <cell r="AD7177">
            <v>67000</v>
          </cell>
        </row>
        <row r="7178">
          <cell r="W7178" t="str">
            <v>QKUPR01</v>
          </cell>
          <cell r="AD7178">
            <v>69000</v>
          </cell>
        </row>
        <row r="7179">
          <cell r="W7179" t="str">
            <v>QKUPR01</v>
          </cell>
          <cell r="AD7179">
            <v>70000</v>
          </cell>
        </row>
        <row r="7180">
          <cell r="W7180" t="str">
            <v>QKUPR01</v>
          </cell>
          <cell r="AD7180">
            <v>70000</v>
          </cell>
        </row>
        <row r="7181">
          <cell r="W7181" t="str">
            <v>QKUPR01</v>
          </cell>
          <cell r="AD7181">
            <v>70000</v>
          </cell>
        </row>
        <row r="7182">
          <cell r="W7182" t="str">
            <v>QKUPR01</v>
          </cell>
          <cell r="AD7182">
            <v>70000</v>
          </cell>
        </row>
        <row r="7183">
          <cell r="W7183" t="str">
            <v>QKUPR01</v>
          </cell>
          <cell r="AD7183">
            <v>70000</v>
          </cell>
        </row>
        <row r="7184">
          <cell r="W7184" t="str">
            <v>QKUPR01</v>
          </cell>
          <cell r="AD7184">
            <v>70000</v>
          </cell>
        </row>
        <row r="7185">
          <cell r="W7185" t="str">
            <v>QKUPR01</v>
          </cell>
          <cell r="AD7185">
            <v>70000</v>
          </cell>
        </row>
        <row r="7186">
          <cell r="W7186" t="str">
            <v>QKUPR01</v>
          </cell>
          <cell r="AD7186">
            <v>70000</v>
          </cell>
        </row>
        <row r="7187">
          <cell r="W7187" t="str">
            <v>QKUPR01</v>
          </cell>
          <cell r="AD7187">
            <v>70000</v>
          </cell>
        </row>
        <row r="7188">
          <cell r="W7188" t="str">
            <v>QKUPR01</v>
          </cell>
          <cell r="AD7188">
            <v>70000</v>
          </cell>
        </row>
        <row r="7189">
          <cell r="W7189" t="str">
            <v>QKUPR01</v>
          </cell>
          <cell r="AD7189">
            <v>71000</v>
          </cell>
        </row>
        <row r="7190">
          <cell r="W7190" t="str">
            <v>QKUPR01</v>
          </cell>
          <cell r="AD7190">
            <v>71000</v>
          </cell>
        </row>
        <row r="7191">
          <cell r="W7191" t="str">
            <v>QKUPR01</v>
          </cell>
          <cell r="AD7191">
            <v>77000</v>
          </cell>
        </row>
        <row r="7192">
          <cell r="W7192" t="str">
            <v>QKUPR01</v>
          </cell>
          <cell r="AD7192">
            <v>77000</v>
          </cell>
        </row>
        <row r="7193">
          <cell r="W7193" t="str">
            <v>QKUPR01</v>
          </cell>
          <cell r="AD7193">
            <v>77000</v>
          </cell>
        </row>
        <row r="7194">
          <cell r="W7194" t="str">
            <v>QKUPR01</v>
          </cell>
          <cell r="AD7194">
            <v>77000</v>
          </cell>
        </row>
        <row r="7195">
          <cell r="W7195" t="str">
            <v>QKUPR01</v>
          </cell>
          <cell r="AD7195">
            <v>77000</v>
          </cell>
        </row>
        <row r="7196">
          <cell r="W7196" t="str">
            <v>QKUPR01</v>
          </cell>
          <cell r="AD7196">
            <v>80000</v>
          </cell>
        </row>
        <row r="7197">
          <cell r="W7197" t="str">
            <v>QKUPR02</v>
          </cell>
          <cell r="AD7197">
            <v>29000</v>
          </cell>
        </row>
        <row r="7198">
          <cell r="W7198" t="str">
            <v>QKUPR02</v>
          </cell>
          <cell r="AD7198">
            <v>29000</v>
          </cell>
        </row>
        <row r="7199">
          <cell r="W7199" t="str">
            <v>QKUPR02</v>
          </cell>
          <cell r="AD7199">
            <v>29000</v>
          </cell>
        </row>
        <row r="7200">
          <cell r="W7200" t="str">
            <v>QKUPR02</v>
          </cell>
          <cell r="AD7200">
            <v>29000</v>
          </cell>
        </row>
        <row r="7201">
          <cell r="W7201" t="str">
            <v>QKUPR02</v>
          </cell>
          <cell r="AD7201">
            <v>29000</v>
          </cell>
        </row>
        <row r="7202">
          <cell r="W7202" t="str">
            <v>AKUPR02</v>
          </cell>
          <cell r="AD7202">
            <v>29000</v>
          </cell>
        </row>
        <row r="7203">
          <cell r="W7203" t="str">
            <v>AKUPR02</v>
          </cell>
          <cell r="AD7203">
            <v>29000</v>
          </cell>
        </row>
        <row r="7204">
          <cell r="W7204" t="str">
            <v>QKUPR02</v>
          </cell>
          <cell r="AD7204">
            <v>31000</v>
          </cell>
        </row>
        <row r="7205">
          <cell r="W7205" t="str">
            <v>QKUPR02</v>
          </cell>
          <cell r="AD7205">
            <v>32500</v>
          </cell>
        </row>
        <row r="7206">
          <cell r="W7206" t="str">
            <v>AKUPR02</v>
          </cell>
          <cell r="AD7206">
            <v>32500</v>
          </cell>
        </row>
        <row r="7207">
          <cell r="W7207" t="str">
            <v>QLABU01</v>
          </cell>
          <cell r="AD7207">
            <v>20000</v>
          </cell>
        </row>
        <row r="7208">
          <cell r="W7208" t="str">
            <v>QLABU01</v>
          </cell>
          <cell r="AD7208">
            <v>21500</v>
          </cell>
        </row>
        <row r="7209">
          <cell r="W7209" t="str">
            <v>QLABU01</v>
          </cell>
          <cell r="AD7209">
            <v>21500</v>
          </cell>
        </row>
        <row r="7210">
          <cell r="W7210" t="str">
            <v>QLABU01</v>
          </cell>
          <cell r="AD7210">
            <v>22000</v>
          </cell>
        </row>
        <row r="7211">
          <cell r="W7211" t="str">
            <v>QLABU01</v>
          </cell>
          <cell r="AD7211">
            <v>22000</v>
          </cell>
        </row>
        <row r="7212">
          <cell r="W7212" t="str">
            <v>QLANN04</v>
          </cell>
          <cell r="AD7212">
            <v>18250</v>
          </cell>
        </row>
        <row r="7213">
          <cell r="W7213" t="str">
            <v>QLANN04</v>
          </cell>
          <cell r="AD7213">
            <v>18500</v>
          </cell>
        </row>
        <row r="7214">
          <cell r="W7214" t="str">
            <v>QLANN04</v>
          </cell>
          <cell r="AD7214">
            <v>18500</v>
          </cell>
        </row>
        <row r="7215">
          <cell r="W7215" t="str">
            <v>QLANN04</v>
          </cell>
          <cell r="AD7215">
            <v>19000</v>
          </cell>
        </row>
        <row r="7216">
          <cell r="W7216" t="str">
            <v>QLANN04</v>
          </cell>
          <cell r="AD7216">
            <v>21500</v>
          </cell>
        </row>
        <row r="7217">
          <cell r="W7217" t="str">
            <v>QLANN04</v>
          </cell>
          <cell r="AD7217">
            <v>21500</v>
          </cell>
        </row>
        <row r="7218">
          <cell r="W7218" t="str">
            <v>QLANN04</v>
          </cell>
          <cell r="AD7218">
            <v>21500</v>
          </cell>
        </row>
        <row r="7219">
          <cell r="W7219" t="str">
            <v>QLANN04</v>
          </cell>
          <cell r="AD7219">
            <v>21500</v>
          </cell>
        </row>
        <row r="7220">
          <cell r="W7220" t="str">
            <v>QLANN04</v>
          </cell>
          <cell r="AD7220">
            <v>21500</v>
          </cell>
        </row>
        <row r="7221">
          <cell r="W7221" t="str">
            <v>QLANN04</v>
          </cell>
          <cell r="AD7221">
            <v>21500</v>
          </cell>
        </row>
        <row r="7222">
          <cell r="W7222" t="str">
            <v>QLANN04</v>
          </cell>
          <cell r="AD7222">
            <v>21500</v>
          </cell>
        </row>
        <row r="7223">
          <cell r="W7223" t="str">
            <v>QLANN04</v>
          </cell>
          <cell r="AD7223">
            <v>21500</v>
          </cell>
        </row>
        <row r="7224">
          <cell r="W7224" t="str">
            <v>QLANN04</v>
          </cell>
          <cell r="AD7224">
            <v>21500</v>
          </cell>
        </row>
        <row r="7225">
          <cell r="W7225" t="str">
            <v>QLANN04</v>
          </cell>
          <cell r="AD7225">
            <v>21500</v>
          </cell>
        </row>
        <row r="7226">
          <cell r="W7226" t="str">
            <v>QLANN04</v>
          </cell>
          <cell r="AD7226">
            <v>21500</v>
          </cell>
        </row>
        <row r="7227">
          <cell r="W7227" t="str">
            <v>QLANN04</v>
          </cell>
          <cell r="AD7227">
            <v>21500</v>
          </cell>
        </row>
        <row r="7228">
          <cell r="W7228" t="str">
            <v>QLANN04</v>
          </cell>
          <cell r="AD7228">
            <v>21500</v>
          </cell>
        </row>
        <row r="7229">
          <cell r="W7229" t="str">
            <v>QLANN04</v>
          </cell>
          <cell r="AD7229">
            <v>21500</v>
          </cell>
        </row>
        <row r="7230">
          <cell r="W7230" t="str">
            <v>QLANN04</v>
          </cell>
          <cell r="AD7230">
            <v>21750</v>
          </cell>
        </row>
        <row r="7231">
          <cell r="W7231" t="str">
            <v>QLANN04</v>
          </cell>
          <cell r="AD7231">
            <v>21750</v>
          </cell>
        </row>
        <row r="7232">
          <cell r="W7232" t="str">
            <v>QLANN04</v>
          </cell>
          <cell r="AD7232">
            <v>21750</v>
          </cell>
        </row>
        <row r="7233">
          <cell r="W7233" t="str">
            <v>QLANN04</v>
          </cell>
          <cell r="AD7233">
            <v>21750</v>
          </cell>
        </row>
        <row r="7234">
          <cell r="W7234" t="str">
            <v>QLANN04</v>
          </cell>
          <cell r="AD7234">
            <v>21750</v>
          </cell>
        </row>
        <row r="7235">
          <cell r="W7235" t="str">
            <v>QLANN04</v>
          </cell>
          <cell r="AD7235">
            <v>21750</v>
          </cell>
        </row>
        <row r="7236">
          <cell r="W7236" t="str">
            <v>QLANN04</v>
          </cell>
          <cell r="AD7236">
            <v>21750</v>
          </cell>
        </row>
        <row r="7237">
          <cell r="W7237" t="str">
            <v>QLANN04</v>
          </cell>
          <cell r="AD7237">
            <v>21750</v>
          </cell>
        </row>
        <row r="7238">
          <cell r="W7238" t="str">
            <v>QLANN04</v>
          </cell>
          <cell r="AD7238">
            <v>21750</v>
          </cell>
        </row>
        <row r="7239">
          <cell r="W7239" t="str">
            <v>QLANN04</v>
          </cell>
          <cell r="AD7239">
            <v>21750</v>
          </cell>
        </row>
        <row r="7240">
          <cell r="W7240" t="str">
            <v>QLANN04</v>
          </cell>
          <cell r="AD7240">
            <v>21750</v>
          </cell>
        </row>
        <row r="7241">
          <cell r="W7241" t="str">
            <v>QLANN04</v>
          </cell>
          <cell r="AD7241">
            <v>21750</v>
          </cell>
        </row>
        <row r="7242">
          <cell r="W7242" t="str">
            <v>QLANN04</v>
          </cell>
          <cell r="AD7242">
            <v>21750</v>
          </cell>
        </row>
        <row r="7243">
          <cell r="W7243" t="str">
            <v>QLANN04</v>
          </cell>
          <cell r="AD7243">
            <v>21750</v>
          </cell>
        </row>
        <row r="7244">
          <cell r="W7244" t="str">
            <v>QLANN04</v>
          </cell>
          <cell r="AD7244">
            <v>21750</v>
          </cell>
        </row>
        <row r="7245">
          <cell r="W7245" t="str">
            <v>QLANN04</v>
          </cell>
          <cell r="AD7245">
            <v>22000</v>
          </cell>
        </row>
        <row r="7246">
          <cell r="W7246" t="str">
            <v>QLANN04</v>
          </cell>
          <cell r="AD7246">
            <v>22250</v>
          </cell>
        </row>
        <row r="7247">
          <cell r="W7247" t="str">
            <v>QLANN05</v>
          </cell>
          <cell r="AD7247">
            <v>3500</v>
          </cell>
        </row>
        <row r="7248">
          <cell r="W7248" t="str">
            <v>QLANN05</v>
          </cell>
          <cell r="AD7248">
            <v>3500</v>
          </cell>
        </row>
        <row r="7249">
          <cell r="W7249" t="str">
            <v>QLANN05</v>
          </cell>
          <cell r="AD7249">
            <v>3500</v>
          </cell>
        </row>
        <row r="7250">
          <cell r="W7250" t="str">
            <v>QLANN05</v>
          </cell>
          <cell r="AD7250">
            <v>3650</v>
          </cell>
        </row>
        <row r="7251">
          <cell r="W7251" t="str">
            <v>QLANN05</v>
          </cell>
          <cell r="AD7251">
            <v>3700</v>
          </cell>
        </row>
        <row r="7252">
          <cell r="W7252" t="str">
            <v>QLANN05</v>
          </cell>
          <cell r="AD7252">
            <v>3850</v>
          </cell>
        </row>
        <row r="7253">
          <cell r="W7253" t="str">
            <v>QLANN05</v>
          </cell>
          <cell r="AD7253">
            <v>3850</v>
          </cell>
        </row>
        <row r="7254">
          <cell r="W7254" t="str">
            <v>QLANN05</v>
          </cell>
          <cell r="AD7254">
            <v>3850</v>
          </cell>
        </row>
        <row r="7255">
          <cell r="W7255" t="str">
            <v>QLANN05</v>
          </cell>
          <cell r="AD7255">
            <v>3850</v>
          </cell>
        </row>
        <row r="7256">
          <cell r="W7256" t="str">
            <v>QLANN05</v>
          </cell>
          <cell r="AD7256">
            <v>3850</v>
          </cell>
        </row>
        <row r="7257">
          <cell r="W7257" t="str">
            <v>QLANN05</v>
          </cell>
          <cell r="AD7257">
            <v>3850</v>
          </cell>
        </row>
        <row r="7258">
          <cell r="W7258" t="str">
            <v>QLANN05</v>
          </cell>
          <cell r="AD7258">
            <v>3850</v>
          </cell>
        </row>
        <row r="7259">
          <cell r="W7259" t="str">
            <v>QLANN05</v>
          </cell>
          <cell r="AD7259">
            <v>3850</v>
          </cell>
        </row>
        <row r="7260">
          <cell r="W7260" t="str">
            <v>QLANN05</v>
          </cell>
          <cell r="AD7260">
            <v>3850</v>
          </cell>
        </row>
        <row r="7261">
          <cell r="W7261" t="str">
            <v>QLANN05</v>
          </cell>
          <cell r="AD7261">
            <v>3900</v>
          </cell>
        </row>
        <row r="7262">
          <cell r="W7262" t="str">
            <v>QLANN05</v>
          </cell>
          <cell r="AD7262">
            <v>3900</v>
          </cell>
        </row>
        <row r="7263">
          <cell r="W7263" t="str">
            <v>QLANN05</v>
          </cell>
          <cell r="AD7263">
            <v>3900</v>
          </cell>
        </row>
        <row r="7264">
          <cell r="W7264" t="str">
            <v>QLANN05</v>
          </cell>
          <cell r="AD7264">
            <v>3900</v>
          </cell>
        </row>
        <row r="7265">
          <cell r="W7265" t="str">
            <v>QLANN05</v>
          </cell>
          <cell r="AD7265">
            <v>3900</v>
          </cell>
        </row>
        <row r="7266">
          <cell r="W7266" t="str">
            <v>QLANN05</v>
          </cell>
          <cell r="AD7266">
            <v>3900</v>
          </cell>
        </row>
        <row r="7267">
          <cell r="W7267" t="str">
            <v>QLANN05</v>
          </cell>
          <cell r="AD7267">
            <v>3900</v>
          </cell>
        </row>
        <row r="7268">
          <cell r="W7268" t="str">
            <v>QLANN05</v>
          </cell>
          <cell r="AD7268">
            <v>3900</v>
          </cell>
        </row>
        <row r="7269">
          <cell r="W7269" t="str">
            <v>QLANN05</v>
          </cell>
          <cell r="AD7269">
            <v>3900</v>
          </cell>
        </row>
        <row r="7270">
          <cell r="W7270" t="str">
            <v>QLANN05</v>
          </cell>
          <cell r="AD7270">
            <v>3900</v>
          </cell>
        </row>
        <row r="7271">
          <cell r="W7271" t="str">
            <v>QLANN05</v>
          </cell>
          <cell r="AD7271">
            <v>3900</v>
          </cell>
        </row>
        <row r="7272">
          <cell r="W7272" t="str">
            <v>QLANN05</v>
          </cell>
          <cell r="AD7272">
            <v>3900</v>
          </cell>
        </row>
        <row r="7273">
          <cell r="W7273" t="str">
            <v>QLANN05</v>
          </cell>
          <cell r="AD7273">
            <v>3900</v>
          </cell>
        </row>
        <row r="7274">
          <cell r="W7274" t="str">
            <v>QLANN05</v>
          </cell>
          <cell r="AD7274">
            <v>3900</v>
          </cell>
        </row>
        <row r="7275">
          <cell r="W7275" t="str">
            <v>QLANN05</v>
          </cell>
          <cell r="AD7275">
            <v>3950</v>
          </cell>
        </row>
        <row r="7276">
          <cell r="W7276" t="str">
            <v>QLANN05</v>
          </cell>
          <cell r="AD7276">
            <v>3950</v>
          </cell>
        </row>
        <row r="7277">
          <cell r="W7277" t="str">
            <v>QLANN05</v>
          </cell>
          <cell r="AD7277">
            <v>3950</v>
          </cell>
        </row>
        <row r="7278">
          <cell r="W7278" t="str">
            <v>QLANN05</v>
          </cell>
          <cell r="AD7278">
            <v>3950</v>
          </cell>
        </row>
        <row r="7279">
          <cell r="W7279" t="str">
            <v>QLANN05</v>
          </cell>
          <cell r="AD7279">
            <v>3950</v>
          </cell>
        </row>
        <row r="7280">
          <cell r="W7280" t="str">
            <v>QLANN05</v>
          </cell>
          <cell r="AD7280">
            <v>4000</v>
          </cell>
        </row>
        <row r="7281">
          <cell r="W7281" t="str">
            <v>QLANN05</v>
          </cell>
          <cell r="AD7281">
            <v>4000</v>
          </cell>
        </row>
        <row r="7282">
          <cell r="W7282" t="str">
            <v>QLANN05</v>
          </cell>
          <cell r="AD7282">
            <v>4000</v>
          </cell>
        </row>
        <row r="7283">
          <cell r="W7283" t="str">
            <v>QLANN05</v>
          </cell>
          <cell r="AD7283">
            <v>4000</v>
          </cell>
        </row>
        <row r="7284">
          <cell r="W7284" t="str">
            <v>QLANN05</v>
          </cell>
          <cell r="AD7284">
            <v>4000</v>
          </cell>
        </row>
        <row r="7285">
          <cell r="W7285" t="str">
            <v>QLANN05</v>
          </cell>
          <cell r="AD7285">
            <v>4000</v>
          </cell>
        </row>
        <row r="7286">
          <cell r="W7286" t="str">
            <v>QLANN05</v>
          </cell>
          <cell r="AD7286">
            <v>4000</v>
          </cell>
        </row>
        <row r="7287">
          <cell r="W7287" t="str">
            <v>QLANN05</v>
          </cell>
          <cell r="AD7287">
            <v>4000</v>
          </cell>
        </row>
        <row r="7288">
          <cell r="W7288" t="str">
            <v>QLANN06</v>
          </cell>
          <cell r="AD7288">
            <v>78750</v>
          </cell>
        </row>
        <row r="7289">
          <cell r="W7289" t="str">
            <v>QLANN06</v>
          </cell>
          <cell r="AD7289">
            <v>78750</v>
          </cell>
        </row>
        <row r="7290">
          <cell r="W7290" t="str">
            <v>QLANN06</v>
          </cell>
          <cell r="AD7290">
            <v>78750</v>
          </cell>
        </row>
        <row r="7291">
          <cell r="W7291" t="str">
            <v>QLANN06</v>
          </cell>
          <cell r="AD7291">
            <v>78750</v>
          </cell>
        </row>
        <row r="7292">
          <cell r="W7292" t="str">
            <v>QLANN06</v>
          </cell>
          <cell r="AD7292">
            <v>78750</v>
          </cell>
        </row>
        <row r="7293">
          <cell r="W7293" t="str">
            <v>QLANN06</v>
          </cell>
          <cell r="AD7293">
            <v>78750</v>
          </cell>
        </row>
        <row r="7294">
          <cell r="W7294" t="str">
            <v>QLANN06</v>
          </cell>
          <cell r="AD7294">
            <v>78750</v>
          </cell>
        </row>
        <row r="7295">
          <cell r="W7295" t="str">
            <v>QLANN06</v>
          </cell>
          <cell r="AD7295">
            <v>78750</v>
          </cell>
        </row>
        <row r="7296">
          <cell r="W7296" t="str">
            <v>QLANN06</v>
          </cell>
          <cell r="AD7296">
            <v>78750</v>
          </cell>
        </row>
        <row r="7297">
          <cell r="W7297" t="str">
            <v>QLANN06</v>
          </cell>
          <cell r="AD7297">
            <v>78750</v>
          </cell>
        </row>
        <row r="7298">
          <cell r="W7298" t="str">
            <v>QLANN06</v>
          </cell>
          <cell r="AD7298">
            <v>78750</v>
          </cell>
        </row>
        <row r="7299">
          <cell r="W7299" t="str">
            <v>QLANN01</v>
          </cell>
          <cell r="AD7299">
            <v>26500</v>
          </cell>
        </row>
        <row r="7300">
          <cell r="W7300" t="str">
            <v>QLANN01</v>
          </cell>
          <cell r="AD7300">
            <v>27500</v>
          </cell>
        </row>
        <row r="7301">
          <cell r="W7301" t="str">
            <v>QLANN01</v>
          </cell>
          <cell r="AD7301">
            <v>28000</v>
          </cell>
        </row>
        <row r="7302">
          <cell r="W7302" t="str">
            <v>QLANN01</v>
          </cell>
          <cell r="AD7302">
            <v>28000</v>
          </cell>
        </row>
        <row r="7303">
          <cell r="W7303" t="str">
            <v>QLANN01</v>
          </cell>
          <cell r="AD7303">
            <v>28000</v>
          </cell>
        </row>
        <row r="7304">
          <cell r="W7304" t="str">
            <v>QLANN01</v>
          </cell>
          <cell r="AD7304">
            <v>28000</v>
          </cell>
        </row>
        <row r="7305">
          <cell r="W7305" t="str">
            <v>QLANN01</v>
          </cell>
          <cell r="AD7305">
            <v>28000</v>
          </cell>
        </row>
        <row r="7306">
          <cell r="W7306" t="str">
            <v>QLANN01</v>
          </cell>
          <cell r="AD7306">
            <v>28500</v>
          </cell>
        </row>
        <row r="7307">
          <cell r="W7307" t="str">
            <v>QLANN01</v>
          </cell>
          <cell r="AD7307">
            <v>28500</v>
          </cell>
        </row>
        <row r="7308">
          <cell r="W7308" t="str">
            <v>QLANN01</v>
          </cell>
          <cell r="AD7308">
            <v>28500</v>
          </cell>
        </row>
        <row r="7309">
          <cell r="W7309" t="str">
            <v>QLANN01</v>
          </cell>
          <cell r="AD7309">
            <v>28500</v>
          </cell>
        </row>
        <row r="7310">
          <cell r="W7310" t="str">
            <v>QLANN01</v>
          </cell>
          <cell r="AD7310">
            <v>28500</v>
          </cell>
        </row>
        <row r="7311">
          <cell r="W7311" t="str">
            <v>QLANN01</v>
          </cell>
          <cell r="AD7311">
            <v>28500</v>
          </cell>
        </row>
        <row r="7312">
          <cell r="W7312" t="str">
            <v>QLANN01</v>
          </cell>
          <cell r="AD7312">
            <v>28500</v>
          </cell>
        </row>
        <row r="7313">
          <cell r="W7313" t="str">
            <v>QLANN01</v>
          </cell>
          <cell r="AD7313">
            <v>28500</v>
          </cell>
        </row>
        <row r="7314">
          <cell r="W7314" t="str">
            <v>QLANN01</v>
          </cell>
          <cell r="AD7314">
            <v>28500</v>
          </cell>
        </row>
        <row r="7315">
          <cell r="W7315" t="str">
            <v>QLANN01</v>
          </cell>
          <cell r="AD7315">
            <v>28500</v>
          </cell>
        </row>
        <row r="7316">
          <cell r="W7316" t="str">
            <v>QLANN01</v>
          </cell>
          <cell r="AD7316">
            <v>28500</v>
          </cell>
        </row>
        <row r="7317">
          <cell r="W7317" t="str">
            <v>QLANN01</v>
          </cell>
          <cell r="AD7317">
            <v>28500</v>
          </cell>
        </row>
        <row r="7318">
          <cell r="W7318" t="str">
            <v>QLANN01</v>
          </cell>
          <cell r="AD7318">
            <v>28500</v>
          </cell>
        </row>
        <row r="7319">
          <cell r="W7319" t="str">
            <v>QLANN01</v>
          </cell>
          <cell r="AD7319">
            <v>28500</v>
          </cell>
        </row>
        <row r="7320">
          <cell r="W7320" t="str">
            <v>QLANN01</v>
          </cell>
          <cell r="AD7320">
            <v>28500</v>
          </cell>
        </row>
        <row r="7321">
          <cell r="W7321" t="str">
            <v>QLANN01</v>
          </cell>
          <cell r="AD7321">
            <v>28500</v>
          </cell>
        </row>
        <row r="7322">
          <cell r="W7322" t="str">
            <v>QLANN01</v>
          </cell>
          <cell r="AD7322">
            <v>28500</v>
          </cell>
        </row>
        <row r="7323">
          <cell r="W7323" t="str">
            <v>QLANN01</v>
          </cell>
          <cell r="AD7323">
            <v>28500</v>
          </cell>
        </row>
        <row r="7324">
          <cell r="W7324" t="str">
            <v>QLANN01</v>
          </cell>
          <cell r="AD7324">
            <v>28500</v>
          </cell>
        </row>
        <row r="7325">
          <cell r="W7325" t="str">
            <v>QLANN01</v>
          </cell>
          <cell r="AD7325">
            <v>28500</v>
          </cell>
        </row>
        <row r="7326">
          <cell r="W7326" t="str">
            <v>QLANN01</v>
          </cell>
          <cell r="AD7326">
            <v>28500</v>
          </cell>
        </row>
        <row r="7327">
          <cell r="W7327" t="str">
            <v>QLANN01</v>
          </cell>
          <cell r="AD7327">
            <v>28500</v>
          </cell>
        </row>
        <row r="7328">
          <cell r="W7328" t="str">
            <v>QLANN01</v>
          </cell>
          <cell r="AD7328">
            <v>28500</v>
          </cell>
        </row>
        <row r="7329">
          <cell r="W7329" t="str">
            <v>QLANN01</v>
          </cell>
          <cell r="AD7329">
            <v>28500</v>
          </cell>
        </row>
        <row r="7330">
          <cell r="W7330" t="str">
            <v>QLANN01</v>
          </cell>
          <cell r="AD7330">
            <v>28500</v>
          </cell>
        </row>
        <row r="7331">
          <cell r="W7331" t="str">
            <v>QLANN01</v>
          </cell>
          <cell r="AD7331">
            <v>28500</v>
          </cell>
        </row>
        <row r="7332">
          <cell r="W7332" t="str">
            <v>QLANN01</v>
          </cell>
          <cell r="AD7332">
            <v>28500</v>
          </cell>
        </row>
        <row r="7333">
          <cell r="W7333" t="str">
            <v>QLANN01</v>
          </cell>
          <cell r="AD7333">
            <v>28500</v>
          </cell>
        </row>
        <row r="7334">
          <cell r="W7334" t="str">
            <v>QLANN01</v>
          </cell>
          <cell r="AD7334">
            <v>28500</v>
          </cell>
        </row>
        <row r="7335">
          <cell r="W7335" t="str">
            <v>QLANN01</v>
          </cell>
          <cell r="AD7335">
            <v>28500</v>
          </cell>
        </row>
        <row r="7336">
          <cell r="W7336" t="str">
            <v>QLANN01</v>
          </cell>
          <cell r="AD7336">
            <v>28500</v>
          </cell>
        </row>
        <row r="7337">
          <cell r="W7337" t="str">
            <v>QLANN01</v>
          </cell>
          <cell r="AD7337">
            <v>28500</v>
          </cell>
        </row>
        <row r="7338">
          <cell r="W7338" t="str">
            <v>QLANN01</v>
          </cell>
          <cell r="AD7338">
            <v>28500</v>
          </cell>
        </row>
        <row r="7339">
          <cell r="W7339" t="str">
            <v>QLANN01</v>
          </cell>
          <cell r="AD7339">
            <v>28500</v>
          </cell>
        </row>
        <row r="7340">
          <cell r="W7340" t="str">
            <v>QLANN01</v>
          </cell>
          <cell r="AD7340">
            <v>28750</v>
          </cell>
        </row>
        <row r="7341">
          <cell r="W7341" t="str">
            <v>QLANN01</v>
          </cell>
          <cell r="AD7341">
            <v>28750</v>
          </cell>
        </row>
        <row r="7342">
          <cell r="W7342" t="str">
            <v>QLANN01</v>
          </cell>
          <cell r="AD7342">
            <v>28750</v>
          </cell>
        </row>
        <row r="7343">
          <cell r="W7343" t="str">
            <v>QLANN01</v>
          </cell>
          <cell r="AD7343">
            <v>28750</v>
          </cell>
        </row>
        <row r="7344">
          <cell r="W7344" t="str">
            <v>QLANN01</v>
          </cell>
          <cell r="AD7344">
            <v>28750</v>
          </cell>
        </row>
        <row r="7345">
          <cell r="W7345" t="str">
            <v>QLANN01</v>
          </cell>
          <cell r="AD7345">
            <v>29000</v>
          </cell>
        </row>
        <row r="7346">
          <cell r="W7346" t="str">
            <v>QLANN01</v>
          </cell>
          <cell r="AD7346">
            <v>29000</v>
          </cell>
        </row>
        <row r="7347">
          <cell r="W7347" t="str">
            <v>QLANN01</v>
          </cell>
          <cell r="AD7347">
            <v>29000</v>
          </cell>
        </row>
        <row r="7348">
          <cell r="W7348" t="str">
            <v>QLANN01</v>
          </cell>
          <cell r="AD7348">
            <v>29000</v>
          </cell>
        </row>
        <row r="7349">
          <cell r="W7349" t="str">
            <v>QLANN01</v>
          </cell>
          <cell r="AD7349">
            <v>29000</v>
          </cell>
        </row>
        <row r="7350">
          <cell r="W7350" t="str">
            <v>QLANN01</v>
          </cell>
          <cell r="AD7350">
            <v>29000</v>
          </cell>
        </row>
        <row r="7351">
          <cell r="W7351" t="str">
            <v>QLANN01</v>
          </cell>
          <cell r="AD7351">
            <v>29000</v>
          </cell>
        </row>
        <row r="7352">
          <cell r="W7352" t="str">
            <v>QLANN01</v>
          </cell>
          <cell r="AD7352">
            <v>29000</v>
          </cell>
        </row>
        <row r="7353">
          <cell r="W7353" t="str">
            <v>QLANN01</v>
          </cell>
          <cell r="AD7353">
            <v>29000</v>
          </cell>
        </row>
        <row r="7354">
          <cell r="W7354" t="str">
            <v>QLANN01</v>
          </cell>
          <cell r="AD7354">
            <v>29000</v>
          </cell>
        </row>
        <row r="7355">
          <cell r="W7355" t="str">
            <v>QLANN01</v>
          </cell>
          <cell r="AD7355">
            <v>29000</v>
          </cell>
        </row>
        <row r="7356">
          <cell r="W7356" t="str">
            <v>QLANN01</v>
          </cell>
          <cell r="AD7356">
            <v>29000</v>
          </cell>
        </row>
        <row r="7357">
          <cell r="W7357" t="str">
            <v>QLANN01</v>
          </cell>
          <cell r="AD7357">
            <v>29000</v>
          </cell>
        </row>
        <row r="7358">
          <cell r="W7358" t="str">
            <v>QLANN01</v>
          </cell>
          <cell r="AD7358">
            <v>29000</v>
          </cell>
        </row>
        <row r="7359">
          <cell r="W7359" t="str">
            <v>QLANN01</v>
          </cell>
          <cell r="AD7359">
            <v>29000</v>
          </cell>
        </row>
        <row r="7360">
          <cell r="W7360" t="str">
            <v>QLANN01</v>
          </cell>
          <cell r="AD7360">
            <v>29000</v>
          </cell>
        </row>
        <row r="7361">
          <cell r="W7361" t="str">
            <v>QLANN01</v>
          </cell>
          <cell r="AD7361">
            <v>29000</v>
          </cell>
        </row>
        <row r="7362">
          <cell r="W7362" t="str">
            <v>QLANN01</v>
          </cell>
          <cell r="AD7362">
            <v>29000</v>
          </cell>
        </row>
        <row r="7363">
          <cell r="W7363" t="str">
            <v>QLANN01</v>
          </cell>
          <cell r="AD7363">
            <v>29000</v>
          </cell>
        </row>
        <row r="7364">
          <cell r="W7364" t="str">
            <v>QLANN01</v>
          </cell>
          <cell r="AD7364">
            <v>29500</v>
          </cell>
        </row>
        <row r="7365">
          <cell r="W7365" t="str">
            <v>ALANN01</v>
          </cell>
          <cell r="AD7365">
            <v>5500</v>
          </cell>
        </row>
        <row r="7366">
          <cell r="W7366" t="str">
            <v>QLANN03</v>
          </cell>
          <cell r="AD7366">
            <v>62000</v>
          </cell>
        </row>
        <row r="7367">
          <cell r="W7367" t="str">
            <v>QLANN03</v>
          </cell>
          <cell r="AD7367">
            <v>62000</v>
          </cell>
        </row>
        <row r="7368">
          <cell r="W7368" t="str">
            <v>QLANN03</v>
          </cell>
          <cell r="AD7368">
            <v>62000</v>
          </cell>
        </row>
        <row r="7369">
          <cell r="W7369" t="str">
            <v>QLANN03</v>
          </cell>
          <cell r="AD7369">
            <v>62000</v>
          </cell>
        </row>
        <row r="7370">
          <cell r="W7370" t="str">
            <v>QLANN03</v>
          </cell>
          <cell r="AD7370">
            <v>62000</v>
          </cell>
        </row>
        <row r="7371">
          <cell r="W7371" t="str">
            <v>QLANN03</v>
          </cell>
          <cell r="AD7371">
            <v>62000</v>
          </cell>
        </row>
        <row r="7372">
          <cell r="W7372" t="str">
            <v>QLANN03</v>
          </cell>
          <cell r="AD7372">
            <v>62500</v>
          </cell>
        </row>
        <row r="7373">
          <cell r="W7373" t="str">
            <v>QLANN03</v>
          </cell>
          <cell r="AD7373">
            <v>63000</v>
          </cell>
        </row>
        <row r="7374">
          <cell r="W7374" t="str">
            <v>QLANN03</v>
          </cell>
          <cell r="AD7374">
            <v>63000</v>
          </cell>
        </row>
        <row r="7375">
          <cell r="W7375" t="str">
            <v>QLANN03</v>
          </cell>
          <cell r="AD7375">
            <v>63000</v>
          </cell>
        </row>
        <row r="7376">
          <cell r="W7376" t="str">
            <v>QLANN03</v>
          </cell>
          <cell r="AD7376">
            <v>63000</v>
          </cell>
        </row>
        <row r="7377">
          <cell r="W7377" t="str">
            <v>QLANN03</v>
          </cell>
          <cell r="AD7377">
            <v>63000</v>
          </cell>
        </row>
        <row r="7378">
          <cell r="W7378" t="str">
            <v>QLANN03</v>
          </cell>
          <cell r="AD7378">
            <v>63000</v>
          </cell>
        </row>
        <row r="7379">
          <cell r="W7379" t="str">
            <v>QLANN03</v>
          </cell>
          <cell r="AD7379">
            <v>63000</v>
          </cell>
        </row>
        <row r="7380">
          <cell r="W7380" t="str">
            <v>QLANN03</v>
          </cell>
          <cell r="AD7380">
            <v>63000</v>
          </cell>
        </row>
        <row r="7381">
          <cell r="W7381" t="str">
            <v>QLANN03</v>
          </cell>
          <cell r="AD7381">
            <v>63000</v>
          </cell>
        </row>
        <row r="7382">
          <cell r="W7382" t="str">
            <v>QLANN03</v>
          </cell>
          <cell r="AD7382">
            <v>63000</v>
          </cell>
        </row>
        <row r="7383">
          <cell r="W7383" t="str">
            <v>QLANN03</v>
          </cell>
          <cell r="AD7383">
            <v>63000</v>
          </cell>
        </row>
        <row r="7384">
          <cell r="W7384" t="str">
            <v>QLANN03</v>
          </cell>
          <cell r="AD7384">
            <v>63000</v>
          </cell>
        </row>
        <row r="7385">
          <cell r="W7385" t="str">
            <v>QLANN03</v>
          </cell>
          <cell r="AD7385">
            <v>63000</v>
          </cell>
        </row>
        <row r="7386">
          <cell r="W7386" t="str">
            <v>QLANN03</v>
          </cell>
          <cell r="AD7386">
            <v>63000</v>
          </cell>
        </row>
        <row r="7387">
          <cell r="W7387" t="str">
            <v>QLANN03</v>
          </cell>
          <cell r="AD7387">
            <v>63000</v>
          </cell>
        </row>
        <row r="7388">
          <cell r="W7388" t="str">
            <v>QLANN03</v>
          </cell>
          <cell r="AD7388">
            <v>63000</v>
          </cell>
        </row>
        <row r="7389">
          <cell r="W7389" t="str">
            <v>QLANN03</v>
          </cell>
          <cell r="AD7389">
            <v>63000</v>
          </cell>
        </row>
        <row r="7390">
          <cell r="W7390" t="str">
            <v>QLANN03</v>
          </cell>
          <cell r="AD7390">
            <v>63250</v>
          </cell>
        </row>
        <row r="7391">
          <cell r="W7391" t="str">
            <v>QLANN03</v>
          </cell>
          <cell r="AD7391">
            <v>63500</v>
          </cell>
        </row>
        <row r="7392">
          <cell r="W7392" t="str">
            <v>QLANN03</v>
          </cell>
          <cell r="AD7392">
            <v>63500</v>
          </cell>
        </row>
        <row r="7393">
          <cell r="W7393" t="str">
            <v>QLANN03</v>
          </cell>
          <cell r="AD7393">
            <v>63500</v>
          </cell>
        </row>
        <row r="7394">
          <cell r="W7394" t="str">
            <v>QLANN03</v>
          </cell>
          <cell r="AD7394">
            <v>63500</v>
          </cell>
        </row>
        <row r="7395">
          <cell r="W7395" t="str">
            <v>QLANN03</v>
          </cell>
          <cell r="AD7395">
            <v>63500</v>
          </cell>
        </row>
        <row r="7396">
          <cell r="W7396" t="str">
            <v>QLANN03</v>
          </cell>
          <cell r="AD7396">
            <v>63500</v>
          </cell>
        </row>
        <row r="7397">
          <cell r="W7397" t="str">
            <v>QLANN03</v>
          </cell>
          <cell r="AD7397">
            <v>63500</v>
          </cell>
        </row>
        <row r="7398">
          <cell r="W7398" t="str">
            <v>QLANN03</v>
          </cell>
          <cell r="AD7398">
            <v>63500</v>
          </cell>
        </row>
        <row r="7399">
          <cell r="W7399" t="str">
            <v>QLANN03</v>
          </cell>
          <cell r="AD7399">
            <v>64000</v>
          </cell>
        </row>
        <row r="7400">
          <cell r="W7400" t="str">
            <v>QLARV03</v>
          </cell>
          <cell r="AD7400">
            <v>60250</v>
          </cell>
        </row>
        <row r="7401">
          <cell r="W7401" t="str">
            <v>QLARV03</v>
          </cell>
          <cell r="AD7401">
            <v>61000</v>
          </cell>
        </row>
        <row r="7402">
          <cell r="W7402" t="str">
            <v>QLARV03</v>
          </cell>
          <cell r="AD7402">
            <v>61000</v>
          </cell>
        </row>
        <row r="7403">
          <cell r="W7403" t="str">
            <v>QLARV03</v>
          </cell>
          <cell r="AD7403">
            <v>61500</v>
          </cell>
        </row>
        <row r="7404">
          <cell r="W7404" t="str">
            <v>QLARV03</v>
          </cell>
          <cell r="AD7404">
            <v>61500</v>
          </cell>
        </row>
        <row r="7405">
          <cell r="W7405" t="str">
            <v>QLARV03</v>
          </cell>
          <cell r="AD7405">
            <v>61500</v>
          </cell>
        </row>
        <row r="7406">
          <cell r="W7406" t="str">
            <v>QLARV03</v>
          </cell>
          <cell r="AD7406">
            <v>61500</v>
          </cell>
        </row>
        <row r="7407">
          <cell r="W7407" t="str">
            <v>QLARV03</v>
          </cell>
          <cell r="AD7407">
            <v>61500</v>
          </cell>
        </row>
        <row r="7408">
          <cell r="W7408" t="str">
            <v>QLARV04</v>
          </cell>
          <cell r="AD7408">
            <v>9900</v>
          </cell>
        </row>
        <row r="7409">
          <cell r="W7409" t="str">
            <v>QLARV04</v>
          </cell>
          <cell r="AD7409">
            <v>9900</v>
          </cell>
        </row>
        <row r="7410">
          <cell r="W7410" t="str">
            <v>QLARV04</v>
          </cell>
          <cell r="AD7410">
            <v>9900</v>
          </cell>
        </row>
        <row r="7411">
          <cell r="W7411" t="str">
            <v>QLARV04</v>
          </cell>
          <cell r="AD7411">
            <v>9900</v>
          </cell>
        </row>
        <row r="7412">
          <cell r="W7412" t="str">
            <v>QLARV04</v>
          </cell>
          <cell r="AD7412">
            <v>9900</v>
          </cell>
        </row>
        <row r="7413">
          <cell r="W7413" t="str">
            <v>QLARV04</v>
          </cell>
          <cell r="AD7413">
            <v>9900</v>
          </cell>
        </row>
        <row r="7414">
          <cell r="W7414" t="str">
            <v>QLARV04</v>
          </cell>
          <cell r="AD7414">
            <v>9900</v>
          </cell>
        </row>
        <row r="7415">
          <cell r="W7415" t="str">
            <v>QLARV04</v>
          </cell>
          <cell r="AD7415">
            <v>9900</v>
          </cell>
        </row>
        <row r="7416">
          <cell r="W7416" t="str">
            <v>QLEMA01</v>
          </cell>
          <cell r="AD7416">
            <v>54000</v>
          </cell>
        </row>
        <row r="7417">
          <cell r="W7417" t="str">
            <v>QLEMA01</v>
          </cell>
          <cell r="AD7417">
            <v>54000</v>
          </cell>
        </row>
        <row r="7418">
          <cell r="W7418" t="str">
            <v>QLEMA01</v>
          </cell>
          <cell r="AD7418">
            <v>57500</v>
          </cell>
        </row>
        <row r="7419">
          <cell r="W7419" t="str">
            <v>QLEMA01</v>
          </cell>
          <cell r="AD7419">
            <v>57500</v>
          </cell>
        </row>
        <row r="7420">
          <cell r="W7420" t="str">
            <v>QLEMA01</v>
          </cell>
          <cell r="AD7420">
            <v>57500</v>
          </cell>
        </row>
        <row r="7421">
          <cell r="W7421" t="str">
            <v>QLEMA01</v>
          </cell>
          <cell r="AD7421">
            <v>57500</v>
          </cell>
        </row>
        <row r="7422">
          <cell r="W7422" t="str">
            <v>QLEMA01</v>
          </cell>
          <cell r="AD7422">
            <v>57500</v>
          </cell>
        </row>
        <row r="7423">
          <cell r="W7423" t="str">
            <v>QLEMA01</v>
          </cell>
          <cell r="AD7423">
            <v>57500</v>
          </cell>
        </row>
        <row r="7424">
          <cell r="W7424" t="str">
            <v>QLEMA01</v>
          </cell>
          <cell r="AD7424">
            <v>57500</v>
          </cell>
        </row>
        <row r="7425">
          <cell r="W7425" t="str">
            <v>QLEMA01</v>
          </cell>
          <cell r="AD7425">
            <v>57500</v>
          </cell>
        </row>
        <row r="7426">
          <cell r="W7426" t="str">
            <v>QLEMA01</v>
          </cell>
          <cell r="AD7426">
            <v>57500</v>
          </cell>
        </row>
        <row r="7427">
          <cell r="W7427" t="str">
            <v>QLEMA01</v>
          </cell>
          <cell r="AD7427">
            <v>57500</v>
          </cell>
        </row>
        <row r="7428">
          <cell r="W7428" t="str">
            <v>QLEMA02</v>
          </cell>
          <cell r="AD7428">
            <v>33000</v>
          </cell>
        </row>
        <row r="7429">
          <cell r="W7429" t="str">
            <v>QLEMA02</v>
          </cell>
          <cell r="AD7429">
            <v>33000</v>
          </cell>
        </row>
        <row r="7430">
          <cell r="W7430" t="str">
            <v>QLEMA02</v>
          </cell>
          <cell r="AD7430">
            <v>35000</v>
          </cell>
        </row>
        <row r="7431">
          <cell r="W7431" t="str">
            <v>QLEMA02</v>
          </cell>
          <cell r="AD7431">
            <v>35000</v>
          </cell>
        </row>
        <row r="7432">
          <cell r="W7432" t="str">
            <v>QLEMA02</v>
          </cell>
          <cell r="AD7432">
            <v>35000</v>
          </cell>
        </row>
        <row r="7433">
          <cell r="W7433" t="str">
            <v>QLEMA02</v>
          </cell>
          <cell r="AD7433">
            <v>35000</v>
          </cell>
        </row>
        <row r="7434">
          <cell r="W7434" t="str">
            <v>QLEMA02</v>
          </cell>
          <cell r="AD7434">
            <v>35000</v>
          </cell>
        </row>
        <row r="7435">
          <cell r="W7435" t="str">
            <v>QLEMA02</v>
          </cell>
          <cell r="AD7435">
            <v>35500</v>
          </cell>
        </row>
        <row r="7436">
          <cell r="W7436" t="str">
            <v>QLEMA02</v>
          </cell>
          <cell r="AD7436">
            <v>35500</v>
          </cell>
        </row>
        <row r="7437">
          <cell r="W7437" t="str">
            <v>QLEMA02</v>
          </cell>
          <cell r="AD7437">
            <v>35500</v>
          </cell>
        </row>
        <row r="7438">
          <cell r="W7438" t="str">
            <v>QLEMA02</v>
          </cell>
          <cell r="AD7438">
            <v>35500</v>
          </cell>
        </row>
        <row r="7439">
          <cell r="W7439" t="str">
            <v>QLEMA02</v>
          </cell>
          <cell r="AD7439">
            <v>35500</v>
          </cell>
        </row>
        <row r="7440">
          <cell r="W7440" t="str">
            <v>QLEMA02</v>
          </cell>
          <cell r="AD7440">
            <v>35500</v>
          </cell>
        </row>
        <row r="7441">
          <cell r="W7441" t="str">
            <v>QLEMA02</v>
          </cell>
          <cell r="AD7441">
            <v>35500</v>
          </cell>
        </row>
        <row r="7442">
          <cell r="W7442" t="str">
            <v>QLEMA02</v>
          </cell>
          <cell r="AD7442">
            <v>35500</v>
          </cell>
        </row>
        <row r="7443">
          <cell r="W7443" t="str">
            <v>QLEMA02</v>
          </cell>
          <cell r="AD7443">
            <v>35500</v>
          </cell>
        </row>
        <row r="7444">
          <cell r="W7444" t="str">
            <v>QLEMA02</v>
          </cell>
          <cell r="AD7444">
            <v>35500</v>
          </cell>
        </row>
        <row r="7445">
          <cell r="W7445" t="str">
            <v>QLESE01</v>
          </cell>
          <cell r="AD7445">
            <v>155000</v>
          </cell>
        </row>
        <row r="7446">
          <cell r="W7446" t="str">
            <v>QLESE01</v>
          </cell>
          <cell r="AD7446">
            <v>155000</v>
          </cell>
        </row>
        <row r="7447">
          <cell r="W7447" t="str">
            <v>QLESE01</v>
          </cell>
          <cell r="AD7447">
            <v>159000</v>
          </cell>
        </row>
        <row r="7448">
          <cell r="W7448" t="str">
            <v>QLESE01</v>
          </cell>
          <cell r="AD7448">
            <v>159000</v>
          </cell>
        </row>
        <row r="7449">
          <cell r="W7449" t="str">
            <v>QLESE01</v>
          </cell>
          <cell r="AD7449">
            <v>159000</v>
          </cell>
        </row>
        <row r="7450">
          <cell r="W7450" t="str">
            <v>QLESE01</v>
          </cell>
          <cell r="AD7450">
            <v>159000</v>
          </cell>
        </row>
        <row r="7451">
          <cell r="W7451" t="str">
            <v>QLIVA02</v>
          </cell>
          <cell r="AD7451">
            <v>54500</v>
          </cell>
        </row>
        <row r="7452">
          <cell r="W7452" t="str">
            <v>QLOGR01</v>
          </cell>
          <cell r="AD7452">
            <v>5800</v>
          </cell>
        </row>
        <row r="7453">
          <cell r="W7453" t="str">
            <v>QLOGR01</v>
          </cell>
          <cell r="AD7453">
            <v>5900</v>
          </cell>
        </row>
        <row r="7454">
          <cell r="W7454" t="str">
            <v>QLOGR01</v>
          </cell>
          <cell r="AD7454">
            <v>5900</v>
          </cell>
        </row>
        <row r="7455">
          <cell r="W7455" t="str">
            <v>QLOGR01</v>
          </cell>
          <cell r="AD7455">
            <v>5900</v>
          </cell>
        </row>
        <row r="7456">
          <cell r="W7456" t="str">
            <v>QLOGR01</v>
          </cell>
          <cell r="AD7456">
            <v>6000</v>
          </cell>
        </row>
        <row r="7457">
          <cell r="W7457" t="str">
            <v>QLOGR01</v>
          </cell>
          <cell r="AD7457">
            <v>6000</v>
          </cell>
        </row>
        <row r="7458">
          <cell r="W7458" t="str">
            <v>QLOGR01</v>
          </cell>
          <cell r="AD7458">
            <v>6000</v>
          </cell>
        </row>
        <row r="7459">
          <cell r="W7459" t="str">
            <v>QLOGR01</v>
          </cell>
          <cell r="AD7459">
            <v>6000</v>
          </cell>
        </row>
        <row r="7460">
          <cell r="W7460" t="str">
            <v>QLOGR01</v>
          </cell>
          <cell r="AD7460">
            <v>6000</v>
          </cell>
        </row>
        <row r="7461">
          <cell r="W7461" t="str">
            <v>QLOGR01</v>
          </cell>
          <cell r="AD7461">
            <v>6000</v>
          </cell>
        </row>
        <row r="7462">
          <cell r="W7462" t="str">
            <v>QLOGR01</v>
          </cell>
          <cell r="AD7462">
            <v>6000</v>
          </cell>
        </row>
        <row r="7463">
          <cell r="W7463" t="str">
            <v>QLOSM02</v>
          </cell>
          <cell r="AD7463">
            <v>76000</v>
          </cell>
        </row>
        <row r="7464">
          <cell r="W7464" t="str">
            <v>QLOSM02</v>
          </cell>
          <cell r="AD7464">
            <v>76000</v>
          </cell>
        </row>
        <row r="7465">
          <cell r="W7465" t="str">
            <v>QLOSM02</v>
          </cell>
          <cell r="AD7465">
            <v>76000</v>
          </cell>
        </row>
        <row r="7466">
          <cell r="W7466" t="str">
            <v>QLOSM02</v>
          </cell>
          <cell r="AD7466">
            <v>76000</v>
          </cell>
        </row>
        <row r="7467">
          <cell r="W7467" t="str">
            <v>QLOSM02</v>
          </cell>
          <cell r="AD7467">
            <v>76000</v>
          </cell>
        </row>
        <row r="7468">
          <cell r="W7468" t="str">
            <v>QLOSM02</v>
          </cell>
          <cell r="AD7468">
            <v>76000</v>
          </cell>
        </row>
        <row r="7469">
          <cell r="W7469" t="str">
            <v>QLOSM02</v>
          </cell>
          <cell r="AD7469">
            <v>76000</v>
          </cell>
        </row>
        <row r="7470">
          <cell r="W7470" t="str">
            <v>QLOSM02</v>
          </cell>
          <cell r="AD7470">
            <v>76000</v>
          </cell>
        </row>
        <row r="7471">
          <cell r="W7471" t="str">
            <v>QLOSM02</v>
          </cell>
          <cell r="AD7471">
            <v>76000</v>
          </cell>
        </row>
        <row r="7472">
          <cell r="W7472" t="str">
            <v>QLOSM02</v>
          </cell>
          <cell r="AD7472">
            <v>76000</v>
          </cell>
        </row>
        <row r="7473">
          <cell r="W7473" t="str">
            <v>QLOSM02</v>
          </cell>
          <cell r="AD7473">
            <v>76000</v>
          </cell>
        </row>
        <row r="7474">
          <cell r="W7474" t="str">
            <v>QLOSM01</v>
          </cell>
          <cell r="AD7474">
            <v>33000</v>
          </cell>
        </row>
        <row r="7475">
          <cell r="W7475" t="str">
            <v>QLOSM01</v>
          </cell>
          <cell r="AD7475">
            <v>33000</v>
          </cell>
        </row>
        <row r="7476">
          <cell r="W7476" t="str">
            <v>QLOSM01</v>
          </cell>
          <cell r="AD7476">
            <v>33000</v>
          </cell>
        </row>
        <row r="7477">
          <cell r="W7477" t="str">
            <v>QLOSM01</v>
          </cell>
          <cell r="AD7477">
            <v>33000</v>
          </cell>
        </row>
        <row r="7478">
          <cell r="W7478" t="str">
            <v>QLOSM01</v>
          </cell>
          <cell r="AD7478">
            <v>33000</v>
          </cell>
        </row>
        <row r="7479">
          <cell r="W7479" t="str">
            <v>QLOSM01</v>
          </cell>
          <cell r="AD7479">
            <v>33000</v>
          </cell>
        </row>
        <row r="7480">
          <cell r="W7480" t="str">
            <v>QLOSM01</v>
          </cell>
          <cell r="AD7480">
            <v>33000</v>
          </cell>
        </row>
        <row r="7481">
          <cell r="W7481" t="str">
            <v>QLOSM01</v>
          </cell>
          <cell r="AD7481">
            <v>33000</v>
          </cell>
        </row>
        <row r="7482">
          <cell r="W7482" t="str">
            <v>QLOSM01</v>
          </cell>
          <cell r="AD7482">
            <v>33000</v>
          </cell>
        </row>
        <row r="7483">
          <cell r="W7483" t="str">
            <v>QLOSM01</v>
          </cell>
          <cell r="AD7483">
            <v>33000</v>
          </cell>
        </row>
        <row r="7484">
          <cell r="W7484" t="str">
            <v>QLOSM01</v>
          </cell>
          <cell r="AD7484">
            <v>33000</v>
          </cell>
        </row>
        <row r="7485">
          <cell r="W7485" t="str">
            <v>QLOYA01</v>
          </cell>
          <cell r="AD7485">
            <v>333500</v>
          </cell>
        </row>
        <row r="7486">
          <cell r="W7486" t="str">
            <v>QLOYA01</v>
          </cell>
          <cell r="AD7486">
            <v>333500</v>
          </cell>
        </row>
        <row r="7487">
          <cell r="W7487" t="str">
            <v>QLOYA01</v>
          </cell>
          <cell r="AD7487">
            <v>333500</v>
          </cell>
        </row>
        <row r="7488">
          <cell r="W7488" t="str">
            <v>QLOYA01</v>
          </cell>
          <cell r="AD7488">
            <v>333500</v>
          </cell>
        </row>
        <row r="7489">
          <cell r="W7489" t="str">
            <v>QLOYA01</v>
          </cell>
          <cell r="AD7489">
            <v>333500</v>
          </cell>
        </row>
        <row r="7490">
          <cell r="W7490" t="str">
            <v>QLOYA01</v>
          </cell>
          <cell r="AD7490">
            <v>333500</v>
          </cell>
        </row>
        <row r="7491">
          <cell r="W7491" t="str">
            <v>QLOYA01</v>
          </cell>
          <cell r="AD7491">
            <v>333500</v>
          </cell>
        </row>
        <row r="7492">
          <cell r="W7492" t="str">
            <v>QLOYA01</v>
          </cell>
          <cell r="AD7492">
            <v>333500</v>
          </cell>
        </row>
        <row r="7493">
          <cell r="W7493" t="str">
            <v>QLOYA01</v>
          </cell>
          <cell r="AD7493">
            <v>338500</v>
          </cell>
        </row>
        <row r="7494">
          <cell r="W7494" t="str">
            <v>QLUDE02</v>
          </cell>
          <cell r="AD7494">
            <v>146000</v>
          </cell>
        </row>
        <row r="7495">
          <cell r="W7495" t="str">
            <v>QLUDE02</v>
          </cell>
          <cell r="AD7495">
            <v>148500</v>
          </cell>
        </row>
        <row r="7496">
          <cell r="W7496" t="str">
            <v>QLUDE02</v>
          </cell>
          <cell r="AD7496">
            <v>151000</v>
          </cell>
        </row>
        <row r="7497">
          <cell r="W7497" t="str">
            <v>QLUDE02</v>
          </cell>
          <cell r="AD7497">
            <v>151000</v>
          </cell>
        </row>
        <row r="7498">
          <cell r="W7498" t="str">
            <v>QLUDE02</v>
          </cell>
          <cell r="AD7498">
            <v>151000</v>
          </cell>
        </row>
        <row r="7499">
          <cell r="W7499" t="str">
            <v>QLUDE02</v>
          </cell>
          <cell r="AD7499">
            <v>151000</v>
          </cell>
        </row>
        <row r="7500">
          <cell r="W7500" t="str">
            <v>QLUDE02</v>
          </cell>
          <cell r="AD7500">
            <v>151000</v>
          </cell>
        </row>
        <row r="7501">
          <cell r="W7501" t="str">
            <v>QLUDE02</v>
          </cell>
          <cell r="AD7501">
            <v>151000</v>
          </cell>
        </row>
        <row r="7502">
          <cell r="W7502" t="str">
            <v>QLUDE02</v>
          </cell>
          <cell r="AD7502">
            <v>151000</v>
          </cell>
        </row>
        <row r="7503">
          <cell r="W7503" t="str">
            <v>QLUDE02</v>
          </cell>
          <cell r="AD7503">
            <v>151000</v>
          </cell>
        </row>
        <row r="7504">
          <cell r="W7504" t="str">
            <v>QLUDE01</v>
          </cell>
          <cell r="AD7504">
            <v>64000</v>
          </cell>
        </row>
        <row r="7505">
          <cell r="W7505" t="str">
            <v>QLUDE01</v>
          </cell>
          <cell r="AD7505">
            <v>66000</v>
          </cell>
        </row>
        <row r="7506">
          <cell r="W7506" t="str">
            <v>QLUDE01</v>
          </cell>
          <cell r="AD7506">
            <v>66000</v>
          </cell>
        </row>
        <row r="7507">
          <cell r="W7507" t="str">
            <v>QLUDE01</v>
          </cell>
          <cell r="AD7507">
            <v>66000</v>
          </cell>
        </row>
        <row r="7508">
          <cell r="W7508" t="str">
            <v>QLUDE01</v>
          </cell>
          <cell r="AD7508">
            <v>66000</v>
          </cell>
        </row>
        <row r="7509">
          <cell r="W7509" t="str">
            <v>QLUDE01</v>
          </cell>
          <cell r="AD7509">
            <v>66000</v>
          </cell>
        </row>
        <row r="7510">
          <cell r="W7510" t="str">
            <v>QLUDE01</v>
          </cell>
          <cell r="AD7510">
            <v>66000</v>
          </cell>
        </row>
        <row r="7511">
          <cell r="W7511" t="str">
            <v>QLUDE01</v>
          </cell>
          <cell r="AD7511">
            <v>66000</v>
          </cell>
        </row>
        <row r="7512">
          <cell r="W7512" t="str">
            <v>QLUDE01</v>
          </cell>
          <cell r="AD7512">
            <v>66000</v>
          </cell>
        </row>
        <row r="7513">
          <cell r="W7513" t="str">
            <v>QMACE01</v>
          </cell>
          <cell r="AD7513">
            <v>135000</v>
          </cell>
        </row>
        <row r="7514">
          <cell r="W7514" t="str">
            <v>QMACE01</v>
          </cell>
          <cell r="AD7514">
            <v>135000</v>
          </cell>
        </row>
        <row r="7515">
          <cell r="W7515" t="str">
            <v>QMACE01</v>
          </cell>
          <cell r="AD7515">
            <v>135000</v>
          </cell>
        </row>
        <row r="7516">
          <cell r="W7516" t="str">
            <v>QMACE01</v>
          </cell>
          <cell r="AD7516">
            <v>135000</v>
          </cell>
        </row>
        <row r="7517">
          <cell r="W7517" t="str">
            <v>QMACE01</v>
          </cell>
          <cell r="AD7517">
            <v>135000</v>
          </cell>
        </row>
        <row r="7518">
          <cell r="W7518" t="str">
            <v>QMACE01</v>
          </cell>
          <cell r="AD7518">
            <v>135000</v>
          </cell>
        </row>
        <row r="7519">
          <cell r="W7519" t="str">
            <v>QMACE02</v>
          </cell>
          <cell r="AD7519">
            <v>71000</v>
          </cell>
        </row>
        <row r="7520">
          <cell r="W7520" t="str">
            <v>QMACO02</v>
          </cell>
          <cell r="AD7520">
            <v>84500</v>
          </cell>
        </row>
        <row r="7521">
          <cell r="W7521" t="str">
            <v>QMACO02</v>
          </cell>
          <cell r="AD7521">
            <v>88000</v>
          </cell>
        </row>
        <row r="7522">
          <cell r="W7522" t="str">
            <v>QMACO02</v>
          </cell>
          <cell r="AD7522">
            <v>88200</v>
          </cell>
        </row>
        <row r="7523">
          <cell r="W7523" t="str">
            <v>QMACO02</v>
          </cell>
          <cell r="AD7523">
            <v>89000</v>
          </cell>
        </row>
        <row r="7524">
          <cell r="W7524" t="str">
            <v>QMACO02</v>
          </cell>
          <cell r="AD7524">
            <v>92500</v>
          </cell>
        </row>
        <row r="7525">
          <cell r="W7525" t="str">
            <v>QMACO02</v>
          </cell>
          <cell r="AD7525">
            <v>97000</v>
          </cell>
        </row>
        <row r="7526">
          <cell r="W7526" t="str">
            <v>QMACO02</v>
          </cell>
          <cell r="AD7526">
            <v>97000</v>
          </cell>
        </row>
        <row r="7527">
          <cell r="W7527" t="str">
            <v>QMACO02</v>
          </cell>
          <cell r="AD7527">
            <v>97000</v>
          </cell>
        </row>
        <row r="7528">
          <cell r="W7528" t="str">
            <v>QMACO02</v>
          </cell>
          <cell r="AD7528">
            <v>97000</v>
          </cell>
        </row>
        <row r="7529">
          <cell r="W7529" t="str">
            <v>QMAES01</v>
          </cell>
          <cell r="AD7529">
            <v>145000</v>
          </cell>
        </row>
        <row r="7530">
          <cell r="W7530" t="str">
            <v>QMAES01</v>
          </cell>
          <cell r="AD7530">
            <v>146000</v>
          </cell>
        </row>
        <row r="7531">
          <cell r="W7531" t="str">
            <v>QMAES01</v>
          </cell>
          <cell r="AD7531">
            <v>146000</v>
          </cell>
        </row>
        <row r="7532">
          <cell r="W7532" t="str">
            <v>QMAES01</v>
          </cell>
          <cell r="AD7532">
            <v>146000</v>
          </cell>
        </row>
        <row r="7533">
          <cell r="W7533" t="str">
            <v>QMAES01</v>
          </cell>
          <cell r="AD7533">
            <v>148000</v>
          </cell>
        </row>
        <row r="7534">
          <cell r="W7534" t="str">
            <v>QMAES01</v>
          </cell>
          <cell r="AD7534">
            <v>148000</v>
          </cell>
        </row>
        <row r="7535">
          <cell r="W7535" t="str">
            <v>QMAES01</v>
          </cell>
          <cell r="AD7535">
            <v>148000</v>
          </cell>
        </row>
        <row r="7536">
          <cell r="W7536" t="str">
            <v>QMAES01</v>
          </cell>
          <cell r="AD7536">
            <v>148000</v>
          </cell>
        </row>
        <row r="7537">
          <cell r="W7537" t="str">
            <v>QMAES01</v>
          </cell>
          <cell r="AD7537">
            <v>148000</v>
          </cell>
        </row>
        <row r="7538">
          <cell r="W7538" t="str">
            <v>QMAES02</v>
          </cell>
          <cell r="AD7538">
            <v>73000</v>
          </cell>
        </row>
        <row r="7539">
          <cell r="W7539" t="str">
            <v>QMAES02</v>
          </cell>
          <cell r="AD7539">
            <v>73000</v>
          </cell>
        </row>
        <row r="7540">
          <cell r="W7540" t="str">
            <v>QMAES02</v>
          </cell>
          <cell r="AD7540">
            <v>73000</v>
          </cell>
        </row>
        <row r="7541">
          <cell r="W7541" t="str">
            <v>QMAES02</v>
          </cell>
          <cell r="AD7541">
            <v>76500</v>
          </cell>
        </row>
        <row r="7542">
          <cell r="W7542" t="str">
            <v>QMAES02</v>
          </cell>
          <cell r="AD7542">
            <v>76500</v>
          </cell>
        </row>
        <row r="7543">
          <cell r="W7543" t="str">
            <v>QMAES02</v>
          </cell>
          <cell r="AD7543">
            <v>78000</v>
          </cell>
        </row>
        <row r="7544">
          <cell r="W7544" t="str">
            <v>QMAES02</v>
          </cell>
          <cell r="AD7544">
            <v>78000</v>
          </cell>
        </row>
        <row r="7545">
          <cell r="W7545" t="str">
            <v>QMAES02</v>
          </cell>
          <cell r="AD7545">
            <v>78000</v>
          </cell>
        </row>
        <row r="7546">
          <cell r="W7546" t="str">
            <v>QMAES02</v>
          </cell>
          <cell r="AD7546">
            <v>78000</v>
          </cell>
        </row>
        <row r="7547">
          <cell r="W7547" t="str">
            <v>QMAES02</v>
          </cell>
          <cell r="AD7547">
            <v>78000</v>
          </cell>
        </row>
        <row r="7548">
          <cell r="W7548" t="str">
            <v>QMAES02</v>
          </cell>
          <cell r="AD7548">
            <v>78000</v>
          </cell>
        </row>
        <row r="7549">
          <cell r="W7549" t="str">
            <v>QMAES02</v>
          </cell>
          <cell r="AD7549">
            <v>78000</v>
          </cell>
        </row>
        <row r="7550">
          <cell r="W7550" t="str">
            <v>QMAES02</v>
          </cell>
          <cell r="AD7550">
            <v>78000</v>
          </cell>
        </row>
        <row r="7551">
          <cell r="W7551" t="str">
            <v>QMAES02</v>
          </cell>
          <cell r="AD7551">
            <v>80000</v>
          </cell>
        </row>
        <row r="7552">
          <cell r="W7552" t="str">
            <v>QMAMI03</v>
          </cell>
          <cell r="AD7552">
            <v>45000</v>
          </cell>
        </row>
        <row r="7553">
          <cell r="W7553" t="str">
            <v>QMAMI03</v>
          </cell>
          <cell r="AD7553">
            <v>46000</v>
          </cell>
        </row>
        <row r="7554">
          <cell r="W7554" t="str">
            <v>QMAMI03</v>
          </cell>
          <cell r="AD7554">
            <v>46000</v>
          </cell>
        </row>
        <row r="7555">
          <cell r="W7555" t="str">
            <v>AMAMI02</v>
          </cell>
          <cell r="AD7555">
            <v>46000</v>
          </cell>
        </row>
        <row r="7556">
          <cell r="W7556" t="str">
            <v>QMAMI03</v>
          </cell>
          <cell r="AD7556">
            <v>48000</v>
          </cell>
        </row>
        <row r="7557">
          <cell r="W7557" t="str">
            <v>QMAMI03</v>
          </cell>
          <cell r="AD7557">
            <v>48000</v>
          </cell>
        </row>
        <row r="7558">
          <cell r="W7558" t="str">
            <v>QMAMI04</v>
          </cell>
          <cell r="AD7558">
            <v>28000</v>
          </cell>
        </row>
        <row r="7559">
          <cell r="W7559" t="str">
            <v>QMAMI04</v>
          </cell>
          <cell r="AD7559">
            <v>28000</v>
          </cell>
        </row>
        <row r="7560">
          <cell r="W7560" t="str">
            <v>QMAMI04</v>
          </cell>
          <cell r="AD7560">
            <v>28000</v>
          </cell>
        </row>
        <row r="7561">
          <cell r="W7561" t="str">
            <v>QMAMI04</v>
          </cell>
          <cell r="AD7561">
            <v>28000</v>
          </cell>
        </row>
        <row r="7562">
          <cell r="W7562" t="str">
            <v>AMAMI01</v>
          </cell>
          <cell r="AD7562">
            <v>28000</v>
          </cell>
        </row>
        <row r="7563">
          <cell r="W7563" t="str">
            <v>QMAMI04</v>
          </cell>
          <cell r="AD7563">
            <v>28500</v>
          </cell>
        </row>
        <row r="7564">
          <cell r="W7564" t="str">
            <v>QMAMI04</v>
          </cell>
          <cell r="AD7564">
            <v>28500</v>
          </cell>
        </row>
        <row r="7565">
          <cell r="W7565" t="str">
            <v>QMAMI05</v>
          </cell>
          <cell r="AD7565">
            <v>26000</v>
          </cell>
        </row>
        <row r="7566">
          <cell r="W7566" t="str">
            <v>QMAMI05</v>
          </cell>
          <cell r="AD7566">
            <v>26000</v>
          </cell>
        </row>
        <row r="7567">
          <cell r="W7567" t="str">
            <v>QMAMI05</v>
          </cell>
          <cell r="AD7567">
            <v>26500</v>
          </cell>
        </row>
        <row r="7568">
          <cell r="W7568" t="str">
            <v>QMAMI05</v>
          </cell>
          <cell r="AD7568">
            <v>28000</v>
          </cell>
        </row>
        <row r="7569">
          <cell r="W7569" t="str">
            <v>QMAMI05</v>
          </cell>
          <cell r="AD7569">
            <v>28000</v>
          </cell>
        </row>
        <row r="7570">
          <cell r="W7570" t="str">
            <v>QMAND01</v>
          </cell>
          <cell r="AD7570">
            <v>900000</v>
          </cell>
        </row>
        <row r="7571">
          <cell r="W7571" t="str">
            <v>QMAND01</v>
          </cell>
          <cell r="AD7571">
            <v>900000</v>
          </cell>
        </row>
        <row r="7572">
          <cell r="W7572" t="str">
            <v>QMAND01</v>
          </cell>
          <cell r="AD7572">
            <v>940000</v>
          </cell>
        </row>
        <row r="7573">
          <cell r="W7573" t="str">
            <v>QMAND02</v>
          </cell>
          <cell r="AD7573">
            <v>41000</v>
          </cell>
        </row>
        <row r="7574">
          <cell r="W7574" t="str">
            <v>QMAND02</v>
          </cell>
          <cell r="AD7574">
            <v>47000</v>
          </cell>
        </row>
        <row r="7575">
          <cell r="W7575" t="str">
            <v>QMAND02</v>
          </cell>
          <cell r="AD7575">
            <v>47000</v>
          </cell>
        </row>
        <row r="7576">
          <cell r="W7576" t="str">
            <v>QMAND02</v>
          </cell>
          <cell r="AD7576">
            <v>47500</v>
          </cell>
        </row>
        <row r="7577">
          <cell r="W7577" t="str">
            <v>QMAND02</v>
          </cell>
          <cell r="AD7577">
            <v>47500</v>
          </cell>
        </row>
        <row r="7578">
          <cell r="W7578" t="str">
            <v>QMAND02</v>
          </cell>
          <cell r="AD7578">
            <v>47500</v>
          </cell>
        </row>
        <row r="7579">
          <cell r="W7579" t="str">
            <v>QMAND02</v>
          </cell>
          <cell r="AD7579">
            <v>48000</v>
          </cell>
        </row>
        <row r="7580">
          <cell r="W7580" t="str">
            <v>QMAND02</v>
          </cell>
          <cell r="AD7580">
            <v>48000</v>
          </cell>
        </row>
        <row r="7581">
          <cell r="W7581" t="str">
            <v>QMAND02</v>
          </cell>
          <cell r="AD7581">
            <v>48000</v>
          </cell>
        </row>
        <row r="7582">
          <cell r="W7582" t="str">
            <v>QMAND02</v>
          </cell>
          <cell r="AD7582">
            <v>48000</v>
          </cell>
        </row>
        <row r="7583">
          <cell r="W7583" t="str">
            <v>QMAND02</v>
          </cell>
          <cell r="AD7583">
            <v>48000</v>
          </cell>
        </row>
        <row r="7584">
          <cell r="W7584" t="str">
            <v>QMAND02</v>
          </cell>
          <cell r="AD7584">
            <v>48000</v>
          </cell>
        </row>
        <row r="7585">
          <cell r="W7585" t="str">
            <v>QMAND02</v>
          </cell>
          <cell r="AD7585">
            <v>48000</v>
          </cell>
        </row>
        <row r="7586">
          <cell r="W7586" t="str">
            <v>QMAND02</v>
          </cell>
          <cell r="AD7586">
            <v>48000</v>
          </cell>
        </row>
        <row r="7587">
          <cell r="W7587" t="str">
            <v>QMAND02</v>
          </cell>
          <cell r="AD7587">
            <v>48000</v>
          </cell>
        </row>
        <row r="7588">
          <cell r="W7588" t="str">
            <v>QMAND02</v>
          </cell>
          <cell r="AD7588">
            <v>48000</v>
          </cell>
        </row>
        <row r="7589">
          <cell r="W7589" t="str">
            <v>QMAND02</v>
          </cell>
          <cell r="AD7589">
            <v>48000</v>
          </cell>
        </row>
        <row r="7590">
          <cell r="W7590" t="str">
            <v>QMAND02</v>
          </cell>
          <cell r="AD7590">
            <v>48000</v>
          </cell>
        </row>
        <row r="7591">
          <cell r="W7591" t="str">
            <v>QMAND02</v>
          </cell>
          <cell r="AD7591">
            <v>48000</v>
          </cell>
        </row>
        <row r="7592">
          <cell r="W7592" t="str">
            <v>QMAND02</v>
          </cell>
          <cell r="AD7592">
            <v>48000</v>
          </cell>
        </row>
        <row r="7593">
          <cell r="W7593" t="str">
            <v>QMAND02</v>
          </cell>
          <cell r="AD7593">
            <v>48000</v>
          </cell>
        </row>
        <row r="7594">
          <cell r="W7594" t="str">
            <v>QMAND02</v>
          </cell>
          <cell r="AD7594">
            <v>48000</v>
          </cell>
        </row>
        <row r="7595">
          <cell r="W7595" t="str">
            <v>QMAND02</v>
          </cell>
          <cell r="AD7595">
            <v>48000</v>
          </cell>
        </row>
        <row r="7596">
          <cell r="W7596" t="str">
            <v>QMAND02</v>
          </cell>
          <cell r="AD7596">
            <v>48000</v>
          </cell>
        </row>
        <row r="7597">
          <cell r="W7597" t="str">
            <v>QMAND02</v>
          </cell>
          <cell r="AD7597">
            <v>48000</v>
          </cell>
        </row>
        <row r="7598">
          <cell r="W7598" t="str">
            <v>QMAND02</v>
          </cell>
          <cell r="AD7598">
            <v>48000</v>
          </cell>
        </row>
        <row r="7599">
          <cell r="W7599" t="str">
            <v>QMAND02</v>
          </cell>
          <cell r="AD7599">
            <v>48000</v>
          </cell>
        </row>
        <row r="7600">
          <cell r="W7600" t="str">
            <v>QMAND02</v>
          </cell>
          <cell r="AD7600">
            <v>48000</v>
          </cell>
        </row>
        <row r="7601">
          <cell r="W7601" t="str">
            <v>QMAND02</v>
          </cell>
          <cell r="AD7601">
            <v>48000</v>
          </cell>
        </row>
        <row r="7602">
          <cell r="W7602" t="str">
            <v>QMAND02</v>
          </cell>
          <cell r="AD7602">
            <v>48000</v>
          </cell>
        </row>
        <row r="7603">
          <cell r="W7603" t="str">
            <v>QMAND02</v>
          </cell>
          <cell r="AD7603">
            <v>49000</v>
          </cell>
        </row>
        <row r="7604">
          <cell r="W7604" t="str">
            <v>QMAND02</v>
          </cell>
          <cell r="AD7604">
            <v>50000</v>
          </cell>
        </row>
        <row r="7605">
          <cell r="W7605" t="str">
            <v>QMAND02</v>
          </cell>
          <cell r="AD7605">
            <v>50000</v>
          </cell>
        </row>
        <row r="7606">
          <cell r="W7606" t="str">
            <v>QMAND02</v>
          </cell>
          <cell r="AD7606">
            <v>50000</v>
          </cell>
        </row>
        <row r="7607">
          <cell r="W7607" t="str">
            <v>QMAND06</v>
          </cell>
          <cell r="AD7607">
            <v>7500000</v>
          </cell>
        </row>
        <row r="7608">
          <cell r="W7608" t="str">
            <v>QMAND05</v>
          </cell>
          <cell r="AD7608">
            <v>26750</v>
          </cell>
        </row>
        <row r="7609">
          <cell r="W7609" t="str">
            <v>QMAND03</v>
          </cell>
          <cell r="AD7609">
            <v>200000</v>
          </cell>
        </row>
        <row r="7610">
          <cell r="W7610" t="str">
            <v>QMAND03</v>
          </cell>
          <cell r="AD7610">
            <v>225000</v>
          </cell>
        </row>
        <row r="7611">
          <cell r="W7611" t="str">
            <v>QMAND03</v>
          </cell>
          <cell r="AD7611">
            <v>225000</v>
          </cell>
        </row>
        <row r="7612">
          <cell r="W7612" t="str">
            <v>QMAND03</v>
          </cell>
          <cell r="AD7612">
            <v>230000</v>
          </cell>
        </row>
        <row r="7613">
          <cell r="W7613" t="str">
            <v>QMAND03</v>
          </cell>
          <cell r="AD7613">
            <v>230000</v>
          </cell>
        </row>
        <row r="7614">
          <cell r="W7614" t="str">
            <v>QMAND03</v>
          </cell>
          <cell r="AD7614">
            <v>230000</v>
          </cell>
        </row>
        <row r="7615">
          <cell r="W7615" t="str">
            <v>QMAND03</v>
          </cell>
          <cell r="AD7615">
            <v>230000</v>
          </cell>
        </row>
        <row r="7616">
          <cell r="W7616" t="str">
            <v>QMAND03</v>
          </cell>
          <cell r="AD7616">
            <v>240000</v>
          </cell>
        </row>
        <row r="7617">
          <cell r="W7617" t="str">
            <v>QMAND03</v>
          </cell>
          <cell r="AD7617">
            <v>240000</v>
          </cell>
        </row>
        <row r="7618">
          <cell r="W7618" t="str">
            <v>AMANO01</v>
          </cell>
          <cell r="AD7618">
            <v>1</v>
          </cell>
        </row>
        <row r="7619">
          <cell r="W7619" t="str">
            <v>QMANO01</v>
          </cell>
          <cell r="AD7619">
            <v>12100</v>
          </cell>
        </row>
        <row r="7620">
          <cell r="W7620" t="str">
            <v>QMANO01</v>
          </cell>
          <cell r="AD7620">
            <v>12100</v>
          </cell>
        </row>
        <row r="7621">
          <cell r="W7621" t="str">
            <v>QMANO01</v>
          </cell>
          <cell r="AD7621">
            <v>17000</v>
          </cell>
        </row>
        <row r="7622">
          <cell r="W7622" t="str">
            <v>QMANO01</v>
          </cell>
          <cell r="AD7622">
            <v>17000</v>
          </cell>
        </row>
        <row r="7623">
          <cell r="W7623" t="str">
            <v>QMANO01</v>
          </cell>
          <cell r="AD7623">
            <v>17000</v>
          </cell>
        </row>
        <row r="7624">
          <cell r="W7624" t="str">
            <v>QMANO01</v>
          </cell>
          <cell r="AD7624">
            <v>17000</v>
          </cell>
        </row>
        <row r="7625">
          <cell r="W7625" t="str">
            <v>QMANO01</v>
          </cell>
          <cell r="AD7625">
            <v>17000</v>
          </cell>
        </row>
        <row r="7626">
          <cell r="W7626" t="str">
            <v>QMANO01</v>
          </cell>
          <cell r="AD7626">
            <v>17000</v>
          </cell>
        </row>
        <row r="7627">
          <cell r="W7627" t="str">
            <v>QMANO01</v>
          </cell>
          <cell r="AD7627">
            <v>17000</v>
          </cell>
        </row>
        <row r="7628">
          <cell r="W7628" t="str">
            <v>QMANO01</v>
          </cell>
          <cell r="AD7628">
            <v>17000</v>
          </cell>
        </row>
        <row r="7629">
          <cell r="W7629" t="str">
            <v>QMANO01</v>
          </cell>
          <cell r="AD7629">
            <v>17000</v>
          </cell>
        </row>
        <row r="7630">
          <cell r="W7630" t="str">
            <v>QMANO01</v>
          </cell>
          <cell r="AD7630">
            <v>17000</v>
          </cell>
        </row>
        <row r="7631">
          <cell r="W7631" t="str">
            <v>QMANO01</v>
          </cell>
          <cell r="AD7631">
            <v>17000</v>
          </cell>
        </row>
        <row r="7632">
          <cell r="W7632" t="str">
            <v>QMANO01</v>
          </cell>
          <cell r="AD7632">
            <v>17000</v>
          </cell>
        </row>
        <row r="7633">
          <cell r="W7633" t="str">
            <v>QMANO01</v>
          </cell>
          <cell r="AD7633">
            <v>17000</v>
          </cell>
        </row>
        <row r="7634">
          <cell r="W7634" t="str">
            <v>QMANO01</v>
          </cell>
          <cell r="AD7634">
            <v>17000</v>
          </cell>
        </row>
        <row r="7635">
          <cell r="W7635" t="str">
            <v>QMANO01</v>
          </cell>
          <cell r="AD7635">
            <v>17000</v>
          </cell>
        </row>
        <row r="7636">
          <cell r="W7636" t="str">
            <v>QMANO01</v>
          </cell>
          <cell r="AD7636">
            <v>17000</v>
          </cell>
        </row>
        <row r="7637">
          <cell r="W7637" t="str">
            <v>QMANO01</v>
          </cell>
          <cell r="AD7637">
            <v>17000</v>
          </cell>
        </row>
        <row r="7638">
          <cell r="W7638" t="str">
            <v>QMANO01</v>
          </cell>
          <cell r="AD7638">
            <v>17000</v>
          </cell>
        </row>
        <row r="7639">
          <cell r="W7639" t="str">
            <v>QMANO01</v>
          </cell>
          <cell r="AD7639">
            <v>17000</v>
          </cell>
        </row>
        <row r="7640">
          <cell r="W7640" t="str">
            <v>QMANO01</v>
          </cell>
          <cell r="AD7640">
            <v>17000</v>
          </cell>
        </row>
        <row r="7641">
          <cell r="W7641" t="str">
            <v>QMANO01</v>
          </cell>
          <cell r="AD7641">
            <v>17000</v>
          </cell>
        </row>
        <row r="7642">
          <cell r="W7642" t="str">
            <v>QMANO01</v>
          </cell>
          <cell r="AD7642">
            <v>17000</v>
          </cell>
        </row>
        <row r="7643">
          <cell r="W7643" t="str">
            <v>QMANO01</v>
          </cell>
          <cell r="AD7643">
            <v>17000</v>
          </cell>
        </row>
        <row r="7644">
          <cell r="W7644" t="str">
            <v>QMANO01</v>
          </cell>
          <cell r="AD7644">
            <v>17000</v>
          </cell>
        </row>
        <row r="7645">
          <cell r="W7645" t="str">
            <v>QMANO01</v>
          </cell>
          <cell r="AD7645">
            <v>17000</v>
          </cell>
        </row>
        <row r="7646">
          <cell r="W7646" t="str">
            <v>QMANO01</v>
          </cell>
          <cell r="AD7646">
            <v>17000</v>
          </cell>
        </row>
        <row r="7647">
          <cell r="W7647" t="str">
            <v>QMANO01</v>
          </cell>
          <cell r="AD7647">
            <v>17000</v>
          </cell>
        </row>
        <row r="7648">
          <cell r="W7648" t="str">
            <v>QMANO01</v>
          </cell>
          <cell r="AD7648">
            <v>17000</v>
          </cell>
        </row>
        <row r="7649">
          <cell r="W7649" t="str">
            <v>QMANO01</v>
          </cell>
          <cell r="AD7649">
            <v>17000</v>
          </cell>
        </row>
        <row r="7650">
          <cell r="W7650" t="str">
            <v>QMANO01</v>
          </cell>
          <cell r="AD7650">
            <v>17000</v>
          </cell>
        </row>
        <row r="7651">
          <cell r="W7651" t="str">
            <v>QMANO01</v>
          </cell>
          <cell r="AD7651">
            <v>17000</v>
          </cell>
        </row>
        <row r="7652">
          <cell r="W7652" t="str">
            <v>QMANO01</v>
          </cell>
          <cell r="AD7652">
            <v>17000</v>
          </cell>
        </row>
        <row r="7653">
          <cell r="W7653" t="str">
            <v>QMANO01</v>
          </cell>
          <cell r="AD7653">
            <v>17000</v>
          </cell>
        </row>
        <row r="7654">
          <cell r="W7654" t="str">
            <v>QMANO01</v>
          </cell>
          <cell r="AD7654">
            <v>17000</v>
          </cell>
        </row>
        <row r="7655">
          <cell r="W7655" t="str">
            <v>QMANO01</v>
          </cell>
          <cell r="AD7655">
            <v>17000</v>
          </cell>
        </row>
        <row r="7656">
          <cell r="W7656" t="str">
            <v>QMANO01</v>
          </cell>
          <cell r="AD7656">
            <v>17000</v>
          </cell>
        </row>
        <row r="7657">
          <cell r="W7657" t="str">
            <v>QMANO01</v>
          </cell>
          <cell r="AD7657">
            <v>17000</v>
          </cell>
        </row>
        <row r="7658">
          <cell r="W7658" t="str">
            <v>QMANO01</v>
          </cell>
          <cell r="AD7658">
            <v>17000</v>
          </cell>
        </row>
        <row r="7659">
          <cell r="W7659" t="str">
            <v>QMANO01</v>
          </cell>
          <cell r="AD7659">
            <v>17000</v>
          </cell>
        </row>
        <row r="7660">
          <cell r="W7660" t="str">
            <v>QMANO01</v>
          </cell>
          <cell r="AD7660">
            <v>17000</v>
          </cell>
        </row>
        <row r="7661">
          <cell r="W7661" t="str">
            <v>QMANO01</v>
          </cell>
          <cell r="AD7661">
            <v>17000</v>
          </cell>
        </row>
        <row r="7662">
          <cell r="W7662" t="str">
            <v>QMANO01</v>
          </cell>
          <cell r="AD7662">
            <v>17000</v>
          </cell>
        </row>
        <row r="7663">
          <cell r="W7663" t="str">
            <v>QMANO01</v>
          </cell>
          <cell r="AD7663">
            <v>17000</v>
          </cell>
        </row>
        <row r="7664">
          <cell r="W7664" t="str">
            <v>QMANO01</v>
          </cell>
          <cell r="AD7664">
            <v>17000</v>
          </cell>
        </row>
        <row r="7665">
          <cell r="W7665" t="str">
            <v>QMANO01</v>
          </cell>
          <cell r="AD7665">
            <v>17000</v>
          </cell>
        </row>
        <row r="7666">
          <cell r="W7666" t="str">
            <v>QMANO01</v>
          </cell>
          <cell r="AD7666">
            <v>17000</v>
          </cell>
        </row>
        <row r="7667">
          <cell r="W7667" t="str">
            <v>QMANO01</v>
          </cell>
          <cell r="AD7667">
            <v>17000</v>
          </cell>
        </row>
        <row r="7668">
          <cell r="W7668" t="str">
            <v>QMANO01</v>
          </cell>
          <cell r="AD7668">
            <v>17000</v>
          </cell>
        </row>
        <row r="7669">
          <cell r="W7669" t="str">
            <v>QMANO01</v>
          </cell>
          <cell r="AD7669">
            <v>17000</v>
          </cell>
        </row>
        <row r="7670">
          <cell r="W7670" t="str">
            <v>QMANO01</v>
          </cell>
          <cell r="AD7670">
            <v>17000</v>
          </cell>
        </row>
        <row r="7671">
          <cell r="W7671" t="str">
            <v>QMANO01</v>
          </cell>
          <cell r="AD7671">
            <v>17500</v>
          </cell>
        </row>
        <row r="7672">
          <cell r="W7672" t="str">
            <v>QMANO01</v>
          </cell>
          <cell r="AD7672">
            <v>17500</v>
          </cell>
        </row>
        <row r="7673">
          <cell r="W7673" t="str">
            <v>QMANO01</v>
          </cell>
          <cell r="AD7673">
            <v>17500</v>
          </cell>
        </row>
        <row r="7674">
          <cell r="W7674" t="str">
            <v>QMANO01</v>
          </cell>
          <cell r="AD7674">
            <v>20000</v>
          </cell>
        </row>
        <row r="7675">
          <cell r="W7675" t="str">
            <v>QMANO01</v>
          </cell>
          <cell r="AD7675">
            <v>20000</v>
          </cell>
        </row>
        <row r="7676">
          <cell r="W7676" t="str">
            <v>QMANO01</v>
          </cell>
          <cell r="AD7676">
            <v>20000</v>
          </cell>
        </row>
        <row r="7677">
          <cell r="W7677" t="str">
            <v>QMANZ01</v>
          </cell>
          <cell r="AD7677">
            <v>70000</v>
          </cell>
        </row>
        <row r="7678">
          <cell r="W7678" t="str">
            <v>QMANZ01</v>
          </cell>
          <cell r="AD7678">
            <v>70000</v>
          </cell>
        </row>
        <row r="7679">
          <cell r="W7679" t="str">
            <v>QMANZ01</v>
          </cell>
          <cell r="AD7679">
            <v>70000</v>
          </cell>
        </row>
        <row r="7680">
          <cell r="W7680" t="str">
            <v>QMANZ01</v>
          </cell>
          <cell r="AD7680">
            <v>70000</v>
          </cell>
        </row>
        <row r="7681">
          <cell r="W7681" t="str">
            <v>QMANZ01</v>
          </cell>
          <cell r="AD7681">
            <v>70000</v>
          </cell>
        </row>
        <row r="7682">
          <cell r="W7682" t="str">
            <v>QMANZ01</v>
          </cell>
          <cell r="AD7682">
            <v>70000</v>
          </cell>
        </row>
        <row r="7683">
          <cell r="W7683" t="str">
            <v>QMANZ01</v>
          </cell>
          <cell r="AD7683">
            <v>70000</v>
          </cell>
        </row>
        <row r="7684">
          <cell r="W7684" t="str">
            <v>QMANZ01</v>
          </cell>
          <cell r="AD7684">
            <v>70000</v>
          </cell>
        </row>
        <row r="7685">
          <cell r="W7685" t="str">
            <v>QMANZ01</v>
          </cell>
          <cell r="AD7685">
            <v>70000</v>
          </cell>
        </row>
        <row r="7686">
          <cell r="W7686" t="str">
            <v>QMANZ01</v>
          </cell>
          <cell r="AD7686">
            <v>70000</v>
          </cell>
        </row>
        <row r="7687">
          <cell r="W7687" t="str">
            <v>QMANZ01</v>
          </cell>
          <cell r="AD7687">
            <v>70000</v>
          </cell>
        </row>
        <row r="7688">
          <cell r="W7688" t="str">
            <v>QMANZ01</v>
          </cell>
          <cell r="AD7688">
            <v>70000</v>
          </cell>
        </row>
        <row r="7689">
          <cell r="W7689" t="str">
            <v>QMANZ01</v>
          </cell>
          <cell r="AD7689">
            <v>70000</v>
          </cell>
        </row>
        <row r="7690">
          <cell r="W7690" t="str">
            <v>QMANZ01</v>
          </cell>
          <cell r="AD7690">
            <v>70000</v>
          </cell>
        </row>
        <row r="7691">
          <cell r="W7691" t="str">
            <v>QMANZ01</v>
          </cell>
          <cell r="AD7691">
            <v>70000</v>
          </cell>
        </row>
        <row r="7692">
          <cell r="W7692" t="str">
            <v>QMANZ01</v>
          </cell>
          <cell r="AD7692">
            <v>70000</v>
          </cell>
        </row>
        <row r="7693">
          <cell r="W7693" t="str">
            <v>QMANZ01</v>
          </cell>
          <cell r="AD7693">
            <v>70000</v>
          </cell>
        </row>
        <row r="7694">
          <cell r="W7694" t="str">
            <v>QMANZ01</v>
          </cell>
          <cell r="AD7694">
            <v>70500</v>
          </cell>
        </row>
        <row r="7695">
          <cell r="W7695" t="str">
            <v>QMANZ01</v>
          </cell>
          <cell r="AD7695">
            <v>70500</v>
          </cell>
        </row>
        <row r="7696">
          <cell r="W7696" t="str">
            <v>QMANZ01</v>
          </cell>
          <cell r="AD7696">
            <v>71000</v>
          </cell>
        </row>
        <row r="7697">
          <cell r="W7697" t="str">
            <v>QMANZ01</v>
          </cell>
          <cell r="AD7697">
            <v>71000</v>
          </cell>
        </row>
        <row r="7698">
          <cell r="W7698" t="str">
            <v>QMANZ01</v>
          </cell>
          <cell r="AD7698">
            <v>71000</v>
          </cell>
        </row>
        <row r="7699">
          <cell r="W7699" t="str">
            <v>QMANZ01</v>
          </cell>
          <cell r="AD7699">
            <v>71000</v>
          </cell>
        </row>
        <row r="7700">
          <cell r="W7700" t="str">
            <v>QMANZ01</v>
          </cell>
          <cell r="AD7700">
            <v>71000</v>
          </cell>
        </row>
        <row r="7701">
          <cell r="W7701" t="str">
            <v>QMANZ01</v>
          </cell>
          <cell r="AD7701">
            <v>71000</v>
          </cell>
        </row>
        <row r="7702">
          <cell r="W7702" t="str">
            <v>QMANZ01</v>
          </cell>
          <cell r="AD7702">
            <v>71000</v>
          </cell>
        </row>
        <row r="7703">
          <cell r="W7703" t="str">
            <v>QMANZ01</v>
          </cell>
          <cell r="AD7703">
            <v>71000</v>
          </cell>
        </row>
        <row r="7704">
          <cell r="W7704" t="str">
            <v>QMANZ01</v>
          </cell>
          <cell r="AD7704">
            <v>71000</v>
          </cell>
        </row>
        <row r="7705">
          <cell r="W7705" t="str">
            <v>QMANZ01</v>
          </cell>
          <cell r="AD7705">
            <v>71000</v>
          </cell>
        </row>
        <row r="7706">
          <cell r="W7706" t="str">
            <v>QMANZ01</v>
          </cell>
          <cell r="AD7706">
            <v>71000</v>
          </cell>
        </row>
        <row r="7707">
          <cell r="W7707" t="str">
            <v>QMANZ01</v>
          </cell>
          <cell r="AD7707">
            <v>71000</v>
          </cell>
        </row>
        <row r="7708">
          <cell r="W7708" t="str">
            <v>QMANZ01</v>
          </cell>
          <cell r="AD7708">
            <v>71000</v>
          </cell>
        </row>
        <row r="7709">
          <cell r="W7709" t="str">
            <v>QMANZ01</v>
          </cell>
          <cell r="AD7709">
            <v>71000</v>
          </cell>
        </row>
        <row r="7710">
          <cell r="W7710" t="str">
            <v>QMANZ01</v>
          </cell>
          <cell r="AD7710">
            <v>71000</v>
          </cell>
        </row>
        <row r="7711">
          <cell r="W7711" t="str">
            <v>QMANZ01</v>
          </cell>
          <cell r="AD7711">
            <v>71000</v>
          </cell>
        </row>
        <row r="7712">
          <cell r="W7712" t="str">
            <v>QMANZ01</v>
          </cell>
          <cell r="AD7712">
            <v>71000</v>
          </cell>
        </row>
        <row r="7713">
          <cell r="W7713" t="str">
            <v>QMANZ01</v>
          </cell>
          <cell r="AD7713">
            <v>71000</v>
          </cell>
        </row>
        <row r="7714">
          <cell r="W7714" t="str">
            <v>QMANZ01</v>
          </cell>
          <cell r="AD7714">
            <v>71000</v>
          </cell>
        </row>
        <row r="7715">
          <cell r="W7715" t="str">
            <v>QMANZ01</v>
          </cell>
          <cell r="AD7715">
            <v>71000</v>
          </cell>
        </row>
        <row r="7716">
          <cell r="W7716" t="str">
            <v>QMANZ01</v>
          </cell>
          <cell r="AD7716">
            <v>71000</v>
          </cell>
        </row>
        <row r="7717">
          <cell r="W7717" t="str">
            <v>QMANZ01</v>
          </cell>
          <cell r="AD7717">
            <v>71000</v>
          </cell>
        </row>
        <row r="7718">
          <cell r="W7718" t="str">
            <v>QMANZ01</v>
          </cell>
          <cell r="AD7718">
            <v>71000</v>
          </cell>
        </row>
        <row r="7719">
          <cell r="W7719" t="str">
            <v>QMANZ01</v>
          </cell>
          <cell r="AD7719">
            <v>71500</v>
          </cell>
        </row>
        <row r="7720">
          <cell r="W7720" t="str">
            <v>QMANZ01</v>
          </cell>
          <cell r="AD7720">
            <v>71500</v>
          </cell>
        </row>
        <row r="7721">
          <cell r="W7721" t="str">
            <v>QMANZ01</v>
          </cell>
          <cell r="AD7721">
            <v>71500</v>
          </cell>
        </row>
        <row r="7722">
          <cell r="W7722" t="str">
            <v>QMANZ01</v>
          </cell>
          <cell r="AD7722">
            <v>71500</v>
          </cell>
        </row>
        <row r="7723">
          <cell r="W7723" t="str">
            <v>QMANZ01</v>
          </cell>
          <cell r="AD7723">
            <v>71500</v>
          </cell>
        </row>
        <row r="7724">
          <cell r="W7724" t="str">
            <v>QMANZ01</v>
          </cell>
          <cell r="AD7724">
            <v>71500</v>
          </cell>
        </row>
        <row r="7725">
          <cell r="W7725" t="str">
            <v>QMANZ01</v>
          </cell>
          <cell r="AD7725">
            <v>72000</v>
          </cell>
        </row>
        <row r="7726">
          <cell r="W7726" t="str">
            <v>QMANZ01</v>
          </cell>
          <cell r="AD7726">
            <v>72500</v>
          </cell>
        </row>
        <row r="7727">
          <cell r="W7727" t="str">
            <v>QMANZ02</v>
          </cell>
          <cell r="AD7727">
            <v>39500</v>
          </cell>
        </row>
        <row r="7728">
          <cell r="W7728" t="str">
            <v>QMANZ02</v>
          </cell>
          <cell r="AD7728">
            <v>39500</v>
          </cell>
        </row>
        <row r="7729">
          <cell r="W7729" t="str">
            <v>QMANZ02</v>
          </cell>
          <cell r="AD7729">
            <v>40000</v>
          </cell>
        </row>
        <row r="7730">
          <cell r="W7730" t="str">
            <v>QMANZ02</v>
          </cell>
          <cell r="AD7730">
            <v>40000</v>
          </cell>
        </row>
        <row r="7731">
          <cell r="W7731" t="str">
            <v>QMANZ02</v>
          </cell>
          <cell r="AD7731">
            <v>40500</v>
          </cell>
        </row>
        <row r="7732">
          <cell r="W7732" t="str">
            <v>QMANZ02</v>
          </cell>
          <cell r="AD7732">
            <v>41000</v>
          </cell>
        </row>
        <row r="7733">
          <cell r="W7733" t="str">
            <v>QMANZ02</v>
          </cell>
          <cell r="AD7733">
            <v>41000</v>
          </cell>
        </row>
        <row r="7734">
          <cell r="W7734" t="str">
            <v>QMANZ02</v>
          </cell>
          <cell r="AD7734">
            <v>41500</v>
          </cell>
        </row>
        <row r="7735">
          <cell r="W7735" t="str">
            <v>QMANZ02</v>
          </cell>
          <cell r="AD7735">
            <v>41500</v>
          </cell>
        </row>
        <row r="7736">
          <cell r="W7736" t="str">
            <v>QMANZ02</v>
          </cell>
          <cell r="AD7736">
            <v>41500</v>
          </cell>
        </row>
        <row r="7737">
          <cell r="W7737" t="str">
            <v>QMANZ02</v>
          </cell>
          <cell r="AD7737">
            <v>41500</v>
          </cell>
        </row>
        <row r="7738">
          <cell r="W7738" t="str">
            <v>QMANZ02</v>
          </cell>
          <cell r="AD7738">
            <v>41500</v>
          </cell>
        </row>
        <row r="7739">
          <cell r="W7739" t="str">
            <v>QMANZ02</v>
          </cell>
          <cell r="AD7739">
            <v>41500</v>
          </cell>
        </row>
        <row r="7740">
          <cell r="W7740" t="str">
            <v>QMANZ02</v>
          </cell>
          <cell r="AD7740">
            <v>41500</v>
          </cell>
        </row>
        <row r="7741">
          <cell r="W7741" t="str">
            <v>QMANZ02</v>
          </cell>
          <cell r="AD7741">
            <v>42000</v>
          </cell>
        </row>
        <row r="7742">
          <cell r="W7742" t="str">
            <v>QMANZ02</v>
          </cell>
          <cell r="AD7742">
            <v>42000</v>
          </cell>
        </row>
        <row r="7743">
          <cell r="W7743" t="str">
            <v>QMANZ02</v>
          </cell>
          <cell r="AD7743">
            <v>42000</v>
          </cell>
        </row>
        <row r="7744">
          <cell r="W7744" t="str">
            <v>QMANZ02</v>
          </cell>
          <cell r="AD7744">
            <v>42500</v>
          </cell>
        </row>
        <row r="7745">
          <cell r="W7745" t="str">
            <v>QMANZ02</v>
          </cell>
          <cell r="AD7745">
            <v>42500</v>
          </cell>
        </row>
        <row r="7746">
          <cell r="W7746" t="str">
            <v>QMANZ02</v>
          </cell>
          <cell r="AD7746">
            <v>42500</v>
          </cell>
        </row>
        <row r="7747">
          <cell r="W7747" t="str">
            <v>QMANZ02</v>
          </cell>
          <cell r="AD7747">
            <v>42500</v>
          </cell>
        </row>
        <row r="7748">
          <cell r="W7748" t="str">
            <v>QMANZ02</v>
          </cell>
          <cell r="AD7748">
            <v>43000</v>
          </cell>
        </row>
        <row r="7749">
          <cell r="W7749" t="str">
            <v>QMANZ02</v>
          </cell>
          <cell r="AD7749">
            <v>43000</v>
          </cell>
        </row>
        <row r="7750">
          <cell r="W7750" t="str">
            <v>QMANZ02</v>
          </cell>
          <cell r="AD7750">
            <v>43000</v>
          </cell>
        </row>
        <row r="7751">
          <cell r="W7751" t="str">
            <v>QMANZ02</v>
          </cell>
          <cell r="AD7751">
            <v>43500</v>
          </cell>
        </row>
        <row r="7752">
          <cell r="W7752" t="str">
            <v>QMANZ02</v>
          </cell>
          <cell r="AD7752">
            <v>43500</v>
          </cell>
        </row>
        <row r="7753">
          <cell r="W7753" t="str">
            <v>QMARS02</v>
          </cell>
          <cell r="AD7753">
            <v>120500</v>
          </cell>
        </row>
        <row r="7754">
          <cell r="W7754" t="str">
            <v>QMARS02</v>
          </cell>
          <cell r="AD7754">
            <v>121000</v>
          </cell>
        </row>
        <row r="7755">
          <cell r="W7755" t="str">
            <v>QMARS02</v>
          </cell>
          <cell r="AD7755">
            <v>121000</v>
          </cell>
        </row>
        <row r="7756">
          <cell r="W7756" t="str">
            <v>QMARS02</v>
          </cell>
          <cell r="AD7756">
            <v>121000</v>
          </cell>
        </row>
        <row r="7757">
          <cell r="W7757" t="str">
            <v>QMARS02</v>
          </cell>
          <cell r="AD7757">
            <v>121000</v>
          </cell>
        </row>
        <row r="7758">
          <cell r="W7758" t="str">
            <v>QMARS02</v>
          </cell>
          <cell r="AD7758">
            <v>121500</v>
          </cell>
        </row>
        <row r="7759">
          <cell r="W7759" t="str">
            <v>QMARS02</v>
          </cell>
          <cell r="AD7759">
            <v>122500</v>
          </cell>
        </row>
        <row r="7760">
          <cell r="W7760" t="str">
            <v>QMARS02</v>
          </cell>
          <cell r="AD7760">
            <v>123000</v>
          </cell>
        </row>
        <row r="7761">
          <cell r="W7761" t="str">
            <v>QMARS02</v>
          </cell>
          <cell r="AD7761">
            <v>123000</v>
          </cell>
        </row>
        <row r="7762">
          <cell r="W7762" t="str">
            <v>QMARS02</v>
          </cell>
          <cell r="AD7762">
            <v>123000</v>
          </cell>
        </row>
        <row r="7763">
          <cell r="W7763" t="str">
            <v>QMARS02</v>
          </cell>
          <cell r="AD7763">
            <v>123500</v>
          </cell>
        </row>
        <row r="7764">
          <cell r="W7764" t="str">
            <v>QMARS02</v>
          </cell>
          <cell r="AD7764">
            <v>123500</v>
          </cell>
        </row>
        <row r="7765">
          <cell r="W7765" t="str">
            <v>QMARS02</v>
          </cell>
          <cell r="AD7765">
            <v>123500</v>
          </cell>
        </row>
        <row r="7766">
          <cell r="W7766" t="str">
            <v>QMARS02</v>
          </cell>
          <cell r="AD7766">
            <v>123500</v>
          </cell>
        </row>
        <row r="7767">
          <cell r="W7767" t="str">
            <v>QMARS03</v>
          </cell>
          <cell r="AD7767">
            <v>67000</v>
          </cell>
        </row>
        <row r="7768">
          <cell r="W7768" t="str">
            <v>QMARS03</v>
          </cell>
          <cell r="AD7768">
            <v>67500</v>
          </cell>
        </row>
        <row r="7769">
          <cell r="W7769" t="str">
            <v>QMARS03</v>
          </cell>
          <cell r="AD7769">
            <v>67500</v>
          </cell>
        </row>
        <row r="7770">
          <cell r="W7770" t="str">
            <v>QMARS03</v>
          </cell>
          <cell r="AD7770">
            <v>67500</v>
          </cell>
        </row>
        <row r="7771">
          <cell r="W7771" t="str">
            <v>QMARS03</v>
          </cell>
          <cell r="AD7771">
            <v>67500</v>
          </cell>
        </row>
        <row r="7772">
          <cell r="W7772" t="str">
            <v>QMARS03</v>
          </cell>
          <cell r="AD7772">
            <v>67500</v>
          </cell>
        </row>
        <row r="7773">
          <cell r="W7773" t="str">
            <v>QMARS03</v>
          </cell>
          <cell r="AD7773">
            <v>67500</v>
          </cell>
        </row>
        <row r="7774">
          <cell r="W7774" t="str">
            <v>QMARS03</v>
          </cell>
          <cell r="AD7774">
            <v>67500</v>
          </cell>
        </row>
        <row r="7775">
          <cell r="W7775" t="str">
            <v>QMARS03</v>
          </cell>
          <cell r="AD7775">
            <v>67500</v>
          </cell>
        </row>
        <row r="7776">
          <cell r="W7776" t="str">
            <v>QMARS03</v>
          </cell>
          <cell r="AD7776">
            <v>67500</v>
          </cell>
        </row>
        <row r="7777">
          <cell r="W7777" t="str">
            <v>QMARS03</v>
          </cell>
          <cell r="AD7777">
            <v>67500</v>
          </cell>
        </row>
        <row r="7778">
          <cell r="W7778" t="str">
            <v>QMARS03</v>
          </cell>
          <cell r="AD7778">
            <v>67500</v>
          </cell>
        </row>
        <row r="7779">
          <cell r="W7779" t="str">
            <v>QMARS03</v>
          </cell>
          <cell r="AD7779">
            <v>67500</v>
          </cell>
        </row>
        <row r="7780">
          <cell r="W7780" t="str">
            <v>QMARS03</v>
          </cell>
          <cell r="AD7780">
            <v>67500</v>
          </cell>
        </row>
        <row r="7781">
          <cell r="W7781" t="str">
            <v>QMARS03</v>
          </cell>
          <cell r="AD7781">
            <v>67500</v>
          </cell>
        </row>
        <row r="7782">
          <cell r="W7782" t="str">
            <v>QMARS03</v>
          </cell>
          <cell r="AD7782">
            <v>67500</v>
          </cell>
        </row>
        <row r="7783">
          <cell r="W7783" t="str">
            <v>QMARS03</v>
          </cell>
          <cell r="AD7783">
            <v>67500</v>
          </cell>
        </row>
        <row r="7784">
          <cell r="W7784" t="str">
            <v>QMARS03</v>
          </cell>
          <cell r="AD7784">
            <v>67500</v>
          </cell>
        </row>
        <row r="7785">
          <cell r="W7785" t="str">
            <v>QMARS03</v>
          </cell>
          <cell r="AD7785">
            <v>67500</v>
          </cell>
        </row>
        <row r="7786">
          <cell r="W7786" t="str">
            <v>QMARS03</v>
          </cell>
          <cell r="AD7786">
            <v>67500</v>
          </cell>
        </row>
        <row r="7787">
          <cell r="W7787" t="str">
            <v>QMARS03</v>
          </cell>
          <cell r="AD7787">
            <v>67500</v>
          </cell>
        </row>
        <row r="7788">
          <cell r="W7788" t="str">
            <v>QMARS03</v>
          </cell>
          <cell r="AD7788">
            <v>67500</v>
          </cell>
        </row>
        <row r="7789">
          <cell r="W7789" t="str">
            <v>QMARS03</v>
          </cell>
          <cell r="AD7789">
            <v>70000</v>
          </cell>
        </row>
        <row r="7790">
          <cell r="W7790" t="str">
            <v>QMARS06</v>
          </cell>
          <cell r="AD7790">
            <v>57350</v>
          </cell>
        </row>
        <row r="7791">
          <cell r="W7791" t="str">
            <v>QMARS06</v>
          </cell>
          <cell r="AD7791">
            <v>58500</v>
          </cell>
        </row>
        <row r="7792">
          <cell r="W7792" t="str">
            <v>QMARS06</v>
          </cell>
          <cell r="AD7792">
            <v>59000</v>
          </cell>
        </row>
        <row r="7793">
          <cell r="W7793" t="str">
            <v>QMARS04</v>
          </cell>
          <cell r="AD7793">
            <v>6000</v>
          </cell>
        </row>
        <row r="7794">
          <cell r="W7794" t="str">
            <v>QMARS04</v>
          </cell>
          <cell r="AD7794">
            <v>6100</v>
          </cell>
        </row>
        <row r="7795">
          <cell r="W7795" t="str">
            <v>QMARS04</v>
          </cell>
          <cell r="AD7795">
            <v>6100</v>
          </cell>
        </row>
        <row r="7796">
          <cell r="W7796" t="str">
            <v>QMARS04</v>
          </cell>
          <cell r="AD7796">
            <v>6100</v>
          </cell>
        </row>
        <row r="7797">
          <cell r="W7797" t="str">
            <v>QMARS04</v>
          </cell>
          <cell r="AD7797">
            <v>6100</v>
          </cell>
        </row>
        <row r="7798">
          <cell r="W7798" t="str">
            <v>QMARS04</v>
          </cell>
          <cell r="AD7798">
            <v>6100</v>
          </cell>
        </row>
        <row r="7799">
          <cell r="W7799" t="str">
            <v>QMARS04</v>
          </cell>
          <cell r="AD7799">
            <v>6100</v>
          </cell>
        </row>
        <row r="7800">
          <cell r="W7800" t="str">
            <v>QMARS04</v>
          </cell>
          <cell r="AD7800">
            <v>6100</v>
          </cell>
        </row>
        <row r="7801">
          <cell r="W7801" t="str">
            <v>QMARS04</v>
          </cell>
          <cell r="AD7801">
            <v>6100</v>
          </cell>
        </row>
        <row r="7802">
          <cell r="W7802" t="str">
            <v>QMARS04</v>
          </cell>
          <cell r="AD7802">
            <v>6100</v>
          </cell>
        </row>
        <row r="7803">
          <cell r="W7803" t="str">
            <v>QMARS04</v>
          </cell>
          <cell r="AD7803">
            <v>6100</v>
          </cell>
        </row>
        <row r="7804">
          <cell r="W7804" t="str">
            <v>QMARS04</v>
          </cell>
          <cell r="AD7804">
            <v>6100</v>
          </cell>
        </row>
        <row r="7805">
          <cell r="W7805" t="str">
            <v>QMARS04</v>
          </cell>
          <cell r="AD7805">
            <v>6100</v>
          </cell>
        </row>
        <row r="7806">
          <cell r="W7806" t="str">
            <v>QMARS04</v>
          </cell>
          <cell r="AD7806">
            <v>6100</v>
          </cell>
        </row>
        <row r="7807">
          <cell r="W7807" t="str">
            <v>QMARS04</v>
          </cell>
          <cell r="AD7807">
            <v>6200</v>
          </cell>
        </row>
        <row r="7808">
          <cell r="W7808" t="str">
            <v>QMARS04</v>
          </cell>
          <cell r="AD7808">
            <v>6200</v>
          </cell>
        </row>
        <row r="7809">
          <cell r="W7809" t="str">
            <v>QMARS04</v>
          </cell>
          <cell r="AD7809">
            <v>6200</v>
          </cell>
        </row>
        <row r="7810">
          <cell r="W7810" t="str">
            <v>QMARS04</v>
          </cell>
          <cell r="AD7810">
            <v>6250</v>
          </cell>
        </row>
        <row r="7811">
          <cell r="W7811" t="str">
            <v>QMARS04</v>
          </cell>
          <cell r="AD7811">
            <v>6250</v>
          </cell>
        </row>
        <row r="7812">
          <cell r="W7812" t="str">
            <v>QMARS04</v>
          </cell>
          <cell r="AD7812">
            <v>6500</v>
          </cell>
        </row>
        <row r="7813">
          <cell r="W7813" t="str">
            <v>QMARS05</v>
          </cell>
          <cell r="AD7813">
            <v>20500</v>
          </cell>
        </row>
        <row r="7814">
          <cell r="W7814" t="str">
            <v>QMARS05</v>
          </cell>
          <cell r="AD7814">
            <v>20500</v>
          </cell>
        </row>
        <row r="7815">
          <cell r="W7815" t="str">
            <v>QMARS05</v>
          </cell>
          <cell r="AD7815">
            <v>21000</v>
          </cell>
        </row>
        <row r="7816">
          <cell r="W7816" t="str">
            <v>QMARS05</v>
          </cell>
          <cell r="AD7816">
            <v>21500</v>
          </cell>
        </row>
        <row r="7817">
          <cell r="W7817" t="str">
            <v>QMARS05</v>
          </cell>
          <cell r="AD7817">
            <v>21500</v>
          </cell>
        </row>
        <row r="7818">
          <cell r="W7818" t="str">
            <v>QMARS05</v>
          </cell>
          <cell r="AD7818">
            <v>22000</v>
          </cell>
        </row>
        <row r="7819">
          <cell r="W7819" t="str">
            <v>QMARS05</v>
          </cell>
          <cell r="AD7819">
            <v>22000</v>
          </cell>
        </row>
        <row r="7820">
          <cell r="W7820" t="str">
            <v>QMARS05</v>
          </cell>
          <cell r="AD7820">
            <v>23500</v>
          </cell>
        </row>
        <row r="7821">
          <cell r="W7821" t="str">
            <v>QMART01</v>
          </cell>
          <cell r="AD7821">
            <v>41500</v>
          </cell>
        </row>
        <row r="7822">
          <cell r="W7822" t="str">
            <v>QMART01</v>
          </cell>
          <cell r="AD7822">
            <v>44000</v>
          </cell>
        </row>
        <row r="7823">
          <cell r="W7823" t="str">
            <v>QMART01</v>
          </cell>
          <cell r="AD7823">
            <v>44000</v>
          </cell>
        </row>
        <row r="7824">
          <cell r="W7824" t="str">
            <v>QMART01</v>
          </cell>
          <cell r="AD7824">
            <v>44000</v>
          </cell>
        </row>
        <row r="7825">
          <cell r="W7825" t="str">
            <v>QMART01</v>
          </cell>
          <cell r="AD7825">
            <v>44000</v>
          </cell>
        </row>
        <row r="7826">
          <cell r="W7826" t="str">
            <v>QMART01</v>
          </cell>
          <cell r="AD7826">
            <v>44000</v>
          </cell>
        </row>
        <row r="7827">
          <cell r="W7827" t="str">
            <v>QMART01</v>
          </cell>
          <cell r="AD7827">
            <v>44000</v>
          </cell>
        </row>
        <row r="7828">
          <cell r="W7828" t="str">
            <v>QMART01</v>
          </cell>
          <cell r="AD7828">
            <v>44000</v>
          </cell>
        </row>
        <row r="7829">
          <cell r="W7829" t="str">
            <v>QMART01</v>
          </cell>
          <cell r="AD7829">
            <v>44000</v>
          </cell>
        </row>
        <row r="7830">
          <cell r="W7830" t="str">
            <v>QMART01</v>
          </cell>
          <cell r="AD7830">
            <v>44000</v>
          </cell>
        </row>
        <row r="7831">
          <cell r="W7831" t="str">
            <v>QMART01</v>
          </cell>
          <cell r="AD7831">
            <v>44000</v>
          </cell>
        </row>
        <row r="7832">
          <cell r="W7832" t="str">
            <v>QMART01</v>
          </cell>
          <cell r="AD7832">
            <v>44000</v>
          </cell>
        </row>
        <row r="7833">
          <cell r="W7833" t="str">
            <v>QMART01</v>
          </cell>
          <cell r="AD7833">
            <v>44000</v>
          </cell>
        </row>
        <row r="7834">
          <cell r="W7834" t="str">
            <v>QMART01</v>
          </cell>
          <cell r="AD7834">
            <v>44000</v>
          </cell>
        </row>
        <row r="7835">
          <cell r="W7835" t="str">
            <v>QMART01</v>
          </cell>
          <cell r="AD7835">
            <v>44000</v>
          </cell>
        </row>
        <row r="7836">
          <cell r="W7836" t="str">
            <v>QMART01</v>
          </cell>
          <cell r="AD7836">
            <v>44000</v>
          </cell>
        </row>
        <row r="7837">
          <cell r="W7837" t="str">
            <v>QMART01</v>
          </cell>
          <cell r="AD7837">
            <v>44000</v>
          </cell>
        </row>
        <row r="7838">
          <cell r="W7838" t="str">
            <v>QMART01</v>
          </cell>
          <cell r="AD7838">
            <v>44000</v>
          </cell>
        </row>
        <row r="7839">
          <cell r="W7839" t="str">
            <v>QMART01</v>
          </cell>
          <cell r="AD7839">
            <v>44000</v>
          </cell>
        </row>
        <row r="7840">
          <cell r="W7840" t="str">
            <v>QMART01</v>
          </cell>
          <cell r="AD7840">
            <v>44000</v>
          </cell>
        </row>
        <row r="7841">
          <cell r="W7841" t="str">
            <v>QMATA01</v>
          </cell>
          <cell r="AD7841">
            <v>216000</v>
          </cell>
        </row>
        <row r="7842">
          <cell r="W7842" t="str">
            <v>QMATA01</v>
          </cell>
          <cell r="AD7842">
            <v>216000</v>
          </cell>
        </row>
        <row r="7843">
          <cell r="W7843" t="str">
            <v>QMATA02</v>
          </cell>
          <cell r="AD7843">
            <v>13250</v>
          </cell>
        </row>
        <row r="7844">
          <cell r="W7844" t="str">
            <v>QMATA02</v>
          </cell>
          <cell r="AD7844">
            <v>13500</v>
          </cell>
        </row>
        <row r="7845">
          <cell r="W7845" t="str">
            <v>QMATA02</v>
          </cell>
          <cell r="AD7845">
            <v>13500</v>
          </cell>
        </row>
        <row r="7846">
          <cell r="W7846" t="str">
            <v>QMATA02</v>
          </cell>
          <cell r="AD7846">
            <v>13500</v>
          </cell>
        </row>
        <row r="7847">
          <cell r="W7847" t="str">
            <v>QMATA02</v>
          </cell>
          <cell r="AD7847">
            <v>13500</v>
          </cell>
        </row>
        <row r="7848">
          <cell r="W7848" t="str">
            <v>QMATA02</v>
          </cell>
          <cell r="AD7848">
            <v>13800</v>
          </cell>
        </row>
        <row r="7849">
          <cell r="W7849" t="str">
            <v>QMATA02</v>
          </cell>
          <cell r="AD7849">
            <v>13800</v>
          </cell>
        </row>
        <row r="7850">
          <cell r="W7850" t="str">
            <v>QMATA02</v>
          </cell>
          <cell r="AD7850">
            <v>13850</v>
          </cell>
        </row>
        <row r="7851">
          <cell r="W7851" t="str">
            <v>QMATA02</v>
          </cell>
          <cell r="AD7851">
            <v>13850</v>
          </cell>
        </row>
        <row r="7852">
          <cell r="W7852" t="str">
            <v>QMATA02</v>
          </cell>
          <cell r="AD7852">
            <v>13900</v>
          </cell>
        </row>
        <row r="7853">
          <cell r="W7853" t="str">
            <v>QMATA02</v>
          </cell>
          <cell r="AD7853">
            <v>13900</v>
          </cell>
        </row>
        <row r="7854">
          <cell r="W7854" t="str">
            <v>QMATA02</v>
          </cell>
          <cell r="AD7854">
            <v>14000</v>
          </cell>
        </row>
        <row r="7855">
          <cell r="W7855" t="str">
            <v>QMATA02</v>
          </cell>
          <cell r="AD7855">
            <v>14000</v>
          </cell>
        </row>
        <row r="7856">
          <cell r="W7856" t="str">
            <v>QMATA03</v>
          </cell>
          <cell r="AD7856">
            <v>19000</v>
          </cell>
        </row>
        <row r="7857">
          <cell r="W7857" t="str">
            <v>QMATA03</v>
          </cell>
          <cell r="AD7857">
            <v>19500</v>
          </cell>
        </row>
        <row r="7858">
          <cell r="W7858" t="str">
            <v>QMATA03</v>
          </cell>
          <cell r="AD7858">
            <v>19500</v>
          </cell>
        </row>
        <row r="7859">
          <cell r="W7859" t="str">
            <v>QMATA03</v>
          </cell>
          <cell r="AD7859">
            <v>19500</v>
          </cell>
        </row>
        <row r="7860">
          <cell r="W7860" t="str">
            <v>QMATA03</v>
          </cell>
          <cell r="AD7860">
            <v>19700</v>
          </cell>
        </row>
        <row r="7861">
          <cell r="W7861" t="str">
            <v>QMATA03</v>
          </cell>
          <cell r="AD7861">
            <v>19700</v>
          </cell>
        </row>
        <row r="7862">
          <cell r="W7862" t="str">
            <v>QMATA03</v>
          </cell>
          <cell r="AD7862">
            <v>19700</v>
          </cell>
        </row>
        <row r="7863">
          <cell r="W7863" t="str">
            <v>QMATA03</v>
          </cell>
          <cell r="AD7863">
            <v>19700</v>
          </cell>
        </row>
        <row r="7864">
          <cell r="W7864" t="str">
            <v>QMATA03</v>
          </cell>
          <cell r="AD7864">
            <v>19700</v>
          </cell>
        </row>
        <row r="7865">
          <cell r="W7865" t="str">
            <v>QMATA03</v>
          </cell>
          <cell r="AD7865">
            <v>19700</v>
          </cell>
        </row>
        <row r="7866">
          <cell r="W7866" t="str">
            <v>QMATA03</v>
          </cell>
          <cell r="AD7866">
            <v>19700</v>
          </cell>
        </row>
        <row r="7867">
          <cell r="W7867" t="str">
            <v>QMATA03</v>
          </cell>
          <cell r="AD7867">
            <v>19700</v>
          </cell>
        </row>
        <row r="7868">
          <cell r="W7868" t="str">
            <v>QMATA03</v>
          </cell>
          <cell r="AD7868">
            <v>19700</v>
          </cell>
        </row>
        <row r="7869">
          <cell r="W7869" t="str">
            <v>QMATA03</v>
          </cell>
          <cell r="AD7869">
            <v>19700</v>
          </cell>
        </row>
        <row r="7870">
          <cell r="W7870" t="str">
            <v>QMATA03</v>
          </cell>
          <cell r="AD7870">
            <v>19750</v>
          </cell>
        </row>
        <row r="7871">
          <cell r="W7871" t="str">
            <v>QMATA03</v>
          </cell>
          <cell r="AD7871">
            <v>19750</v>
          </cell>
        </row>
        <row r="7872">
          <cell r="W7872" t="str">
            <v>QMATA03</v>
          </cell>
          <cell r="AD7872">
            <v>19800</v>
          </cell>
        </row>
        <row r="7873">
          <cell r="W7873" t="str">
            <v>QMATA03</v>
          </cell>
          <cell r="AD7873">
            <v>20500</v>
          </cell>
        </row>
        <row r="7874">
          <cell r="W7874" t="str">
            <v>QMATA04</v>
          </cell>
          <cell r="AD7874">
            <v>54500</v>
          </cell>
        </row>
        <row r="7875">
          <cell r="W7875" t="str">
            <v>QMATA04</v>
          </cell>
          <cell r="AD7875">
            <v>54500</v>
          </cell>
        </row>
        <row r="7876">
          <cell r="W7876" t="str">
            <v>QMATA04</v>
          </cell>
          <cell r="AD7876">
            <v>54500</v>
          </cell>
        </row>
        <row r="7877">
          <cell r="W7877" t="str">
            <v>QMATA04</v>
          </cell>
          <cell r="AD7877">
            <v>54500</v>
          </cell>
        </row>
        <row r="7878">
          <cell r="W7878" t="str">
            <v>QMATA04</v>
          </cell>
          <cell r="AD7878">
            <v>54500</v>
          </cell>
        </row>
        <row r="7879">
          <cell r="W7879" t="str">
            <v>QMATA04</v>
          </cell>
          <cell r="AD7879">
            <v>54500</v>
          </cell>
        </row>
        <row r="7880">
          <cell r="W7880" t="str">
            <v>QMATA04</v>
          </cell>
          <cell r="AD7880">
            <v>55000</v>
          </cell>
        </row>
        <row r="7881">
          <cell r="W7881" t="str">
            <v>QMATA04</v>
          </cell>
          <cell r="AD7881">
            <v>55000</v>
          </cell>
        </row>
        <row r="7882">
          <cell r="W7882" t="str">
            <v>QMATA04</v>
          </cell>
          <cell r="AD7882">
            <v>55000</v>
          </cell>
        </row>
        <row r="7883">
          <cell r="W7883" t="str">
            <v>QMATA04</v>
          </cell>
          <cell r="AD7883">
            <v>55000</v>
          </cell>
        </row>
        <row r="7884">
          <cell r="W7884" t="str">
            <v>QMATA04</v>
          </cell>
          <cell r="AD7884">
            <v>55750</v>
          </cell>
        </row>
        <row r="7885">
          <cell r="W7885" t="str">
            <v>QMATA04</v>
          </cell>
          <cell r="AD7885">
            <v>55800</v>
          </cell>
        </row>
        <row r="7886">
          <cell r="W7886" t="str">
            <v>QMATC01</v>
          </cell>
          <cell r="AD7886">
            <v>54250</v>
          </cell>
        </row>
        <row r="7887">
          <cell r="W7887" t="str">
            <v>QMATC01</v>
          </cell>
          <cell r="AD7887">
            <v>54250</v>
          </cell>
        </row>
        <row r="7888">
          <cell r="W7888" t="str">
            <v>QMATC01</v>
          </cell>
          <cell r="AD7888">
            <v>54500</v>
          </cell>
        </row>
        <row r="7889">
          <cell r="W7889" t="str">
            <v>QMATC01</v>
          </cell>
          <cell r="AD7889">
            <v>54500</v>
          </cell>
        </row>
        <row r="7890">
          <cell r="W7890" t="str">
            <v>QMATC01</v>
          </cell>
          <cell r="AD7890">
            <v>54750</v>
          </cell>
        </row>
        <row r="7891">
          <cell r="W7891" t="str">
            <v>QMAXI01</v>
          </cell>
          <cell r="AD7891">
            <v>86000</v>
          </cell>
        </row>
        <row r="7892">
          <cell r="W7892" t="str">
            <v>QMAXI01</v>
          </cell>
          <cell r="AD7892">
            <v>87000</v>
          </cell>
        </row>
        <row r="7893">
          <cell r="W7893" t="str">
            <v>QMAXI01</v>
          </cell>
          <cell r="AD7893">
            <v>88000</v>
          </cell>
        </row>
        <row r="7894">
          <cell r="W7894" t="str">
            <v>QMEGA04</v>
          </cell>
          <cell r="AD7894">
            <v>185000</v>
          </cell>
        </row>
        <row r="7895">
          <cell r="W7895" t="str">
            <v>QMEGA04</v>
          </cell>
          <cell r="AD7895">
            <v>190000</v>
          </cell>
        </row>
        <row r="7896">
          <cell r="W7896" t="str">
            <v>QMEGA04</v>
          </cell>
          <cell r="AD7896">
            <v>190000</v>
          </cell>
        </row>
        <row r="7897">
          <cell r="W7897" t="str">
            <v>QMEGA04</v>
          </cell>
          <cell r="AD7897">
            <v>190000</v>
          </cell>
        </row>
        <row r="7898">
          <cell r="W7898" t="str">
            <v>QMEGA04</v>
          </cell>
          <cell r="AD7898">
            <v>190000</v>
          </cell>
        </row>
        <row r="7899">
          <cell r="W7899" t="str">
            <v>QMEGA01</v>
          </cell>
          <cell r="AD7899">
            <v>65000</v>
          </cell>
        </row>
        <row r="7900">
          <cell r="W7900" t="str">
            <v>QMEGA01</v>
          </cell>
          <cell r="AD7900">
            <v>65000</v>
          </cell>
        </row>
        <row r="7901">
          <cell r="W7901" t="str">
            <v>QMEGA01</v>
          </cell>
          <cell r="AD7901">
            <v>65000</v>
          </cell>
        </row>
        <row r="7902">
          <cell r="W7902" t="str">
            <v>QMEGA01</v>
          </cell>
          <cell r="AD7902">
            <v>65000</v>
          </cell>
        </row>
        <row r="7903">
          <cell r="W7903" t="str">
            <v>QMEGA01</v>
          </cell>
          <cell r="AD7903">
            <v>65000</v>
          </cell>
        </row>
        <row r="7904">
          <cell r="W7904" t="str">
            <v>QMEGA01</v>
          </cell>
          <cell r="AD7904">
            <v>65000</v>
          </cell>
        </row>
        <row r="7905">
          <cell r="W7905" t="str">
            <v>QMELO01</v>
          </cell>
          <cell r="AD7905">
            <v>107000</v>
          </cell>
        </row>
        <row r="7906">
          <cell r="W7906" t="str">
            <v>QMELO01</v>
          </cell>
          <cell r="AD7906">
            <v>108000</v>
          </cell>
        </row>
        <row r="7907">
          <cell r="W7907" t="str">
            <v>QMELO01</v>
          </cell>
          <cell r="AD7907">
            <v>108000</v>
          </cell>
        </row>
        <row r="7908">
          <cell r="W7908" t="str">
            <v>QMELO01</v>
          </cell>
          <cell r="AD7908">
            <v>108000</v>
          </cell>
        </row>
        <row r="7909">
          <cell r="W7909" t="str">
            <v>QMELO01</v>
          </cell>
          <cell r="AD7909">
            <v>108000</v>
          </cell>
        </row>
        <row r="7910">
          <cell r="W7910" t="str">
            <v>QMELO01</v>
          </cell>
          <cell r="AD7910">
            <v>110000</v>
          </cell>
        </row>
        <row r="7911">
          <cell r="W7911" t="str">
            <v>QMELO01</v>
          </cell>
          <cell r="AD7911">
            <v>110000</v>
          </cell>
        </row>
        <row r="7912">
          <cell r="W7912" t="str">
            <v>QMELO01</v>
          </cell>
          <cell r="AD7912">
            <v>111000</v>
          </cell>
        </row>
        <row r="7913">
          <cell r="W7913" t="str">
            <v>QMELO01</v>
          </cell>
          <cell r="AD7913">
            <v>111000</v>
          </cell>
        </row>
        <row r="7914">
          <cell r="W7914" t="str">
            <v>QMELO01</v>
          </cell>
          <cell r="AD7914">
            <v>111000</v>
          </cell>
        </row>
        <row r="7915">
          <cell r="W7915" t="str">
            <v>QMELO10</v>
          </cell>
          <cell r="AD7915">
            <v>210000</v>
          </cell>
        </row>
        <row r="7916">
          <cell r="W7916" t="str">
            <v>QMELO10</v>
          </cell>
          <cell r="AD7916">
            <v>210000</v>
          </cell>
        </row>
        <row r="7917">
          <cell r="W7917" t="str">
            <v>QMELO10</v>
          </cell>
          <cell r="AD7917">
            <v>220000</v>
          </cell>
        </row>
        <row r="7918">
          <cell r="W7918" t="str">
            <v>QMELO10</v>
          </cell>
          <cell r="AD7918">
            <v>220000</v>
          </cell>
        </row>
        <row r="7919">
          <cell r="W7919" t="str">
            <v>QMELO10</v>
          </cell>
          <cell r="AD7919">
            <v>220000</v>
          </cell>
        </row>
        <row r="7920">
          <cell r="W7920" t="str">
            <v>QMELO10</v>
          </cell>
          <cell r="AD7920">
            <v>220000</v>
          </cell>
        </row>
        <row r="7921">
          <cell r="W7921" t="str">
            <v>QMELO10</v>
          </cell>
          <cell r="AD7921">
            <v>220000</v>
          </cell>
        </row>
        <row r="7922">
          <cell r="W7922" t="str">
            <v>QMELO10</v>
          </cell>
          <cell r="AD7922">
            <v>225000</v>
          </cell>
        </row>
        <row r="7923">
          <cell r="W7923" t="str">
            <v>QMELO10</v>
          </cell>
          <cell r="AD7923">
            <v>225000</v>
          </cell>
        </row>
        <row r="7924">
          <cell r="W7924" t="str">
            <v>QMELO10</v>
          </cell>
          <cell r="AD7924">
            <v>225000</v>
          </cell>
        </row>
        <row r="7925">
          <cell r="W7925" t="str">
            <v>QMELO10</v>
          </cell>
          <cell r="AD7925">
            <v>225000</v>
          </cell>
        </row>
        <row r="7926">
          <cell r="W7926" t="str">
            <v>QMELO10</v>
          </cell>
          <cell r="AD7926">
            <v>225000</v>
          </cell>
        </row>
        <row r="7927">
          <cell r="W7927" t="str">
            <v>QMELO10</v>
          </cell>
          <cell r="AD7927">
            <v>225000</v>
          </cell>
        </row>
        <row r="7928">
          <cell r="W7928" t="str">
            <v>QMELO10</v>
          </cell>
          <cell r="AD7928">
            <v>225000</v>
          </cell>
        </row>
        <row r="7929">
          <cell r="W7929" t="str">
            <v>QMELO10</v>
          </cell>
          <cell r="AD7929">
            <v>225000</v>
          </cell>
        </row>
        <row r="7930">
          <cell r="W7930" t="str">
            <v>QMELO10</v>
          </cell>
          <cell r="AD7930">
            <v>225000</v>
          </cell>
        </row>
        <row r="7931">
          <cell r="W7931" t="str">
            <v>QMELO10</v>
          </cell>
          <cell r="AD7931">
            <v>225000</v>
          </cell>
        </row>
        <row r="7932">
          <cell r="W7932" t="str">
            <v>QMELO10</v>
          </cell>
          <cell r="AD7932">
            <v>225000</v>
          </cell>
        </row>
        <row r="7933">
          <cell r="W7933" t="str">
            <v>QMELO10</v>
          </cell>
          <cell r="AD7933">
            <v>225000</v>
          </cell>
        </row>
        <row r="7934">
          <cell r="W7934" t="str">
            <v>QMELO10</v>
          </cell>
          <cell r="AD7934">
            <v>225000</v>
          </cell>
        </row>
        <row r="7935">
          <cell r="W7935" t="str">
            <v>QMELO10</v>
          </cell>
          <cell r="AD7935">
            <v>225000</v>
          </cell>
        </row>
        <row r="7936">
          <cell r="W7936" t="str">
            <v>AMELO10</v>
          </cell>
          <cell r="AD7936">
            <v>225000</v>
          </cell>
        </row>
        <row r="7937">
          <cell r="W7937" t="str">
            <v>AMELO10</v>
          </cell>
          <cell r="AD7937">
            <v>225000</v>
          </cell>
        </row>
        <row r="7938">
          <cell r="W7938" t="str">
            <v>QMELO10</v>
          </cell>
          <cell r="AD7938">
            <v>225000</v>
          </cell>
        </row>
        <row r="7939">
          <cell r="W7939" t="str">
            <v>QMELO10</v>
          </cell>
          <cell r="AD7939">
            <v>225000</v>
          </cell>
        </row>
        <row r="7940">
          <cell r="W7940" t="str">
            <v>QMELO15</v>
          </cell>
          <cell r="AD7940">
            <v>230000</v>
          </cell>
        </row>
        <row r="7941">
          <cell r="W7941" t="str">
            <v>QMELO15</v>
          </cell>
          <cell r="AD7941">
            <v>235000</v>
          </cell>
        </row>
        <row r="7942">
          <cell r="W7942" t="str">
            <v>QMELO13</v>
          </cell>
          <cell r="AD7942">
            <v>149000</v>
          </cell>
        </row>
        <row r="7943">
          <cell r="W7943" t="str">
            <v>QMELO13</v>
          </cell>
          <cell r="AD7943">
            <v>149000</v>
          </cell>
        </row>
        <row r="7944">
          <cell r="W7944" t="str">
            <v>QMELO13</v>
          </cell>
          <cell r="AD7944">
            <v>149000</v>
          </cell>
        </row>
        <row r="7945">
          <cell r="W7945" t="str">
            <v>QMELO13</v>
          </cell>
          <cell r="AD7945">
            <v>149000</v>
          </cell>
        </row>
        <row r="7946">
          <cell r="W7946" t="str">
            <v>QMELO13</v>
          </cell>
          <cell r="AD7946">
            <v>149000</v>
          </cell>
        </row>
        <row r="7947">
          <cell r="W7947" t="str">
            <v>QMELO13</v>
          </cell>
          <cell r="AD7947">
            <v>149000</v>
          </cell>
        </row>
        <row r="7948">
          <cell r="W7948" t="str">
            <v>QMELO13</v>
          </cell>
          <cell r="AD7948">
            <v>149000</v>
          </cell>
        </row>
        <row r="7949">
          <cell r="W7949" t="str">
            <v>QMELO13</v>
          </cell>
          <cell r="AD7949">
            <v>149000</v>
          </cell>
        </row>
        <row r="7950">
          <cell r="W7950" t="str">
            <v>QMELO13</v>
          </cell>
          <cell r="AD7950">
            <v>152000</v>
          </cell>
        </row>
        <row r="7951">
          <cell r="W7951" t="str">
            <v>QMELO13</v>
          </cell>
          <cell r="AD7951">
            <v>152000</v>
          </cell>
        </row>
        <row r="7952">
          <cell r="W7952" t="str">
            <v>QMELO13</v>
          </cell>
          <cell r="AD7952">
            <v>152000</v>
          </cell>
        </row>
        <row r="7953">
          <cell r="W7953" t="str">
            <v>QMELO13</v>
          </cell>
          <cell r="AD7953">
            <v>152000</v>
          </cell>
        </row>
        <row r="7954">
          <cell r="W7954" t="str">
            <v>QMELO13</v>
          </cell>
          <cell r="AD7954">
            <v>152000</v>
          </cell>
        </row>
        <row r="7955">
          <cell r="W7955" t="str">
            <v>QMELO13</v>
          </cell>
          <cell r="AD7955">
            <v>170000</v>
          </cell>
        </row>
        <row r="7956">
          <cell r="W7956" t="str">
            <v>QMELO13</v>
          </cell>
          <cell r="AD7956">
            <v>170000</v>
          </cell>
        </row>
        <row r="7957">
          <cell r="W7957" t="str">
            <v>QMELO13</v>
          </cell>
          <cell r="AD7957">
            <v>170000</v>
          </cell>
        </row>
        <row r="7958">
          <cell r="W7958" t="str">
            <v>QMELO13</v>
          </cell>
          <cell r="AD7958">
            <v>175000</v>
          </cell>
        </row>
        <row r="7959">
          <cell r="W7959" t="str">
            <v>QMELO13</v>
          </cell>
          <cell r="AD7959">
            <v>175000</v>
          </cell>
        </row>
        <row r="7960">
          <cell r="W7960" t="str">
            <v>QMELO13</v>
          </cell>
          <cell r="AD7960">
            <v>175000</v>
          </cell>
        </row>
        <row r="7961">
          <cell r="W7961" t="str">
            <v>QMELO13</v>
          </cell>
          <cell r="AD7961">
            <v>175000</v>
          </cell>
        </row>
        <row r="7962">
          <cell r="W7962" t="str">
            <v>QMELO06</v>
          </cell>
          <cell r="AD7962">
            <v>164000</v>
          </cell>
        </row>
        <row r="7963">
          <cell r="W7963" t="str">
            <v>QMELO06</v>
          </cell>
          <cell r="AD7963">
            <v>166000</v>
          </cell>
        </row>
        <row r="7964">
          <cell r="W7964" t="str">
            <v>QMELO06</v>
          </cell>
          <cell r="AD7964">
            <v>170000</v>
          </cell>
        </row>
        <row r="7965">
          <cell r="W7965" t="str">
            <v>QMELO06</v>
          </cell>
          <cell r="AD7965">
            <v>170000</v>
          </cell>
        </row>
        <row r="7966">
          <cell r="W7966" t="str">
            <v>QMELO06</v>
          </cell>
          <cell r="AD7966">
            <v>170000</v>
          </cell>
        </row>
        <row r="7967">
          <cell r="W7967" t="str">
            <v>QMELO06</v>
          </cell>
          <cell r="AD7967">
            <v>180000</v>
          </cell>
        </row>
        <row r="7968">
          <cell r="W7968" t="str">
            <v>QMELO06</v>
          </cell>
          <cell r="AD7968">
            <v>185000</v>
          </cell>
        </row>
        <row r="7969">
          <cell r="W7969" t="str">
            <v>QMESI03</v>
          </cell>
          <cell r="AD7969">
            <v>175000</v>
          </cell>
        </row>
        <row r="7970">
          <cell r="W7970" t="str">
            <v>QMESI03</v>
          </cell>
          <cell r="AD7970">
            <v>190000</v>
          </cell>
        </row>
        <row r="7971">
          <cell r="W7971" t="str">
            <v>QMESI01</v>
          </cell>
          <cell r="AD7971">
            <v>175000</v>
          </cell>
        </row>
        <row r="7972">
          <cell r="W7972" t="str">
            <v>QMESI01</v>
          </cell>
          <cell r="AD7972">
            <v>175000</v>
          </cell>
        </row>
        <row r="7973">
          <cell r="W7973" t="str">
            <v>QMESI01</v>
          </cell>
          <cell r="AD7973">
            <v>175000</v>
          </cell>
        </row>
        <row r="7974">
          <cell r="W7974" t="str">
            <v>QMESI01</v>
          </cell>
          <cell r="AD7974">
            <v>185000</v>
          </cell>
        </row>
        <row r="7975">
          <cell r="W7975" t="str">
            <v>QMESI01</v>
          </cell>
          <cell r="AD7975">
            <v>185000</v>
          </cell>
        </row>
        <row r="7976">
          <cell r="W7976" t="str">
            <v>QMESI01</v>
          </cell>
          <cell r="AD7976">
            <v>185000</v>
          </cell>
        </row>
        <row r="7977">
          <cell r="W7977" t="str">
            <v>QMESI01</v>
          </cell>
          <cell r="AD7977">
            <v>185000</v>
          </cell>
        </row>
        <row r="7978">
          <cell r="W7978" t="str">
            <v>QMESI01</v>
          </cell>
          <cell r="AD7978">
            <v>190000</v>
          </cell>
        </row>
        <row r="7979">
          <cell r="W7979" t="str">
            <v>QMESI01</v>
          </cell>
          <cell r="AD7979">
            <v>190000</v>
          </cell>
        </row>
        <row r="7980">
          <cell r="W7980" t="str">
            <v>QMESI01</v>
          </cell>
          <cell r="AD7980">
            <v>190000</v>
          </cell>
        </row>
        <row r="7981">
          <cell r="W7981" t="str">
            <v>QMESI01</v>
          </cell>
          <cell r="AD7981">
            <v>190000</v>
          </cell>
        </row>
        <row r="7982">
          <cell r="W7982" t="str">
            <v>QMESI01</v>
          </cell>
          <cell r="AD7982">
            <v>190000</v>
          </cell>
        </row>
        <row r="7983">
          <cell r="W7983" t="str">
            <v>QMESI01</v>
          </cell>
          <cell r="AD7983">
            <v>190000</v>
          </cell>
        </row>
        <row r="7984">
          <cell r="W7984" t="str">
            <v>QMESI01</v>
          </cell>
          <cell r="AD7984">
            <v>190000</v>
          </cell>
        </row>
        <row r="7985">
          <cell r="W7985" t="str">
            <v>QMESI01</v>
          </cell>
          <cell r="AD7985">
            <v>190000</v>
          </cell>
        </row>
        <row r="7986">
          <cell r="W7986" t="str">
            <v>QMESI01</v>
          </cell>
          <cell r="AD7986">
            <v>195000</v>
          </cell>
        </row>
        <row r="7987">
          <cell r="W7987" t="str">
            <v>QMESI01</v>
          </cell>
          <cell r="AD7987">
            <v>195000</v>
          </cell>
        </row>
        <row r="7988">
          <cell r="W7988" t="str">
            <v>QMESI01</v>
          </cell>
          <cell r="AD7988">
            <v>200000</v>
          </cell>
        </row>
        <row r="7989">
          <cell r="W7989" t="str">
            <v>QMESI01</v>
          </cell>
          <cell r="AD7989">
            <v>200000</v>
          </cell>
        </row>
        <row r="7990">
          <cell r="W7990" t="str">
            <v>QMESI01</v>
          </cell>
          <cell r="AD7990">
            <v>200000</v>
          </cell>
        </row>
        <row r="7991">
          <cell r="W7991" t="str">
            <v>QMESI02</v>
          </cell>
          <cell r="AD7991">
            <v>175000</v>
          </cell>
        </row>
        <row r="7992">
          <cell r="W7992" t="str">
            <v>QMESI02</v>
          </cell>
          <cell r="AD7992">
            <v>175000</v>
          </cell>
        </row>
        <row r="7993">
          <cell r="W7993" t="str">
            <v>QMESI02</v>
          </cell>
          <cell r="AD7993">
            <v>175000</v>
          </cell>
        </row>
        <row r="7994">
          <cell r="W7994" t="str">
            <v>QMESI02</v>
          </cell>
          <cell r="AD7994">
            <v>185000</v>
          </cell>
        </row>
        <row r="7995">
          <cell r="W7995" t="str">
            <v>QMESI02</v>
          </cell>
          <cell r="AD7995">
            <v>185000</v>
          </cell>
        </row>
        <row r="7996">
          <cell r="W7996" t="str">
            <v>QMESI02</v>
          </cell>
          <cell r="AD7996">
            <v>185000</v>
          </cell>
        </row>
        <row r="7997">
          <cell r="W7997" t="str">
            <v>QMESI02</v>
          </cell>
          <cell r="AD7997">
            <v>190000</v>
          </cell>
        </row>
        <row r="7998">
          <cell r="W7998" t="str">
            <v>QMESI02</v>
          </cell>
          <cell r="AD7998">
            <v>190000</v>
          </cell>
        </row>
        <row r="7999">
          <cell r="W7999" t="str">
            <v>QMESI02</v>
          </cell>
          <cell r="AD7999">
            <v>190000</v>
          </cell>
        </row>
        <row r="8000">
          <cell r="W8000" t="str">
            <v>QMESI02</v>
          </cell>
          <cell r="AD8000">
            <v>190000</v>
          </cell>
        </row>
        <row r="8001">
          <cell r="W8001" t="str">
            <v>QMESI02</v>
          </cell>
          <cell r="AD8001">
            <v>190000</v>
          </cell>
        </row>
        <row r="8002">
          <cell r="W8002" t="str">
            <v>QMESI02</v>
          </cell>
          <cell r="AD8002">
            <v>190000</v>
          </cell>
        </row>
        <row r="8003">
          <cell r="W8003" t="str">
            <v>QMESI02</v>
          </cell>
          <cell r="AD8003">
            <v>195000</v>
          </cell>
        </row>
        <row r="8004">
          <cell r="W8004" t="str">
            <v>QMESI02</v>
          </cell>
          <cell r="AD8004">
            <v>195000</v>
          </cell>
        </row>
        <row r="8005">
          <cell r="W8005" t="str">
            <v>QMESI02</v>
          </cell>
          <cell r="AD8005">
            <v>195000</v>
          </cell>
        </row>
        <row r="8006">
          <cell r="W8006" t="str">
            <v>QMESI02</v>
          </cell>
          <cell r="AD8006">
            <v>200000</v>
          </cell>
        </row>
        <row r="8007">
          <cell r="W8007" t="str">
            <v>QMESI02</v>
          </cell>
          <cell r="AD8007">
            <v>200000</v>
          </cell>
        </row>
        <row r="8008">
          <cell r="W8008" t="str">
            <v>QMETA09</v>
          </cell>
          <cell r="AD8008">
            <v>18000</v>
          </cell>
        </row>
        <row r="8009">
          <cell r="W8009" t="str">
            <v>QMETA09</v>
          </cell>
          <cell r="AD8009">
            <v>18000</v>
          </cell>
        </row>
        <row r="8010">
          <cell r="W8010" t="str">
            <v>QMETA09</v>
          </cell>
          <cell r="AD8010">
            <v>18000</v>
          </cell>
        </row>
        <row r="8011">
          <cell r="W8011" t="str">
            <v>QMETA09</v>
          </cell>
          <cell r="AD8011">
            <v>18000</v>
          </cell>
        </row>
        <row r="8012">
          <cell r="W8012" t="str">
            <v>QMETA09</v>
          </cell>
          <cell r="AD8012">
            <v>18000</v>
          </cell>
        </row>
        <row r="8013">
          <cell r="W8013" t="str">
            <v>QMETA09</v>
          </cell>
          <cell r="AD8013">
            <v>18500</v>
          </cell>
        </row>
        <row r="8014">
          <cell r="W8014" t="str">
            <v>QMETA09</v>
          </cell>
          <cell r="AD8014">
            <v>19500</v>
          </cell>
        </row>
        <row r="8015">
          <cell r="W8015" t="str">
            <v>QMETA09</v>
          </cell>
          <cell r="AD8015">
            <v>19500</v>
          </cell>
        </row>
        <row r="8016">
          <cell r="W8016" t="str">
            <v>QMETA09</v>
          </cell>
          <cell r="AD8016">
            <v>20500</v>
          </cell>
        </row>
        <row r="8017">
          <cell r="W8017" t="str">
            <v>QMETA09</v>
          </cell>
          <cell r="AD8017">
            <v>20500</v>
          </cell>
        </row>
        <row r="8018">
          <cell r="W8018" t="str">
            <v>QMETA09</v>
          </cell>
          <cell r="AD8018">
            <v>20500</v>
          </cell>
        </row>
        <row r="8019">
          <cell r="W8019" t="str">
            <v>QMETA09</v>
          </cell>
          <cell r="AD8019">
            <v>20500</v>
          </cell>
        </row>
        <row r="8020">
          <cell r="W8020" t="str">
            <v>QMETA09</v>
          </cell>
          <cell r="AD8020">
            <v>20500</v>
          </cell>
        </row>
        <row r="8021">
          <cell r="W8021" t="str">
            <v>QMETA09</v>
          </cell>
          <cell r="AD8021">
            <v>20500</v>
          </cell>
        </row>
        <row r="8022">
          <cell r="W8022" t="str">
            <v>QMETA04</v>
          </cell>
          <cell r="AD8022">
            <v>135000</v>
          </cell>
        </row>
        <row r="8023">
          <cell r="W8023" t="str">
            <v>QMETA04</v>
          </cell>
          <cell r="AD8023">
            <v>135000</v>
          </cell>
        </row>
        <row r="8024">
          <cell r="W8024" t="str">
            <v>QMETA04</v>
          </cell>
          <cell r="AD8024">
            <v>135000</v>
          </cell>
        </row>
        <row r="8025">
          <cell r="W8025" t="str">
            <v>QMETA04</v>
          </cell>
          <cell r="AD8025">
            <v>135000</v>
          </cell>
        </row>
        <row r="8026">
          <cell r="W8026" t="str">
            <v>QMETA04</v>
          </cell>
          <cell r="AD8026">
            <v>135000</v>
          </cell>
        </row>
        <row r="8027">
          <cell r="W8027" t="str">
            <v>QMETA04</v>
          </cell>
          <cell r="AD8027">
            <v>135000</v>
          </cell>
        </row>
        <row r="8028">
          <cell r="W8028" t="str">
            <v>QMETA04</v>
          </cell>
          <cell r="AD8028">
            <v>155000</v>
          </cell>
        </row>
        <row r="8029">
          <cell r="W8029" t="str">
            <v>QMETA03</v>
          </cell>
          <cell r="AD8029">
            <v>69500</v>
          </cell>
        </row>
        <row r="8030">
          <cell r="W8030" t="str">
            <v>QMETA03</v>
          </cell>
          <cell r="AD8030">
            <v>69500</v>
          </cell>
        </row>
        <row r="8031">
          <cell r="W8031" t="str">
            <v>QMETA03</v>
          </cell>
          <cell r="AD8031">
            <v>69500</v>
          </cell>
        </row>
        <row r="8032">
          <cell r="W8032" t="str">
            <v>QMETA03</v>
          </cell>
          <cell r="AD8032">
            <v>69500</v>
          </cell>
        </row>
        <row r="8033">
          <cell r="W8033" t="str">
            <v>QMETA03</v>
          </cell>
          <cell r="AD8033">
            <v>69500</v>
          </cell>
        </row>
        <row r="8034">
          <cell r="W8034" t="str">
            <v>QMETA03</v>
          </cell>
          <cell r="AD8034">
            <v>69500</v>
          </cell>
        </row>
        <row r="8035">
          <cell r="W8035" t="str">
            <v>QMETA03</v>
          </cell>
          <cell r="AD8035">
            <v>69500</v>
          </cell>
        </row>
        <row r="8036">
          <cell r="W8036" t="str">
            <v>QMETA03</v>
          </cell>
          <cell r="AD8036">
            <v>69500</v>
          </cell>
        </row>
        <row r="8037">
          <cell r="W8037" t="str">
            <v>QMETA03</v>
          </cell>
          <cell r="AD8037">
            <v>69500</v>
          </cell>
        </row>
        <row r="8038">
          <cell r="W8038" t="str">
            <v>QMETA03</v>
          </cell>
          <cell r="AD8038">
            <v>69500</v>
          </cell>
        </row>
        <row r="8039">
          <cell r="W8039" t="str">
            <v>QMETA03</v>
          </cell>
          <cell r="AD8039">
            <v>69500</v>
          </cell>
        </row>
        <row r="8040">
          <cell r="W8040" t="str">
            <v>QMETA03</v>
          </cell>
          <cell r="AD8040">
            <v>69500</v>
          </cell>
        </row>
        <row r="8041">
          <cell r="W8041" t="str">
            <v>QMETA03</v>
          </cell>
          <cell r="AD8041">
            <v>69500</v>
          </cell>
        </row>
        <row r="8042">
          <cell r="W8042" t="str">
            <v>QMETA03</v>
          </cell>
          <cell r="AD8042">
            <v>69500</v>
          </cell>
        </row>
        <row r="8043">
          <cell r="W8043" t="str">
            <v>QMETA03</v>
          </cell>
          <cell r="AD8043">
            <v>70000</v>
          </cell>
        </row>
        <row r="8044">
          <cell r="W8044" t="str">
            <v>QMETA03</v>
          </cell>
          <cell r="AD8044">
            <v>72500</v>
          </cell>
        </row>
        <row r="8045">
          <cell r="W8045" t="str">
            <v>QMETA07</v>
          </cell>
          <cell r="AD8045">
            <v>40250</v>
          </cell>
        </row>
        <row r="8046">
          <cell r="W8046" t="str">
            <v>QMETA07</v>
          </cell>
          <cell r="AD8046">
            <v>41000</v>
          </cell>
        </row>
        <row r="8047">
          <cell r="W8047" t="str">
            <v>QMETA07</v>
          </cell>
          <cell r="AD8047">
            <v>41000</v>
          </cell>
        </row>
        <row r="8048">
          <cell r="W8048" t="str">
            <v>QMETA07</v>
          </cell>
          <cell r="AD8048">
            <v>41000</v>
          </cell>
        </row>
        <row r="8049">
          <cell r="W8049" t="str">
            <v>QMETA07</v>
          </cell>
          <cell r="AD8049">
            <v>41000</v>
          </cell>
        </row>
        <row r="8050">
          <cell r="W8050" t="str">
            <v>QMETA07</v>
          </cell>
          <cell r="AD8050">
            <v>41000</v>
          </cell>
        </row>
        <row r="8051">
          <cell r="W8051" t="str">
            <v>QMETA07</v>
          </cell>
          <cell r="AD8051">
            <v>41000</v>
          </cell>
        </row>
        <row r="8052">
          <cell r="W8052" t="str">
            <v>QMETA07</v>
          </cell>
          <cell r="AD8052">
            <v>41500</v>
          </cell>
        </row>
        <row r="8053">
          <cell r="W8053" t="str">
            <v>QMETA07</v>
          </cell>
          <cell r="AD8053">
            <v>41500</v>
          </cell>
        </row>
        <row r="8054">
          <cell r="W8054" t="str">
            <v>QMETA07</v>
          </cell>
          <cell r="AD8054">
            <v>41500</v>
          </cell>
        </row>
        <row r="8055">
          <cell r="W8055" t="str">
            <v>QMETA08</v>
          </cell>
          <cell r="AD8055">
            <v>11000</v>
          </cell>
        </row>
        <row r="8056">
          <cell r="W8056" t="str">
            <v>QMETA08</v>
          </cell>
          <cell r="AD8056">
            <v>11000</v>
          </cell>
        </row>
        <row r="8057">
          <cell r="W8057" t="str">
            <v>QMETA08</v>
          </cell>
          <cell r="AD8057">
            <v>11000</v>
          </cell>
        </row>
        <row r="8058">
          <cell r="W8058" t="str">
            <v>QMETI03</v>
          </cell>
          <cell r="AD8058">
            <v>14950</v>
          </cell>
        </row>
        <row r="8059">
          <cell r="W8059" t="str">
            <v>QMETI03</v>
          </cell>
          <cell r="AD8059">
            <v>14950</v>
          </cell>
        </row>
        <row r="8060">
          <cell r="W8060" t="str">
            <v>QMETI03</v>
          </cell>
          <cell r="AD8060">
            <v>15000</v>
          </cell>
        </row>
        <row r="8061">
          <cell r="W8061" t="str">
            <v>QMETI03</v>
          </cell>
          <cell r="AD8061">
            <v>15000</v>
          </cell>
        </row>
        <row r="8062">
          <cell r="W8062" t="str">
            <v>QMETI03</v>
          </cell>
          <cell r="AD8062">
            <v>15000</v>
          </cell>
        </row>
        <row r="8063">
          <cell r="W8063" t="str">
            <v>QMETI03</v>
          </cell>
          <cell r="AD8063">
            <v>15000</v>
          </cell>
        </row>
        <row r="8064">
          <cell r="W8064" t="str">
            <v>QMETI03</v>
          </cell>
          <cell r="AD8064">
            <v>15000</v>
          </cell>
        </row>
        <row r="8065">
          <cell r="W8065" t="str">
            <v>QMETI03</v>
          </cell>
          <cell r="AD8065">
            <v>15750</v>
          </cell>
        </row>
        <row r="8066">
          <cell r="W8066" t="str">
            <v>QMETI05</v>
          </cell>
          <cell r="AD8066">
            <v>35250</v>
          </cell>
        </row>
        <row r="8067">
          <cell r="W8067" t="str">
            <v>QMETI05</v>
          </cell>
          <cell r="AD8067">
            <v>36000</v>
          </cell>
        </row>
        <row r="8068">
          <cell r="W8068" t="str">
            <v>QMETI05</v>
          </cell>
          <cell r="AD8068">
            <v>36000</v>
          </cell>
        </row>
        <row r="8069">
          <cell r="W8069" t="str">
            <v>QMETI05</v>
          </cell>
          <cell r="AD8069">
            <v>36000</v>
          </cell>
        </row>
        <row r="8070">
          <cell r="W8070" t="str">
            <v>QMETI05</v>
          </cell>
          <cell r="AD8070">
            <v>36000</v>
          </cell>
        </row>
        <row r="8071">
          <cell r="W8071" t="str">
            <v>QMETI05</v>
          </cell>
          <cell r="AD8071">
            <v>36000</v>
          </cell>
        </row>
        <row r="8072">
          <cell r="W8072" t="str">
            <v>QMETI05</v>
          </cell>
          <cell r="AD8072">
            <v>36000</v>
          </cell>
        </row>
        <row r="8073">
          <cell r="W8073" t="str">
            <v>QMETI05</v>
          </cell>
          <cell r="AD8073">
            <v>36000</v>
          </cell>
        </row>
        <row r="8074">
          <cell r="W8074" t="str">
            <v>QMETI05</v>
          </cell>
          <cell r="AD8074">
            <v>36500</v>
          </cell>
        </row>
        <row r="8075">
          <cell r="W8075" t="str">
            <v>QMETI05</v>
          </cell>
          <cell r="AD8075">
            <v>36500</v>
          </cell>
        </row>
        <row r="8076">
          <cell r="W8076" t="str">
            <v>QMETI05</v>
          </cell>
          <cell r="AD8076">
            <v>36500</v>
          </cell>
        </row>
        <row r="8077">
          <cell r="W8077" t="str">
            <v>QMETI05</v>
          </cell>
          <cell r="AD8077">
            <v>36500</v>
          </cell>
        </row>
        <row r="8078">
          <cell r="W8078" t="str">
            <v>QMETI05</v>
          </cell>
          <cell r="AD8078">
            <v>36500</v>
          </cell>
        </row>
        <row r="8079">
          <cell r="W8079" t="str">
            <v>QMETI05</v>
          </cell>
          <cell r="AD8079">
            <v>36500</v>
          </cell>
        </row>
        <row r="8080">
          <cell r="W8080" t="str">
            <v>QMETI05</v>
          </cell>
          <cell r="AD8080">
            <v>36500</v>
          </cell>
        </row>
        <row r="8081">
          <cell r="W8081" t="str">
            <v>QMETI05</v>
          </cell>
          <cell r="AD8081">
            <v>37000</v>
          </cell>
        </row>
        <row r="8082">
          <cell r="W8082" t="str">
            <v>QMETI05</v>
          </cell>
          <cell r="AD8082">
            <v>37000</v>
          </cell>
        </row>
        <row r="8083">
          <cell r="W8083" t="str">
            <v>QMETI05</v>
          </cell>
          <cell r="AD8083">
            <v>37250</v>
          </cell>
        </row>
        <row r="8084">
          <cell r="W8084" t="str">
            <v>QMETI05</v>
          </cell>
          <cell r="AD8084">
            <v>38000</v>
          </cell>
        </row>
        <row r="8085">
          <cell r="W8085" t="str">
            <v>QMETI05</v>
          </cell>
          <cell r="AD8085">
            <v>38000</v>
          </cell>
        </row>
        <row r="8086">
          <cell r="W8086" t="str">
            <v>QMETI06</v>
          </cell>
          <cell r="AD8086">
            <v>67500</v>
          </cell>
        </row>
        <row r="8087">
          <cell r="W8087" t="str">
            <v>QMETI06</v>
          </cell>
          <cell r="AD8087">
            <v>67750</v>
          </cell>
        </row>
        <row r="8088">
          <cell r="W8088" t="str">
            <v>QMETI06</v>
          </cell>
          <cell r="AD8088">
            <v>68000</v>
          </cell>
        </row>
        <row r="8089">
          <cell r="W8089" t="str">
            <v>QMETI06</v>
          </cell>
          <cell r="AD8089">
            <v>68000</v>
          </cell>
        </row>
        <row r="8090">
          <cell r="W8090" t="str">
            <v>QMETI06</v>
          </cell>
          <cell r="AD8090">
            <v>68000</v>
          </cell>
        </row>
        <row r="8091">
          <cell r="W8091" t="str">
            <v>QMETI06</v>
          </cell>
          <cell r="AD8091">
            <v>69200</v>
          </cell>
        </row>
        <row r="8092">
          <cell r="W8092" t="str">
            <v>QMETI06</v>
          </cell>
          <cell r="AD8092">
            <v>69200</v>
          </cell>
        </row>
        <row r="8093">
          <cell r="W8093" t="str">
            <v>QMETI06</v>
          </cell>
          <cell r="AD8093">
            <v>69250</v>
          </cell>
        </row>
        <row r="8094">
          <cell r="W8094" t="str">
            <v>QMETI06</v>
          </cell>
          <cell r="AD8094">
            <v>69250</v>
          </cell>
        </row>
        <row r="8095">
          <cell r="W8095" t="str">
            <v>QMETI06</v>
          </cell>
          <cell r="AD8095">
            <v>69250</v>
          </cell>
        </row>
        <row r="8096">
          <cell r="W8096" t="str">
            <v>QMETI06</v>
          </cell>
          <cell r="AD8096">
            <v>69500</v>
          </cell>
        </row>
        <row r="8097">
          <cell r="W8097" t="str">
            <v>QMETI06</v>
          </cell>
          <cell r="AD8097">
            <v>69500</v>
          </cell>
        </row>
        <row r="8098">
          <cell r="W8098" t="str">
            <v>QMETI06</v>
          </cell>
          <cell r="AD8098">
            <v>70000</v>
          </cell>
        </row>
        <row r="8099">
          <cell r="W8099" t="str">
            <v>QMETI06</v>
          </cell>
          <cell r="AD8099">
            <v>70000</v>
          </cell>
        </row>
        <row r="8100">
          <cell r="W8100" t="str">
            <v>QMETI06</v>
          </cell>
          <cell r="AD8100">
            <v>70000</v>
          </cell>
        </row>
        <row r="8101">
          <cell r="W8101" t="str">
            <v>QMETI06</v>
          </cell>
          <cell r="AD8101">
            <v>71500</v>
          </cell>
        </row>
        <row r="8102">
          <cell r="W8102" t="str">
            <v>QMETI06</v>
          </cell>
          <cell r="AD8102">
            <v>74000</v>
          </cell>
        </row>
        <row r="8103">
          <cell r="W8103" t="str">
            <v>QMETI06</v>
          </cell>
          <cell r="AD8103">
            <v>75000</v>
          </cell>
        </row>
        <row r="8104">
          <cell r="W8104" t="str">
            <v>QMETI01</v>
          </cell>
          <cell r="AD8104">
            <v>21500</v>
          </cell>
        </row>
        <row r="8105">
          <cell r="W8105" t="str">
            <v>QMETI01</v>
          </cell>
          <cell r="AD8105">
            <v>21500</v>
          </cell>
        </row>
        <row r="8106">
          <cell r="W8106" t="str">
            <v>QMETI01</v>
          </cell>
          <cell r="AD8106">
            <v>21500</v>
          </cell>
        </row>
        <row r="8107">
          <cell r="W8107" t="str">
            <v>QMETI01</v>
          </cell>
          <cell r="AD8107">
            <v>22000</v>
          </cell>
        </row>
        <row r="8108">
          <cell r="W8108" t="str">
            <v>QMETI01</v>
          </cell>
          <cell r="AD8108">
            <v>22000</v>
          </cell>
        </row>
        <row r="8109">
          <cell r="W8109" t="str">
            <v>QMETI01</v>
          </cell>
          <cell r="AD8109">
            <v>22000</v>
          </cell>
        </row>
        <row r="8110">
          <cell r="W8110" t="str">
            <v>QMETI01</v>
          </cell>
          <cell r="AD8110">
            <v>22000</v>
          </cell>
        </row>
        <row r="8111">
          <cell r="W8111" t="str">
            <v>QMETI01</v>
          </cell>
          <cell r="AD8111">
            <v>22000</v>
          </cell>
        </row>
        <row r="8112">
          <cell r="W8112" t="str">
            <v>QMETI01</v>
          </cell>
          <cell r="AD8112">
            <v>22000</v>
          </cell>
        </row>
        <row r="8113">
          <cell r="W8113" t="str">
            <v>QMETI01</v>
          </cell>
          <cell r="AD8113">
            <v>22500</v>
          </cell>
        </row>
        <row r="8114">
          <cell r="W8114" t="str">
            <v>QMETI01</v>
          </cell>
          <cell r="AD8114">
            <v>22500</v>
          </cell>
        </row>
        <row r="8115">
          <cell r="W8115" t="str">
            <v>QMETI01</v>
          </cell>
          <cell r="AD8115">
            <v>22750</v>
          </cell>
        </row>
        <row r="8116">
          <cell r="W8116" t="str">
            <v>QMETI01</v>
          </cell>
          <cell r="AD8116">
            <v>22750</v>
          </cell>
        </row>
        <row r="8117">
          <cell r="W8117" t="str">
            <v>QMETI01</v>
          </cell>
          <cell r="AD8117">
            <v>23000</v>
          </cell>
        </row>
        <row r="8118">
          <cell r="W8118" t="str">
            <v>QMETI01</v>
          </cell>
          <cell r="AD8118">
            <v>23000</v>
          </cell>
        </row>
        <row r="8119">
          <cell r="W8119" t="str">
            <v>QMETI01</v>
          </cell>
          <cell r="AD8119">
            <v>23000</v>
          </cell>
        </row>
        <row r="8120">
          <cell r="W8120" t="str">
            <v>QMETI01</v>
          </cell>
          <cell r="AD8120">
            <v>23000</v>
          </cell>
        </row>
        <row r="8121">
          <cell r="W8121" t="str">
            <v>QMETI01</v>
          </cell>
          <cell r="AD8121">
            <v>23000</v>
          </cell>
        </row>
        <row r="8122">
          <cell r="W8122" t="str">
            <v>QMETI01</v>
          </cell>
          <cell r="AD8122">
            <v>23000</v>
          </cell>
        </row>
        <row r="8123">
          <cell r="W8123" t="str">
            <v>QMETI01</v>
          </cell>
          <cell r="AD8123">
            <v>23000</v>
          </cell>
        </row>
        <row r="8124">
          <cell r="W8124" t="str">
            <v>QMETI01</v>
          </cell>
          <cell r="AD8124">
            <v>23000</v>
          </cell>
        </row>
        <row r="8125">
          <cell r="W8125" t="str">
            <v>QMETI01</v>
          </cell>
          <cell r="AD8125">
            <v>23000</v>
          </cell>
        </row>
        <row r="8126">
          <cell r="W8126" t="str">
            <v>QMETI01</v>
          </cell>
          <cell r="AD8126">
            <v>23000</v>
          </cell>
        </row>
        <row r="8127">
          <cell r="W8127" t="str">
            <v>QMETI01</v>
          </cell>
          <cell r="AD8127">
            <v>23000</v>
          </cell>
        </row>
        <row r="8128">
          <cell r="W8128" t="str">
            <v>QMETI01</v>
          </cell>
          <cell r="AD8128">
            <v>23000</v>
          </cell>
        </row>
        <row r="8129">
          <cell r="W8129" t="str">
            <v>QMETI01</v>
          </cell>
          <cell r="AD8129">
            <v>23000</v>
          </cell>
        </row>
        <row r="8130">
          <cell r="W8130" t="str">
            <v>QMETI01</v>
          </cell>
          <cell r="AD8130">
            <v>23000</v>
          </cell>
        </row>
        <row r="8131">
          <cell r="W8131" t="str">
            <v>QMETI01</v>
          </cell>
          <cell r="AD8131">
            <v>23000</v>
          </cell>
        </row>
        <row r="8132">
          <cell r="W8132" t="str">
            <v>QMETI01</v>
          </cell>
          <cell r="AD8132">
            <v>23000</v>
          </cell>
        </row>
        <row r="8133">
          <cell r="W8133" t="str">
            <v>QMETI01</v>
          </cell>
          <cell r="AD8133">
            <v>23000</v>
          </cell>
        </row>
        <row r="8134">
          <cell r="W8134" t="str">
            <v>QMETI01</v>
          </cell>
          <cell r="AD8134">
            <v>23000</v>
          </cell>
        </row>
        <row r="8135">
          <cell r="W8135" t="str">
            <v>QMETI01</v>
          </cell>
          <cell r="AD8135">
            <v>23000</v>
          </cell>
        </row>
        <row r="8136">
          <cell r="W8136" t="str">
            <v>QMETI01</v>
          </cell>
          <cell r="AD8136">
            <v>23500</v>
          </cell>
        </row>
        <row r="8137">
          <cell r="W8137" t="str">
            <v>QMETI01</v>
          </cell>
          <cell r="AD8137">
            <v>23500</v>
          </cell>
        </row>
        <row r="8138">
          <cell r="W8138" t="str">
            <v>QMETI01</v>
          </cell>
          <cell r="AD8138">
            <v>23500</v>
          </cell>
        </row>
        <row r="8139">
          <cell r="W8139" t="str">
            <v>QMETI01</v>
          </cell>
          <cell r="AD8139">
            <v>24250</v>
          </cell>
        </row>
        <row r="8140">
          <cell r="W8140" t="str">
            <v>QMETI01</v>
          </cell>
          <cell r="AD8140">
            <v>25000</v>
          </cell>
        </row>
        <row r="8141">
          <cell r="W8141" t="str">
            <v>QMETI01</v>
          </cell>
          <cell r="AD8141">
            <v>25000</v>
          </cell>
        </row>
        <row r="8142">
          <cell r="W8142" t="str">
            <v>QMETI01</v>
          </cell>
          <cell r="AD8142">
            <v>25000</v>
          </cell>
        </row>
        <row r="8143">
          <cell r="W8143" t="str">
            <v>QMETI02</v>
          </cell>
          <cell r="AD8143">
            <v>41750</v>
          </cell>
        </row>
        <row r="8144">
          <cell r="W8144" t="str">
            <v>QMETI02</v>
          </cell>
          <cell r="AD8144">
            <v>41750</v>
          </cell>
        </row>
        <row r="8145">
          <cell r="W8145" t="str">
            <v>QMETI02</v>
          </cell>
          <cell r="AD8145">
            <v>42000</v>
          </cell>
        </row>
        <row r="8146">
          <cell r="W8146" t="str">
            <v>QMETI02</v>
          </cell>
          <cell r="AD8146">
            <v>42000</v>
          </cell>
        </row>
        <row r="8147">
          <cell r="W8147" t="str">
            <v>QMETI02</v>
          </cell>
          <cell r="AD8147">
            <v>42000</v>
          </cell>
        </row>
        <row r="8148">
          <cell r="W8148" t="str">
            <v>QMETI02</v>
          </cell>
          <cell r="AD8148">
            <v>42000</v>
          </cell>
        </row>
        <row r="8149">
          <cell r="W8149" t="str">
            <v>QMETI02</v>
          </cell>
          <cell r="AD8149">
            <v>42500</v>
          </cell>
        </row>
        <row r="8150">
          <cell r="W8150" t="str">
            <v>QMETI02</v>
          </cell>
          <cell r="AD8150">
            <v>42500</v>
          </cell>
        </row>
        <row r="8151">
          <cell r="W8151" t="str">
            <v>QMETI02</v>
          </cell>
          <cell r="AD8151">
            <v>42900</v>
          </cell>
        </row>
        <row r="8152">
          <cell r="W8152" t="str">
            <v>QMETI02</v>
          </cell>
          <cell r="AD8152">
            <v>43500</v>
          </cell>
        </row>
        <row r="8153">
          <cell r="W8153" t="str">
            <v>QMETI02</v>
          </cell>
          <cell r="AD8153">
            <v>43500</v>
          </cell>
        </row>
        <row r="8154">
          <cell r="W8154" t="str">
            <v>QMETI02</v>
          </cell>
          <cell r="AD8154">
            <v>43500</v>
          </cell>
        </row>
        <row r="8155">
          <cell r="W8155" t="str">
            <v>QMETI02</v>
          </cell>
          <cell r="AD8155">
            <v>43500</v>
          </cell>
        </row>
        <row r="8156">
          <cell r="W8156" t="str">
            <v>QMETI02</v>
          </cell>
          <cell r="AD8156">
            <v>43500</v>
          </cell>
        </row>
        <row r="8157">
          <cell r="W8157" t="str">
            <v>QMETI02</v>
          </cell>
          <cell r="AD8157">
            <v>43500</v>
          </cell>
        </row>
        <row r="8158">
          <cell r="W8158" t="str">
            <v>QMETI02</v>
          </cell>
          <cell r="AD8158">
            <v>43500</v>
          </cell>
        </row>
        <row r="8159">
          <cell r="W8159" t="str">
            <v>QMETI02</v>
          </cell>
          <cell r="AD8159">
            <v>43500</v>
          </cell>
        </row>
        <row r="8160">
          <cell r="W8160" t="str">
            <v>QMETI02</v>
          </cell>
          <cell r="AD8160">
            <v>43500</v>
          </cell>
        </row>
        <row r="8161">
          <cell r="W8161" t="str">
            <v>QMETI02</v>
          </cell>
          <cell r="AD8161">
            <v>43500</v>
          </cell>
        </row>
        <row r="8162">
          <cell r="W8162" t="str">
            <v>QMETI02</v>
          </cell>
          <cell r="AD8162">
            <v>43500</v>
          </cell>
        </row>
        <row r="8163">
          <cell r="W8163" t="str">
            <v>QMETI02</v>
          </cell>
          <cell r="AD8163">
            <v>43500</v>
          </cell>
        </row>
        <row r="8164">
          <cell r="W8164" t="str">
            <v>QMETI02</v>
          </cell>
          <cell r="AD8164">
            <v>43500</v>
          </cell>
        </row>
        <row r="8165">
          <cell r="W8165" t="str">
            <v>QMETI02</v>
          </cell>
          <cell r="AD8165">
            <v>43500</v>
          </cell>
        </row>
        <row r="8166">
          <cell r="W8166" t="str">
            <v>QMETI02</v>
          </cell>
          <cell r="AD8166">
            <v>43500</v>
          </cell>
        </row>
        <row r="8167">
          <cell r="W8167" t="str">
            <v>QMETI02</v>
          </cell>
          <cell r="AD8167">
            <v>44500</v>
          </cell>
        </row>
        <row r="8168">
          <cell r="W8168" t="str">
            <v>QMETI02</v>
          </cell>
          <cell r="AD8168">
            <v>46000</v>
          </cell>
        </row>
        <row r="8169">
          <cell r="W8169" t="str">
            <v>QMETI02</v>
          </cell>
          <cell r="AD8169">
            <v>46000</v>
          </cell>
        </row>
        <row r="8170">
          <cell r="W8170" t="str">
            <v>QMETI02</v>
          </cell>
          <cell r="AD8170">
            <v>46000</v>
          </cell>
        </row>
        <row r="8171">
          <cell r="W8171" t="str">
            <v>QMETI02</v>
          </cell>
          <cell r="AD8171">
            <v>47500</v>
          </cell>
        </row>
        <row r="8172">
          <cell r="W8172" t="str">
            <v>QMETI02</v>
          </cell>
          <cell r="AD8172">
            <v>48000</v>
          </cell>
        </row>
        <row r="8173">
          <cell r="W8173" t="str">
            <v>QMETI02</v>
          </cell>
          <cell r="AD8173">
            <v>48000</v>
          </cell>
        </row>
        <row r="8174">
          <cell r="W8174" t="str">
            <v>QMETI02</v>
          </cell>
          <cell r="AD8174">
            <v>48500</v>
          </cell>
        </row>
        <row r="8175">
          <cell r="W8175" t="str">
            <v>QMETI07</v>
          </cell>
          <cell r="AD8175">
            <v>81600</v>
          </cell>
        </row>
        <row r="8176">
          <cell r="W8176" t="str">
            <v>QMETI07</v>
          </cell>
          <cell r="AD8176">
            <v>81600</v>
          </cell>
        </row>
        <row r="8177">
          <cell r="W8177" t="str">
            <v>QMETI07</v>
          </cell>
          <cell r="AD8177">
            <v>82000</v>
          </cell>
        </row>
        <row r="8178">
          <cell r="W8178" t="str">
            <v>QMETI07</v>
          </cell>
          <cell r="AD8178">
            <v>84000</v>
          </cell>
        </row>
        <row r="8179">
          <cell r="W8179" t="str">
            <v>QMETI07</v>
          </cell>
          <cell r="AD8179">
            <v>84500</v>
          </cell>
        </row>
        <row r="8180">
          <cell r="W8180" t="str">
            <v>QMETI07</v>
          </cell>
          <cell r="AD8180">
            <v>85000</v>
          </cell>
        </row>
        <row r="8181">
          <cell r="W8181" t="str">
            <v>QMETI07</v>
          </cell>
          <cell r="AD8181">
            <v>85000</v>
          </cell>
        </row>
        <row r="8182">
          <cell r="W8182" t="str">
            <v>QMETI07</v>
          </cell>
          <cell r="AD8182">
            <v>85000</v>
          </cell>
        </row>
        <row r="8183">
          <cell r="W8183" t="str">
            <v>QMETI07</v>
          </cell>
          <cell r="AD8183">
            <v>85000</v>
          </cell>
        </row>
        <row r="8184">
          <cell r="W8184" t="str">
            <v>QMETI07</v>
          </cell>
          <cell r="AD8184">
            <v>85000</v>
          </cell>
        </row>
        <row r="8185">
          <cell r="W8185" t="str">
            <v>QMETI07</v>
          </cell>
          <cell r="AD8185">
            <v>85000</v>
          </cell>
        </row>
        <row r="8186">
          <cell r="W8186" t="str">
            <v>QMETI07</v>
          </cell>
          <cell r="AD8186">
            <v>85000</v>
          </cell>
        </row>
        <row r="8187">
          <cell r="W8187" t="str">
            <v>QMETI07</v>
          </cell>
          <cell r="AD8187">
            <v>85000</v>
          </cell>
        </row>
        <row r="8188">
          <cell r="W8188" t="str">
            <v>QMETI07</v>
          </cell>
          <cell r="AD8188">
            <v>85000</v>
          </cell>
        </row>
        <row r="8189">
          <cell r="W8189" t="str">
            <v>QMETI07</v>
          </cell>
          <cell r="AD8189">
            <v>85000</v>
          </cell>
        </row>
        <row r="8190">
          <cell r="W8190" t="str">
            <v>QMETS01</v>
          </cell>
          <cell r="AD8190">
            <v>7000</v>
          </cell>
        </row>
        <row r="8191">
          <cell r="W8191" t="str">
            <v>QMETS01</v>
          </cell>
          <cell r="AD8191">
            <v>7100</v>
          </cell>
        </row>
        <row r="8192">
          <cell r="W8192" t="str">
            <v>QMETS01</v>
          </cell>
          <cell r="AD8192">
            <v>7250</v>
          </cell>
        </row>
        <row r="8193">
          <cell r="W8193" t="str">
            <v>QMETS01</v>
          </cell>
          <cell r="AD8193">
            <v>7250</v>
          </cell>
        </row>
        <row r="8194">
          <cell r="W8194" t="str">
            <v>QMETS01</v>
          </cell>
          <cell r="AD8194">
            <v>7250</v>
          </cell>
        </row>
        <row r="8195">
          <cell r="W8195" t="str">
            <v>QMETS01</v>
          </cell>
          <cell r="AD8195">
            <v>7250</v>
          </cell>
        </row>
        <row r="8196">
          <cell r="W8196" t="str">
            <v>QMETS01</v>
          </cell>
          <cell r="AD8196">
            <v>7250</v>
          </cell>
        </row>
        <row r="8197">
          <cell r="W8197" t="str">
            <v>QMETS01</v>
          </cell>
          <cell r="AD8197">
            <v>7250</v>
          </cell>
        </row>
        <row r="8198">
          <cell r="W8198" t="str">
            <v>QMETS01</v>
          </cell>
          <cell r="AD8198">
            <v>7250</v>
          </cell>
        </row>
        <row r="8199">
          <cell r="W8199" t="str">
            <v>QMETS01</v>
          </cell>
          <cell r="AD8199">
            <v>7300</v>
          </cell>
        </row>
        <row r="8200">
          <cell r="W8200" t="str">
            <v>QMETS01</v>
          </cell>
          <cell r="AD8200">
            <v>7500</v>
          </cell>
        </row>
        <row r="8201">
          <cell r="W8201" t="str">
            <v>QMETS01</v>
          </cell>
          <cell r="AD8201">
            <v>7500</v>
          </cell>
        </row>
        <row r="8202">
          <cell r="W8202" t="str">
            <v>QMETS01</v>
          </cell>
          <cell r="AD8202">
            <v>7500</v>
          </cell>
        </row>
        <row r="8203">
          <cell r="W8203" t="str">
            <v>QMETS01</v>
          </cell>
          <cell r="AD8203">
            <v>7500</v>
          </cell>
        </row>
        <row r="8204">
          <cell r="W8204" t="str">
            <v>QMETS01</v>
          </cell>
          <cell r="AD8204">
            <v>7500</v>
          </cell>
        </row>
        <row r="8205">
          <cell r="W8205" t="str">
            <v>QMETS01</v>
          </cell>
          <cell r="AD8205">
            <v>7500</v>
          </cell>
        </row>
        <row r="8206">
          <cell r="W8206" t="str">
            <v>QMETS01</v>
          </cell>
          <cell r="AD8206">
            <v>7500</v>
          </cell>
        </row>
        <row r="8207">
          <cell r="W8207" t="str">
            <v>QMETS01</v>
          </cell>
          <cell r="AD8207">
            <v>7500</v>
          </cell>
        </row>
        <row r="8208">
          <cell r="W8208" t="str">
            <v>QMETS01</v>
          </cell>
          <cell r="AD8208">
            <v>7500</v>
          </cell>
        </row>
        <row r="8209">
          <cell r="W8209" t="str">
            <v>QMETS01</v>
          </cell>
          <cell r="AD8209">
            <v>7500</v>
          </cell>
        </row>
        <row r="8210">
          <cell r="W8210" t="str">
            <v>QMETS01</v>
          </cell>
          <cell r="AD8210">
            <v>7500</v>
          </cell>
        </row>
        <row r="8211">
          <cell r="W8211" t="str">
            <v>QMETS01</v>
          </cell>
          <cell r="AD8211">
            <v>7500</v>
          </cell>
        </row>
        <row r="8212">
          <cell r="W8212" t="str">
            <v>QMETS01</v>
          </cell>
          <cell r="AD8212">
            <v>7500</v>
          </cell>
        </row>
        <row r="8213">
          <cell r="W8213" t="str">
            <v>QMETS01</v>
          </cell>
          <cell r="AD8213">
            <v>7500</v>
          </cell>
        </row>
        <row r="8214">
          <cell r="W8214" t="str">
            <v>QMETS01</v>
          </cell>
          <cell r="AD8214">
            <v>7500</v>
          </cell>
        </row>
        <row r="8215">
          <cell r="W8215" t="str">
            <v>QMETS01</v>
          </cell>
          <cell r="AD8215">
            <v>7500</v>
          </cell>
        </row>
        <row r="8216">
          <cell r="W8216" t="str">
            <v>QMETS01</v>
          </cell>
          <cell r="AD8216">
            <v>7500</v>
          </cell>
        </row>
        <row r="8217">
          <cell r="W8217" t="str">
            <v>QMETS01</v>
          </cell>
          <cell r="AD8217">
            <v>7500</v>
          </cell>
        </row>
        <row r="8218">
          <cell r="W8218" t="str">
            <v>QMETS01</v>
          </cell>
          <cell r="AD8218">
            <v>7500</v>
          </cell>
        </row>
        <row r="8219">
          <cell r="W8219" t="str">
            <v>QMETS01</v>
          </cell>
          <cell r="AD8219">
            <v>7500</v>
          </cell>
        </row>
        <row r="8220">
          <cell r="W8220" t="str">
            <v>QMETS01</v>
          </cell>
          <cell r="AD8220">
            <v>7500</v>
          </cell>
        </row>
        <row r="8221">
          <cell r="W8221" t="str">
            <v>QMETS01</v>
          </cell>
          <cell r="AD8221">
            <v>7500</v>
          </cell>
        </row>
        <row r="8222">
          <cell r="W8222" t="str">
            <v>QMETS01</v>
          </cell>
          <cell r="AD8222">
            <v>7500</v>
          </cell>
        </row>
        <row r="8223">
          <cell r="W8223" t="str">
            <v>QMETS01</v>
          </cell>
          <cell r="AD8223">
            <v>7500</v>
          </cell>
        </row>
        <row r="8224">
          <cell r="W8224" t="str">
            <v>QMETS01</v>
          </cell>
          <cell r="AD8224">
            <v>7500</v>
          </cell>
        </row>
        <row r="8225">
          <cell r="W8225" t="str">
            <v>QMETS01</v>
          </cell>
          <cell r="AD8225">
            <v>7500</v>
          </cell>
        </row>
        <row r="8226">
          <cell r="W8226" t="str">
            <v>QMETS01</v>
          </cell>
          <cell r="AD8226">
            <v>7500</v>
          </cell>
        </row>
        <row r="8227">
          <cell r="W8227" t="str">
            <v>QMETS01</v>
          </cell>
          <cell r="AD8227">
            <v>7500</v>
          </cell>
        </row>
        <row r="8228">
          <cell r="W8228" t="str">
            <v>QMETS01</v>
          </cell>
          <cell r="AD8228">
            <v>7500</v>
          </cell>
        </row>
        <row r="8229">
          <cell r="W8229" t="str">
            <v>QMETS01</v>
          </cell>
          <cell r="AD8229">
            <v>7500</v>
          </cell>
        </row>
        <row r="8230">
          <cell r="W8230" t="str">
            <v>QMETS01</v>
          </cell>
          <cell r="AD8230">
            <v>7500</v>
          </cell>
        </row>
        <row r="8231">
          <cell r="W8231" t="str">
            <v>QMETS01</v>
          </cell>
          <cell r="AD8231">
            <v>7500</v>
          </cell>
        </row>
        <row r="8232">
          <cell r="W8232" t="str">
            <v>QMETS01</v>
          </cell>
          <cell r="AD8232">
            <v>7500</v>
          </cell>
        </row>
        <row r="8233">
          <cell r="W8233" t="str">
            <v>QMETS01</v>
          </cell>
          <cell r="AD8233">
            <v>7500</v>
          </cell>
        </row>
        <row r="8234">
          <cell r="W8234" t="str">
            <v>QMETS01</v>
          </cell>
          <cell r="AD8234">
            <v>7500</v>
          </cell>
        </row>
        <row r="8235">
          <cell r="W8235" t="str">
            <v>QMETS01</v>
          </cell>
          <cell r="AD8235">
            <v>7500</v>
          </cell>
        </row>
        <row r="8236">
          <cell r="W8236" t="str">
            <v>QMETS01</v>
          </cell>
          <cell r="AD8236">
            <v>7500</v>
          </cell>
        </row>
        <row r="8237">
          <cell r="W8237" t="str">
            <v>QMETS01</v>
          </cell>
          <cell r="AD8237">
            <v>7500</v>
          </cell>
        </row>
        <row r="8238">
          <cell r="W8238" t="str">
            <v>QMETS01</v>
          </cell>
          <cell r="AD8238">
            <v>7500</v>
          </cell>
        </row>
        <row r="8239">
          <cell r="W8239" t="str">
            <v>QMETS01</v>
          </cell>
          <cell r="AD8239">
            <v>7500</v>
          </cell>
        </row>
        <row r="8240">
          <cell r="W8240" t="str">
            <v>QMETS01</v>
          </cell>
          <cell r="AD8240">
            <v>7500</v>
          </cell>
        </row>
        <row r="8241">
          <cell r="W8241" t="str">
            <v>QMETS01</v>
          </cell>
          <cell r="AD8241">
            <v>7500</v>
          </cell>
        </row>
        <row r="8242">
          <cell r="W8242" t="str">
            <v>QMETS01</v>
          </cell>
          <cell r="AD8242">
            <v>7500</v>
          </cell>
        </row>
        <row r="8243">
          <cell r="W8243" t="str">
            <v>QMETS01</v>
          </cell>
          <cell r="AD8243">
            <v>7500</v>
          </cell>
        </row>
        <row r="8244">
          <cell r="W8244" t="str">
            <v>QMETS01</v>
          </cell>
          <cell r="AD8244">
            <v>7500</v>
          </cell>
        </row>
        <row r="8245">
          <cell r="W8245" t="str">
            <v>QMETS01</v>
          </cell>
          <cell r="AD8245">
            <v>7500</v>
          </cell>
        </row>
        <row r="8246">
          <cell r="W8246" t="str">
            <v>QMETS01</v>
          </cell>
          <cell r="AD8246">
            <v>7500</v>
          </cell>
        </row>
        <row r="8247">
          <cell r="W8247" t="str">
            <v>QMETS01</v>
          </cell>
          <cell r="AD8247">
            <v>7500</v>
          </cell>
        </row>
        <row r="8248">
          <cell r="W8248" t="str">
            <v>QMETS01</v>
          </cell>
          <cell r="AD8248">
            <v>7500</v>
          </cell>
        </row>
        <row r="8249">
          <cell r="W8249" t="str">
            <v>QMETS01</v>
          </cell>
          <cell r="AD8249">
            <v>7500</v>
          </cell>
        </row>
        <row r="8250">
          <cell r="W8250" t="str">
            <v>QMETS01</v>
          </cell>
          <cell r="AD8250">
            <v>7500</v>
          </cell>
        </row>
        <row r="8251">
          <cell r="W8251" t="str">
            <v>QMETS01</v>
          </cell>
          <cell r="AD8251">
            <v>7500</v>
          </cell>
        </row>
        <row r="8252">
          <cell r="W8252" t="str">
            <v>QMETS01</v>
          </cell>
          <cell r="AD8252">
            <v>7500</v>
          </cell>
        </row>
        <row r="8253">
          <cell r="W8253" t="str">
            <v>QMETS01</v>
          </cell>
          <cell r="AD8253">
            <v>7500</v>
          </cell>
        </row>
        <row r="8254">
          <cell r="W8254" t="str">
            <v>QMETS01</v>
          </cell>
          <cell r="AD8254">
            <v>7500</v>
          </cell>
        </row>
        <row r="8255">
          <cell r="W8255" t="str">
            <v>QMETS01</v>
          </cell>
          <cell r="AD8255">
            <v>7500</v>
          </cell>
        </row>
        <row r="8256">
          <cell r="W8256" t="str">
            <v>QMETS01</v>
          </cell>
          <cell r="AD8256">
            <v>7500</v>
          </cell>
        </row>
        <row r="8257">
          <cell r="W8257" t="str">
            <v>QMETS01</v>
          </cell>
          <cell r="AD8257">
            <v>7500</v>
          </cell>
        </row>
        <row r="8258">
          <cell r="W8258" t="str">
            <v>QMETS01</v>
          </cell>
          <cell r="AD8258">
            <v>7500</v>
          </cell>
        </row>
        <row r="8259">
          <cell r="W8259" t="str">
            <v>QMETS01</v>
          </cell>
          <cell r="AD8259">
            <v>7500</v>
          </cell>
        </row>
        <row r="8260">
          <cell r="W8260" t="str">
            <v>QMETS01</v>
          </cell>
          <cell r="AD8260">
            <v>7750</v>
          </cell>
        </row>
        <row r="8261">
          <cell r="W8261" t="str">
            <v>QMETS01</v>
          </cell>
          <cell r="AD8261">
            <v>7750</v>
          </cell>
        </row>
        <row r="8262">
          <cell r="W8262" t="str">
            <v>QMETS01</v>
          </cell>
          <cell r="AD8262">
            <v>7750</v>
          </cell>
        </row>
        <row r="8263">
          <cell r="W8263" t="str">
            <v>QMETS01</v>
          </cell>
          <cell r="AD8263">
            <v>7750</v>
          </cell>
        </row>
        <row r="8264">
          <cell r="W8264" t="str">
            <v>QMETS01</v>
          </cell>
          <cell r="AD8264">
            <v>7800</v>
          </cell>
        </row>
        <row r="8265">
          <cell r="W8265" t="str">
            <v>QMETS01</v>
          </cell>
          <cell r="AD8265">
            <v>7800</v>
          </cell>
        </row>
        <row r="8266">
          <cell r="W8266" t="str">
            <v>QMETS01</v>
          </cell>
          <cell r="AD8266">
            <v>7800</v>
          </cell>
        </row>
        <row r="8267">
          <cell r="W8267" t="str">
            <v>QMETS01</v>
          </cell>
          <cell r="AD8267">
            <v>7850</v>
          </cell>
        </row>
        <row r="8268">
          <cell r="W8268" t="str">
            <v>QMETS01</v>
          </cell>
          <cell r="AD8268">
            <v>7850</v>
          </cell>
        </row>
        <row r="8269">
          <cell r="W8269" t="str">
            <v>QMETS01</v>
          </cell>
          <cell r="AD8269">
            <v>7850</v>
          </cell>
        </row>
        <row r="8270">
          <cell r="W8270" t="str">
            <v>QMETS01</v>
          </cell>
          <cell r="AD8270">
            <v>8000</v>
          </cell>
        </row>
        <row r="8271">
          <cell r="W8271" t="str">
            <v>QMETS01</v>
          </cell>
          <cell r="AD8271">
            <v>8000</v>
          </cell>
        </row>
        <row r="8272">
          <cell r="W8272" t="str">
            <v>QMIRA01</v>
          </cell>
          <cell r="AD8272">
            <v>20500</v>
          </cell>
        </row>
        <row r="8273">
          <cell r="W8273" t="str">
            <v>QMIRA01</v>
          </cell>
          <cell r="AD8273">
            <v>20500</v>
          </cell>
        </row>
        <row r="8274">
          <cell r="W8274" t="str">
            <v>QMIRA01</v>
          </cell>
          <cell r="AD8274">
            <v>20500</v>
          </cell>
        </row>
        <row r="8275">
          <cell r="W8275" t="str">
            <v>QMIRA01</v>
          </cell>
          <cell r="AD8275">
            <v>20500</v>
          </cell>
        </row>
        <row r="8276">
          <cell r="W8276" t="str">
            <v>QMIRA01</v>
          </cell>
          <cell r="AD8276">
            <v>20500</v>
          </cell>
        </row>
        <row r="8277">
          <cell r="W8277" t="str">
            <v>QMIRA01</v>
          </cell>
          <cell r="AD8277">
            <v>20500</v>
          </cell>
        </row>
        <row r="8278">
          <cell r="W8278" t="str">
            <v>QMIRA01</v>
          </cell>
          <cell r="AD8278">
            <v>20500</v>
          </cell>
        </row>
        <row r="8279">
          <cell r="W8279" t="str">
            <v>QMIRA01</v>
          </cell>
          <cell r="AD8279">
            <v>21500</v>
          </cell>
        </row>
        <row r="8280">
          <cell r="W8280" t="str">
            <v>QMIRA01</v>
          </cell>
          <cell r="AD8280">
            <v>21500</v>
          </cell>
        </row>
        <row r="8281">
          <cell r="W8281" t="str">
            <v>QMIRA02</v>
          </cell>
          <cell r="AD8281">
            <v>78000</v>
          </cell>
        </row>
        <row r="8282">
          <cell r="W8282" t="str">
            <v>QMKP01</v>
          </cell>
          <cell r="AD8282">
            <v>30000</v>
          </cell>
        </row>
        <row r="8283">
          <cell r="W8283" t="str">
            <v>QMKP01</v>
          </cell>
          <cell r="AD8283">
            <v>30000</v>
          </cell>
        </row>
        <row r="8284">
          <cell r="W8284" t="str">
            <v>QMKP01</v>
          </cell>
          <cell r="AD8284">
            <v>30000</v>
          </cell>
        </row>
        <row r="8285">
          <cell r="W8285" t="str">
            <v>QMKP01</v>
          </cell>
          <cell r="AD8285">
            <v>30000</v>
          </cell>
        </row>
        <row r="8286">
          <cell r="W8286" t="str">
            <v>QMKP01</v>
          </cell>
          <cell r="AD8286">
            <v>30000</v>
          </cell>
        </row>
        <row r="8287">
          <cell r="W8287" t="str">
            <v>QMKP01</v>
          </cell>
          <cell r="AD8287">
            <v>30000</v>
          </cell>
        </row>
        <row r="8288">
          <cell r="W8288" t="str">
            <v>QMKP01</v>
          </cell>
          <cell r="AD8288">
            <v>30000</v>
          </cell>
        </row>
        <row r="8289">
          <cell r="W8289" t="str">
            <v>QMKP01</v>
          </cell>
          <cell r="AD8289">
            <v>30000</v>
          </cell>
        </row>
        <row r="8290">
          <cell r="W8290" t="str">
            <v>QMKP01</v>
          </cell>
          <cell r="AD8290">
            <v>30000</v>
          </cell>
        </row>
        <row r="8291">
          <cell r="W8291" t="str">
            <v>QMKP01</v>
          </cell>
          <cell r="AD8291">
            <v>30000</v>
          </cell>
        </row>
        <row r="8292">
          <cell r="W8292" t="str">
            <v>QMKP01</v>
          </cell>
          <cell r="AD8292">
            <v>30000</v>
          </cell>
        </row>
        <row r="8293">
          <cell r="W8293" t="str">
            <v>QMKP01</v>
          </cell>
          <cell r="AD8293">
            <v>30000</v>
          </cell>
        </row>
        <row r="8294">
          <cell r="W8294" t="str">
            <v>QMKP01</v>
          </cell>
          <cell r="AD8294">
            <v>30000</v>
          </cell>
        </row>
        <row r="8295">
          <cell r="W8295" t="str">
            <v>QMKP01</v>
          </cell>
          <cell r="AD8295">
            <v>30000</v>
          </cell>
        </row>
        <row r="8296">
          <cell r="W8296" t="str">
            <v>QMKP01</v>
          </cell>
          <cell r="AD8296">
            <v>30000</v>
          </cell>
        </row>
        <row r="8297">
          <cell r="W8297" t="str">
            <v>QMKP01</v>
          </cell>
          <cell r="AD8297">
            <v>30500</v>
          </cell>
        </row>
        <row r="8298">
          <cell r="W8298" t="str">
            <v>QMKP01</v>
          </cell>
          <cell r="AD8298">
            <v>31000</v>
          </cell>
        </row>
        <row r="8299">
          <cell r="W8299" t="str">
            <v>QMKP01</v>
          </cell>
          <cell r="AD8299">
            <v>31000</v>
          </cell>
        </row>
        <row r="8300">
          <cell r="W8300" t="str">
            <v>QMKP01</v>
          </cell>
          <cell r="AD8300">
            <v>31000</v>
          </cell>
        </row>
        <row r="8301">
          <cell r="W8301" t="str">
            <v>QMKP01</v>
          </cell>
          <cell r="AD8301">
            <v>31000</v>
          </cell>
        </row>
        <row r="8302">
          <cell r="W8302" t="str">
            <v>QMKP01</v>
          </cell>
          <cell r="AD8302">
            <v>31000</v>
          </cell>
        </row>
        <row r="8303">
          <cell r="W8303" t="str">
            <v>QMKP01</v>
          </cell>
          <cell r="AD8303">
            <v>31000</v>
          </cell>
        </row>
        <row r="8304">
          <cell r="W8304" t="str">
            <v>QMKP01</v>
          </cell>
          <cell r="AD8304">
            <v>31000</v>
          </cell>
        </row>
        <row r="8305">
          <cell r="W8305" t="str">
            <v>QMKP01</v>
          </cell>
          <cell r="AD8305">
            <v>31000</v>
          </cell>
        </row>
        <row r="8306">
          <cell r="W8306" t="str">
            <v>QMKP01</v>
          </cell>
          <cell r="AD8306">
            <v>31000</v>
          </cell>
        </row>
        <row r="8307">
          <cell r="W8307" t="str">
            <v>QMKP01</v>
          </cell>
          <cell r="AD8307">
            <v>31000</v>
          </cell>
        </row>
        <row r="8308">
          <cell r="W8308" t="str">
            <v>QMKP01</v>
          </cell>
          <cell r="AD8308">
            <v>31000</v>
          </cell>
        </row>
        <row r="8309">
          <cell r="W8309" t="str">
            <v>QMKP01</v>
          </cell>
          <cell r="AD8309">
            <v>31000</v>
          </cell>
        </row>
        <row r="8310">
          <cell r="W8310" t="str">
            <v>QMKP01</v>
          </cell>
          <cell r="AD8310">
            <v>31000</v>
          </cell>
        </row>
        <row r="8311">
          <cell r="W8311" t="str">
            <v>QMKP01</v>
          </cell>
          <cell r="AD8311">
            <v>31000</v>
          </cell>
        </row>
        <row r="8312">
          <cell r="W8312" t="str">
            <v>QMKP01</v>
          </cell>
          <cell r="AD8312">
            <v>31000</v>
          </cell>
        </row>
        <row r="8313">
          <cell r="W8313" t="str">
            <v>QMKP01</v>
          </cell>
          <cell r="AD8313">
            <v>31000</v>
          </cell>
        </row>
        <row r="8314">
          <cell r="W8314" t="str">
            <v>QMKP01</v>
          </cell>
          <cell r="AD8314">
            <v>31000</v>
          </cell>
        </row>
        <row r="8315">
          <cell r="W8315" t="str">
            <v>QMKP01</v>
          </cell>
          <cell r="AD8315">
            <v>31000</v>
          </cell>
        </row>
        <row r="8316">
          <cell r="W8316" t="str">
            <v>QMKP01</v>
          </cell>
          <cell r="AD8316">
            <v>31000</v>
          </cell>
        </row>
        <row r="8317">
          <cell r="W8317" t="str">
            <v>QMKP01</v>
          </cell>
          <cell r="AD8317">
            <v>31000</v>
          </cell>
        </row>
        <row r="8318">
          <cell r="W8318" t="str">
            <v>QMKP01</v>
          </cell>
          <cell r="AD8318">
            <v>31000</v>
          </cell>
        </row>
        <row r="8319">
          <cell r="W8319" t="str">
            <v>QMKP01</v>
          </cell>
          <cell r="AD8319">
            <v>31000</v>
          </cell>
        </row>
        <row r="8320">
          <cell r="W8320" t="str">
            <v>QMKP01</v>
          </cell>
          <cell r="AD8320">
            <v>31000</v>
          </cell>
        </row>
        <row r="8321">
          <cell r="W8321" t="str">
            <v>QMKP01</v>
          </cell>
          <cell r="AD8321">
            <v>31000</v>
          </cell>
        </row>
        <row r="8322">
          <cell r="W8322" t="str">
            <v>QMKP01</v>
          </cell>
          <cell r="AD8322">
            <v>31000</v>
          </cell>
        </row>
        <row r="8323">
          <cell r="W8323" t="str">
            <v>QMKP01</v>
          </cell>
          <cell r="AD8323">
            <v>31000</v>
          </cell>
        </row>
        <row r="8324">
          <cell r="W8324" t="str">
            <v>QMKP01</v>
          </cell>
          <cell r="AD8324">
            <v>31500</v>
          </cell>
        </row>
        <row r="8325">
          <cell r="W8325" t="str">
            <v>QMKP01</v>
          </cell>
          <cell r="AD8325">
            <v>31500</v>
          </cell>
        </row>
        <row r="8326">
          <cell r="W8326" t="str">
            <v>QMKP01</v>
          </cell>
          <cell r="AD8326">
            <v>31500</v>
          </cell>
        </row>
        <row r="8327">
          <cell r="W8327" t="str">
            <v>QMONE06</v>
          </cell>
          <cell r="AD8327">
            <v>51500</v>
          </cell>
        </row>
        <row r="8328">
          <cell r="W8328" t="str">
            <v>QMONE01</v>
          </cell>
          <cell r="AD8328">
            <v>24500</v>
          </cell>
        </row>
        <row r="8329">
          <cell r="W8329" t="str">
            <v>QMONE01</v>
          </cell>
          <cell r="AD8329">
            <v>31000</v>
          </cell>
        </row>
        <row r="8330">
          <cell r="W8330" t="str">
            <v>QMONE01</v>
          </cell>
          <cell r="AD8330">
            <v>31500</v>
          </cell>
        </row>
        <row r="8331">
          <cell r="W8331" t="str">
            <v>QMONE01</v>
          </cell>
          <cell r="AD8331">
            <v>31500</v>
          </cell>
        </row>
        <row r="8332">
          <cell r="W8332" t="str">
            <v>QMONE01</v>
          </cell>
          <cell r="AD8332">
            <v>31500</v>
          </cell>
        </row>
        <row r="8333">
          <cell r="W8333" t="str">
            <v>QMONE01</v>
          </cell>
          <cell r="AD8333">
            <v>31500</v>
          </cell>
        </row>
        <row r="8334">
          <cell r="W8334" t="str">
            <v>QMONE01</v>
          </cell>
          <cell r="AD8334">
            <v>31500</v>
          </cell>
        </row>
        <row r="8335">
          <cell r="W8335" t="str">
            <v>QMONE01</v>
          </cell>
          <cell r="AD8335">
            <v>31500</v>
          </cell>
        </row>
        <row r="8336">
          <cell r="W8336" t="str">
            <v>QMONE07</v>
          </cell>
          <cell r="AD8336">
            <v>13000</v>
          </cell>
        </row>
        <row r="8337">
          <cell r="W8337" t="str">
            <v>QMONE07</v>
          </cell>
          <cell r="AD8337">
            <v>13500</v>
          </cell>
        </row>
        <row r="8338">
          <cell r="W8338" t="str">
            <v>QMONE07</v>
          </cell>
          <cell r="AD8338">
            <v>13500</v>
          </cell>
        </row>
        <row r="8339">
          <cell r="W8339" t="str">
            <v>QMONE07</v>
          </cell>
          <cell r="AD8339">
            <v>13500</v>
          </cell>
        </row>
        <row r="8340">
          <cell r="W8340" t="str">
            <v>QMONE07</v>
          </cell>
          <cell r="AD8340">
            <v>13500</v>
          </cell>
        </row>
        <row r="8341">
          <cell r="W8341" t="str">
            <v>QMONE07</v>
          </cell>
          <cell r="AD8341">
            <v>13500</v>
          </cell>
        </row>
        <row r="8342">
          <cell r="W8342" t="str">
            <v>QMONT03</v>
          </cell>
          <cell r="AD8342">
            <v>215000</v>
          </cell>
        </row>
        <row r="8343">
          <cell r="W8343" t="str">
            <v>QMONT01</v>
          </cell>
          <cell r="AD8343">
            <v>120000</v>
          </cell>
        </row>
        <row r="8344">
          <cell r="W8344" t="str">
            <v>QMONT01</v>
          </cell>
          <cell r="AD8344">
            <v>120000</v>
          </cell>
        </row>
        <row r="8345">
          <cell r="W8345" t="str">
            <v>QMONT01</v>
          </cell>
          <cell r="AD8345">
            <v>120000</v>
          </cell>
        </row>
        <row r="8346">
          <cell r="W8346" t="str">
            <v>QMONT01</v>
          </cell>
          <cell r="AD8346">
            <v>120000</v>
          </cell>
        </row>
        <row r="8347">
          <cell r="W8347" t="str">
            <v>QMONT01</v>
          </cell>
          <cell r="AD8347">
            <v>120000</v>
          </cell>
        </row>
        <row r="8348">
          <cell r="W8348" t="str">
            <v>QMONT01</v>
          </cell>
          <cell r="AD8348">
            <v>120000</v>
          </cell>
        </row>
        <row r="8349">
          <cell r="W8349" t="str">
            <v>QMONT01</v>
          </cell>
          <cell r="AD8349">
            <v>120000</v>
          </cell>
        </row>
        <row r="8350">
          <cell r="W8350" t="str">
            <v>QMOPK03</v>
          </cell>
          <cell r="AD8350">
            <v>285000</v>
          </cell>
        </row>
        <row r="8351">
          <cell r="W8351" t="str">
            <v>QMOPK03</v>
          </cell>
          <cell r="AD8351">
            <v>285000</v>
          </cell>
        </row>
        <row r="8352">
          <cell r="W8352" t="str">
            <v>QMOPK03</v>
          </cell>
          <cell r="AD8352">
            <v>285000</v>
          </cell>
        </row>
        <row r="8353">
          <cell r="W8353" t="str">
            <v>QMOPK03</v>
          </cell>
          <cell r="AD8353">
            <v>285000</v>
          </cell>
        </row>
        <row r="8354">
          <cell r="W8354" t="str">
            <v>QMOPK03</v>
          </cell>
          <cell r="AD8354">
            <v>285000</v>
          </cell>
        </row>
        <row r="8355">
          <cell r="W8355" t="str">
            <v>QMOPK03</v>
          </cell>
          <cell r="AD8355">
            <v>285000</v>
          </cell>
        </row>
        <row r="8356">
          <cell r="W8356" t="str">
            <v>QMOPK03</v>
          </cell>
          <cell r="AD8356">
            <v>285000</v>
          </cell>
        </row>
        <row r="8357">
          <cell r="W8357" t="str">
            <v>QMOPK03</v>
          </cell>
          <cell r="AD8357">
            <v>285000</v>
          </cell>
        </row>
        <row r="8358">
          <cell r="W8358" t="str">
            <v>QMOPK02</v>
          </cell>
          <cell r="AD8358">
            <v>247727.26874999999</v>
          </cell>
        </row>
        <row r="8359">
          <cell r="W8359" t="str">
            <v>QMOSP02</v>
          </cell>
          <cell r="AD8359">
            <v>72500</v>
          </cell>
        </row>
        <row r="8360">
          <cell r="W8360" t="str">
            <v>QMOSP02</v>
          </cell>
          <cell r="AD8360">
            <v>72750</v>
          </cell>
        </row>
        <row r="8361">
          <cell r="W8361" t="str">
            <v>QMOSP02</v>
          </cell>
          <cell r="AD8361">
            <v>72750</v>
          </cell>
        </row>
        <row r="8362">
          <cell r="W8362" t="str">
            <v>QMOSP02</v>
          </cell>
          <cell r="AD8362">
            <v>72850</v>
          </cell>
        </row>
        <row r="8363">
          <cell r="W8363" t="str">
            <v>QMOSP02</v>
          </cell>
          <cell r="AD8363">
            <v>72850</v>
          </cell>
        </row>
        <row r="8364">
          <cell r="W8364" t="str">
            <v>QMOSP02</v>
          </cell>
          <cell r="AD8364">
            <v>73000</v>
          </cell>
        </row>
        <row r="8365">
          <cell r="W8365" t="str">
            <v>QMOSP02</v>
          </cell>
          <cell r="AD8365">
            <v>73000</v>
          </cell>
        </row>
        <row r="8366">
          <cell r="W8366" t="str">
            <v>QMOSP02</v>
          </cell>
          <cell r="AD8366">
            <v>73000</v>
          </cell>
        </row>
        <row r="8367">
          <cell r="W8367" t="str">
            <v>QMOSP02</v>
          </cell>
          <cell r="AD8367">
            <v>73000</v>
          </cell>
        </row>
        <row r="8368">
          <cell r="W8368" t="str">
            <v>QMOSP02</v>
          </cell>
          <cell r="AD8368">
            <v>73000</v>
          </cell>
        </row>
        <row r="8369">
          <cell r="W8369" t="str">
            <v>QMOSP02</v>
          </cell>
          <cell r="AD8369">
            <v>73000</v>
          </cell>
        </row>
        <row r="8370">
          <cell r="W8370" t="str">
            <v>QMOSP02</v>
          </cell>
          <cell r="AD8370">
            <v>73000</v>
          </cell>
        </row>
        <row r="8371">
          <cell r="W8371" t="str">
            <v>QMOSP02</v>
          </cell>
          <cell r="AD8371">
            <v>73000</v>
          </cell>
        </row>
        <row r="8372">
          <cell r="W8372" t="str">
            <v>QMOSP02</v>
          </cell>
          <cell r="AD8372">
            <v>73000</v>
          </cell>
        </row>
        <row r="8373">
          <cell r="W8373" t="str">
            <v>QMOSP02</v>
          </cell>
          <cell r="AD8373">
            <v>73000</v>
          </cell>
        </row>
        <row r="8374">
          <cell r="W8374" t="str">
            <v>QMOSP02</v>
          </cell>
          <cell r="AD8374">
            <v>73000</v>
          </cell>
        </row>
        <row r="8375">
          <cell r="W8375" t="str">
            <v>QMOSP02</v>
          </cell>
          <cell r="AD8375">
            <v>73000</v>
          </cell>
        </row>
        <row r="8376">
          <cell r="W8376" t="str">
            <v>QMOSP02</v>
          </cell>
          <cell r="AD8376">
            <v>73000</v>
          </cell>
        </row>
        <row r="8377">
          <cell r="W8377" t="str">
            <v>QMOSP02</v>
          </cell>
          <cell r="AD8377">
            <v>73000</v>
          </cell>
        </row>
        <row r="8378">
          <cell r="W8378" t="str">
            <v>QMOSP02</v>
          </cell>
          <cell r="AD8378">
            <v>73000</v>
          </cell>
        </row>
        <row r="8379">
          <cell r="W8379" t="str">
            <v>QMOSP02</v>
          </cell>
          <cell r="AD8379">
            <v>73000</v>
          </cell>
        </row>
        <row r="8380">
          <cell r="W8380" t="str">
            <v>QMOSP02</v>
          </cell>
          <cell r="AD8380">
            <v>73000</v>
          </cell>
        </row>
        <row r="8381">
          <cell r="W8381" t="str">
            <v>QMOSP02</v>
          </cell>
          <cell r="AD8381">
            <v>73000</v>
          </cell>
        </row>
        <row r="8382">
          <cell r="W8382" t="str">
            <v>QMOSP02</v>
          </cell>
          <cell r="AD8382">
            <v>73000</v>
          </cell>
        </row>
        <row r="8383">
          <cell r="W8383" t="str">
            <v>QMOSP02</v>
          </cell>
          <cell r="AD8383">
            <v>73000</v>
          </cell>
        </row>
        <row r="8384">
          <cell r="W8384" t="str">
            <v>QMOSP02</v>
          </cell>
          <cell r="AD8384">
            <v>73000</v>
          </cell>
        </row>
        <row r="8385">
          <cell r="W8385" t="str">
            <v>QMOSP02</v>
          </cell>
          <cell r="AD8385">
            <v>73500</v>
          </cell>
        </row>
        <row r="8386">
          <cell r="W8386" t="str">
            <v>QMOVE01</v>
          </cell>
          <cell r="AD8386">
            <v>90500</v>
          </cell>
        </row>
        <row r="8387">
          <cell r="W8387" t="str">
            <v>QMOVE01</v>
          </cell>
          <cell r="AD8387">
            <v>91000</v>
          </cell>
        </row>
        <row r="8388">
          <cell r="W8388" t="str">
            <v>QMOVE01</v>
          </cell>
          <cell r="AD8388">
            <v>91000</v>
          </cell>
        </row>
        <row r="8389">
          <cell r="W8389" t="str">
            <v>QMOVE01</v>
          </cell>
          <cell r="AD8389">
            <v>91000</v>
          </cell>
        </row>
        <row r="8390">
          <cell r="W8390" t="str">
            <v>QMOVE01</v>
          </cell>
          <cell r="AD8390">
            <v>91000</v>
          </cell>
        </row>
        <row r="8391">
          <cell r="W8391" t="str">
            <v>QMOVE01</v>
          </cell>
          <cell r="AD8391">
            <v>91000</v>
          </cell>
        </row>
        <row r="8392">
          <cell r="W8392" t="str">
            <v>QMOVE01</v>
          </cell>
          <cell r="AD8392">
            <v>91000</v>
          </cell>
        </row>
        <row r="8393">
          <cell r="W8393" t="str">
            <v>QMOVE02</v>
          </cell>
          <cell r="AD8393">
            <v>46500</v>
          </cell>
        </row>
        <row r="8394">
          <cell r="W8394" t="str">
            <v>QMOVE02</v>
          </cell>
          <cell r="AD8394">
            <v>47500</v>
          </cell>
        </row>
        <row r="8395">
          <cell r="W8395" t="str">
            <v>QMOVE02</v>
          </cell>
          <cell r="AD8395">
            <v>47500</v>
          </cell>
        </row>
        <row r="8396">
          <cell r="W8396" t="str">
            <v>QMOVE02</v>
          </cell>
          <cell r="AD8396">
            <v>47500</v>
          </cell>
        </row>
        <row r="8397">
          <cell r="W8397" t="str">
            <v>QMULS53</v>
          </cell>
          <cell r="AD8397">
            <v>29000</v>
          </cell>
        </row>
        <row r="8398">
          <cell r="W8398" t="str">
            <v>QMULS53</v>
          </cell>
          <cell r="AD8398">
            <v>29000</v>
          </cell>
        </row>
        <row r="8399">
          <cell r="W8399" t="str">
            <v>QMULS53</v>
          </cell>
          <cell r="AD8399">
            <v>29500</v>
          </cell>
        </row>
        <row r="8400">
          <cell r="W8400" t="str">
            <v>QMULS33</v>
          </cell>
          <cell r="AD8400">
            <v>466364</v>
          </cell>
        </row>
        <row r="8401">
          <cell r="W8401" t="str">
            <v>QMULS33</v>
          </cell>
          <cell r="AD8401">
            <v>576000</v>
          </cell>
        </row>
        <row r="8402">
          <cell r="W8402" t="str">
            <v>QMULS33</v>
          </cell>
          <cell r="AD8402">
            <v>576000</v>
          </cell>
        </row>
        <row r="8403">
          <cell r="W8403" t="str">
            <v>QMULS33</v>
          </cell>
          <cell r="AD8403">
            <v>576000</v>
          </cell>
        </row>
        <row r="8404">
          <cell r="W8404" t="str">
            <v>QMULS33</v>
          </cell>
          <cell r="AD8404">
            <v>580000</v>
          </cell>
        </row>
        <row r="8405">
          <cell r="W8405" t="str">
            <v>QMULS34</v>
          </cell>
          <cell r="AD8405">
            <v>288000</v>
          </cell>
        </row>
        <row r="8406">
          <cell r="W8406" t="str">
            <v>QMULS34</v>
          </cell>
          <cell r="AD8406">
            <v>288000</v>
          </cell>
        </row>
        <row r="8407">
          <cell r="W8407" t="str">
            <v>QMULS34</v>
          </cell>
          <cell r="AD8407">
            <v>288000</v>
          </cell>
        </row>
        <row r="8408">
          <cell r="W8408" t="str">
            <v>QMULS34</v>
          </cell>
          <cell r="AD8408">
            <v>288000</v>
          </cell>
        </row>
        <row r="8409">
          <cell r="W8409" t="str">
            <v>QMULS34</v>
          </cell>
          <cell r="AD8409">
            <v>290000</v>
          </cell>
        </row>
        <row r="8410">
          <cell r="W8410" t="str">
            <v>QMULS34</v>
          </cell>
          <cell r="AD8410">
            <v>290000</v>
          </cell>
        </row>
        <row r="8411">
          <cell r="W8411" t="str">
            <v>QMULS31</v>
          </cell>
          <cell r="AD8411">
            <v>553500</v>
          </cell>
        </row>
        <row r="8412">
          <cell r="W8412" t="str">
            <v>QMULS31</v>
          </cell>
          <cell r="AD8412">
            <v>553500</v>
          </cell>
        </row>
        <row r="8413">
          <cell r="W8413" t="str">
            <v>QMULS31</v>
          </cell>
          <cell r="AD8413">
            <v>553500</v>
          </cell>
        </row>
        <row r="8414">
          <cell r="W8414" t="str">
            <v>QMULS31</v>
          </cell>
          <cell r="AD8414">
            <v>576000</v>
          </cell>
        </row>
        <row r="8415">
          <cell r="W8415" t="str">
            <v>QMULS31</v>
          </cell>
          <cell r="AD8415">
            <v>576000</v>
          </cell>
        </row>
        <row r="8416">
          <cell r="W8416" t="str">
            <v>QMULS31</v>
          </cell>
          <cell r="AD8416">
            <v>576000</v>
          </cell>
        </row>
        <row r="8417">
          <cell r="W8417" t="str">
            <v>QMULS31</v>
          </cell>
          <cell r="AD8417">
            <v>576000</v>
          </cell>
        </row>
        <row r="8418">
          <cell r="W8418" t="str">
            <v>QMULS31</v>
          </cell>
          <cell r="AD8418">
            <v>576000</v>
          </cell>
        </row>
        <row r="8419">
          <cell r="W8419" t="str">
            <v>QMULS31</v>
          </cell>
          <cell r="AD8419">
            <v>576000</v>
          </cell>
        </row>
        <row r="8420">
          <cell r="W8420" t="str">
            <v>QMULS31</v>
          </cell>
          <cell r="AD8420">
            <v>576000</v>
          </cell>
        </row>
        <row r="8421">
          <cell r="W8421" t="str">
            <v>QMULS31</v>
          </cell>
          <cell r="AD8421">
            <v>576000</v>
          </cell>
        </row>
        <row r="8422">
          <cell r="W8422" t="str">
            <v>QMULS31</v>
          </cell>
          <cell r="AD8422">
            <v>580000</v>
          </cell>
        </row>
        <row r="8423">
          <cell r="W8423" t="str">
            <v>QMULS31</v>
          </cell>
          <cell r="AD8423">
            <v>580000</v>
          </cell>
        </row>
        <row r="8424">
          <cell r="W8424" t="str">
            <v>QMULS32</v>
          </cell>
          <cell r="AD8424">
            <v>276750</v>
          </cell>
        </row>
        <row r="8425">
          <cell r="W8425" t="str">
            <v>QMULS32</v>
          </cell>
          <cell r="AD8425">
            <v>276750</v>
          </cell>
        </row>
        <row r="8426">
          <cell r="W8426" t="str">
            <v>QMULS32</v>
          </cell>
          <cell r="AD8426">
            <v>276750</v>
          </cell>
        </row>
        <row r="8427">
          <cell r="W8427" t="str">
            <v>QMULS32</v>
          </cell>
          <cell r="AD8427">
            <v>276750</v>
          </cell>
        </row>
        <row r="8428">
          <cell r="W8428" t="str">
            <v>QMULS32</v>
          </cell>
          <cell r="AD8428">
            <v>288000</v>
          </cell>
        </row>
        <row r="8429">
          <cell r="W8429" t="str">
            <v>QMULS32</v>
          </cell>
          <cell r="AD8429">
            <v>288000</v>
          </cell>
        </row>
        <row r="8430">
          <cell r="W8430" t="str">
            <v>AMULS28</v>
          </cell>
          <cell r="AD8430">
            <v>288000</v>
          </cell>
        </row>
        <row r="8431">
          <cell r="W8431" t="str">
            <v>QMULS32</v>
          </cell>
          <cell r="AD8431">
            <v>292500</v>
          </cell>
        </row>
        <row r="8432">
          <cell r="W8432" t="str">
            <v>QMULS36</v>
          </cell>
          <cell r="AD8432">
            <v>288000</v>
          </cell>
        </row>
        <row r="8433">
          <cell r="W8433" t="str">
            <v>QMULS36</v>
          </cell>
          <cell r="AD8433">
            <v>292500</v>
          </cell>
        </row>
        <row r="8434">
          <cell r="W8434" t="str">
            <v>QMULS49</v>
          </cell>
          <cell r="AD8434">
            <v>288000</v>
          </cell>
        </row>
        <row r="8435">
          <cell r="W8435" t="str">
            <v>QMULS49</v>
          </cell>
          <cell r="AD8435">
            <v>292500</v>
          </cell>
        </row>
        <row r="8436">
          <cell r="W8436" t="str">
            <v>QMULS60</v>
          </cell>
          <cell r="AD8436">
            <v>26500</v>
          </cell>
        </row>
        <row r="8437">
          <cell r="W8437" t="str">
            <v>QMULS60</v>
          </cell>
          <cell r="AD8437">
            <v>27500</v>
          </cell>
        </row>
        <row r="8438">
          <cell r="W8438" t="str">
            <v>QMULS60</v>
          </cell>
          <cell r="AD8438">
            <v>27500</v>
          </cell>
        </row>
        <row r="8439">
          <cell r="W8439" t="str">
            <v>QMULS60</v>
          </cell>
          <cell r="AD8439">
            <v>28500</v>
          </cell>
        </row>
        <row r="8440">
          <cell r="W8440" t="str">
            <v>QMULS60</v>
          </cell>
          <cell r="AD8440">
            <v>28500</v>
          </cell>
        </row>
        <row r="8441">
          <cell r="W8441" t="str">
            <v>QMULS60</v>
          </cell>
          <cell r="AD8441">
            <v>28500</v>
          </cell>
        </row>
        <row r="8442">
          <cell r="W8442" t="str">
            <v>QMULS60</v>
          </cell>
          <cell r="AD8442">
            <v>30000</v>
          </cell>
        </row>
        <row r="8443">
          <cell r="W8443" t="str">
            <v>QMULS61</v>
          </cell>
          <cell r="AD8443">
            <v>27500</v>
          </cell>
        </row>
        <row r="8444">
          <cell r="W8444" t="str">
            <v>QMULS61</v>
          </cell>
          <cell r="AD8444">
            <v>27500</v>
          </cell>
        </row>
        <row r="8445">
          <cell r="W8445" t="str">
            <v>QMULS61</v>
          </cell>
          <cell r="AD8445">
            <v>28500</v>
          </cell>
        </row>
        <row r="8446">
          <cell r="W8446" t="str">
            <v>QMULS62</v>
          </cell>
          <cell r="AD8446">
            <v>27500</v>
          </cell>
        </row>
        <row r="8447">
          <cell r="W8447" t="str">
            <v>QMULS62</v>
          </cell>
          <cell r="AD8447">
            <v>27500</v>
          </cell>
        </row>
        <row r="8448">
          <cell r="W8448" t="str">
            <v>QMULS62</v>
          </cell>
          <cell r="AD8448">
            <v>28500</v>
          </cell>
        </row>
        <row r="8449">
          <cell r="W8449" t="str">
            <v>QMULS62</v>
          </cell>
          <cell r="AD8449">
            <v>28500</v>
          </cell>
        </row>
        <row r="8450">
          <cell r="W8450" t="str">
            <v>QMULS01</v>
          </cell>
          <cell r="AD8450">
            <v>26363.64</v>
          </cell>
        </row>
        <row r="8451">
          <cell r="W8451" t="str">
            <v>QMULS03</v>
          </cell>
          <cell r="AD8451">
            <v>27272.730909000002</v>
          </cell>
        </row>
        <row r="8452">
          <cell r="W8452" t="str">
            <v>QMULS02</v>
          </cell>
          <cell r="AD8452">
            <v>26919.191111100001</v>
          </cell>
        </row>
        <row r="8453">
          <cell r="W8453" t="str">
            <v>QMULS24</v>
          </cell>
          <cell r="AD8453">
            <v>286000</v>
          </cell>
        </row>
        <row r="8454">
          <cell r="W8454" t="str">
            <v>QMULS24</v>
          </cell>
          <cell r="AD8454">
            <v>288275</v>
          </cell>
        </row>
        <row r="8455">
          <cell r="W8455" t="str">
            <v>QMULS24</v>
          </cell>
          <cell r="AD8455">
            <v>306010</v>
          </cell>
        </row>
        <row r="8456">
          <cell r="W8456" t="str">
            <v>QMULS20</v>
          </cell>
          <cell r="AD8456">
            <v>552500</v>
          </cell>
        </row>
        <row r="8457">
          <cell r="W8457" t="str">
            <v>QMULS20</v>
          </cell>
          <cell r="AD8457">
            <v>556400</v>
          </cell>
        </row>
        <row r="8458">
          <cell r="W8458" t="str">
            <v>QMULS20</v>
          </cell>
          <cell r="AD8458">
            <v>559541.66666660004</v>
          </cell>
        </row>
        <row r="8459">
          <cell r="W8459" t="str">
            <v>QMULS20</v>
          </cell>
          <cell r="AD8459">
            <v>561275</v>
          </cell>
        </row>
        <row r="8460">
          <cell r="W8460" t="str">
            <v>QMULS20</v>
          </cell>
          <cell r="AD8460">
            <v>564200</v>
          </cell>
        </row>
        <row r="8461">
          <cell r="W8461" t="str">
            <v>QMULS22</v>
          </cell>
          <cell r="AD8461">
            <v>280800</v>
          </cell>
        </row>
        <row r="8462">
          <cell r="W8462" t="str">
            <v>QMULS22</v>
          </cell>
          <cell r="AD8462">
            <v>280800</v>
          </cell>
        </row>
        <row r="8463">
          <cell r="W8463" t="str">
            <v>QMULS22</v>
          </cell>
          <cell r="AD8463">
            <v>282750</v>
          </cell>
        </row>
        <row r="8464">
          <cell r="W8464" t="str">
            <v>QMULS22</v>
          </cell>
          <cell r="AD8464">
            <v>283400</v>
          </cell>
        </row>
        <row r="8465">
          <cell r="W8465" t="str">
            <v>QMULS22</v>
          </cell>
          <cell r="AD8465">
            <v>284375</v>
          </cell>
        </row>
        <row r="8466">
          <cell r="W8466" t="str">
            <v>QMULS22</v>
          </cell>
          <cell r="AD8466">
            <v>310980</v>
          </cell>
        </row>
        <row r="8467">
          <cell r="W8467" t="str">
            <v>QMULS22</v>
          </cell>
          <cell r="AD8467">
            <v>311690</v>
          </cell>
        </row>
        <row r="8468">
          <cell r="W8468" t="str">
            <v>QMULS21</v>
          </cell>
          <cell r="AD8468">
            <v>556855</v>
          </cell>
        </row>
        <row r="8469">
          <cell r="W8469" t="str">
            <v>QMULS21</v>
          </cell>
          <cell r="AD8469">
            <v>559000</v>
          </cell>
        </row>
        <row r="8470">
          <cell r="W8470" t="str">
            <v>QMULS21</v>
          </cell>
          <cell r="AD8470">
            <v>559195</v>
          </cell>
        </row>
        <row r="8471">
          <cell r="W8471" t="str">
            <v>QMULS21</v>
          </cell>
          <cell r="AD8471">
            <v>559206.34920599998</v>
          </cell>
        </row>
        <row r="8472">
          <cell r="W8472" t="str">
            <v>QMULS21</v>
          </cell>
          <cell r="AD8472">
            <v>563225</v>
          </cell>
        </row>
        <row r="8473">
          <cell r="W8473" t="str">
            <v>QMULS21</v>
          </cell>
          <cell r="AD8473">
            <v>611310</v>
          </cell>
        </row>
        <row r="8474">
          <cell r="W8474" t="str">
            <v>QMULS10</v>
          </cell>
          <cell r="AD8474">
            <v>567000</v>
          </cell>
        </row>
        <row r="8475">
          <cell r="W8475" t="str">
            <v>QMULS41</v>
          </cell>
          <cell r="AD8475">
            <v>585000</v>
          </cell>
        </row>
        <row r="8476">
          <cell r="W8476" t="str">
            <v>QMULS42</v>
          </cell>
          <cell r="AD8476">
            <v>256000</v>
          </cell>
        </row>
        <row r="8477">
          <cell r="W8477" t="str">
            <v>QMULS08</v>
          </cell>
          <cell r="AD8477">
            <v>233181.82</v>
          </cell>
        </row>
        <row r="8478">
          <cell r="W8478" t="str">
            <v>QMULS08</v>
          </cell>
          <cell r="AD8478">
            <v>283500</v>
          </cell>
        </row>
        <row r="8479">
          <cell r="W8479" t="str">
            <v>QMULS08</v>
          </cell>
          <cell r="AD8479">
            <v>292500</v>
          </cell>
        </row>
        <row r="8480">
          <cell r="W8480" t="str">
            <v>QMULS46</v>
          </cell>
          <cell r="AD8480">
            <v>288000</v>
          </cell>
        </row>
        <row r="8481">
          <cell r="W8481" t="str">
            <v>AMULS30</v>
          </cell>
          <cell r="AD8481">
            <v>288000</v>
          </cell>
        </row>
        <row r="8482">
          <cell r="W8482" t="str">
            <v>AMULS30</v>
          </cell>
          <cell r="AD8482">
            <v>288000</v>
          </cell>
        </row>
        <row r="8483">
          <cell r="W8483" t="str">
            <v>QMULS68</v>
          </cell>
          <cell r="AD8483">
            <v>567000</v>
          </cell>
        </row>
        <row r="8484">
          <cell r="W8484" t="str">
            <v>QMULS68</v>
          </cell>
          <cell r="AD8484">
            <v>580000</v>
          </cell>
        </row>
        <row r="8485">
          <cell r="W8485" t="str">
            <v>QMULS68</v>
          </cell>
          <cell r="AD8485">
            <v>580000</v>
          </cell>
        </row>
        <row r="8486">
          <cell r="W8486" t="str">
            <v>QMULS68</v>
          </cell>
          <cell r="AD8486">
            <v>585000</v>
          </cell>
        </row>
        <row r="8487">
          <cell r="W8487" t="str">
            <v>QMULS68</v>
          </cell>
          <cell r="AD8487">
            <v>585000</v>
          </cell>
        </row>
        <row r="8488">
          <cell r="W8488" t="str">
            <v>QMULS68</v>
          </cell>
          <cell r="AD8488">
            <v>585000</v>
          </cell>
        </row>
        <row r="8489">
          <cell r="W8489" t="str">
            <v>QMULS69</v>
          </cell>
          <cell r="AD8489">
            <v>288000</v>
          </cell>
        </row>
        <row r="8490">
          <cell r="W8490" t="str">
            <v>QMULS67</v>
          </cell>
          <cell r="AD8490">
            <v>567000</v>
          </cell>
        </row>
        <row r="8491">
          <cell r="W8491" t="str">
            <v>QMULS67</v>
          </cell>
          <cell r="AD8491">
            <v>567000</v>
          </cell>
        </row>
        <row r="8492">
          <cell r="W8492" t="str">
            <v>QMULS67</v>
          </cell>
          <cell r="AD8492">
            <v>567000</v>
          </cell>
        </row>
        <row r="8493">
          <cell r="W8493" t="str">
            <v>QMULS67</v>
          </cell>
          <cell r="AD8493">
            <v>567000</v>
          </cell>
        </row>
        <row r="8494">
          <cell r="W8494" t="str">
            <v>QMULS67</v>
          </cell>
          <cell r="AD8494">
            <v>576000</v>
          </cell>
        </row>
        <row r="8495">
          <cell r="W8495" t="str">
            <v>QMULS67</v>
          </cell>
          <cell r="AD8495">
            <v>576000</v>
          </cell>
        </row>
        <row r="8496">
          <cell r="W8496" t="str">
            <v>QMULS67</v>
          </cell>
          <cell r="AD8496">
            <v>576000</v>
          </cell>
        </row>
        <row r="8497">
          <cell r="W8497" t="str">
            <v>QMULS67</v>
          </cell>
          <cell r="AD8497">
            <v>576000</v>
          </cell>
        </row>
        <row r="8498">
          <cell r="W8498" t="str">
            <v>QMULS67</v>
          </cell>
          <cell r="AD8498">
            <v>585000</v>
          </cell>
        </row>
        <row r="8499">
          <cell r="W8499" t="str">
            <v>QMULS67</v>
          </cell>
          <cell r="AD8499">
            <v>585000</v>
          </cell>
        </row>
        <row r="8500">
          <cell r="W8500" t="str">
            <v>QMULS66</v>
          </cell>
          <cell r="AD8500">
            <v>283500</v>
          </cell>
        </row>
        <row r="8501">
          <cell r="W8501" t="str">
            <v>QMULS66</v>
          </cell>
          <cell r="AD8501">
            <v>283500</v>
          </cell>
        </row>
        <row r="8502">
          <cell r="W8502" t="str">
            <v>QMULS66</v>
          </cell>
          <cell r="AD8502">
            <v>283500</v>
          </cell>
        </row>
        <row r="8503">
          <cell r="W8503" t="str">
            <v>QMULS66</v>
          </cell>
          <cell r="AD8503">
            <v>288000</v>
          </cell>
        </row>
        <row r="8504">
          <cell r="W8504" t="str">
            <v>QMULS66</v>
          </cell>
          <cell r="AD8504">
            <v>288000</v>
          </cell>
        </row>
        <row r="8505">
          <cell r="W8505" t="str">
            <v>QMULS66</v>
          </cell>
          <cell r="AD8505">
            <v>288000</v>
          </cell>
        </row>
        <row r="8506">
          <cell r="W8506" t="str">
            <v>QMULS70</v>
          </cell>
          <cell r="AD8506">
            <v>576000</v>
          </cell>
        </row>
        <row r="8507">
          <cell r="W8507" t="str">
            <v>QMULS58</v>
          </cell>
          <cell r="AD8507">
            <v>567000</v>
          </cell>
        </row>
        <row r="8508">
          <cell r="W8508" t="str">
            <v>QMULS59</v>
          </cell>
          <cell r="AD8508">
            <v>233181.82</v>
          </cell>
        </row>
        <row r="8509">
          <cell r="W8509" t="str">
            <v>QMULS59</v>
          </cell>
          <cell r="AD8509">
            <v>283500</v>
          </cell>
        </row>
        <row r="8510">
          <cell r="W8510" t="str">
            <v>QMULT01</v>
          </cell>
          <cell r="AD8510">
            <v>29000</v>
          </cell>
        </row>
        <row r="8511">
          <cell r="W8511" t="str">
            <v>QMULT01</v>
          </cell>
          <cell r="AD8511">
            <v>29000</v>
          </cell>
        </row>
        <row r="8512">
          <cell r="W8512" t="str">
            <v>QMULT03</v>
          </cell>
          <cell r="AD8512">
            <v>33500</v>
          </cell>
        </row>
        <row r="8513">
          <cell r="W8513" t="str">
            <v>QMULT03</v>
          </cell>
          <cell r="AD8513">
            <v>34000</v>
          </cell>
        </row>
        <row r="8514">
          <cell r="W8514" t="str">
            <v>QNATI02</v>
          </cell>
          <cell r="AD8514">
            <v>53000</v>
          </cell>
        </row>
        <row r="8515">
          <cell r="W8515" t="str">
            <v>QNATI02</v>
          </cell>
          <cell r="AD8515">
            <v>54000</v>
          </cell>
        </row>
        <row r="8516">
          <cell r="W8516" t="str">
            <v>QNATI02</v>
          </cell>
          <cell r="AD8516">
            <v>54000</v>
          </cell>
        </row>
        <row r="8517">
          <cell r="W8517" t="str">
            <v>QNATI02</v>
          </cell>
          <cell r="AD8517">
            <v>54000</v>
          </cell>
        </row>
        <row r="8518">
          <cell r="W8518" t="str">
            <v>QNATI02</v>
          </cell>
          <cell r="AD8518">
            <v>54500</v>
          </cell>
        </row>
        <row r="8519">
          <cell r="W8519" t="str">
            <v>QNATI02</v>
          </cell>
          <cell r="AD8519">
            <v>54500</v>
          </cell>
        </row>
        <row r="8520">
          <cell r="W8520" t="str">
            <v>QNATI02</v>
          </cell>
          <cell r="AD8520">
            <v>55000</v>
          </cell>
        </row>
        <row r="8521">
          <cell r="W8521" t="str">
            <v>QNATI02</v>
          </cell>
          <cell r="AD8521">
            <v>56500</v>
          </cell>
        </row>
        <row r="8522">
          <cell r="W8522" t="str">
            <v>QNATI02</v>
          </cell>
          <cell r="AD8522">
            <v>56500</v>
          </cell>
        </row>
        <row r="8523">
          <cell r="W8523" t="str">
            <v>QNATI02</v>
          </cell>
          <cell r="AD8523">
            <v>56500</v>
          </cell>
        </row>
        <row r="8524">
          <cell r="W8524" t="str">
            <v>QNATI02</v>
          </cell>
          <cell r="AD8524">
            <v>56500</v>
          </cell>
        </row>
        <row r="8525">
          <cell r="W8525" t="str">
            <v>QNATI02</v>
          </cell>
          <cell r="AD8525">
            <v>56500</v>
          </cell>
        </row>
        <row r="8526">
          <cell r="W8526" t="str">
            <v>QNATI02</v>
          </cell>
          <cell r="AD8526">
            <v>56500</v>
          </cell>
        </row>
        <row r="8527">
          <cell r="W8527" t="str">
            <v>QNATI02</v>
          </cell>
          <cell r="AD8527">
            <v>56500</v>
          </cell>
        </row>
        <row r="8528">
          <cell r="W8528" t="str">
            <v>QNATI02</v>
          </cell>
          <cell r="AD8528">
            <v>56500</v>
          </cell>
        </row>
        <row r="8529">
          <cell r="W8529" t="str">
            <v>QNATI02</v>
          </cell>
          <cell r="AD8529">
            <v>56500</v>
          </cell>
        </row>
        <row r="8530">
          <cell r="W8530" t="str">
            <v>QNATI02</v>
          </cell>
          <cell r="AD8530">
            <v>56500</v>
          </cell>
        </row>
        <row r="8531">
          <cell r="W8531" t="str">
            <v>QNATI02</v>
          </cell>
          <cell r="AD8531">
            <v>56500</v>
          </cell>
        </row>
        <row r="8532">
          <cell r="W8532" t="str">
            <v>QNATI02</v>
          </cell>
          <cell r="AD8532">
            <v>56500</v>
          </cell>
        </row>
        <row r="8533">
          <cell r="W8533" t="str">
            <v>QNATI02</v>
          </cell>
          <cell r="AD8533">
            <v>56500</v>
          </cell>
        </row>
        <row r="8534">
          <cell r="W8534" t="str">
            <v>QNATI02</v>
          </cell>
          <cell r="AD8534">
            <v>56500</v>
          </cell>
        </row>
        <row r="8535">
          <cell r="W8535" t="str">
            <v>QNATI02</v>
          </cell>
          <cell r="AD8535">
            <v>60000</v>
          </cell>
        </row>
        <row r="8536">
          <cell r="W8536" t="str">
            <v>QNEOC02</v>
          </cell>
          <cell r="AD8536">
            <v>78000</v>
          </cell>
        </row>
        <row r="8537">
          <cell r="W8537" t="str">
            <v>QNEOC02</v>
          </cell>
          <cell r="AD8537">
            <v>78000</v>
          </cell>
        </row>
        <row r="8538">
          <cell r="W8538" t="str">
            <v>QNEOC02</v>
          </cell>
          <cell r="AD8538">
            <v>81000</v>
          </cell>
        </row>
        <row r="8539">
          <cell r="W8539" t="str">
            <v>QNEOC02</v>
          </cell>
          <cell r="AD8539">
            <v>81000</v>
          </cell>
        </row>
        <row r="8540">
          <cell r="W8540" t="str">
            <v>QNEOC02</v>
          </cell>
          <cell r="AD8540">
            <v>81000</v>
          </cell>
        </row>
        <row r="8541">
          <cell r="W8541" t="str">
            <v>QNEOC02</v>
          </cell>
          <cell r="AD8541">
            <v>81000</v>
          </cell>
        </row>
        <row r="8542">
          <cell r="W8542" t="str">
            <v>QNEOC02</v>
          </cell>
          <cell r="AD8542">
            <v>81000</v>
          </cell>
        </row>
        <row r="8543">
          <cell r="W8543" t="str">
            <v>QNEOC02</v>
          </cell>
          <cell r="AD8543">
            <v>81000</v>
          </cell>
        </row>
        <row r="8544">
          <cell r="W8544" t="str">
            <v>QNEOC02</v>
          </cell>
          <cell r="AD8544">
            <v>81000</v>
          </cell>
        </row>
        <row r="8545">
          <cell r="W8545" t="str">
            <v>QNEOC02</v>
          </cell>
          <cell r="AD8545">
            <v>81000</v>
          </cell>
        </row>
        <row r="8546">
          <cell r="W8546" t="str">
            <v>QNEOC02</v>
          </cell>
          <cell r="AD8546">
            <v>81000</v>
          </cell>
        </row>
        <row r="8547">
          <cell r="W8547" t="str">
            <v>QNEOC02</v>
          </cell>
          <cell r="AD8547">
            <v>81000</v>
          </cell>
        </row>
        <row r="8548">
          <cell r="W8548" t="str">
            <v>QNEOC02</v>
          </cell>
          <cell r="AD8548">
            <v>81000</v>
          </cell>
        </row>
        <row r="8549">
          <cell r="W8549" t="str">
            <v>QNEOC02</v>
          </cell>
          <cell r="AD8549">
            <v>81500</v>
          </cell>
        </row>
        <row r="8550">
          <cell r="W8550" t="str">
            <v>QNEOC02</v>
          </cell>
          <cell r="AD8550">
            <v>81500</v>
          </cell>
        </row>
        <row r="8551">
          <cell r="W8551" t="str">
            <v>QNEOC02</v>
          </cell>
          <cell r="AD8551">
            <v>82000</v>
          </cell>
        </row>
        <row r="8552">
          <cell r="W8552" t="str">
            <v>QNEOC02</v>
          </cell>
          <cell r="AD8552">
            <v>82500</v>
          </cell>
        </row>
        <row r="8553">
          <cell r="W8553" t="str">
            <v>QNEOC01</v>
          </cell>
          <cell r="AD8553">
            <v>140000</v>
          </cell>
        </row>
        <row r="8554">
          <cell r="W8554" t="str">
            <v>QNEOC01</v>
          </cell>
          <cell r="AD8554">
            <v>150000</v>
          </cell>
        </row>
        <row r="8555">
          <cell r="W8555" t="str">
            <v>QNEOC01</v>
          </cell>
          <cell r="AD8555">
            <v>150000</v>
          </cell>
        </row>
        <row r="8556">
          <cell r="W8556" t="str">
            <v>QNEOC01</v>
          </cell>
          <cell r="AD8556">
            <v>150000</v>
          </cell>
        </row>
        <row r="8557">
          <cell r="W8557" t="str">
            <v>QNEOC01</v>
          </cell>
          <cell r="AD8557">
            <v>150000</v>
          </cell>
        </row>
        <row r="8558">
          <cell r="W8558" t="str">
            <v>QNEOC01</v>
          </cell>
          <cell r="AD8558">
            <v>150000</v>
          </cell>
        </row>
        <row r="8559">
          <cell r="W8559" t="str">
            <v>QNEOC01</v>
          </cell>
          <cell r="AD8559">
            <v>150000</v>
          </cell>
        </row>
        <row r="8560">
          <cell r="W8560" t="str">
            <v>QNEOC01</v>
          </cell>
          <cell r="AD8560">
            <v>150000</v>
          </cell>
        </row>
        <row r="8561">
          <cell r="W8561" t="str">
            <v>QNEOC01</v>
          </cell>
          <cell r="AD8561">
            <v>150000</v>
          </cell>
        </row>
        <row r="8562">
          <cell r="W8562" t="str">
            <v>QNEOC01</v>
          </cell>
          <cell r="AD8562">
            <v>150000</v>
          </cell>
        </row>
        <row r="8563">
          <cell r="W8563" t="str">
            <v>QNEOC01</v>
          </cell>
          <cell r="AD8563">
            <v>150000</v>
          </cell>
        </row>
        <row r="8564">
          <cell r="W8564" t="str">
            <v>QNEOC01</v>
          </cell>
          <cell r="AD8564">
            <v>150000</v>
          </cell>
        </row>
        <row r="8565">
          <cell r="W8565" t="str">
            <v>QNEOC01</v>
          </cell>
          <cell r="AD8565">
            <v>150000</v>
          </cell>
        </row>
        <row r="8566">
          <cell r="W8566" t="str">
            <v>QNEOC01</v>
          </cell>
          <cell r="AD8566">
            <v>150000</v>
          </cell>
        </row>
        <row r="8567">
          <cell r="W8567" t="str">
            <v>QNEOC01</v>
          </cell>
          <cell r="AD8567">
            <v>150000</v>
          </cell>
        </row>
        <row r="8568">
          <cell r="W8568" t="str">
            <v>QNEOC01</v>
          </cell>
          <cell r="AD8568">
            <v>150000</v>
          </cell>
        </row>
        <row r="8569">
          <cell r="W8569" t="str">
            <v>QNEOC01</v>
          </cell>
          <cell r="AD8569">
            <v>150000</v>
          </cell>
        </row>
        <row r="8570">
          <cell r="W8570" t="str">
            <v>QNEOC01</v>
          </cell>
          <cell r="AD8570">
            <v>150000</v>
          </cell>
        </row>
        <row r="8571">
          <cell r="W8571" t="str">
            <v>QNEPT01</v>
          </cell>
          <cell r="AD8571">
            <v>11500</v>
          </cell>
        </row>
        <row r="8572">
          <cell r="W8572" t="str">
            <v>QNEPT01</v>
          </cell>
          <cell r="AD8572">
            <v>11500</v>
          </cell>
        </row>
        <row r="8573">
          <cell r="W8573" t="str">
            <v>QNEPT01</v>
          </cell>
          <cell r="AD8573">
            <v>11500</v>
          </cell>
        </row>
        <row r="8574">
          <cell r="W8574" t="str">
            <v>QNEPT01</v>
          </cell>
          <cell r="AD8574">
            <v>11500</v>
          </cell>
        </row>
        <row r="8575">
          <cell r="W8575" t="str">
            <v>QNEPT01</v>
          </cell>
          <cell r="AD8575">
            <v>11500</v>
          </cell>
        </row>
        <row r="8576">
          <cell r="W8576" t="str">
            <v>QNESH01</v>
          </cell>
          <cell r="AD8576">
            <v>35000</v>
          </cell>
        </row>
        <row r="8577">
          <cell r="W8577" t="str">
            <v>QNITR02</v>
          </cell>
          <cell r="AD8577">
            <v>146250</v>
          </cell>
        </row>
        <row r="8578">
          <cell r="W8578" t="str">
            <v>QNITR01</v>
          </cell>
          <cell r="AD8578">
            <v>29250</v>
          </cell>
        </row>
        <row r="8579">
          <cell r="W8579" t="str">
            <v>QNITR01</v>
          </cell>
          <cell r="AD8579">
            <v>29250</v>
          </cell>
        </row>
        <row r="8580">
          <cell r="W8580" t="str">
            <v>QNITR01</v>
          </cell>
          <cell r="AD8580">
            <v>30000</v>
          </cell>
        </row>
        <row r="8581">
          <cell r="W8581" t="str">
            <v>QNITR01</v>
          </cell>
          <cell r="AD8581">
            <v>30000</v>
          </cell>
        </row>
        <row r="8582">
          <cell r="W8582" t="str">
            <v>QNITR01</v>
          </cell>
          <cell r="AD8582">
            <v>30000</v>
          </cell>
        </row>
        <row r="8583">
          <cell r="W8583" t="str">
            <v>QNITR01</v>
          </cell>
          <cell r="AD8583">
            <v>30000</v>
          </cell>
        </row>
        <row r="8584">
          <cell r="W8584" t="str">
            <v>QNITR01</v>
          </cell>
          <cell r="AD8584">
            <v>30000</v>
          </cell>
        </row>
        <row r="8585">
          <cell r="W8585" t="str">
            <v>QNITR01</v>
          </cell>
          <cell r="AD8585">
            <v>30000</v>
          </cell>
        </row>
        <row r="8586">
          <cell r="W8586" t="str">
            <v>QNITR01</v>
          </cell>
          <cell r="AD8586">
            <v>30000</v>
          </cell>
        </row>
        <row r="8587">
          <cell r="W8587" t="str">
            <v>QNITR01</v>
          </cell>
          <cell r="AD8587">
            <v>30000</v>
          </cell>
        </row>
        <row r="8588">
          <cell r="W8588" t="str">
            <v>QNITR01</v>
          </cell>
          <cell r="AD8588">
            <v>30000</v>
          </cell>
        </row>
        <row r="8589">
          <cell r="W8589" t="str">
            <v>QNITR01</v>
          </cell>
          <cell r="AD8589">
            <v>30000</v>
          </cell>
        </row>
        <row r="8590">
          <cell r="W8590" t="str">
            <v>QNITR01</v>
          </cell>
          <cell r="AD8590">
            <v>30000</v>
          </cell>
        </row>
        <row r="8591">
          <cell r="W8591" t="str">
            <v>QNITR01</v>
          </cell>
          <cell r="AD8591">
            <v>30000</v>
          </cell>
        </row>
        <row r="8592">
          <cell r="W8592" t="str">
            <v>QNITR01</v>
          </cell>
          <cell r="AD8592">
            <v>30000</v>
          </cell>
        </row>
        <row r="8593">
          <cell r="W8593" t="str">
            <v>QNITR01</v>
          </cell>
          <cell r="AD8593">
            <v>30000</v>
          </cell>
        </row>
        <row r="8594">
          <cell r="W8594" t="str">
            <v>QNITR01</v>
          </cell>
          <cell r="AD8594">
            <v>30000</v>
          </cell>
        </row>
        <row r="8595">
          <cell r="W8595" t="str">
            <v>QNITR01</v>
          </cell>
          <cell r="AD8595">
            <v>30000</v>
          </cell>
        </row>
        <row r="8596">
          <cell r="W8596" t="str">
            <v>QNITR01</v>
          </cell>
          <cell r="AD8596">
            <v>30000</v>
          </cell>
        </row>
        <row r="8597">
          <cell r="W8597" t="str">
            <v>QNITR01</v>
          </cell>
          <cell r="AD8597">
            <v>30000</v>
          </cell>
        </row>
        <row r="8598">
          <cell r="W8598" t="str">
            <v>QNITR01</v>
          </cell>
          <cell r="AD8598">
            <v>30000</v>
          </cell>
        </row>
        <row r="8599">
          <cell r="W8599" t="str">
            <v>QNITR01</v>
          </cell>
          <cell r="AD8599">
            <v>30000</v>
          </cell>
        </row>
        <row r="8600">
          <cell r="W8600" t="str">
            <v>QNOST01</v>
          </cell>
          <cell r="AD8600">
            <v>78000</v>
          </cell>
        </row>
        <row r="8601">
          <cell r="W8601" t="str">
            <v>QNOST01</v>
          </cell>
          <cell r="AD8601">
            <v>79000</v>
          </cell>
        </row>
        <row r="8602">
          <cell r="W8602" t="str">
            <v>QNOST01</v>
          </cell>
          <cell r="AD8602">
            <v>79000</v>
          </cell>
        </row>
        <row r="8603">
          <cell r="W8603" t="str">
            <v>QNOST01</v>
          </cell>
          <cell r="AD8603">
            <v>79000</v>
          </cell>
        </row>
        <row r="8604">
          <cell r="W8604" t="str">
            <v>QNOST01</v>
          </cell>
          <cell r="AD8604">
            <v>79000</v>
          </cell>
        </row>
        <row r="8605">
          <cell r="W8605" t="str">
            <v>QNOST01</v>
          </cell>
          <cell r="AD8605">
            <v>79000</v>
          </cell>
        </row>
        <row r="8606">
          <cell r="W8606" t="str">
            <v>QNOST01</v>
          </cell>
          <cell r="AD8606">
            <v>79000</v>
          </cell>
        </row>
        <row r="8607">
          <cell r="W8607" t="str">
            <v>QNOST01</v>
          </cell>
          <cell r="AD8607">
            <v>79000</v>
          </cell>
        </row>
        <row r="8608">
          <cell r="W8608" t="str">
            <v>QNOST01</v>
          </cell>
          <cell r="AD8608">
            <v>79000</v>
          </cell>
        </row>
        <row r="8609">
          <cell r="W8609" t="str">
            <v>QNOST01</v>
          </cell>
          <cell r="AD8609">
            <v>79000</v>
          </cell>
        </row>
        <row r="8610">
          <cell r="W8610" t="str">
            <v>QNOST01</v>
          </cell>
          <cell r="AD8610">
            <v>79000</v>
          </cell>
        </row>
        <row r="8611">
          <cell r="W8611" t="str">
            <v>QNOST01</v>
          </cell>
          <cell r="AD8611">
            <v>79000</v>
          </cell>
        </row>
        <row r="8612">
          <cell r="W8612" t="str">
            <v>QNOST01</v>
          </cell>
          <cell r="AD8612">
            <v>79000</v>
          </cell>
        </row>
        <row r="8613">
          <cell r="W8613" t="str">
            <v>QNOST01</v>
          </cell>
          <cell r="AD8613">
            <v>79000</v>
          </cell>
        </row>
        <row r="8614">
          <cell r="W8614" t="str">
            <v>QNOST01</v>
          </cell>
          <cell r="AD8614">
            <v>79000</v>
          </cell>
        </row>
        <row r="8615">
          <cell r="W8615" t="str">
            <v>QNOST01</v>
          </cell>
          <cell r="AD8615">
            <v>79000</v>
          </cell>
        </row>
        <row r="8616">
          <cell r="W8616" t="str">
            <v>ANOST01</v>
          </cell>
          <cell r="AD8616">
            <v>79000</v>
          </cell>
        </row>
        <row r="8617">
          <cell r="W8617" t="str">
            <v>QNOST01</v>
          </cell>
          <cell r="AD8617">
            <v>79000</v>
          </cell>
        </row>
        <row r="8618">
          <cell r="W8618" t="str">
            <v>QNOST01</v>
          </cell>
          <cell r="AD8618">
            <v>79000</v>
          </cell>
        </row>
        <row r="8619">
          <cell r="W8619" t="str">
            <v>QNOST01</v>
          </cell>
          <cell r="AD8619">
            <v>79000</v>
          </cell>
        </row>
        <row r="8620">
          <cell r="W8620" t="str">
            <v>QNOST02</v>
          </cell>
          <cell r="AD8620">
            <v>41500</v>
          </cell>
        </row>
        <row r="8621">
          <cell r="W8621" t="str">
            <v>QNOST02</v>
          </cell>
          <cell r="AD8621">
            <v>41500</v>
          </cell>
        </row>
        <row r="8622">
          <cell r="W8622" t="str">
            <v>QNOST02</v>
          </cell>
          <cell r="AD8622">
            <v>41500</v>
          </cell>
        </row>
        <row r="8623">
          <cell r="W8623" t="str">
            <v>QNOST02</v>
          </cell>
          <cell r="AD8623">
            <v>41500</v>
          </cell>
        </row>
        <row r="8624">
          <cell r="W8624" t="str">
            <v>QNOST02</v>
          </cell>
          <cell r="AD8624">
            <v>41500</v>
          </cell>
        </row>
        <row r="8625">
          <cell r="W8625" t="str">
            <v>QNOST02</v>
          </cell>
          <cell r="AD8625">
            <v>41500</v>
          </cell>
        </row>
        <row r="8626">
          <cell r="W8626" t="str">
            <v>QNOST02</v>
          </cell>
          <cell r="AD8626">
            <v>41500</v>
          </cell>
        </row>
        <row r="8627">
          <cell r="W8627" t="str">
            <v>QNOST02</v>
          </cell>
          <cell r="AD8627">
            <v>41500</v>
          </cell>
        </row>
        <row r="8628">
          <cell r="W8628" t="str">
            <v>QNOST02</v>
          </cell>
          <cell r="AD8628">
            <v>41500</v>
          </cell>
        </row>
        <row r="8629">
          <cell r="W8629" t="str">
            <v>QNOST02</v>
          </cell>
          <cell r="AD8629">
            <v>41500</v>
          </cell>
        </row>
        <row r="8630">
          <cell r="W8630" t="str">
            <v>QNOST02</v>
          </cell>
          <cell r="AD8630">
            <v>41500</v>
          </cell>
        </row>
        <row r="8631">
          <cell r="W8631" t="str">
            <v>QNOST02</v>
          </cell>
          <cell r="AD8631">
            <v>41500</v>
          </cell>
        </row>
        <row r="8632">
          <cell r="W8632" t="str">
            <v>QNOST02</v>
          </cell>
          <cell r="AD8632">
            <v>41500</v>
          </cell>
        </row>
        <row r="8633">
          <cell r="W8633" t="str">
            <v>QNOST02</v>
          </cell>
          <cell r="AD8633">
            <v>41500</v>
          </cell>
        </row>
        <row r="8634">
          <cell r="W8634" t="str">
            <v>QNOST02</v>
          </cell>
          <cell r="AD8634">
            <v>41500</v>
          </cell>
        </row>
        <row r="8635">
          <cell r="W8635" t="str">
            <v>QNOST02</v>
          </cell>
          <cell r="AD8635">
            <v>41500</v>
          </cell>
        </row>
        <row r="8636">
          <cell r="W8636" t="str">
            <v>QNOST02</v>
          </cell>
          <cell r="AD8636">
            <v>41500</v>
          </cell>
        </row>
        <row r="8637">
          <cell r="W8637" t="str">
            <v>QNOST02</v>
          </cell>
          <cell r="AD8637">
            <v>41500</v>
          </cell>
        </row>
        <row r="8638">
          <cell r="W8638" t="str">
            <v>QNOST02</v>
          </cell>
          <cell r="AD8638">
            <v>41500</v>
          </cell>
        </row>
        <row r="8639">
          <cell r="W8639" t="str">
            <v>QNOST02</v>
          </cell>
          <cell r="AD8639">
            <v>41500</v>
          </cell>
        </row>
        <row r="8640">
          <cell r="W8640" t="str">
            <v>QNOST02</v>
          </cell>
          <cell r="AD8640">
            <v>41500</v>
          </cell>
        </row>
        <row r="8641">
          <cell r="W8641" t="str">
            <v>QNOST02</v>
          </cell>
          <cell r="AD8641">
            <v>41500</v>
          </cell>
        </row>
        <row r="8642">
          <cell r="W8642" t="str">
            <v>QNOST02</v>
          </cell>
          <cell r="AD8642">
            <v>41500</v>
          </cell>
        </row>
        <row r="8643">
          <cell r="W8643" t="str">
            <v>QNOST02</v>
          </cell>
          <cell r="AD8643">
            <v>41500</v>
          </cell>
        </row>
        <row r="8644">
          <cell r="W8644" t="str">
            <v>QNOST02</v>
          </cell>
          <cell r="AD8644">
            <v>41500</v>
          </cell>
        </row>
        <row r="8645">
          <cell r="W8645" t="str">
            <v>QNOST03</v>
          </cell>
          <cell r="AD8645">
            <v>18000</v>
          </cell>
        </row>
        <row r="8646">
          <cell r="W8646" t="str">
            <v>QNOST03</v>
          </cell>
          <cell r="AD8646">
            <v>18000</v>
          </cell>
        </row>
        <row r="8647">
          <cell r="W8647" t="str">
            <v>QNOST03</v>
          </cell>
          <cell r="AD8647">
            <v>18000</v>
          </cell>
        </row>
        <row r="8648">
          <cell r="W8648" t="str">
            <v>QNOST03</v>
          </cell>
          <cell r="AD8648">
            <v>18000</v>
          </cell>
        </row>
        <row r="8649">
          <cell r="W8649" t="str">
            <v>QNOST03</v>
          </cell>
          <cell r="AD8649">
            <v>18000</v>
          </cell>
        </row>
        <row r="8650">
          <cell r="W8650" t="str">
            <v>QNOST03</v>
          </cell>
          <cell r="AD8650">
            <v>18000</v>
          </cell>
        </row>
        <row r="8651">
          <cell r="W8651" t="str">
            <v>QNOST03</v>
          </cell>
          <cell r="AD8651">
            <v>18000</v>
          </cell>
        </row>
        <row r="8652">
          <cell r="W8652" t="str">
            <v>QNOST03</v>
          </cell>
          <cell r="AD8652">
            <v>18000</v>
          </cell>
        </row>
        <row r="8653">
          <cell r="W8653" t="str">
            <v>ANOWE01</v>
          </cell>
          <cell r="AD8653">
            <v>1</v>
          </cell>
        </row>
        <row r="8654">
          <cell r="W8654" t="str">
            <v>QNPK111</v>
          </cell>
          <cell r="AD8654">
            <v>9000</v>
          </cell>
        </row>
        <row r="8655">
          <cell r="W8655" t="str">
            <v>QNPK122</v>
          </cell>
          <cell r="AD8655">
            <v>180000</v>
          </cell>
        </row>
        <row r="8656">
          <cell r="W8656" t="str">
            <v>QNPK122</v>
          </cell>
          <cell r="AD8656">
            <v>180000</v>
          </cell>
        </row>
        <row r="8657">
          <cell r="W8657" t="str">
            <v>QNPK122</v>
          </cell>
          <cell r="AD8657">
            <v>180000</v>
          </cell>
        </row>
        <row r="8658">
          <cell r="W8658" t="str">
            <v>QNPK122</v>
          </cell>
          <cell r="AD8658">
            <v>180000</v>
          </cell>
        </row>
        <row r="8659">
          <cell r="W8659" t="str">
            <v>QNPK117</v>
          </cell>
          <cell r="AD8659">
            <v>9200</v>
          </cell>
        </row>
        <row r="8660">
          <cell r="W8660" t="str">
            <v>QNPK117</v>
          </cell>
          <cell r="AD8660">
            <v>9200</v>
          </cell>
        </row>
        <row r="8661">
          <cell r="W8661" t="str">
            <v>QNPK117</v>
          </cell>
          <cell r="AD8661">
            <v>9200</v>
          </cell>
        </row>
        <row r="8662">
          <cell r="W8662" t="str">
            <v>QNPK117</v>
          </cell>
          <cell r="AD8662">
            <v>9500</v>
          </cell>
        </row>
        <row r="8663">
          <cell r="W8663" t="str">
            <v>QNPK117</v>
          </cell>
          <cell r="AD8663">
            <v>9500</v>
          </cell>
        </row>
        <row r="8664">
          <cell r="W8664" t="str">
            <v>QNPK117</v>
          </cell>
          <cell r="AD8664">
            <v>10500</v>
          </cell>
        </row>
        <row r="8665">
          <cell r="W8665" t="str">
            <v>QNPK117</v>
          </cell>
          <cell r="AD8665">
            <v>10500</v>
          </cell>
        </row>
        <row r="8666">
          <cell r="W8666" t="str">
            <v>QNPK112</v>
          </cell>
          <cell r="AD8666">
            <v>375000</v>
          </cell>
        </row>
        <row r="8667">
          <cell r="W8667" t="str">
            <v>QNPK112</v>
          </cell>
          <cell r="AD8667">
            <v>425000</v>
          </cell>
        </row>
        <row r="8668">
          <cell r="W8668" t="str">
            <v>QNPK112</v>
          </cell>
          <cell r="AD8668">
            <v>425000</v>
          </cell>
        </row>
        <row r="8669">
          <cell r="W8669" t="str">
            <v>QNPK112</v>
          </cell>
          <cell r="AD8669">
            <v>425000</v>
          </cell>
        </row>
        <row r="8670">
          <cell r="W8670" t="str">
            <v>QNPK112</v>
          </cell>
          <cell r="AD8670">
            <v>425000</v>
          </cell>
        </row>
        <row r="8671">
          <cell r="W8671" t="str">
            <v>QNPK112</v>
          </cell>
          <cell r="AD8671">
            <v>425000</v>
          </cell>
        </row>
        <row r="8672">
          <cell r="W8672" t="str">
            <v>QNPK112</v>
          </cell>
          <cell r="AD8672">
            <v>425000</v>
          </cell>
        </row>
        <row r="8673">
          <cell r="W8673" t="str">
            <v>QNPK112</v>
          </cell>
          <cell r="AD8673">
            <v>425000</v>
          </cell>
        </row>
        <row r="8674">
          <cell r="W8674" t="str">
            <v>QNPK112</v>
          </cell>
          <cell r="AD8674">
            <v>425000</v>
          </cell>
        </row>
        <row r="8675">
          <cell r="W8675" t="str">
            <v>QNPK112</v>
          </cell>
          <cell r="AD8675">
            <v>425000</v>
          </cell>
        </row>
        <row r="8676">
          <cell r="W8676" t="str">
            <v>QNPK112</v>
          </cell>
          <cell r="AD8676">
            <v>425000</v>
          </cell>
        </row>
        <row r="8677">
          <cell r="W8677" t="str">
            <v>QNPK123</v>
          </cell>
          <cell r="AD8677">
            <v>46500</v>
          </cell>
        </row>
        <row r="8678">
          <cell r="W8678" t="str">
            <v>QNPK123</v>
          </cell>
          <cell r="AD8678">
            <v>46500</v>
          </cell>
        </row>
        <row r="8679">
          <cell r="W8679" t="str">
            <v>QNPK123</v>
          </cell>
          <cell r="AD8679">
            <v>47500</v>
          </cell>
        </row>
        <row r="8680">
          <cell r="W8680" t="str">
            <v>QNPK123</v>
          </cell>
          <cell r="AD8680">
            <v>47500</v>
          </cell>
        </row>
        <row r="8681">
          <cell r="W8681" t="str">
            <v>QNPK123</v>
          </cell>
          <cell r="AD8681">
            <v>47500</v>
          </cell>
        </row>
        <row r="8682">
          <cell r="W8682" t="str">
            <v>QNPK123</v>
          </cell>
          <cell r="AD8682">
            <v>48000</v>
          </cell>
        </row>
        <row r="8683">
          <cell r="W8683" t="str">
            <v>QNPK123</v>
          </cell>
          <cell r="AD8683">
            <v>48000</v>
          </cell>
        </row>
        <row r="8684">
          <cell r="W8684" t="str">
            <v>QNPK123</v>
          </cell>
          <cell r="AD8684">
            <v>48000</v>
          </cell>
        </row>
        <row r="8685">
          <cell r="W8685" t="str">
            <v>QNPK123</v>
          </cell>
          <cell r="AD8685">
            <v>48000</v>
          </cell>
        </row>
        <row r="8686">
          <cell r="W8686" t="str">
            <v>QNPK123</v>
          </cell>
          <cell r="AD8686">
            <v>48000</v>
          </cell>
        </row>
        <row r="8687">
          <cell r="W8687" t="str">
            <v>QNPK123</v>
          </cell>
          <cell r="AD8687">
            <v>48000</v>
          </cell>
        </row>
        <row r="8688">
          <cell r="W8688" t="str">
            <v>QNPK123</v>
          </cell>
          <cell r="AD8688">
            <v>48500</v>
          </cell>
        </row>
        <row r="8689">
          <cell r="W8689" t="str">
            <v>QNPK123</v>
          </cell>
          <cell r="AD8689">
            <v>48500</v>
          </cell>
        </row>
        <row r="8690">
          <cell r="W8690" t="str">
            <v>QNPK123</v>
          </cell>
          <cell r="AD8690">
            <v>48500</v>
          </cell>
        </row>
        <row r="8691">
          <cell r="W8691" t="str">
            <v>QNPK123</v>
          </cell>
          <cell r="AD8691">
            <v>48500</v>
          </cell>
        </row>
        <row r="8692">
          <cell r="W8692" t="str">
            <v>ANPK110</v>
          </cell>
          <cell r="AD8692">
            <v>48500</v>
          </cell>
        </row>
        <row r="8693">
          <cell r="W8693" t="str">
            <v>QNPK123</v>
          </cell>
          <cell r="AD8693">
            <v>48500</v>
          </cell>
        </row>
        <row r="8694">
          <cell r="W8694" t="str">
            <v>QNPK123</v>
          </cell>
          <cell r="AD8694">
            <v>48500</v>
          </cell>
        </row>
        <row r="8695">
          <cell r="W8695" t="str">
            <v>QNPK123</v>
          </cell>
          <cell r="AD8695">
            <v>48500</v>
          </cell>
        </row>
        <row r="8696">
          <cell r="W8696" t="str">
            <v>QNPK120</v>
          </cell>
          <cell r="AD8696">
            <v>10250</v>
          </cell>
        </row>
        <row r="8697">
          <cell r="W8697" t="str">
            <v>QNPK120</v>
          </cell>
          <cell r="AD8697">
            <v>10250</v>
          </cell>
        </row>
        <row r="8698">
          <cell r="W8698" t="str">
            <v>QNPK120</v>
          </cell>
          <cell r="AD8698">
            <v>10250</v>
          </cell>
        </row>
        <row r="8699">
          <cell r="W8699" t="str">
            <v>ANPK106</v>
          </cell>
          <cell r="AD8699">
            <v>10250</v>
          </cell>
        </row>
        <row r="8700">
          <cell r="W8700" t="str">
            <v>QNPK120</v>
          </cell>
          <cell r="AD8700">
            <v>10250</v>
          </cell>
        </row>
        <row r="8701">
          <cell r="W8701" t="str">
            <v>QNPK120</v>
          </cell>
          <cell r="AD8701">
            <v>10250</v>
          </cell>
        </row>
        <row r="8702">
          <cell r="W8702" t="str">
            <v>QNPK120</v>
          </cell>
          <cell r="AD8702">
            <v>10250</v>
          </cell>
        </row>
        <row r="8703">
          <cell r="W8703" t="str">
            <v>QNPK120</v>
          </cell>
          <cell r="AD8703">
            <v>10500</v>
          </cell>
        </row>
        <row r="8704">
          <cell r="W8704" t="str">
            <v>QNPK119</v>
          </cell>
          <cell r="AD8704">
            <v>410000</v>
          </cell>
        </row>
        <row r="8705">
          <cell r="W8705" t="str">
            <v>QNPK119</v>
          </cell>
          <cell r="AD8705">
            <v>410000</v>
          </cell>
        </row>
        <row r="8706">
          <cell r="W8706" t="str">
            <v>QNPK119</v>
          </cell>
          <cell r="AD8706">
            <v>410000</v>
          </cell>
        </row>
        <row r="8707">
          <cell r="W8707" t="str">
            <v>QNPK119</v>
          </cell>
          <cell r="AD8707">
            <v>410000</v>
          </cell>
        </row>
        <row r="8708">
          <cell r="W8708" t="str">
            <v>QNPK119</v>
          </cell>
          <cell r="AD8708">
            <v>410000</v>
          </cell>
        </row>
        <row r="8709">
          <cell r="W8709" t="str">
            <v>QNPK119</v>
          </cell>
          <cell r="AD8709">
            <v>410000</v>
          </cell>
        </row>
        <row r="8710">
          <cell r="W8710" t="str">
            <v>QNPK119</v>
          </cell>
          <cell r="AD8710">
            <v>410000</v>
          </cell>
        </row>
        <row r="8711">
          <cell r="W8711" t="str">
            <v>QNPK119</v>
          </cell>
          <cell r="AD8711">
            <v>410000</v>
          </cell>
        </row>
        <row r="8712">
          <cell r="W8712" t="str">
            <v>QNPK119</v>
          </cell>
          <cell r="AD8712">
            <v>410000</v>
          </cell>
        </row>
        <row r="8713">
          <cell r="W8713" t="str">
            <v>QNPK119</v>
          </cell>
          <cell r="AD8713">
            <v>410000</v>
          </cell>
        </row>
        <row r="8714">
          <cell r="W8714" t="str">
            <v>QNPK119</v>
          </cell>
          <cell r="AD8714">
            <v>410000</v>
          </cell>
        </row>
        <row r="8715">
          <cell r="W8715" t="str">
            <v>QNPK119</v>
          </cell>
          <cell r="AD8715">
            <v>410000</v>
          </cell>
        </row>
        <row r="8716">
          <cell r="W8716" t="str">
            <v>QNPK119</v>
          </cell>
          <cell r="AD8716">
            <v>410000</v>
          </cell>
        </row>
        <row r="8717">
          <cell r="W8717" t="str">
            <v>QNPK119</v>
          </cell>
          <cell r="AD8717">
            <v>410000</v>
          </cell>
        </row>
        <row r="8718">
          <cell r="W8718" t="str">
            <v>ANPK107</v>
          </cell>
          <cell r="AD8718">
            <v>410000</v>
          </cell>
        </row>
        <row r="8719">
          <cell r="W8719" t="str">
            <v>QNPK119</v>
          </cell>
          <cell r="AD8719">
            <v>410000</v>
          </cell>
        </row>
        <row r="8720">
          <cell r="W8720" t="str">
            <v>QNPK119</v>
          </cell>
          <cell r="AD8720">
            <v>410000</v>
          </cell>
        </row>
        <row r="8721">
          <cell r="W8721" t="str">
            <v>QNPK119</v>
          </cell>
          <cell r="AD8721">
            <v>410000</v>
          </cell>
        </row>
        <row r="8722">
          <cell r="W8722" t="str">
            <v>QNPK119</v>
          </cell>
          <cell r="AD8722">
            <v>410000</v>
          </cell>
        </row>
        <row r="8723">
          <cell r="W8723" t="str">
            <v>QNPK119</v>
          </cell>
          <cell r="AD8723">
            <v>410000</v>
          </cell>
        </row>
        <row r="8724">
          <cell r="W8724" t="str">
            <v>QNPK119</v>
          </cell>
          <cell r="AD8724">
            <v>410000</v>
          </cell>
        </row>
        <row r="8725">
          <cell r="W8725" t="str">
            <v>QNPK119</v>
          </cell>
          <cell r="AD8725">
            <v>410000</v>
          </cell>
        </row>
        <row r="8726">
          <cell r="W8726" t="str">
            <v>QNPK119</v>
          </cell>
          <cell r="AD8726">
            <v>425000</v>
          </cell>
        </row>
        <row r="8727">
          <cell r="W8727" t="str">
            <v>QNPK119</v>
          </cell>
          <cell r="AD8727">
            <v>425000</v>
          </cell>
        </row>
        <row r="8728">
          <cell r="W8728" t="str">
            <v>QNPKB08</v>
          </cell>
          <cell r="AD8728">
            <v>583000</v>
          </cell>
        </row>
        <row r="8729">
          <cell r="W8729" t="str">
            <v>QNPKB08</v>
          </cell>
          <cell r="AD8729">
            <v>583000</v>
          </cell>
        </row>
        <row r="8730">
          <cell r="W8730" t="str">
            <v>QNPKB08</v>
          </cell>
          <cell r="AD8730">
            <v>583000</v>
          </cell>
        </row>
        <row r="8731">
          <cell r="W8731" t="str">
            <v>QNPKB08</v>
          </cell>
          <cell r="AD8731">
            <v>587500</v>
          </cell>
        </row>
        <row r="8732">
          <cell r="W8732" t="str">
            <v>QNPKB08</v>
          </cell>
          <cell r="AD8732">
            <v>587500</v>
          </cell>
        </row>
        <row r="8733">
          <cell r="W8733" t="str">
            <v>QNPKB08</v>
          </cell>
          <cell r="AD8733">
            <v>587500</v>
          </cell>
        </row>
        <row r="8734">
          <cell r="W8734" t="str">
            <v>QNPKB08</v>
          </cell>
          <cell r="AD8734">
            <v>587500</v>
          </cell>
        </row>
        <row r="8735">
          <cell r="W8735" t="str">
            <v>QNPKB08</v>
          </cell>
          <cell r="AD8735">
            <v>587500</v>
          </cell>
        </row>
        <row r="8736">
          <cell r="W8736" t="str">
            <v>QNPKB07</v>
          </cell>
          <cell r="AD8736">
            <v>362500</v>
          </cell>
        </row>
        <row r="8737">
          <cell r="W8737" t="str">
            <v>QNPKB07</v>
          </cell>
          <cell r="AD8737">
            <v>362500</v>
          </cell>
        </row>
        <row r="8738">
          <cell r="W8738" t="str">
            <v>QNPKB07</v>
          </cell>
          <cell r="AD8738">
            <v>362500</v>
          </cell>
        </row>
        <row r="8739">
          <cell r="W8739" t="str">
            <v>QNPKB03</v>
          </cell>
          <cell r="AD8739">
            <v>362500</v>
          </cell>
        </row>
        <row r="8740">
          <cell r="W8740" t="str">
            <v>QNPKB03</v>
          </cell>
          <cell r="AD8740">
            <v>362500</v>
          </cell>
        </row>
        <row r="8741">
          <cell r="W8741" t="str">
            <v>QNPKB03</v>
          </cell>
          <cell r="AD8741">
            <v>362500</v>
          </cell>
        </row>
        <row r="8742">
          <cell r="W8742" t="str">
            <v>QNPKB03</v>
          </cell>
          <cell r="AD8742">
            <v>362500</v>
          </cell>
        </row>
        <row r="8743">
          <cell r="W8743" t="str">
            <v>QNPKB03</v>
          </cell>
          <cell r="AD8743">
            <v>362500</v>
          </cell>
        </row>
        <row r="8744">
          <cell r="W8744" t="str">
            <v>QNPKB03</v>
          </cell>
          <cell r="AD8744">
            <v>362500</v>
          </cell>
        </row>
        <row r="8745">
          <cell r="W8745" t="str">
            <v>QNPKB09</v>
          </cell>
          <cell r="AD8745">
            <v>250000</v>
          </cell>
        </row>
        <row r="8746">
          <cell r="W8746" t="str">
            <v>QNPKB09</v>
          </cell>
          <cell r="AD8746">
            <v>250000</v>
          </cell>
        </row>
        <row r="8747">
          <cell r="W8747" t="str">
            <v>QNPKB09</v>
          </cell>
          <cell r="AD8747">
            <v>362500</v>
          </cell>
        </row>
        <row r="8748">
          <cell r="W8748" t="str">
            <v>QNPKB09</v>
          </cell>
          <cell r="AD8748">
            <v>362500</v>
          </cell>
        </row>
        <row r="8749">
          <cell r="W8749" t="str">
            <v>QNPKB09</v>
          </cell>
          <cell r="AD8749">
            <v>362500</v>
          </cell>
        </row>
        <row r="8750">
          <cell r="W8750" t="str">
            <v>QNPKB09</v>
          </cell>
          <cell r="AD8750">
            <v>362500</v>
          </cell>
        </row>
        <row r="8751">
          <cell r="W8751" t="str">
            <v>QNPKB09</v>
          </cell>
          <cell r="AD8751">
            <v>362500</v>
          </cell>
        </row>
        <row r="8752">
          <cell r="W8752" t="str">
            <v>QNPKB09</v>
          </cell>
          <cell r="AD8752">
            <v>362500</v>
          </cell>
        </row>
        <row r="8753">
          <cell r="W8753" t="str">
            <v>QNPKB01</v>
          </cell>
          <cell r="AD8753">
            <v>440000</v>
          </cell>
        </row>
        <row r="8754">
          <cell r="W8754" t="str">
            <v>QNPKB01</v>
          </cell>
          <cell r="AD8754">
            <v>440000</v>
          </cell>
        </row>
        <row r="8755">
          <cell r="W8755" t="str">
            <v>QNPKB01</v>
          </cell>
          <cell r="AD8755">
            <v>440000</v>
          </cell>
        </row>
        <row r="8756">
          <cell r="W8756" t="str">
            <v>QNPKB01</v>
          </cell>
          <cell r="AD8756">
            <v>450000</v>
          </cell>
        </row>
        <row r="8757">
          <cell r="W8757" t="str">
            <v>QNPKB01</v>
          </cell>
          <cell r="AD8757">
            <v>450000</v>
          </cell>
        </row>
        <row r="8758">
          <cell r="W8758" t="str">
            <v>QNPKB01</v>
          </cell>
          <cell r="AD8758">
            <v>450000</v>
          </cell>
        </row>
        <row r="8759">
          <cell r="W8759" t="str">
            <v>QNPKB01</v>
          </cell>
          <cell r="AD8759">
            <v>450000</v>
          </cell>
        </row>
        <row r="8760">
          <cell r="W8760" t="str">
            <v>QNPKB01</v>
          </cell>
          <cell r="AD8760">
            <v>450000</v>
          </cell>
        </row>
        <row r="8761">
          <cell r="W8761" t="str">
            <v>QNPKB01</v>
          </cell>
          <cell r="AD8761">
            <v>450000</v>
          </cell>
        </row>
        <row r="8762">
          <cell r="W8762" t="str">
            <v>QNPKB01</v>
          </cell>
          <cell r="AD8762">
            <v>450000</v>
          </cell>
        </row>
        <row r="8763">
          <cell r="W8763" t="str">
            <v>QNPKB01</v>
          </cell>
          <cell r="AD8763">
            <v>450000</v>
          </cell>
        </row>
        <row r="8764">
          <cell r="W8764" t="str">
            <v>QNPKB01</v>
          </cell>
          <cell r="AD8764">
            <v>450000</v>
          </cell>
        </row>
        <row r="8765">
          <cell r="W8765" t="str">
            <v>QNPKB01</v>
          </cell>
          <cell r="AD8765">
            <v>450000</v>
          </cell>
        </row>
        <row r="8766">
          <cell r="W8766" t="str">
            <v>QNPKB01</v>
          </cell>
          <cell r="AD8766">
            <v>450000</v>
          </cell>
        </row>
        <row r="8767">
          <cell r="W8767" t="str">
            <v>QNPKB01</v>
          </cell>
          <cell r="AD8767">
            <v>450000</v>
          </cell>
        </row>
        <row r="8768">
          <cell r="W8768" t="str">
            <v>QNPKB01</v>
          </cell>
          <cell r="AD8768">
            <v>450000</v>
          </cell>
        </row>
        <row r="8769">
          <cell r="W8769" t="str">
            <v>QNPKB01</v>
          </cell>
          <cell r="AD8769">
            <v>450000</v>
          </cell>
        </row>
        <row r="8770">
          <cell r="W8770" t="str">
            <v>QNPKB01</v>
          </cell>
          <cell r="AD8770">
            <v>450000</v>
          </cell>
        </row>
        <row r="8771">
          <cell r="W8771" t="str">
            <v>QNPKB01</v>
          </cell>
          <cell r="AD8771">
            <v>450000</v>
          </cell>
        </row>
        <row r="8772">
          <cell r="W8772" t="str">
            <v>QNPKB01</v>
          </cell>
          <cell r="AD8772">
            <v>450000</v>
          </cell>
        </row>
        <row r="8773">
          <cell r="W8773" t="str">
            <v>QNPKB01</v>
          </cell>
          <cell r="AD8773">
            <v>450000</v>
          </cell>
        </row>
        <row r="8774">
          <cell r="W8774" t="str">
            <v>QNPKB01</v>
          </cell>
          <cell r="AD8774">
            <v>450000</v>
          </cell>
        </row>
        <row r="8775">
          <cell r="W8775" t="str">
            <v>QNPKB01</v>
          </cell>
          <cell r="AD8775">
            <v>450000</v>
          </cell>
        </row>
        <row r="8776">
          <cell r="W8776" t="str">
            <v>QNPKB01</v>
          </cell>
          <cell r="AD8776">
            <v>455000</v>
          </cell>
        </row>
        <row r="8777">
          <cell r="W8777" t="str">
            <v>QNPKB01</v>
          </cell>
          <cell r="AD8777">
            <v>455000</v>
          </cell>
        </row>
        <row r="8778">
          <cell r="W8778" t="str">
            <v>QNPKB01</v>
          </cell>
          <cell r="AD8778">
            <v>460000</v>
          </cell>
        </row>
        <row r="8779">
          <cell r="W8779" t="str">
            <v>QNPKB01</v>
          </cell>
          <cell r="AD8779">
            <v>460000</v>
          </cell>
        </row>
        <row r="8780">
          <cell r="W8780" t="str">
            <v>QNPKB01</v>
          </cell>
          <cell r="AD8780">
            <v>460000</v>
          </cell>
        </row>
        <row r="8781">
          <cell r="W8781" t="str">
            <v>QNPKB01</v>
          </cell>
          <cell r="AD8781">
            <v>460000</v>
          </cell>
        </row>
        <row r="8782">
          <cell r="W8782" t="str">
            <v>QNPKB01</v>
          </cell>
          <cell r="AD8782">
            <v>485000</v>
          </cell>
        </row>
        <row r="8783">
          <cell r="W8783" t="str">
            <v>QNPKB01</v>
          </cell>
          <cell r="AD8783">
            <v>485000</v>
          </cell>
        </row>
        <row r="8784">
          <cell r="W8784" t="str">
            <v>QNPKB01</v>
          </cell>
          <cell r="AD8784">
            <v>485000</v>
          </cell>
        </row>
        <row r="8785">
          <cell r="W8785" t="str">
            <v>QNPKB01</v>
          </cell>
          <cell r="AD8785">
            <v>485000</v>
          </cell>
        </row>
        <row r="8786">
          <cell r="W8786" t="str">
            <v>QNPKB06</v>
          </cell>
          <cell r="AD8786">
            <v>10000</v>
          </cell>
        </row>
        <row r="8787">
          <cell r="W8787" t="str">
            <v>QNPKB06</v>
          </cell>
          <cell r="AD8787">
            <v>10500</v>
          </cell>
        </row>
        <row r="8788">
          <cell r="W8788" t="str">
            <v>QNPKB06</v>
          </cell>
          <cell r="AD8788">
            <v>10750</v>
          </cell>
        </row>
        <row r="8789">
          <cell r="W8789" t="str">
            <v>QNPKB06</v>
          </cell>
          <cell r="AD8789">
            <v>10750</v>
          </cell>
        </row>
        <row r="8790">
          <cell r="W8790" t="str">
            <v>QNPKB06</v>
          </cell>
          <cell r="AD8790">
            <v>11000</v>
          </cell>
        </row>
        <row r="8791">
          <cell r="W8791" t="str">
            <v>QNPKB06</v>
          </cell>
          <cell r="AD8791">
            <v>11000</v>
          </cell>
        </row>
        <row r="8792">
          <cell r="W8792" t="str">
            <v>QNPKB06</v>
          </cell>
          <cell r="AD8792">
            <v>11000</v>
          </cell>
        </row>
        <row r="8793">
          <cell r="W8793" t="str">
            <v>QNPKB06</v>
          </cell>
          <cell r="AD8793">
            <v>11000</v>
          </cell>
        </row>
        <row r="8794">
          <cell r="W8794" t="str">
            <v>QNPKC08</v>
          </cell>
          <cell r="AD8794">
            <v>46500</v>
          </cell>
        </row>
        <row r="8795">
          <cell r="W8795" t="str">
            <v>QNPKC08</v>
          </cell>
          <cell r="AD8795">
            <v>46500</v>
          </cell>
        </row>
        <row r="8796">
          <cell r="W8796" t="str">
            <v>QNPKC08</v>
          </cell>
          <cell r="AD8796">
            <v>47500</v>
          </cell>
        </row>
        <row r="8797">
          <cell r="W8797" t="str">
            <v>QNPKC08</v>
          </cell>
          <cell r="AD8797">
            <v>47500</v>
          </cell>
        </row>
        <row r="8798">
          <cell r="W8798" t="str">
            <v>QNPKC08</v>
          </cell>
          <cell r="AD8798">
            <v>48500</v>
          </cell>
        </row>
        <row r="8799">
          <cell r="W8799" t="str">
            <v>QNPKC08</v>
          </cell>
          <cell r="AD8799">
            <v>48500</v>
          </cell>
        </row>
        <row r="8800">
          <cell r="W8800" t="str">
            <v>QNPKC08</v>
          </cell>
          <cell r="AD8800">
            <v>48500</v>
          </cell>
        </row>
        <row r="8801">
          <cell r="W8801" t="str">
            <v>QNPKC08</v>
          </cell>
          <cell r="AD8801">
            <v>48500</v>
          </cell>
        </row>
        <row r="8802">
          <cell r="W8802" t="str">
            <v>QNPKC08</v>
          </cell>
          <cell r="AD8802">
            <v>48500</v>
          </cell>
        </row>
        <row r="8803">
          <cell r="W8803" t="str">
            <v>QNPKC08</v>
          </cell>
          <cell r="AD8803">
            <v>48500</v>
          </cell>
        </row>
        <row r="8804">
          <cell r="W8804" t="str">
            <v>QNPKC08</v>
          </cell>
          <cell r="AD8804">
            <v>48500</v>
          </cell>
        </row>
        <row r="8805">
          <cell r="W8805" t="str">
            <v>QNPKC08</v>
          </cell>
          <cell r="AD8805">
            <v>48500</v>
          </cell>
        </row>
        <row r="8806">
          <cell r="W8806" t="str">
            <v>QNPKC08</v>
          </cell>
          <cell r="AD8806">
            <v>49000</v>
          </cell>
        </row>
        <row r="8807">
          <cell r="W8807" t="str">
            <v>QNPKC08</v>
          </cell>
          <cell r="AD8807">
            <v>49000</v>
          </cell>
        </row>
        <row r="8808">
          <cell r="W8808" t="str">
            <v>QNPKC08</v>
          </cell>
          <cell r="AD8808">
            <v>49000</v>
          </cell>
        </row>
        <row r="8809">
          <cell r="W8809" t="str">
            <v>QNPKC08</v>
          </cell>
          <cell r="AD8809">
            <v>49000</v>
          </cell>
        </row>
        <row r="8810">
          <cell r="W8810" t="str">
            <v>QNPKC08</v>
          </cell>
          <cell r="AD8810">
            <v>49000</v>
          </cell>
        </row>
        <row r="8811">
          <cell r="W8811" t="str">
            <v>QNPKC08</v>
          </cell>
          <cell r="AD8811">
            <v>50000</v>
          </cell>
        </row>
        <row r="8812">
          <cell r="W8812" t="str">
            <v>QNPKC08</v>
          </cell>
          <cell r="AD8812">
            <v>50000</v>
          </cell>
        </row>
        <row r="8813">
          <cell r="W8813" t="str">
            <v>QNPKC08</v>
          </cell>
          <cell r="AD8813">
            <v>50000</v>
          </cell>
        </row>
        <row r="8814">
          <cell r="W8814" t="str">
            <v>QNPKC08</v>
          </cell>
          <cell r="AD8814">
            <v>50000</v>
          </cell>
        </row>
        <row r="8815">
          <cell r="W8815" t="str">
            <v>QNPKC08</v>
          </cell>
          <cell r="AD8815">
            <v>50000</v>
          </cell>
        </row>
        <row r="8816">
          <cell r="W8816" t="str">
            <v>QNPKC08</v>
          </cell>
          <cell r="AD8816">
            <v>50000</v>
          </cell>
        </row>
        <row r="8817">
          <cell r="W8817" t="str">
            <v>QNPKC08</v>
          </cell>
          <cell r="AD8817">
            <v>50000</v>
          </cell>
        </row>
        <row r="8818">
          <cell r="W8818" t="str">
            <v>QNPKC08</v>
          </cell>
          <cell r="AD8818">
            <v>50000</v>
          </cell>
        </row>
        <row r="8819">
          <cell r="W8819" t="str">
            <v>QNPKC11</v>
          </cell>
          <cell r="AD8819">
            <v>9500</v>
          </cell>
        </row>
        <row r="8820">
          <cell r="W8820" t="str">
            <v>QNPKC11</v>
          </cell>
          <cell r="AD8820">
            <v>9800</v>
          </cell>
        </row>
        <row r="8821">
          <cell r="W8821" t="str">
            <v>QNPKC11</v>
          </cell>
          <cell r="AD8821">
            <v>9800</v>
          </cell>
        </row>
        <row r="8822">
          <cell r="W8822" t="str">
            <v>QNPKC11</v>
          </cell>
          <cell r="AD8822">
            <v>9800</v>
          </cell>
        </row>
        <row r="8823">
          <cell r="W8823" t="str">
            <v>QNPKC11</v>
          </cell>
          <cell r="AD8823">
            <v>9800</v>
          </cell>
        </row>
        <row r="8824">
          <cell r="W8824" t="str">
            <v>QNPKC11</v>
          </cell>
          <cell r="AD8824">
            <v>9800</v>
          </cell>
        </row>
        <row r="8825">
          <cell r="W8825" t="str">
            <v>QNPKC11</v>
          </cell>
          <cell r="AD8825">
            <v>10000</v>
          </cell>
        </row>
        <row r="8826">
          <cell r="W8826" t="str">
            <v>QNPKC11</v>
          </cell>
          <cell r="AD8826">
            <v>10000</v>
          </cell>
        </row>
        <row r="8827">
          <cell r="W8827" t="str">
            <v>QNPKC11</v>
          </cell>
          <cell r="AD8827">
            <v>10000</v>
          </cell>
        </row>
        <row r="8828">
          <cell r="W8828" t="str">
            <v>QNPKC11</v>
          </cell>
          <cell r="AD8828">
            <v>10000</v>
          </cell>
        </row>
        <row r="8829">
          <cell r="W8829" t="str">
            <v>QNPKC11</v>
          </cell>
          <cell r="AD8829">
            <v>10000</v>
          </cell>
        </row>
        <row r="8830">
          <cell r="W8830" t="str">
            <v>QNPKC11</v>
          </cell>
          <cell r="AD8830">
            <v>10000</v>
          </cell>
        </row>
        <row r="8831">
          <cell r="W8831" t="str">
            <v>QNPKC11</v>
          </cell>
          <cell r="AD8831">
            <v>10000</v>
          </cell>
        </row>
        <row r="8832">
          <cell r="W8832" t="str">
            <v>QNPKC11</v>
          </cell>
          <cell r="AD8832">
            <v>10500</v>
          </cell>
        </row>
        <row r="8833">
          <cell r="W8833" t="str">
            <v>QNPKC11</v>
          </cell>
          <cell r="AD8833">
            <v>10500</v>
          </cell>
        </row>
        <row r="8834">
          <cell r="W8834" t="str">
            <v>QNPKC02</v>
          </cell>
          <cell r="AD8834">
            <v>435000</v>
          </cell>
        </row>
        <row r="8835">
          <cell r="W8835" t="str">
            <v>QNPKC02</v>
          </cell>
          <cell r="AD8835">
            <v>440000</v>
          </cell>
        </row>
        <row r="8836">
          <cell r="W8836" t="str">
            <v>QNPKC02</v>
          </cell>
          <cell r="AD8836">
            <v>440000</v>
          </cell>
        </row>
        <row r="8837">
          <cell r="W8837" t="str">
            <v>QNPKC02</v>
          </cell>
          <cell r="AD8837">
            <v>440000</v>
          </cell>
        </row>
        <row r="8838">
          <cell r="W8838" t="str">
            <v>QNPKC02</v>
          </cell>
          <cell r="AD8838">
            <v>450000</v>
          </cell>
        </row>
        <row r="8839">
          <cell r="W8839" t="str">
            <v>QNPKC02</v>
          </cell>
          <cell r="AD8839">
            <v>450000</v>
          </cell>
        </row>
        <row r="8840">
          <cell r="W8840" t="str">
            <v>QNPKC02</v>
          </cell>
          <cell r="AD8840">
            <v>450000</v>
          </cell>
        </row>
        <row r="8841">
          <cell r="W8841" t="str">
            <v>QNPKC02</v>
          </cell>
          <cell r="AD8841">
            <v>450000</v>
          </cell>
        </row>
        <row r="8842">
          <cell r="W8842" t="str">
            <v>QNPKC02</v>
          </cell>
          <cell r="AD8842">
            <v>450000</v>
          </cell>
        </row>
        <row r="8843">
          <cell r="W8843" t="str">
            <v>QNPKC02</v>
          </cell>
          <cell r="AD8843">
            <v>475000</v>
          </cell>
        </row>
        <row r="8844">
          <cell r="W8844" t="str">
            <v>QNPKC02</v>
          </cell>
          <cell r="AD8844">
            <v>475000</v>
          </cell>
        </row>
        <row r="8845">
          <cell r="W8845" t="str">
            <v>QNPKC02</v>
          </cell>
          <cell r="AD8845">
            <v>475000</v>
          </cell>
        </row>
        <row r="8846">
          <cell r="W8846" t="str">
            <v>QNPKM01</v>
          </cell>
          <cell r="AD8846">
            <v>7409.09</v>
          </cell>
        </row>
        <row r="8847">
          <cell r="W8847" t="str">
            <v>QNPKM03</v>
          </cell>
          <cell r="AD8847">
            <v>1</v>
          </cell>
        </row>
        <row r="8848">
          <cell r="W8848" t="str">
            <v>QNPKM08</v>
          </cell>
          <cell r="AD8848">
            <v>100000</v>
          </cell>
        </row>
        <row r="8849">
          <cell r="W8849" t="str">
            <v>QNPKM08</v>
          </cell>
          <cell r="AD8849">
            <v>100000</v>
          </cell>
        </row>
        <row r="8850">
          <cell r="W8850" t="str">
            <v>QNPKN02</v>
          </cell>
          <cell r="AD8850">
            <v>362000</v>
          </cell>
        </row>
        <row r="8851">
          <cell r="W8851" t="str">
            <v>QNPKN02</v>
          </cell>
          <cell r="AD8851">
            <v>362500</v>
          </cell>
        </row>
        <row r="8852">
          <cell r="W8852" t="str">
            <v>QNPKN02</v>
          </cell>
          <cell r="AD8852">
            <v>362500</v>
          </cell>
        </row>
        <row r="8853">
          <cell r="W8853" t="str">
            <v>QNPKN02</v>
          </cell>
          <cell r="AD8853">
            <v>362500</v>
          </cell>
        </row>
        <row r="8854">
          <cell r="W8854" t="str">
            <v>QNPKN02</v>
          </cell>
          <cell r="AD8854">
            <v>362500</v>
          </cell>
        </row>
        <row r="8855">
          <cell r="W8855" t="str">
            <v>QNPKN02</v>
          </cell>
          <cell r="AD8855">
            <v>362500</v>
          </cell>
        </row>
        <row r="8856">
          <cell r="W8856" t="str">
            <v>QNPKN02</v>
          </cell>
          <cell r="AD8856">
            <v>362500</v>
          </cell>
        </row>
        <row r="8857">
          <cell r="W8857" t="str">
            <v>QNPKN02</v>
          </cell>
          <cell r="AD8857">
            <v>362500</v>
          </cell>
        </row>
        <row r="8858">
          <cell r="W8858" t="str">
            <v>QNPKN02</v>
          </cell>
          <cell r="AD8858">
            <v>362500</v>
          </cell>
        </row>
        <row r="8859">
          <cell r="W8859" t="str">
            <v>QNPKN02</v>
          </cell>
          <cell r="AD8859">
            <v>362500</v>
          </cell>
        </row>
        <row r="8860">
          <cell r="W8860" t="str">
            <v>QNPKN02</v>
          </cell>
          <cell r="AD8860">
            <v>362500</v>
          </cell>
        </row>
        <row r="8861">
          <cell r="W8861" t="str">
            <v>QNPKN02</v>
          </cell>
          <cell r="AD8861">
            <v>362500</v>
          </cell>
        </row>
        <row r="8862">
          <cell r="W8862" t="str">
            <v>QNPKN02</v>
          </cell>
          <cell r="AD8862">
            <v>362500</v>
          </cell>
        </row>
        <row r="8863">
          <cell r="W8863" t="str">
            <v>QNPKN02</v>
          </cell>
          <cell r="AD8863">
            <v>362500</v>
          </cell>
        </row>
        <row r="8864">
          <cell r="W8864" t="str">
            <v>QNPKN02</v>
          </cell>
          <cell r="AD8864">
            <v>362500</v>
          </cell>
        </row>
        <row r="8865">
          <cell r="W8865" t="str">
            <v>QNPKN02</v>
          </cell>
          <cell r="AD8865">
            <v>362500</v>
          </cell>
        </row>
        <row r="8866">
          <cell r="W8866" t="str">
            <v>QNPKN02</v>
          </cell>
          <cell r="AD8866">
            <v>362500</v>
          </cell>
        </row>
        <row r="8867">
          <cell r="W8867" t="str">
            <v>QNPKN02</v>
          </cell>
          <cell r="AD8867">
            <v>362500</v>
          </cell>
        </row>
        <row r="8868">
          <cell r="W8868" t="str">
            <v>QNPKN02</v>
          </cell>
          <cell r="AD8868">
            <v>362500</v>
          </cell>
        </row>
        <row r="8869">
          <cell r="W8869" t="str">
            <v>QNPKN02</v>
          </cell>
          <cell r="AD8869">
            <v>362500</v>
          </cell>
        </row>
        <row r="8870">
          <cell r="W8870" t="str">
            <v>QNPKN02</v>
          </cell>
          <cell r="AD8870">
            <v>362500</v>
          </cell>
        </row>
        <row r="8871">
          <cell r="W8871" t="str">
            <v>QNPKN02</v>
          </cell>
          <cell r="AD8871">
            <v>362500</v>
          </cell>
        </row>
        <row r="8872">
          <cell r="W8872" t="str">
            <v>QNPKN02</v>
          </cell>
          <cell r="AD8872">
            <v>362500</v>
          </cell>
        </row>
        <row r="8873">
          <cell r="W8873" t="str">
            <v>QNPKN02</v>
          </cell>
          <cell r="AD8873">
            <v>362500</v>
          </cell>
        </row>
        <row r="8874">
          <cell r="W8874" t="str">
            <v>QNPKN02</v>
          </cell>
          <cell r="AD8874">
            <v>362500</v>
          </cell>
        </row>
        <row r="8875">
          <cell r="W8875" t="str">
            <v>QNPKN02</v>
          </cell>
          <cell r="AD8875">
            <v>362500</v>
          </cell>
        </row>
        <row r="8876">
          <cell r="W8876" t="str">
            <v>QNPKN02</v>
          </cell>
          <cell r="AD8876">
            <v>362500</v>
          </cell>
        </row>
        <row r="8877">
          <cell r="W8877" t="str">
            <v>QNPKN02</v>
          </cell>
          <cell r="AD8877">
            <v>362500</v>
          </cell>
        </row>
        <row r="8878">
          <cell r="W8878" t="str">
            <v>QNPKN02</v>
          </cell>
          <cell r="AD8878">
            <v>387500</v>
          </cell>
        </row>
        <row r="8879">
          <cell r="W8879" t="str">
            <v>QNPKN02</v>
          </cell>
          <cell r="AD8879">
            <v>387500</v>
          </cell>
        </row>
        <row r="8880">
          <cell r="W8880" t="str">
            <v>QNPKN07</v>
          </cell>
          <cell r="AD8880">
            <v>77500</v>
          </cell>
        </row>
        <row r="8881">
          <cell r="W8881" t="str">
            <v>QNPKN07</v>
          </cell>
          <cell r="AD8881">
            <v>77500</v>
          </cell>
        </row>
        <row r="8882">
          <cell r="W8882" t="str">
            <v>QNPKN07</v>
          </cell>
          <cell r="AD8882">
            <v>80000</v>
          </cell>
        </row>
        <row r="8883">
          <cell r="W8883" t="str">
            <v>QNPKN07</v>
          </cell>
          <cell r="AD8883">
            <v>80000</v>
          </cell>
        </row>
        <row r="8884">
          <cell r="W8884" t="str">
            <v>QNPKN07</v>
          </cell>
          <cell r="AD8884">
            <v>80000</v>
          </cell>
        </row>
        <row r="8885">
          <cell r="W8885" t="str">
            <v>QNPKN07</v>
          </cell>
          <cell r="AD8885">
            <v>80000</v>
          </cell>
        </row>
        <row r="8886">
          <cell r="W8886" t="str">
            <v>QNPKN07</v>
          </cell>
          <cell r="AD8886">
            <v>80000</v>
          </cell>
        </row>
        <row r="8887">
          <cell r="W8887" t="str">
            <v>QNPKN07</v>
          </cell>
          <cell r="AD8887">
            <v>80000</v>
          </cell>
        </row>
        <row r="8888">
          <cell r="W8888" t="str">
            <v>QNPKN07</v>
          </cell>
          <cell r="AD8888">
            <v>80000</v>
          </cell>
        </row>
        <row r="8889">
          <cell r="W8889" t="str">
            <v>QNPKN07</v>
          </cell>
          <cell r="AD8889">
            <v>80000</v>
          </cell>
        </row>
        <row r="8890">
          <cell r="W8890" t="str">
            <v>QNPKN07</v>
          </cell>
          <cell r="AD8890">
            <v>80000</v>
          </cell>
        </row>
        <row r="8891">
          <cell r="W8891" t="str">
            <v>QNPKN07</v>
          </cell>
          <cell r="AD8891">
            <v>80000</v>
          </cell>
        </row>
        <row r="8892">
          <cell r="W8892" t="str">
            <v>QNPKN07</v>
          </cell>
          <cell r="AD8892">
            <v>80000</v>
          </cell>
        </row>
        <row r="8893">
          <cell r="W8893" t="str">
            <v>QNPKN07</v>
          </cell>
          <cell r="AD8893">
            <v>80000</v>
          </cell>
        </row>
        <row r="8894">
          <cell r="W8894" t="str">
            <v>QNPKN07</v>
          </cell>
          <cell r="AD8894">
            <v>80000</v>
          </cell>
        </row>
        <row r="8895">
          <cell r="W8895" t="str">
            <v>QNPKN07</v>
          </cell>
          <cell r="AD8895">
            <v>80000</v>
          </cell>
        </row>
        <row r="8896">
          <cell r="W8896" t="str">
            <v>QNPKN07</v>
          </cell>
          <cell r="AD8896">
            <v>82500</v>
          </cell>
        </row>
        <row r="8897">
          <cell r="W8897" t="str">
            <v>QNPKN07</v>
          </cell>
          <cell r="AD8897">
            <v>82500</v>
          </cell>
        </row>
        <row r="8898">
          <cell r="W8898" t="str">
            <v>QNPKN01</v>
          </cell>
          <cell r="AD8898">
            <v>310000</v>
          </cell>
        </row>
        <row r="8899">
          <cell r="W8899" t="str">
            <v>QNPKN01</v>
          </cell>
          <cell r="AD8899">
            <v>310000</v>
          </cell>
        </row>
        <row r="8900">
          <cell r="W8900" t="str">
            <v>QNPKN01</v>
          </cell>
          <cell r="AD8900">
            <v>362500</v>
          </cell>
        </row>
        <row r="8901">
          <cell r="W8901" t="str">
            <v>QNPKN01</v>
          </cell>
          <cell r="AD8901">
            <v>362500</v>
          </cell>
        </row>
        <row r="8902">
          <cell r="W8902" t="str">
            <v>QNPKN01</v>
          </cell>
          <cell r="AD8902">
            <v>362500</v>
          </cell>
        </row>
        <row r="8903">
          <cell r="W8903" t="str">
            <v>QNPKN01</v>
          </cell>
          <cell r="AD8903">
            <v>362500</v>
          </cell>
        </row>
        <row r="8904">
          <cell r="W8904" t="str">
            <v>QNPKN01</v>
          </cell>
          <cell r="AD8904">
            <v>362500</v>
          </cell>
        </row>
        <row r="8905">
          <cell r="W8905" t="str">
            <v>QNPKN01</v>
          </cell>
          <cell r="AD8905">
            <v>362500</v>
          </cell>
        </row>
        <row r="8906">
          <cell r="W8906" t="str">
            <v>QNPKN01</v>
          </cell>
          <cell r="AD8906">
            <v>362500</v>
          </cell>
        </row>
        <row r="8907">
          <cell r="W8907" t="str">
            <v>QNPKN06</v>
          </cell>
          <cell r="AD8907">
            <v>16500</v>
          </cell>
        </row>
        <row r="8908">
          <cell r="W8908" t="str">
            <v>QNPKN06</v>
          </cell>
          <cell r="AD8908">
            <v>16500</v>
          </cell>
        </row>
        <row r="8909">
          <cell r="W8909" t="str">
            <v>QNPKN06</v>
          </cell>
          <cell r="AD8909">
            <v>16500</v>
          </cell>
        </row>
        <row r="8910">
          <cell r="W8910" t="str">
            <v>QNPKN06</v>
          </cell>
          <cell r="AD8910">
            <v>16500</v>
          </cell>
        </row>
        <row r="8911">
          <cell r="W8911" t="str">
            <v>QNPKN06</v>
          </cell>
          <cell r="AD8911">
            <v>16500</v>
          </cell>
        </row>
        <row r="8912">
          <cell r="W8912" t="str">
            <v>QNPKN06</v>
          </cell>
          <cell r="AD8912">
            <v>16500</v>
          </cell>
        </row>
        <row r="8913">
          <cell r="W8913" t="str">
            <v>QNPKN06</v>
          </cell>
          <cell r="AD8913">
            <v>16500</v>
          </cell>
        </row>
        <row r="8914">
          <cell r="W8914" t="str">
            <v>QNUME01</v>
          </cell>
          <cell r="AD8914">
            <v>150000</v>
          </cell>
        </row>
        <row r="8915">
          <cell r="W8915" t="str">
            <v>QNUME01</v>
          </cell>
          <cell r="AD8915">
            <v>150000</v>
          </cell>
        </row>
        <row r="8916">
          <cell r="W8916" t="str">
            <v>QNUME01</v>
          </cell>
          <cell r="AD8916">
            <v>150000</v>
          </cell>
        </row>
        <row r="8917">
          <cell r="W8917" t="str">
            <v>QNUME01</v>
          </cell>
          <cell r="AD8917">
            <v>150000</v>
          </cell>
        </row>
        <row r="8918">
          <cell r="W8918" t="str">
            <v>QNUME01</v>
          </cell>
          <cell r="AD8918">
            <v>150000</v>
          </cell>
        </row>
        <row r="8919">
          <cell r="W8919" t="str">
            <v>QNUME01</v>
          </cell>
          <cell r="AD8919">
            <v>160000</v>
          </cell>
        </row>
        <row r="8920">
          <cell r="W8920" t="str">
            <v>QNUME01</v>
          </cell>
          <cell r="AD8920">
            <v>160000</v>
          </cell>
        </row>
        <row r="8921">
          <cell r="W8921" t="str">
            <v>QNUME01</v>
          </cell>
          <cell r="AD8921">
            <v>160000</v>
          </cell>
        </row>
        <row r="8922">
          <cell r="W8922" t="str">
            <v>QNUME01</v>
          </cell>
          <cell r="AD8922">
            <v>160000</v>
          </cell>
        </row>
        <row r="8923">
          <cell r="W8923" t="str">
            <v>QNUME01</v>
          </cell>
          <cell r="AD8923">
            <v>160000</v>
          </cell>
        </row>
        <row r="8924">
          <cell r="W8924" t="str">
            <v>QNUME01</v>
          </cell>
          <cell r="AD8924">
            <v>160000</v>
          </cell>
        </row>
        <row r="8925">
          <cell r="W8925" t="str">
            <v>QNUME01</v>
          </cell>
          <cell r="AD8925">
            <v>160000</v>
          </cell>
        </row>
        <row r="8926">
          <cell r="W8926" t="str">
            <v>QNUME01</v>
          </cell>
          <cell r="AD8926">
            <v>160000</v>
          </cell>
        </row>
        <row r="8927">
          <cell r="W8927" t="str">
            <v>QNUME01</v>
          </cell>
          <cell r="AD8927">
            <v>160000</v>
          </cell>
        </row>
        <row r="8928">
          <cell r="W8928" t="str">
            <v>QNUME01</v>
          </cell>
          <cell r="AD8928">
            <v>160000</v>
          </cell>
        </row>
        <row r="8929">
          <cell r="W8929" t="str">
            <v>QNUME01</v>
          </cell>
          <cell r="AD8929">
            <v>160000</v>
          </cell>
        </row>
        <row r="8930">
          <cell r="W8930" t="str">
            <v>QNUME01</v>
          </cell>
          <cell r="AD8930">
            <v>160000</v>
          </cell>
        </row>
        <row r="8931">
          <cell r="W8931" t="str">
            <v>QNUME01</v>
          </cell>
          <cell r="AD8931">
            <v>165500</v>
          </cell>
        </row>
        <row r="8932">
          <cell r="W8932" t="str">
            <v>QNURE01</v>
          </cell>
          <cell r="AD8932">
            <v>90000</v>
          </cell>
        </row>
        <row r="8933">
          <cell r="W8933" t="str">
            <v>QNURE01</v>
          </cell>
          <cell r="AD8933">
            <v>90000</v>
          </cell>
        </row>
        <row r="8934">
          <cell r="W8934" t="str">
            <v>QNURE01</v>
          </cell>
          <cell r="AD8934">
            <v>90000</v>
          </cell>
        </row>
        <row r="8935">
          <cell r="W8935" t="str">
            <v>QNURE01</v>
          </cell>
          <cell r="AD8935">
            <v>90000</v>
          </cell>
        </row>
        <row r="8936">
          <cell r="W8936" t="str">
            <v>QNURE01</v>
          </cell>
          <cell r="AD8936">
            <v>90000</v>
          </cell>
        </row>
        <row r="8937">
          <cell r="W8937" t="str">
            <v>QNURE01</v>
          </cell>
          <cell r="AD8937">
            <v>90000</v>
          </cell>
        </row>
        <row r="8938">
          <cell r="W8938" t="str">
            <v>QNURE01</v>
          </cell>
          <cell r="AD8938">
            <v>90000</v>
          </cell>
        </row>
        <row r="8939">
          <cell r="W8939" t="str">
            <v>QNURE01</v>
          </cell>
          <cell r="AD8939">
            <v>90000</v>
          </cell>
        </row>
        <row r="8940">
          <cell r="W8940" t="str">
            <v>QNURE01</v>
          </cell>
          <cell r="AD8940">
            <v>90000</v>
          </cell>
        </row>
        <row r="8941">
          <cell r="W8941" t="str">
            <v>QNURE01</v>
          </cell>
          <cell r="AD8941">
            <v>90000</v>
          </cell>
        </row>
        <row r="8942">
          <cell r="W8942" t="str">
            <v>QNURE01</v>
          </cell>
          <cell r="AD8942">
            <v>90000</v>
          </cell>
        </row>
        <row r="8943">
          <cell r="W8943" t="str">
            <v>QNURE01</v>
          </cell>
          <cell r="AD8943">
            <v>90000</v>
          </cell>
        </row>
        <row r="8944">
          <cell r="W8944" t="str">
            <v>QNURE01</v>
          </cell>
          <cell r="AD8944">
            <v>90000</v>
          </cell>
        </row>
        <row r="8945">
          <cell r="W8945" t="str">
            <v>QNURE01</v>
          </cell>
          <cell r="AD8945">
            <v>90000</v>
          </cell>
        </row>
        <row r="8946">
          <cell r="W8946" t="str">
            <v>QNURE01</v>
          </cell>
          <cell r="AD8946">
            <v>90000</v>
          </cell>
        </row>
        <row r="8947">
          <cell r="W8947" t="str">
            <v>QNURE01</v>
          </cell>
          <cell r="AD8947">
            <v>90000</v>
          </cell>
        </row>
        <row r="8948">
          <cell r="W8948" t="str">
            <v>QNURE01</v>
          </cell>
          <cell r="AD8948">
            <v>90000</v>
          </cell>
        </row>
        <row r="8949">
          <cell r="W8949" t="str">
            <v>QNURE01</v>
          </cell>
          <cell r="AD8949">
            <v>90000</v>
          </cell>
        </row>
        <row r="8950">
          <cell r="W8950" t="str">
            <v>QNURE01</v>
          </cell>
          <cell r="AD8950">
            <v>90000</v>
          </cell>
        </row>
        <row r="8951">
          <cell r="W8951" t="str">
            <v>QNURE01</v>
          </cell>
          <cell r="AD8951">
            <v>90000</v>
          </cell>
        </row>
        <row r="8952">
          <cell r="W8952" t="str">
            <v>QNURE01</v>
          </cell>
          <cell r="AD8952">
            <v>91000</v>
          </cell>
        </row>
        <row r="8953">
          <cell r="W8953" t="str">
            <v>QNURE01</v>
          </cell>
          <cell r="AD8953">
            <v>91000</v>
          </cell>
        </row>
        <row r="8954">
          <cell r="W8954" t="str">
            <v>QNURE01</v>
          </cell>
          <cell r="AD8954">
            <v>91000</v>
          </cell>
        </row>
        <row r="8955">
          <cell r="W8955" t="str">
            <v>QNURE01</v>
          </cell>
          <cell r="AD8955">
            <v>91000</v>
          </cell>
        </row>
        <row r="8956">
          <cell r="W8956" t="str">
            <v>QNURE01</v>
          </cell>
          <cell r="AD8956">
            <v>91000</v>
          </cell>
        </row>
        <row r="8957">
          <cell r="W8957" t="str">
            <v>QNURE01</v>
          </cell>
          <cell r="AD8957">
            <v>91000</v>
          </cell>
        </row>
        <row r="8958">
          <cell r="W8958" t="str">
            <v>QNURE01</v>
          </cell>
          <cell r="AD8958">
            <v>91000</v>
          </cell>
        </row>
        <row r="8959">
          <cell r="W8959" t="str">
            <v>QNURE01</v>
          </cell>
          <cell r="AD8959">
            <v>91500</v>
          </cell>
        </row>
        <row r="8960">
          <cell r="W8960" t="str">
            <v>QNURE01</v>
          </cell>
          <cell r="AD8960">
            <v>92500</v>
          </cell>
        </row>
        <row r="8961">
          <cell r="W8961" t="str">
            <v>QODEO01</v>
          </cell>
          <cell r="AD8961">
            <v>20000</v>
          </cell>
        </row>
        <row r="8962">
          <cell r="W8962" t="str">
            <v>QONES05</v>
          </cell>
          <cell r="AD8962">
            <v>40000</v>
          </cell>
        </row>
        <row r="8963">
          <cell r="W8963" t="str">
            <v>QONES03</v>
          </cell>
          <cell r="AD8963">
            <v>76000</v>
          </cell>
        </row>
        <row r="8964">
          <cell r="W8964" t="str">
            <v>QOPLO03</v>
          </cell>
          <cell r="AD8964">
            <v>73000</v>
          </cell>
        </row>
        <row r="8965">
          <cell r="W8965" t="str">
            <v>QOPLO03</v>
          </cell>
          <cell r="AD8965">
            <v>75000</v>
          </cell>
        </row>
        <row r="8966">
          <cell r="W8966" t="str">
            <v>QOPLO03</v>
          </cell>
          <cell r="AD8966">
            <v>77500</v>
          </cell>
        </row>
        <row r="8967">
          <cell r="W8967" t="str">
            <v>QOPLO03</v>
          </cell>
          <cell r="AD8967">
            <v>78000</v>
          </cell>
        </row>
        <row r="8968">
          <cell r="W8968" t="str">
            <v>QOPLO03</v>
          </cell>
          <cell r="AD8968">
            <v>78000</v>
          </cell>
        </row>
        <row r="8969">
          <cell r="W8969" t="str">
            <v>QOPLO03</v>
          </cell>
          <cell r="AD8969">
            <v>78000</v>
          </cell>
        </row>
        <row r="8970">
          <cell r="W8970" t="str">
            <v>QOPLO03</v>
          </cell>
          <cell r="AD8970">
            <v>78000</v>
          </cell>
        </row>
        <row r="8971">
          <cell r="W8971" t="str">
            <v>QOPLO03</v>
          </cell>
          <cell r="AD8971">
            <v>78000</v>
          </cell>
        </row>
        <row r="8972">
          <cell r="W8972" t="str">
            <v>QOPLO03</v>
          </cell>
          <cell r="AD8972">
            <v>78000</v>
          </cell>
        </row>
        <row r="8973">
          <cell r="W8973" t="str">
            <v>QOPLO03</v>
          </cell>
          <cell r="AD8973">
            <v>78000</v>
          </cell>
        </row>
        <row r="8974">
          <cell r="W8974" t="str">
            <v>QOPLO03</v>
          </cell>
          <cell r="AD8974">
            <v>78000</v>
          </cell>
        </row>
        <row r="8975">
          <cell r="W8975" t="str">
            <v>QOPLO03</v>
          </cell>
          <cell r="AD8975">
            <v>78000</v>
          </cell>
        </row>
        <row r="8976">
          <cell r="W8976" t="str">
            <v>QOPLO03</v>
          </cell>
          <cell r="AD8976">
            <v>78000</v>
          </cell>
        </row>
        <row r="8977">
          <cell r="W8977" t="str">
            <v>QOPLO03</v>
          </cell>
          <cell r="AD8977">
            <v>78000</v>
          </cell>
        </row>
        <row r="8978">
          <cell r="W8978" t="str">
            <v>QOPLO03</v>
          </cell>
          <cell r="AD8978">
            <v>78000</v>
          </cell>
        </row>
        <row r="8979">
          <cell r="W8979" t="str">
            <v>QOPLO03</v>
          </cell>
          <cell r="AD8979">
            <v>78000</v>
          </cell>
        </row>
        <row r="8980">
          <cell r="W8980" t="str">
            <v>QOPLO03</v>
          </cell>
          <cell r="AD8980">
            <v>78000</v>
          </cell>
        </row>
        <row r="8981">
          <cell r="W8981" t="str">
            <v>QOPLO03</v>
          </cell>
          <cell r="AD8981">
            <v>78500</v>
          </cell>
        </row>
        <row r="8982">
          <cell r="W8982" t="str">
            <v>QOPLO03</v>
          </cell>
          <cell r="AD8982">
            <v>78500</v>
          </cell>
        </row>
        <row r="8983">
          <cell r="W8983" t="str">
            <v>QOPLO03</v>
          </cell>
          <cell r="AD8983">
            <v>80000</v>
          </cell>
        </row>
        <row r="8984">
          <cell r="W8984" t="str">
            <v>QOPLO03</v>
          </cell>
          <cell r="AD8984">
            <v>152500</v>
          </cell>
        </row>
        <row r="8985">
          <cell r="W8985" t="str">
            <v>QOPLO04</v>
          </cell>
          <cell r="AD8985">
            <v>152000</v>
          </cell>
        </row>
        <row r="8986">
          <cell r="W8986" t="str">
            <v>QOPLO04</v>
          </cell>
          <cell r="AD8986">
            <v>152000</v>
          </cell>
        </row>
        <row r="8987">
          <cell r="W8987" t="str">
            <v>QOPLO04</v>
          </cell>
          <cell r="AD8987">
            <v>152000</v>
          </cell>
        </row>
        <row r="8988">
          <cell r="W8988" t="str">
            <v>QOPLO04</v>
          </cell>
          <cell r="AD8988">
            <v>152000</v>
          </cell>
        </row>
        <row r="8989">
          <cell r="W8989" t="str">
            <v>QOPLO02</v>
          </cell>
          <cell r="AD8989">
            <v>43000</v>
          </cell>
        </row>
        <row r="8990">
          <cell r="W8990" t="str">
            <v>QOPLO02</v>
          </cell>
          <cell r="AD8990">
            <v>43000</v>
          </cell>
        </row>
        <row r="8991">
          <cell r="W8991" t="str">
            <v>QOPLO02</v>
          </cell>
          <cell r="AD8991">
            <v>43000</v>
          </cell>
        </row>
        <row r="8992">
          <cell r="W8992" t="str">
            <v>QOPLO02</v>
          </cell>
          <cell r="AD8992">
            <v>43000</v>
          </cell>
        </row>
        <row r="8993">
          <cell r="W8993" t="str">
            <v>QOPLO02</v>
          </cell>
          <cell r="AD8993">
            <v>43000</v>
          </cell>
        </row>
        <row r="8994">
          <cell r="W8994" t="str">
            <v>QOPLO02</v>
          </cell>
          <cell r="AD8994">
            <v>43500</v>
          </cell>
        </row>
        <row r="8995">
          <cell r="W8995" t="str">
            <v>QOPLO02</v>
          </cell>
          <cell r="AD8995">
            <v>78000</v>
          </cell>
        </row>
        <row r="8996">
          <cell r="W8996" t="str">
            <v>QOPLO01</v>
          </cell>
          <cell r="AD8996">
            <v>23000</v>
          </cell>
        </row>
        <row r="8997">
          <cell r="W8997" t="str">
            <v>QOPLO01</v>
          </cell>
          <cell r="AD8997">
            <v>23000</v>
          </cell>
        </row>
        <row r="8998">
          <cell r="W8998" t="str">
            <v>QOPLO01</v>
          </cell>
          <cell r="AD8998">
            <v>23000</v>
          </cell>
        </row>
        <row r="8999">
          <cell r="W8999" t="str">
            <v>QOPLO01</v>
          </cell>
          <cell r="AD8999">
            <v>23000</v>
          </cell>
        </row>
        <row r="9000">
          <cell r="W9000" t="str">
            <v>QOPLO01</v>
          </cell>
          <cell r="AD9000">
            <v>23500</v>
          </cell>
        </row>
        <row r="9001">
          <cell r="W9001" t="str">
            <v>QOYON01</v>
          </cell>
          <cell r="AD9001">
            <v>15000</v>
          </cell>
        </row>
        <row r="9002">
          <cell r="W9002" t="str">
            <v>QOYON01</v>
          </cell>
          <cell r="AD9002">
            <v>15000</v>
          </cell>
        </row>
        <row r="9003">
          <cell r="W9003" t="str">
            <v>QOYON01</v>
          </cell>
          <cell r="AD9003">
            <v>17000</v>
          </cell>
        </row>
        <row r="9004">
          <cell r="W9004" t="str">
            <v>QOYON01</v>
          </cell>
          <cell r="AD9004">
            <v>17000</v>
          </cell>
        </row>
        <row r="9005">
          <cell r="W9005" t="str">
            <v>QOYON01</v>
          </cell>
          <cell r="AD9005">
            <v>17000</v>
          </cell>
        </row>
        <row r="9006">
          <cell r="W9006" t="str">
            <v>QOYON01</v>
          </cell>
          <cell r="AD9006">
            <v>17000</v>
          </cell>
        </row>
        <row r="9007">
          <cell r="W9007" t="str">
            <v>QOYON01</v>
          </cell>
          <cell r="AD9007">
            <v>17000</v>
          </cell>
        </row>
        <row r="9008">
          <cell r="W9008" t="str">
            <v>QOYON01</v>
          </cell>
          <cell r="AD9008">
            <v>17000</v>
          </cell>
        </row>
        <row r="9009">
          <cell r="W9009" t="str">
            <v>QOYON01</v>
          </cell>
          <cell r="AD9009">
            <v>17000</v>
          </cell>
        </row>
        <row r="9010">
          <cell r="W9010" t="str">
            <v>QOYON01</v>
          </cell>
          <cell r="AD9010">
            <v>17000</v>
          </cell>
        </row>
        <row r="9011">
          <cell r="W9011" t="str">
            <v>QOYON01</v>
          </cell>
          <cell r="AD9011">
            <v>17000</v>
          </cell>
        </row>
        <row r="9012">
          <cell r="W9012" t="str">
            <v>QOYON01</v>
          </cell>
          <cell r="AD9012">
            <v>17000</v>
          </cell>
        </row>
        <row r="9013">
          <cell r="W9013" t="str">
            <v>QOYON01</v>
          </cell>
          <cell r="AD9013">
            <v>17000</v>
          </cell>
        </row>
        <row r="9014">
          <cell r="W9014" t="str">
            <v>QOYON01</v>
          </cell>
          <cell r="AD9014">
            <v>17000</v>
          </cell>
        </row>
        <row r="9015">
          <cell r="W9015" t="str">
            <v>QOYON01</v>
          </cell>
          <cell r="AD9015">
            <v>17000</v>
          </cell>
        </row>
        <row r="9016">
          <cell r="W9016" t="str">
            <v>QOYON01</v>
          </cell>
          <cell r="AD9016">
            <v>17000</v>
          </cell>
        </row>
        <row r="9017">
          <cell r="W9017" t="str">
            <v>QOYON01</v>
          </cell>
          <cell r="AD9017">
            <v>17000</v>
          </cell>
        </row>
        <row r="9018">
          <cell r="W9018" t="str">
            <v>QOYON01</v>
          </cell>
          <cell r="AD9018">
            <v>17000</v>
          </cell>
        </row>
        <row r="9019">
          <cell r="W9019" t="str">
            <v>QOYON01</v>
          </cell>
          <cell r="AD9019">
            <v>17000</v>
          </cell>
        </row>
        <row r="9020">
          <cell r="W9020" t="str">
            <v>QOYON01</v>
          </cell>
          <cell r="AD9020">
            <v>17000</v>
          </cell>
        </row>
        <row r="9021">
          <cell r="W9021" t="str">
            <v>QOYON01</v>
          </cell>
          <cell r="AD9021">
            <v>17000</v>
          </cell>
        </row>
        <row r="9022">
          <cell r="W9022" t="str">
            <v>QOYON01</v>
          </cell>
          <cell r="AD9022">
            <v>18000</v>
          </cell>
        </row>
        <row r="9023">
          <cell r="W9023" t="str">
            <v>QPACL01</v>
          </cell>
          <cell r="AD9023">
            <v>37500</v>
          </cell>
        </row>
        <row r="9024">
          <cell r="W9024" t="str">
            <v>QPACL01</v>
          </cell>
          <cell r="AD9024">
            <v>37500</v>
          </cell>
        </row>
        <row r="9025">
          <cell r="W9025" t="str">
            <v>QPACL01</v>
          </cell>
          <cell r="AD9025">
            <v>37500</v>
          </cell>
        </row>
        <row r="9026">
          <cell r="W9026" t="str">
            <v>QPACL01</v>
          </cell>
          <cell r="AD9026">
            <v>37500</v>
          </cell>
        </row>
        <row r="9027">
          <cell r="W9027" t="str">
            <v>QPACL01</v>
          </cell>
          <cell r="AD9027">
            <v>37500</v>
          </cell>
        </row>
        <row r="9028">
          <cell r="W9028" t="str">
            <v>QPACL01</v>
          </cell>
          <cell r="AD9028">
            <v>37500</v>
          </cell>
        </row>
        <row r="9029">
          <cell r="W9029" t="str">
            <v>QPACL01</v>
          </cell>
          <cell r="AD9029">
            <v>38000</v>
          </cell>
        </row>
        <row r="9030">
          <cell r="W9030" t="str">
            <v>QPACL01</v>
          </cell>
          <cell r="AD9030">
            <v>38500</v>
          </cell>
        </row>
        <row r="9031">
          <cell r="W9031" t="str">
            <v>QPACL01</v>
          </cell>
          <cell r="AD9031">
            <v>38500</v>
          </cell>
        </row>
        <row r="9032">
          <cell r="W9032" t="str">
            <v>QPACL01</v>
          </cell>
          <cell r="AD9032">
            <v>38500</v>
          </cell>
        </row>
        <row r="9033">
          <cell r="W9033" t="str">
            <v>QPACL01</v>
          </cell>
          <cell r="AD9033">
            <v>38500</v>
          </cell>
        </row>
        <row r="9034">
          <cell r="W9034" t="str">
            <v>QPACL01</v>
          </cell>
          <cell r="AD9034">
            <v>38500</v>
          </cell>
        </row>
        <row r="9035">
          <cell r="W9035" t="str">
            <v>QPACL01</v>
          </cell>
          <cell r="AD9035">
            <v>38500</v>
          </cell>
        </row>
        <row r="9036">
          <cell r="W9036" t="str">
            <v>QPACL01</v>
          </cell>
          <cell r="AD9036">
            <v>38500</v>
          </cell>
        </row>
        <row r="9037">
          <cell r="W9037" t="str">
            <v>QPACL01</v>
          </cell>
          <cell r="AD9037">
            <v>38500</v>
          </cell>
        </row>
        <row r="9038">
          <cell r="W9038" t="str">
            <v>QPACL01</v>
          </cell>
          <cell r="AD9038">
            <v>38500</v>
          </cell>
        </row>
        <row r="9039">
          <cell r="W9039" t="str">
            <v>QPACL01</v>
          </cell>
          <cell r="AD9039">
            <v>38500</v>
          </cell>
        </row>
        <row r="9040">
          <cell r="W9040" t="str">
            <v>QPACL01</v>
          </cell>
          <cell r="AD9040">
            <v>38500</v>
          </cell>
        </row>
        <row r="9041">
          <cell r="W9041" t="str">
            <v>QPACL01</v>
          </cell>
          <cell r="AD9041">
            <v>38500</v>
          </cell>
        </row>
        <row r="9042">
          <cell r="W9042" t="str">
            <v>QPACL01</v>
          </cell>
          <cell r="AD9042">
            <v>38500</v>
          </cell>
        </row>
        <row r="9043">
          <cell r="W9043" t="str">
            <v>QPAKE03</v>
          </cell>
          <cell r="AD9043">
            <v>135000</v>
          </cell>
        </row>
        <row r="9044">
          <cell r="W9044" t="str">
            <v>QPAKE03</v>
          </cell>
          <cell r="AD9044">
            <v>135000</v>
          </cell>
        </row>
        <row r="9045">
          <cell r="W9045" t="str">
            <v>QPAKE03</v>
          </cell>
          <cell r="AD9045">
            <v>135000</v>
          </cell>
        </row>
        <row r="9046">
          <cell r="W9046" t="str">
            <v>QPAKE03</v>
          </cell>
          <cell r="AD9046">
            <v>135000</v>
          </cell>
        </row>
        <row r="9047">
          <cell r="W9047" t="str">
            <v>QPAKE03</v>
          </cell>
          <cell r="AD9047">
            <v>135000</v>
          </cell>
        </row>
        <row r="9048">
          <cell r="W9048" t="str">
            <v>QPAKE03</v>
          </cell>
          <cell r="AD9048">
            <v>135000</v>
          </cell>
        </row>
        <row r="9049">
          <cell r="W9049" t="str">
            <v>QPAKE03</v>
          </cell>
          <cell r="AD9049">
            <v>135000</v>
          </cell>
        </row>
        <row r="9050">
          <cell r="W9050" t="str">
            <v>QPAKE03</v>
          </cell>
          <cell r="AD9050">
            <v>135000</v>
          </cell>
        </row>
        <row r="9051">
          <cell r="W9051" t="str">
            <v>QPAKE03</v>
          </cell>
          <cell r="AD9051">
            <v>135000</v>
          </cell>
        </row>
        <row r="9052">
          <cell r="W9052" t="str">
            <v>QPAKE03</v>
          </cell>
          <cell r="AD9052">
            <v>135000</v>
          </cell>
        </row>
        <row r="9053">
          <cell r="W9053" t="str">
            <v>QPAKE03</v>
          </cell>
          <cell r="AD9053">
            <v>135000</v>
          </cell>
        </row>
        <row r="9054">
          <cell r="W9054" t="str">
            <v>QPAKE03</v>
          </cell>
          <cell r="AD9054">
            <v>135000</v>
          </cell>
        </row>
        <row r="9055">
          <cell r="W9055" t="str">
            <v>QPAKE03</v>
          </cell>
          <cell r="AD9055">
            <v>135000</v>
          </cell>
        </row>
        <row r="9056">
          <cell r="W9056" t="str">
            <v>QPAKE03</v>
          </cell>
          <cell r="AD9056">
            <v>135000</v>
          </cell>
        </row>
        <row r="9057">
          <cell r="W9057" t="str">
            <v>QPAKE03</v>
          </cell>
          <cell r="AD9057">
            <v>135000</v>
          </cell>
        </row>
        <row r="9058">
          <cell r="W9058" t="str">
            <v>QPAKE03</v>
          </cell>
          <cell r="AD9058">
            <v>135000</v>
          </cell>
        </row>
        <row r="9059">
          <cell r="W9059" t="str">
            <v>QPAKE03</v>
          </cell>
          <cell r="AD9059">
            <v>135000</v>
          </cell>
        </row>
        <row r="9060">
          <cell r="W9060" t="str">
            <v>QPAKE03</v>
          </cell>
          <cell r="AD9060">
            <v>135000</v>
          </cell>
        </row>
        <row r="9061">
          <cell r="W9061" t="str">
            <v>QPAKE03</v>
          </cell>
          <cell r="AD9061">
            <v>135000</v>
          </cell>
        </row>
        <row r="9062">
          <cell r="W9062" t="str">
            <v>QPAKE03</v>
          </cell>
          <cell r="AD9062">
            <v>135000</v>
          </cell>
        </row>
        <row r="9063">
          <cell r="W9063" t="str">
            <v>QPAKE03</v>
          </cell>
          <cell r="AD9063">
            <v>135000</v>
          </cell>
        </row>
        <row r="9064">
          <cell r="W9064" t="str">
            <v>QPAKE03</v>
          </cell>
          <cell r="AD9064">
            <v>135000</v>
          </cell>
        </row>
        <row r="9065">
          <cell r="W9065" t="str">
            <v>QPAKE03</v>
          </cell>
          <cell r="AD9065">
            <v>136000</v>
          </cell>
        </row>
        <row r="9066">
          <cell r="W9066" t="str">
            <v>QPAKE03</v>
          </cell>
          <cell r="AD9066">
            <v>136000</v>
          </cell>
        </row>
        <row r="9067">
          <cell r="W9067" t="str">
            <v>QPAKE03</v>
          </cell>
          <cell r="AD9067">
            <v>137500</v>
          </cell>
        </row>
        <row r="9068">
          <cell r="W9068" t="str">
            <v>QPAKE03</v>
          </cell>
          <cell r="AD9068">
            <v>138000</v>
          </cell>
        </row>
        <row r="9069">
          <cell r="W9069" t="str">
            <v>QPAKE03</v>
          </cell>
          <cell r="AD9069">
            <v>138000</v>
          </cell>
        </row>
        <row r="9070">
          <cell r="W9070" t="str">
            <v>QPAKE03</v>
          </cell>
          <cell r="AD9070">
            <v>138000</v>
          </cell>
        </row>
        <row r="9071">
          <cell r="W9071" t="str">
            <v>QPAKE03</v>
          </cell>
          <cell r="AD9071">
            <v>138000</v>
          </cell>
        </row>
        <row r="9072">
          <cell r="W9072" t="str">
            <v>QPAKE03</v>
          </cell>
          <cell r="AD9072">
            <v>138000</v>
          </cell>
        </row>
        <row r="9073">
          <cell r="W9073" t="str">
            <v>QPAKE03</v>
          </cell>
          <cell r="AD9073">
            <v>140000</v>
          </cell>
        </row>
        <row r="9074">
          <cell r="W9074" t="str">
            <v>QPAKE03</v>
          </cell>
          <cell r="AD9074">
            <v>140000</v>
          </cell>
        </row>
        <row r="9075">
          <cell r="W9075" t="str">
            <v>QPAKE03</v>
          </cell>
          <cell r="AD9075">
            <v>140000</v>
          </cell>
        </row>
        <row r="9076">
          <cell r="W9076" t="str">
            <v>QPAKE03</v>
          </cell>
          <cell r="AD9076">
            <v>140000</v>
          </cell>
        </row>
        <row r="9077">
          <cell r="W9077" t="str">
            <v>QPAKE03</v>
          </cell>
          <cell r="AD9077">
            <v>140000</v>
          </cell>
        </row>
        <row r="9078">
          <cell r="W9078" t="str">
            <v>QPAKE03</v>
          </cell>
          <cell r="AD9078">
            <v>140000</v>
          </cell>
        </row>
        <row r="9079">
          <cell r="W9079" t="str">
            <v>QPAKE03</v>
          </cell>
          <cell r="AD9079">
            <v>140000</v>
          </cell>
        </row>
        <row r="9080">
          <cell r="W9080" t="str">
            <v>QPAKE03</v>
          </cell>
          <cell r="AD9080">
            <v>145000</v>
          </cell>
        </row>
        <row r="9081">
          <cell r="W9081" t="str">
            <v>QPAKE03</v>
          </cell>
          <cell r="AD9081">
            <v>145000</v>
          </cell>
        </row>
        <row r="9082">
          <cell r="W9082" t="str">
            <v>QPAKE04</v>
          </cell>
          <cell r="AD9082">
            <v>75000</v>
          </cell>
        </row>
        <row r="9083">
          <cell r="W9083" t="str">
            <v>QPAKE04</v>
          </cell>
          <cell r="AD9083">
            <v>75000</v>
          </cell>
        </row>
        <row r="9084">
          <cell r="W9084" t="str">
            <v>QPAKE04</v>
          </cell>
          <cell r="AD9084">
            <v>75000</v>
          </cell>
        </row>
        <row r="9085">
          <cell r="W9085" t="str">
            <v>QPAKE04</v>
          </cell>
          <cell r="AD9085">
            <v>75000</v>
          </cell>
        </row>
        <row r="9086">
          <cell r="W9086" t="str">
            <v>QPAKE04</v>
          </cell>
          <cell r="AD9086">
            <v>75000</v>
          </cell>
        </row>
        <row r="9087">
          <cell r="W9087" t="str">
            <v>QPAKE04</v>
          </cell>
          <cell r="AD9087">
            <v>75500</v>
          </cell>
        </row>
        <row r="9088">
          <cell r="W9088" t="str">
            <v>QPAKE04</v>
          </cell>
          <cell r="AD9088">
            <v>75500</v>
          </cell>
        </row>
        <row r="9089">
          <cell r="W9089" t="str">
            <v>QPAKE04</v>
          </cell>
          <cell r="AD9089">
            <v>75500</v>
          </cell>
        </row>
        <row r="9090">
          <cell r="W9090" t="str">
            <v>QPAKE04</v>
          </cell>
          <cell r="AD9090">
            <v>75500</v>
          </cell>
        </row>
        <row r="9091">
          <cell r="W9091" t="str">
            <v>QPAKE04</v>
          </cell>
          <cell r="AD9091">
            <v>75500</v>
          </cell>
        </row>
        <row r="9092">
          <cell r="W9092" t="str">
            <v>QPAKE04</v>
          </cell>
          <cell r="AD9092">
            <v>75500</v>
          </cell>
        </row>
        <row r="9093">
          <cell r="W9093" t="str">
            <v>QPAKE04</v>
          </cell>
          <cell r="AD9093">
            <v>75500</v>
          </cell>
        </row>
        <row r="9094">
          <cell r="W9094" t="str">
            <v>QPAKE04</v>
          </cell>
          <cell r="AD9094">
            <v>75500</v>
          </cell>
        </row>
        <row r="9095">
          <cell r="W9095" t="str">
            <v>QPAKE04</v>
          </cell>
          <cell r="AD9095">
            <v>75500</v>
          </cell>
        </row>
        <row r="9096">
          <cell r="W9096" t="str">
            <v>QPAKE04</v>
          </cell>
          <cell r="AD9096">
            <v>75500</v>
          </cell>
        </row>
        <row r="9097">
          <cell r="W9097" t="str">
            <v>QPAKE04</v>
          </cell>
          <cell r="AD9097">
            <v>75500</v>
          </cell>
        </row>
        <row r="9098">
          <cell r="W9098" t="str">
            <v>QPAKE04</v>
          </cell>
          <cell r="AD9098">
            <v>75500</v>
          </cell>
        </row>
        <row r="9099">
          <cell r="W9099" t="str">
            <v>QPAKE04</v>
          </cell>
          <cell r="AD9099">
            <v>75500</v>
          </cell>
        </row>
        <row r="9100">
          <cell r="W9100" t="str">
            <v>QPAKE04</v>
          </cell>
          <cell r="AD9100">
            <v>75500</v>
          </cell>
        </row>
        <row r="9101">
          <cell r="W9101" t="str">
            <v>QPAKE04</v>
          </cell>
          <cell r="AD9101">
            <v>75500</v>
          </cell>
        </row>
        <row r="9102">
          <cell r="W9102" t="str">
            <v>QPAKE04</v>
          </cell>
          <cell r="AD9102">
            <v>75500</v>
          </cell>
        </row>
        <row r="9103">
          <cell r="W9103" t="str">
            <v>QPAKE04</v>
          </cell>
          <cell r="AD9103">
            <v>76000</v>
          </cell>
        </row>
        <row r="9104">
          <cell r="W9104" t="str">
            <v>QPAKE04</v>
          </cell>
          <cell r="AD9104">
            <v>76000</v>
          </cell>
        </row>
        <row r="9105">
          <cell r="W9105" t="str">
            <v>QPAKE04</v>
          </cell>
          <cell r="AD9105">
            <v>76000</v>
          </cell>
        </row>
        <row r="9106">
          <cell r="W9106" t="str">
            <v>QPAKE04</v>
          </cell>
          <cell r="AD9106">
            <v>76000</v>
          </cell>
        </row>
        <row r="9107">
          <cell r="W9107" t="str">
            <v>QPAKE04</v>
          </cell>
          <cell r="AD9107">
            <v>76000</v>
          </cell>
        </row>
        <row r="9108">
          <cell r="W9108" t="str">
            <v>QPAKE04</v>
          </cell>
          <cell r="AD9108">
            <v>76000</v>
          </cell>
        </row>
        <row r="9109">
          <cell r="W9109" t="str">
            <v>QPAKE04</v>
          </cell>
          <cell r="AD9109">
            <v>76000</v>
          </cell>
        </row>
        <row r="9110">
          <cell r="W9110" t="str">
            <v>QPAKE04</v>
          </cell>
          <cell r="AD9110">
            <v>77000</v>
          </cell>
        </row>
        <row r="9111">
          <cell r="W9111" t="str">
            <v>QPAKE04</v>
          </cell>
          <cell r="AD9111">
            <v>77000</v>
          </cell>
        </row>
        <row r="9112">
          <cell r="W9112" t="str">
            <v>QPAKE04</v>
          </cell>
          <cell r="AD9112">
            <v>78000</v>
          </cell>
        </row>
        <row r="9113">
          <cell r="W9113" t="str">
            <v>QPAKE04</v>
          </cell>
          <cell r="AD9113">
            <v>78000</v>
          </cell>
        </row>
        <row r="9114">
          <cell r="W9114" t="str">
            <v>QPAKE04</v>
          </cell>
          <cell r="AD9114">
            <v>78000</v>
          </cell>
        </row>
        <row r="9115">
          <cell r="W9115" t="str">
            <v>QPAKE04</v>
          </cell>
          <cell r="AD9115">
            <v>78000</v>
          </cell>
        </row>
        <row r="9116">
          <cell r="W9116" t="str">
            <v>QPAKE04</v>
          </cell>
          <cell r="AD9116">
            <v>78000</v>
          </cell>
        </row>
        <row r="9117">
          <cell r="W9117" t="str">
            <v>QPAKE04</v>
          </cell>
          <cell r="AD9117">
            <v>78000</v>
          </cell>
        </row>
        <row r="9118">
          <cell r="W9118" t="str">
            <v>QPAKE04</v>
          </cell>
          <cell r="AD9118">
            <v>78000</v>
          </cell>
        </row>
        <row r="9119">
          <cell r="W9119" t="str">
            <v>QPAKE04</v>
          </cell>
          <cell r="AD9119">
            <v>78000</v>
          </cell>
        </row>
        <row r="9120">
          <cell r="W9120" t="str">
            <v>QPAKE04</v>
          </cell>
          <cell r="AD9120">
            <v>78000</v>
          </cell>
        </row>
        <row r="9121">
          <cell r="W9121" t="str">
            <v>QPAKE04</v>
          </cell>
          <cell r="AD9121">
            <v>78000</v>
          </cell>
        </row>
        <row r="9122">
          <cell r="W9122" t="str">
            <v>QPAKE04</v>
          </cell>
          <cell r="AD9122">
            <v>78000</v>
          </cell>
        </row>
        <row r="9123">
          <cell r="W9123" t="str">
            <v>QPAKE04</v>
          </cell>
          <cell r="AD9123">
            <v>78000</v>
          </cell>
        </row>
        <row r="9124">
          <cell r="W9124" t="str">
            <v>QPAKE04</v>
          </cell>
          <cell r="AD9124">
            <v>78000</v>
          </cell>
        </row>
        <row r="9125">
          <cell r="W9125" t="str">
            <v>QPAKE04</v>
          </cell>
          <cell r="AD9125">
            <v>78000</v>
          </cell>
        </row>
        <row r="9126">
          <cell r="W9126" t="str">
            <v>QPAKE04</v>
          </cell>
          <cell r="AD9126">
            <v>78000</v>
          </cell>
        </row>
        <row r="9127">
          <cell r="W9127" t="str">
            <v>QPAKE04</v>
          </cell>
          <cell r="AD9127">
            <v>78000</v>
          </cell>
        </row>
        <row r="9128">
          <cell r="W9128" t="str">
            <v>QPAKE04</v>
          </cell>
          <cell r="AD9128">
            <v>78000</v>
          </cell>
        </row>
        <row r="9129">
          <cell r="W9129" t="str">
            <v>QPAKE04</v>
          </cell>
          <cell r="AD9129">
            <v>78000</v>
          </cell>
        </row>
        <row r="9130">
          <cell r="W9130" t="str">
            <v>QPAKE04</v>
          </cell>
          <cell r="AD9130">
            <v>78000</v>
          </cell>
        </row>
        <row r="9131">
          <cell r="W9131" t="str">
            <v>QPAKE04</v>
          </cell>
          <cell r="AD9131">
            <v>78000</v>
          </cell>
        </row>
        <row r="9132">
          <cell r="W9132" t="str">
            <v>QPAKE04</v>
          </cell>
          <cell r="AD9132">
            <v>78000</v>
          </cell>
        </row>
        <row r="9133">
          <cell r="W9133" t="str">
            <v>QPAKE04</v>
          </cell>
          <cell r="AD9133">
            <v>78000</v>
          </cell>
        </row>
        <row r="9134">
          <cell r="W9134" t="str">
            <v>QPAKE04</v>
          </cell>
          <cell r="AD9134">
            <v>78000</v>
          </cell>
        </row>
        <row r="9135">
          <cell r="W9135" t="str">
            <v>QPAKE04</v>
          </cell>
          <cell r="AD9135">
            <v>78000</v>
          </cell>
        </row>
        <row r="9136">
          <cell r="W9136" t="str">
            <v>QPAKE04</v>
          </cell>
          <cell r="AD9136">
            <v>78000</v>
          </cell>
        </row>
        <row r="9137">
          <cell r="W9137" t="str">
            <v>QPAKE04</v>
          </cell>
          <cell r="AD9137">
            <v>80000</v>
          </cell>
        </row>
        <row r="9138">
          <cell r="W9138" t="str">
            <v>QPAKE04</v>
          </cell>
          <cell r="AD9138">
            <v>80000</v>
          </cell>
        </row>
        <row r="9139">
          <cell r="W9139" t="str">
            <v>QPAKE04</v>
          </cell>
          <cell r="AD9139">
            <v>80000</v>
          </cell>
        </row>
        <row r="9140">
          <cell r="W9140" t="str">
            <v>QPAKE04</v>
          </cell>
          <cell r="AD9140">
            <v>80000</v>
          </cell>
        </row>
        <row r="9141">
          <cell r="W9141" t="str">
            <v>QPAKE04</v>
          </cell>
          <cell r="AD9141">
            <v>80000</v>
          </cell>
        </row>
        <row r="9142">
          <cell r="W9142" t="str">
            <v>QPAKE01</v>
          </cell>
          <cell r="AD9142">
            <v>273500</v>
          </cell>
        </row>
        <row r="9143">
          <cell r="W9143" t="str">
            <v>QPAKE01</v>
          </cell>
          <cell r="AD9143">
            <v>273500</v>
          </cell>
        </row>
        <row r="9144">
          <cell r="W9144" t="str">
            <v>QPAKE01</v>
          </cell>
          <cell r="AD9144">
            <v>274000</v>
          </cell>
        </row>
        <row r="9145">
          <cell r="W9145" t="str">
            <v>QPAKE01</v>
          </cell>
          <cell r="AD9145">
            <v>274000</v>
          </cell>
        </row>
        <row r="9146">
          <cell r="W9146" t="str">
            <v>QPAKE01</v>
          </cell>
          <cell r="AD9146">
            <v>274500</v>
          </cell>
        </row>
        <row r="9147">
          <cell r="W9147" t="str">
            <v>QPAKE01</v>
          </cell>
          <cell r="AD9147">
            <v>274500</v>
          </cell>
        </row>
        <row r="9148">
          <cell r="W9148" t="str">
            <v>QPAKE01</v>
          </cell>
          <cell r="AD9148">
            <v>274500</v>
          </cell>
        </row>
        <row r="9149">
          <cell r="W9149" t="str">
            <v>QPAKE01</v>
          </cell>
          <cell r="AD9149">
            <v>274500</v>
          </cell>
        </row>
        <row r="9150">
          <cell r="W9150" t="str">
            <v>QPAKE01</v>
          </cell>
          <cell r="AD9150">
            <v>274500</v>
          </cell>
        </row>
        <row r="9151">
          <cell r="W9151" t="str">
            <v>QPAKE01</v>
          </cell>
          <cell r="AD9151">
            <v>274500</v>
          </cell>
        </row>
        <row r="9152">
          <cell r="W9152" t="str">
            <v>QPAKE01</v>
          </cell>
          <cell r="AD9152">
            <v>275000</v>
          </cell>
        </row>
        <row r="9153">
          <cell r="W9153" t="str">
            <v>QPAKE01</v>
          </cell>
          <cell r="AD9153">
            <v>275000</v>
          </cell>
        </row>
        <row r="9154">
          <cell r="W9154" t="str">
            <v>QPAKE01</v>
          </cell>
          <cell r="AD9154">
            <v>275000</v>
          </cell>
        </row>
        <row r="9155">
          <cell r="W9155" t="str">
            <v>QPAKE01</v>
          </cell>
          <cell r="AD9155">
            <v>275000</v>
          </cell>
        </row>
        <row r="9156">
          <cell r="W9156" t="str">
            <v>QPAKE01</v>
          </cell>
          <cell r="AD9156">
            <v>278000</v>
          </cell>
        </row>
        <row r="9157">
          <cell r="W9157" t="str">
            <v>QPAKE01</v>
          </cell>
          <cell r="AD9157">
            <v>278000</v>
          </cell>
        </row>
        <row r="9158">
          <cell r="W9158" t="str">
            <v>QPAKE01</v>
          </cell>
          <cell r="AD9158">
            <v>278000</v>
          </cell>
        </row>
        <row r="9159">
          <cell r="W9159" t="str">
            <v>QPAKE01</v>
          </cell>
          <cell r="AD9159">
            <v>278500</v>
          </cell>
        </row>
        <row r="9160">
          <cell r="W9160" t="str">
            <v>QPAKE01</v>
          </cell>
          <cell r="AD9160">
            <v>278500</v>
          </cell>
        </row>
        <row r="9161">
          <cell r="W9161" t="str">
            <v>QPAKE01</v>
          </cell>
          <cell r="AD9161">
            <v>278500</v>
          </cell>
        </row>
        <row r="9162">
          <cell r="W9162" t="str">
            <v>QPAKE01</v>
          </cell>
          <cell r="AD9162">
            <v>278500</v>
          </cell>
        </row>
        <row r="9163">
          <cell r="W9163" t="str">
            <v>QPAKE01</v>
          </cell>
          <cell r="AD9163">
            <v>278500</v>
          </cell>
        </row>
        <row r="9164">
          <cell r="W9164" t="str">
            <v>QPAKE01</v>
          </cell>
          <cell r="AD9164">
            <v>278500</v>
          </cell>
        </row>
        <row r="9165">
          <cell r="W9165" t="str">
            <v>QPAKE01</v>
          </cell>
          <cell r="AD9165">
            <v>278500</v>
          </cell>
        </row>
        <row r="9166">
          <cell r="W9166" t="str">
            <v>QPAKE01</v>
          </cell>
          <cell r="AD9166">
            <v>278500</v>
          </cell>
        </row>
        <row r="9167">
          <cell r="W9167" t="str">
            <v>QPAKE01</v>
          </cell>
          <cell r="AD9167">
            <v>278500</v>
          </cell>
        </row>
        <row r="9168">
          <cell r="W9168" t="str">
            <v>QPAKE01</v>
          </cell>
          <cell r="AD9168">
            <v>278500</v>
          </cell>
        </row>
        <row r="9169">
          <cell r="W9169" t="str">
            <v>QPAKE01</v>
          </cell>
          <cell r="AD9169">
            <v>278500</v>
          </cell>
        </row>
        <row r="9170">
          <cell r="W9170" t="str">
            <v>QPAKE01</v>
          </cell>
          <cell r="AD9170">
            <v>278500</v>
          </cell>
        </row>
        <row r="9171">
          <cell r="W9171" t="str">
            <v>QPAKE01</v>
          </cell>
          <cell r="AD9171">
            <v>278500</v>
          </cell>
        </row>
        <row r="9172">
          <cell r="W9172" t="str">
            <v>QPAKE01</v>
          </cell>
          <cell r="AD9172">
            <v>278500</v>
          </cell>
        </row>
        <row r="9173">
          <cell r="W9173" t="str">
            <v>QPAKE01</v>
          </cell>
          <cell r="AD9173">
            <v>278500</v>
          </cell>
        </row>
        <row r="9174">
          <cell r="W9174" t="str">
            <v>QPAKE01</v>
          </cell>
          <cell r="AD9174">
            <v>278500</v>
          </cell>
        </row>
        <row r="9175">
          <cell r="W9175" t="str">
            <v>QPAKE01</v>
          </cell>
          <cell r="AD9175">
            <v>278500</v>
          </cell>
        </row>
        <row r="9176">
          <cell r="W9176" t="str">
            <v>QPAKE01</v>
          </cell>
          <cell r="AD9176">
            <v>278500</v>
          </cell>
        </row>
        <row r="9177">
          <cell r="W9177" t="str">
            <v>QPAKE01</v>
          </cell>
          <cell r="AD9177">
            <v>278500</v>
          </cell>
        </row>
        <row r="9178">
          <cell r="W9178" t="str">
            <v>QPAKE01</v>
          </cell>
          <cell r="AD9178">
            <v>278500</v>
          </cell>
        </row>
        <row r="9179">
          <cell r="W9179" t="str">
            <v>QPAKE01</v>
          </cell>
          <cell r="AD9179">
            <v>278500</v>
          </cell>
        </row>
        <row r="9180">
          <cell r="W9180" t="str">
            <v>QPAKE01</v>
          </cell>
          <cell r="AD9180">
            <v>278500</v>
          </cell>
        </row>
        <row r="9181">
          <cell r="W9181" t="str">
            <v>QPAKE01</v>
          </cell>
          <cell r="AD9181">
            <v>279000</v>
          </cell>
        </row>
        <row r="9182">
          <cell r="W9182" t="str">
            <v>QPAKE01</v>
          </cell>
          <cell r="AD9182">
            <v>279000</v>
          </cell>
        </row>
        <row r="9183">
          <cell r="W9183" t="str">
            <v>QPAKE01</v>
          </cell>
          <cell r="AD9183">
            <v>279000</v>
          </cell>
        </row>
        <row r="9184">
          <cell r="W9184" t="str">
            <v>QPAKE01</v>
          </cell>
          <cell r="AD9184">
            <v>279000</v>
          </cell>
        </row>
        <row r="9185">
          <cell r="W9185" t="str">
            <v>QPAKE01</v>
          </cell>
          <cell r="AD9185">
            <v>280000</v>
          </cell>
        </row>
        <row r="9186">
          <cell r="W9186" t="str">
            <v>QPAKE01</v>
          </cell>
          <cell r="AD9186">
            <v>280000</v>
          </cell>
        </row>
        <row r="9187">
          <cell r="W9187" t="str">
            <v>QPAKE01</v>
          </cell>
          <cell r="AD9187">
            <v>280000</v>
          </cell>
        </row>
        <row r="9188">
          <cell r="W9188" t="str">
            <v>QPAKE01</v>
          </cell>
          <cell r="AD9188">
            <v>280000</v>
          </cell>
        </row>
        <row r="9189">
          <cell r="W9189" t="str">
            <v>QPAKE01</v>
          </cell>
          <cell r="AD9189">
            <v>280000</v>
          </cell>
        </row>
        <row r="9190">
          <cell r="W9190" t="str">
            <v>QPAKE01</v>
          </cell>
          <cell r="AD9190">
            <v>280000</v>
          </cell>
        </row>
        <row r="9191">
          <cell r="W9191" t="str">
            <v>QPAKE01</v>
          </cell>
          <cell r="AD9191">
            <v>280000</v>
          </cell>
        </row>
        <row r="9192">
          <cell r="W9192" t="str">
            <v>QPAKE01</v>
          </cell>
          <cell r="AD9192">
            <v>280000</v>
          </cell>
        </row>
        <row r="9193">
          <cell r="W9193" t="str">
            <v>QPAKE01</v>
          </cell>
          <cell r="AD9193">
            <v>280000</v>
          </cell>
        </row>
        <row r="9194">
          <cell r="W9194" t="str">
            <v>QPAKE01</v>
          </cell>
          <cell r="AD9194">
            <v>282000</v>
          </cell>
        </row>
        <row r="9195">
          <cell r="W9195" t="str">
            <v>QPAKE01</v>
          </cell>
          <cell r="AD9195">
            <v>282500</v>
          </cell>
        </row>
        <row r="9196">
          <cell r="W9196" t="str">
            <v>QPAKE01</v>
          </cell>
          <cell r="AD9196">
            <v>285000</v>
          </cell>
        </row>
        <row r="9197">
          <cell r="W9197" t="str">
            <v>QPAKE01</v>
          </cell>
          <cell r="AD9197">
            <v>285000</v>
          </cell>
        </row>
        <row r="9198">
          <cell r="W9198" t="str">
            <v>QPAKE01</v>
          </cell>
          <cell r="AD9198">
            <v>285000</v>
          </cell>
        </row>
        <row r="9199">
          <cell r="W9199" t="str">
            <v>QPAKE01</v>
          </cell>
          <cell r="AD9199">
            <v>285000</v>
          </cell>
        </row>
        <row r="9200">
          <cell r="W9200" t="str">
            <v>QPAKE02</v>
          </cell>
          <cell r="AD9200">
            <v>163000</v>
          </cell>
        </row>
        <row r="9201">
          <cell r="W9201" t="str">
            <v>QPAKE02</v>
          </cell>
          <cell r="AD9201">
            <v>163000</v>
          </cell>
        </row>
        <row r="9202">
          <cell r="W9202" t="str">
            <v>QPAKE02</v>
          </cell>
          <cell r="AD9202">
            <v>163000</v>
          </cell>
        </row>
        <row r="9203">
          <cell r="W9203" t="str">
            <v>QPAKE02</v>
          </cell>
          <cell r="AD9203">
            <v>163000</v>
          </cell>
        </row>
        <row r="9204">
          <cell r="W9204" t="str">
            <v>QPAKE02</v>
          </cell>
          <cell r="AD9204">
            <v>163000</v>
          </cell>
        </row>
        <row r="9205">
          <cell r="W9205" t="str">
            <v>QPAKE02</v>
          </cell>
          <cell r="AD9205">
            <v>163500</v>
          </cell>
        </row>
        <row r="9206">
          <cell r="W9206" t="str">
            <v>QPAKE02</v>
          </cell>
          <cell r="AD9206">
            <v>165000</v>
          </cell>
        </row>
        <row r="9207">
          <cell r="W9207" t="str">
            <v>QPAKE02</v>
          </cell>
          <cell r="AD9207">
            <v>165000</v>
          </cell>
        </row>
        <row r="9208">
          <cell r="W9208" t="str">
            <v>QPAKE02</v>
          </cell>
          <cell r="AD9208">
            <v>167000</v>
          </cell>
        </row>
        <row r="9209">
          <cell r="W9209" t="str">
            <v>QPAKE02</v>
          </cell>
          <cell r="AD9209">
            <v>167000</v>
          </cell>
        </row>
        <row r="9210">
          <cell r="W9210" t="str">
            <v>QPAKE02</v>
          </cell>
          <cell r="AD9210">
            <v>167000</v>
          </cell>
        </row>
        <row r="9211">
          <cell r="W9211" t="str">
            <v>QPAKE02</v>
          </cell>
          <cell r="AD9211">
            <v>167000</v>
          </cell>
        </row>
        <row r="9212">
          <cell r="W9212" t="str">
            <v>QPAKE02</v>
          </cell>
          <cell r="AD9212">
            <v>167000</v>
          </cell>
        </row>
        <row r="9213">
          <cell r="W9213" t="str">
            <v>QPAKE02</v>
          </cell>
          <cell r="AD9213">
            <v>168000</v>
          </cell>
        </row>
        <row r="9214">
          <cell r="W9214" t="str">
            <v>QPAKE02</v>
          </cell>
          <cell r="AD9214">
            <v>168000</v>
          </cell>
        </row>
        <row r="9215">
          <cell r="W9215" t="str">
            <v>QPAKE02</v>
          </cell>
          <cell r="AD9215">
            <v>168000</v>
          </cell>
        </row>
        <row r="9216">
          <cell r="W9216" t="str">
            <v>QPAKE02</v>
          </cell>
          <cell r="AD9216">
            <v>168000</v>
          </cell>
        </row>
        <row r="9217">
          <cell r="W9217" t="str">
            <v>QPAKE02</v>
          </cell>
          <cell r="AD9217">
            <v>168500</v>
          </cell>
        </row>
        <row r="9218">
          <cell r="W9218" t="str">
            <v>QPAKE02</v>
          </cell>
          <cell r="AD9218">
            <v>168500</v>
          </cell>
        </row>
        <row r="9219">
          <cell r="W9219" t="str">
            <v>QPAKE02</v>
          </cell>
          <cell r="AD9219">
            <v>168500</v>
          </cell>
        </row>
        <row r="9220">
          <cell r="W9220" t="str">
            <v>QPAKE02</v>
          </cell>
          <cell r="AD9220">
            <v>168500</v>
          </cell>
        </row>
        <row r="9221">
          <cell r="W9221" t="str">
            <v>QPAKE02</v>
          </cell>
          <cell r="AD9221">
            <v>168500</v>
          </cell>
        </row>
        <row r="9222">
          <cell r="W9222" t="str">
            <v>QPAKE02</v>
          </cell>
          <cell r="AD9222">
            <v>168500</v>
          </cell>
        </row>
        <row r="9223">
          <cell r="W9223" t="str">
            <v>QPAKE02</v>
          </cell>
          <cell r="AD9223">
            <v>168500</v>
          </cell>
        </row>
        <row r="9224">
          <cell r="W9224" t="str">
            <v>QPAKE02</v>
          </cell>
          <cell r="AD9224">
            <v>168500</v>
          </cell>
        </row>
        <row r="9225">
          <cell r="W9225" t="str">
            <v>QPAKE02</v>
          </cell>
          <cell r="AD9225">
            <v>168500</v>
          </cell>
        </row>
        <row r="9226">
          <cell r="W9226" t="str">
            <v>QPAKE02</v>
          </cell>
          <cell r="AD9226">
            <v>168500</v>
          </cell>
        </row>
        <row r="9227">
          <cell r="W9227" t="str">
            <v>QPAKE02</v>
          </cell>
          <cell r="AD9227">
            <v>168500</v>
          </cell>
        </row>
        <row r="9228">
          <cell r="W9228" t="str">
            <v>QPAKE02</v>
          </cell>
          <cell r="AD9228">
            <v>170000</v>
          </cell>
        </row>
        <row r="9229">
          <cell r="W9229" t="str">
            <v>QPAKE02</v>
          </cell>
          <cell r="AD9229">
            <v>170000</v>
          </cell>
        </row>
        <row r="9230">
          <cell r="W9230" t="str">
            <v>QPAKE02</v>
          </cell>
          <cell r="AD9230">
            <v>170000</v>
          </cell>
        </row>
        <row r="9231">
          <cell r="W9231" t="str">
            <v>QPAKE02</v>
          </cell>
          <cell r="AD9231">
            <v>170000</v>
          </cell>
        </row>
        <row r="9232">
          <cell r="W9232" t="str">
            <v>QPAKE02</v>
          </cell>
          <cell r="AD9232">
            <v>170000</v>
          </cell>
        </row>
        <row r="9233">
          <cell r="W9233" t="str">
            <v>QPAKE02</v>
          </cell>
          <cell r="AD9233">
            <v>170000</v>
          </cell>
        </row>
        <row r="9234">
          <cell r="W9234" t="str">
            <v>QPAKE02</v>
          </cell>
          <cell r="AD9234">
            <v>170000</v>
          </cell>
        </row>
        <row r="9235">
          <cell r="W9235" t="str">
            <v>QPAKE02</v>
          </cell>
          <cell r="AD9235">
            <v>170000</v>
          </cell>
        </row>
        <row r="9236">
          <cell r="W9236" t="str">
            <v>QPAKE02</v>
          </cell>
          <cell r="AD9236">
            <v>170000</v>
          </cell>
        </row>
        <row r="9237">
          <cell r="W9237" t="str">
            <v>QPAKE07</v>
          </cell>
          <cell r="AD9237">
            <v>120000</v>
          </cell>
        </row>
        <row r="9238">
          <cell r="W9238" t="str">
            <v>QPAKE07</v>
          </cell>
          <cell r="AD9238">
            <v>120000</v>
          </cell>
        </row>
        <row r="9239">
          <cell r="W9239" t="str">
            <v>QPAKE07</v>
          </cell>
          <cell r="AD9239">
            <v>120000</v>
          </cell>
        </row>
        <row r="9240">
          <cell r="W9240" t="str">
            <v>QPAKE07</v>
          </cell>
          <cell r="AD9240">
            <v>120000</v>
          </cell>
        </row>
        <row r="9241">
          <cell r="W9241" t="str">
            <v>QPAPA03</v>
          </cell>
          <cell r="AD9241">
            <v>760000</v>
          </cell>
        </row>
        <row r="9242">
          <cell r="W9242" t="str">
            <v>QPAPA03</v>
          </cell>
          <cell r="AD9242">
            <v>860000</v>
          </cell>
        </row>
        <row r="9243">
          <cell r="W9243" t="str">
            <v>QPAPA03</v>
          </cell>
          <cell r="AD9243">
            <v>880000</v>
          </cell>
        </row>
        <row r="9244">
          <cell r="W9244" t="str">
            <v>QPAPA03</v>
          </cell>
          <cell r="AD9244">
            <v>880000</v>
          </cell>
        </row>
        <row r="9245">
          <cell r="W9245" t="str">
            <v>QPAPA01</v>
          </cell>
          <cell r="AD9245">
            <v>43000</v>
          </cell>
        </row>
        <row r="9246">
          <cell r="W9246" t="str">
            <v>QPAPA01</v>
          </cell>
          <cell r="AD9246">
            <v>43000</v>
          </cell>
        </row>
        <row r="9247">
          <cell r="W9247" t="str">
            <v>QPAPA01</v>
          </cell>
          <cell r="AD9247">
            <v>43000</v>
          </cell>
        </row>
        <row r="9248">
          <cell r="W9248" t="str">
            <v>QPAPA01</v>
          </cell>
          <cell r="AD9248">
            <v>43000</v>
          </cell>
        </row>
        <row r="9249">
          <cell r="W9249" t="str">
            <v>QPAPA01</v>
          </cell>
          <cell r="AD9249">
            <v>43000</v>
          </cell>
        </row>
        <row r="9250">
          <cell r="W9250" t="str">
            <v>QPAPA01</v>
          </cell>
          <cell r="AD9250">
            <v>43000</v>
          </cell>
        </row>
        <row r="9251">
          <cell r="W9251" t="str">
            <v>QPAPA01</v>
          </cell>
          <cell r="AD9251">
            <v>43000</v>
          </cell>
        </row>
        <row r="9252">
          <cell r="W9252" t="str">
            <v>QPAPA01</v>
          </cell>
          <cell r="AD9252">
            <v>43000</v>
          </cell>
        </row>
        <row r="9253">
          <cell r="W9253" t="str">
            <v>QPAPA01</v>
          </cell>
          <cell r="AD9253">
            <v>46000</v>
          </cell>
        </row>
        <row r="9254">
          <cell r="W9254" t="str">
            <v>QPAPA01</v>
          </cell>
          <cell r="AD9254">
            <v>46000</v>
          </cell>
        </row>
        <row r="9255">
          <cell r="W9255" t="str">
            <v>QPAPA01</v>
          </cell>
          <cell r="AD9255">
            <v>46000</v>
          </cell>
        </row>
        <row r="9256">
          <cell r="W9256" t="str">
            <v>QPAPA01</v>
          </cell>
          <cell r="AD9256">
            <v>46000</v>
          </cell>
        </row>
        <row r="9257">
          <cell r="W9257" t="str">
            <v>QPAPA01</v>
          </cell>
          <cell r="AD9257">
            <v>46000</v>
          </cell>
        </row>
        <row r="9258">
          <cell r="W9258" t="str">
            <v>QPAPA02</v>
          </cell>
          <cell r="AD9258">
            <v>195000</v>
          </cell>
        </row>
        <row r="9259">
          <cell r="W9259" t="str">
            <v>QPAPA02</v>
          </cell>
          <cell r="AD9259">
            <v>195000</v>
          </cell>
        </row>
        <row r="9260">
          <cell r="W9260" t="str">
            <v>APAPA02</v>
          </cell>
          <cell r="AD9260">
            <v>195000</v>
          </cell>
        </row>
        <row r="9261">
          <cell r="W9261" t="str">
            <v>APAPA02</v>
          </cell>
          <cell r="AD9261">
            <v>195000</v>
          </cell>
        </row>
        <row r="9262">
          <cell r="W9262" t="str">
            <v>APAPA02</v>
          </cell>
          <cell r="AD9262">
            <v>220000</v>
          </cell>
        </row>
        <row r="9263">
          <cell r="W9263" t="str">
            <v>APAPA02</v>
          </cell>
          <cell r="AD9263">
            <v>220000</v>
          </cell>
        </row>
        <row r="9264">
          <cell r="W9264" t="str">
            <v>QPAPA02</v>
          </cell>
          <cell r="AD9264">
            <v>220000</v>
          </cell>
        </row>
        <row r="9265">
          <cell r="W9265" t="str">
            <v>QPARA02</v>
          </cell>
          <cell r="AD9265">
            <v>56000</v>
          </cell>
        </row>
        <row r="9266">
          <cell r="W9266" t="str">
            <v>QPARA02</v>
          </cell>
          <cell r="AD9266">
            <v>56000</v>
          </cell>
        </row>
        <row r="9267">
          <cell r="W9267" t="str">
            <v>QPARA02</v>
          </cell>
          <cell r="AD9267">
            <v>56000</v>
          </cell>
        </row>
        <row r="9268">
          <cell r="W9268" t="str">
            <v>QPARA02</v>
          </cell>
          <cell r="AD9268">
            <v>57000</v>
          </cell>
        </row>
        <row r="9269">
          <cell r="W9269" t="str">
            <v>QPARA02</v>
          </cell>
          <cell r="AD9269">
            <v>57000</v>
          </cell>
        </row>
        <row r="9270">
          <cell r="W9270" t="str">
            <v>QPARA02</v>
          </cell>
          <cell r="AD9270">
            <v>57000</v>
          </cell>
        </row>
        <row r="9271">
          <cell r="W9271" t="str">
            <v>QPARA02</v>
          </cell>
          <cell r="AD9271">
            <v>57000</v>
          </cell>
        </row>
        <row r="9272">
          <cell r="W9272" t="str">
            <v>QPARA02</v>
          </cell>
          <cell r="AD9272">
            <v>57500</v>
          </cell>
        </row>
        <row r="9273">
          <cell r="W9273" t="str">
            <v>QPARA02</v>
          </cell>
          <cell r="AD9273">
            <v>57500</v>
          </cell>
        </row>
        <row r="9274">
          <cell r="W9274" t="str">
            <v>QPARA02</v>
          </cell>
          <cell r="AD9274">
            <v>57500</v>
          </cell>
        </row>
        <row r="9275">
          <cell r="W9275" t="str">
            <v>QPARA02</v>
          </cell>
          <cell r="AD9275">
            <v>58000</v>
          </cell>
        </row>
        <row r="9276">
          <cell r="W9276" t="str">
            <v>QPARA02</v>
          </cell>
          <cell r="AD9276">
            <v>58000</v>
          </cell>
        </row>
        <row r="9277">
          <cell r="W9277" t="str">
            <v>QPARE04</v>
          </cell>
          <cell r="AD9277">
            <v>16500</v>
          </cell>
        </row>
        <row r="9278">
          <cell r="W9278" t="str">
            <v>QPARE04</v>
          </cell>
          <cell r="AD9278">
            <v>21000</v>
          </cell>
        </row>
        <row r="9279">
          <cell r="W9279" t="str">
            <v>QPARE04</v>
          </cell>
          <cell r="AD9279">
            <v>21000</v>
          </cell>
        </row>
        <row r="9280">
          <cell r="W9280" t="str">
            <v>APARE01</v>
          </cell>
          <cell r="AD9280">
            <v>1</v>
          </cell>
        </row>
        <row r="9281">
          <cell r="W9281" t="str">
            <v>QPARE01</v>
          </cell>
          <cell r="AD9281">
            <v>16000</v>
          </cell>
        </row>
        <row r="9282">
          <cell r="W9282" t="str">
            <v>QPARE01</v>
          </cell>
          <cell r="AD9282">
            <v>16000</v>
          </cell>
        </row>
        <row r="9283">
          <cell r="W9283" t="str">
            <v>QPARE01</v>
          </cell>
          <cell r="AD9283">
            <v>16000</v>
          </cell>
        </row>
        <row r="9284">
          <cell r="W9284" t="str">
            <v>QPARE01</v>
          </cell>
          <cell r="AD9284">
            <v>16000</v>
          </cell>
        </row>
        <row r="9285">
          <cell r="W9285" t="str">
            <v>QPARE01</v>
          </cell>
          <cell r="AD9285">
            <v>16500</v>
          </cell>
        </row>
        <row r="9286">
          <cell r="W9286" t="str">
            <v>QPARE01</v>
          </cell>
          <cell r="AD9286">
            <v>16500</v>
          </cell>
        </row>
        <row r="9287">
          <cell r="W9287" t="str">
            <v>QPARE01</v>
          </cell>
          <cell r="AD9287">
            <v>16500</v>
          </cell>
        </row>
        <row r="9288">
          <cell r="W9288" t="str">
            <v>QPARE01</v>
          </cell>
          <cell r="AD9288">
            <v>16500</v>
          </cell>
        </row>
        <row r="9289">
          <cell r="W9289" t="str">
            <v>QPARE01</v>
          </cell>
          <cell r="AD9289">
            <v>16500</v>
          </cell>
        </row>
        <row r="9290">
          <cell r="W9290" t="str">
            <v>QPARE01</v>
          </cell>
          <cell r="AD9290">
            <v>16500</v>
          </cell>
        </row>
        <row r="9291">
          <cell r="W9291" t="str">
            <v>QPARE01</v>
          </cell>
          <cell r="AD9291">
            <v>16500</v>
          </cell>
        </row>
        <row r="9292">
          <cell r="W9292" t="str">
            <v>QPARE01</v>
          </cell>
          <cell r="AD9292">
            <v>17000</v>
          </cell>
        </row>
        <row r="9293">
          <cell r="W9293" t="str">
            <v>QPARE01</v>
          </cell>
          <cell r="AD9293">
            <v>17000</v>
          </cell>
        </row>
        <row r="9294">
          <cell r="W9294" t="str">
            <v>QPARE01</v>
          </cell>
          <cell r="AD9294">
            <v>17000</v>
          </cell>
        </row>
        <row r="9295">
          <cell r="W9295" t="str">
            <v>QPARE01</v>
          </cell>
          <cell r="AD9295">
            <v>17000</v>
          </cell>
        </row>
        <row r="9296">
          <cell r="W9296" t="str">
            <v>QPARE01</v>
          </cell>
          <cell r="AD9296">
            <v>17000</v>
          </cell>
        </row>
        <row r="9297">
          <cell r="W9297" t="str">
            <v>QPARE01</v>
          </cell>
          <cell r="AD9297">
            <v>17000</v>
          </cell>
        </row>
        <row r="9298">
          <cell r="W9298" t="str">
            <v>QPARE01</v>
          </cell>
          <cell r="AD9298">
            <v>17000</v>
          </cell>
        </row>
        <row r="9299">
          <cell r="W9299" t="str">
            <v>QPARE01</v>
          </cell>
          <cell r="AD9299">
            <v>17000</v>
          </cell>
        </row>
        <row r="9300">
          <cell r="W9300" t="str">
            <v>QPARE01</v>
          </cell>
          <cell r="AD9300">
            <v>17000</v>
          </cell>
        </row>
        <row r="9301">
          <cell r="W9301" t="str">
            <v>QPARE01</v>
          </cell>
          <cell r="AD9301">
            <v>17000</v>
          </cell>
        </row>
        <row r="9302">
          <cell r="W9302" t="str">
            <v>QPARE01</v>
          </cell>
          <cell r="AD9302">
            <v>17000</v>
          </cell>
        </row>
        <row r="9303">
          <cell r="W9303" t="str">
            <v>QPARE01</v>
          </cell>
          <cell r="AD9303">
            <v>17000</v>
          </cell>
        </row>
        <row r="9304">
          <cell r="W9304" t="str">
            <v>QPARE01</v>
          </cell>
          <cell r="AD9304">
            <v>17000</v>
          </cell>
        </row>
        <row r="9305">
          <cell r="W9305" t="str">
            <v>QPARE01</v>
          </cell>
          <cell r="AD9305">
            <v>17500</v>
          </cell>
        </row>
        <row r="9306">
          <cell r="W9306" t="str">
            <v>QPARE01</v>
          </cell>
          <cell r="AD9306">
            <v>18000</v>
          </cell>
        </row>
        <row r="9307">
          <cell r="W9307" t="str">
            <v>QPARE07</v>
          </cell>
          <cell r="AD9307">
            <v>18000</v>
          </cell>
        </row>
        <row r="9308">
          <cell r="W9308" t="str">
            <v>QPARE06</v>
          </cell>
          <cell r="AD9308">
            <v>18000</v>
          </cell>
        </row>
        <row r="9309">
          <cell r="W9309" t="str">
            <v>QPARE06</v>
          </cell>
          <cell r="AD9309">
            <v>18000</v>
          </cell>
        </row>
        <row r="9310">
          <cell r="W9310" t="str">
            <v>QPARE06</v>
          </cell>
          <cell r="AD9310">
            <v>18000</v>
          </cell>
        </row>
        <row r="9311">
          <cell r="W9311" t="str">
            <v>QPASK02</v>
          </cell>
          <cell r="AD9311">
            <v>41000</v>
          </cell>
        </row>
        <row r="9312">
          <cell r="W9312" t="str">
            <v>QPASK02</v>
          </cell>
          <cell r="AD9312">
            <v>41000</v>
          </cell>
        </row>
        <row r="9313">
          <cell r="W9313" t="str">
            <v>QPASK02</v>
          </cell>
          <cell r="AD9313">
            <v>41000</v>
          </cell>
        </row>
        <row r="9314">
          <cell r="W9314" t="str">
            <v>QPEGA01</v>
          </cell>
          <cell r="AD9314">
            <v>68500</v>
          </cell>
        </row>
        <row r="9315">
          <cell r="W9315" t="str">
            <v>QPEGA01</v>
          </cell>
          <cell r="AD9315">
            <v>70000</v>
          </cell>
        </row>
        <row r="9316">
          <cell r="W9316" t="str">
            <v>QPEGA01</v>
          </cell>
          <cell r="AD9316">
            <v>70650</v>
          </cell>
        </row>
        <row r="9317">
          <cell r="W9317" t="str">
            <v>QPEGA01</v>
          </cell>
          <cell r="AD9317">
            <v>70700</v>
          </cell>
        </row>
        <row r="9318">
          <cell r="W9318" t="str">
            <v>QPEGA01</v>
          </cell>
          <cell r="AD9318">
            <v>70750</v>
          </cell>
        </row>
        <row r="9319">
          <cell r="W9319" t="str">
            <v>QPEGA01</v>
          </cell>
          <cell r="AD9319">
            <v>70750</v>
          </cell>
        </row>
        <row r="9320">
          <cell r="W9320" t="str">
            <v>QPEGA01</v>
          </cell>
          <cell r="AD9320">
            <v>71000</v>
          </cell>
        </row>
        <row r="9321">
          <cell r="W9321" t="str">
            <v>QPETR01</v>
          </cell>
          <cell r="AD9321">
            <v>4000</v>
          </cell>
        </row>
        <row r="9322">
          <cell r="W9322" t="str">
            <v>QPETR01</v>
          </cell>
          <cell r="AD9322">
            <v>4000</v>
          </cell>
        </row>
        <row r="9323">
          <cell r="W9323" t="str">
            <v>QPETR01</v>
          </cell>
          <cell r="AD9323">
            <v>4000</v>
          </cell>
        </row>
        <row r="9324">
          <cell r="W9324" t="str">
            <v>QPETR01</v>
          </cell>
          <cell r="AD9324">
            <v>4250</v>
          </cell>
        </row>
        <row r="9325">
          <cell r="W9325" t="str">
            <v>QPETR01</v>
          </cell>
          <cell r="AD9325">
            <v>4250</v>
          </cell>
        </row>
        <row r="9326">
          <cell r="W9326" t="str">
            <v>QPETR01</v>
          </cell>
          <cell r="AD9326">
            <v>4500</v>
          </cell>
        </row>
        <row r="9327">
          <cell r="W9327" t="str">
            <v>QPETR01</v>
          </cell>
          <cell r="AD9327">
            <v>4500</v>
          </cell>
        </row>
        <row r="9328">
          <cell r="W9328" t="str">
            <v>QPETR01</v>
          </cell>
          <cell r="AD9328">
            <v>4500</v>
          </cell>
        </row>
        <row r="9329">
          <cell r="W9329" t="str">
            <v>QPETR01</v>
          </cell>
          <cell r="AD9329">
            <v>4800</v>
          </cell>
        </row>
        <row r="9330">
          <cell r="W9330" t="str">
            <v>QPETR01</v>
          </cell>
          <cell r="AD9330">
            <v>4800</v>
          </cell>
        </row>
        <row r="9331">
          <cell r="W9331" t="str">
            <v>QPETR01</v>
          </cell>
          <cell r="AD9331">
            <v>4800</v>
          </cell>
        </row>
        <row r="9332">
          <cell r="W9332" t="str">
            <v>QPETR01</v>
          </cell>
          <cell r="AD9332">
            <v>4800</v>
          </cell>
        </row>
        <row r="9333">
          <cell r="W9333" t="str">
            <v>QPETR01</v>
          </cell>
          <cell r="AD9333">
            <v>4800</v>
          </cell>
        </row>
        <row r="9334">
          <cell r="W9334" t="str">
            <v>QPETR01</v>
          </cell>
          <cell r="AD9334">
            <v>4800</v>
          </cell>
        </row>
        <row r="9335">
          <cell r="W9335" t="str">
            <v>QPETR01</v>
          </cell>
          <cell r="AD9335">
            <v>4800</v>
          </cell>
        </row>
        <row r="9336">
          <cell r="W9336" t="str">
            <v>QPETR01</v>
          </cell>
          <cell r="AD9336">
            <v>4800</v>
          </cell>
        </row>
        <row r="9337">
          <cell r="W9337" t="str">
            <v>QPETR01</v>
          </cell>
          <cell r="AD9337">
            <v>4800</v>
          </cell>
        </row>
        <row r="9338">
          <cell r="W9338" t="str">
            <v>QPETR01</v>
          </cell>
          <cell r="AD9338">
            <v>4800</v>
          </cell>
        </row>
        <row r="9339">
          <cell r="W9339" t="str">
            <v>QPETR01</v>
          </cell>
          <cell r="AD9339">
            <v>4800</v>
          </cell>
        </row>
        <row r="9340">
          <cell r="W9340" t="str">
            <v>QPETR02</v>
          </cell>
          <cell r="AD9340">
            <v>3750</v>
          </cell>
        </row>
        <row r="9341">
          <cell r="W9341" t="str">
            <v>QPETR02</v>
          </cell>
          <cell r="AD9341">
            <v>3750</v>
          </cell>
        </row>
        <row r="9342">
          <cell r="W9342" t="str">
            <v>QPETR02</v>
          </cell>
          <cell r="AD9342">
            <v>3750</v>
          </cell>
        </row>
        <row r="9343">
          <cell r="W9343" t="str">
            <v>QPETR02</v>
          </cell>
          <cell r="AD9343">
            <v>3750</v>
          </cell>
        </row>
        <row r="9344">
          <cell r="W9344" t="str">
            <v>QPETR02</v>
          </cell>
          <cell r="AD9344">
            <v>3750</v>
          </cell>
        </row>
        <row r="9345">
          <cell r="W9345" t="str">
            <v>QPETR02</v>
          </cell>
          <cell r="AD9345">
            <v>3750</v>
          </cell>
        </row>
        <row r="9346">
          <cell r="W9346" t="str">
            <v>QPETR02</v>
          </cell>
          <cell r="AD9346">
            <v>4000</v>
          </cell>
        </row>
        <row r="9347">
          <cell r="W9347" t="str">
            <v>QPETR02</v>
          </cell>
          <cell r="AD9347">
            <v>4000</v>
          </cell>
        </row>
        <row r="9348">
          <cell r="W9348" t="str">
            <v>QPETR02</v>
          </cell>
          <cell r="AD9348">
            <v>4000</v>
          </cell>
        </row>
        <row r="9349">
          <cell r="W9349" t="str">
            <v>QPETR02</v>
          </cell>
          <cell r="AD9349">
            <v>4000</v>
          </cell>
        </row>
        <row r="9350">
          <cell r="W9350" t="str">
            <v>QPETR02</v>
          </cell>
          <cell r="AD9350">
            <v>4000</v>
          </cell>
        </row>
        <row r="9351">
          <cell r="W9351" t="str">
            <v>QPETR02</v>
          </cell>
          <cell r="AD9351">
            <v>4000</v>
          </cell>
        </row>
        <row r="9352">
          <cell r="W9352" t="str">
            <v>QPETR02</v>
          </cell>
          <cell r="AD9352">
            <v>4000</v>
          </cell>
        </row>
        <row r="9353">
          <cell r="W9353" t="str">
            <v>QPETR02</v>
          </cell>
          <cell r="AD9353">
            <v>4000</v>
          </cell>
        </row>
        <row r="9354">
          <cell r="W9354" t="str">
            <v>QPETR02</v>
          </cell>
          <cell r="AD9354">
            <v>4000</v>
          </cell>
        </row>
        <row r="9355">
          <cell r="W9355" t="str">
            <v>QPETR02</v>
          </cell>
          <cell r="AD9355">
            <v>4500</v>
          </cell>
        </row>
        <row r="9356">
          <cell r="W9356" t="str">
            <v>QPETR02</v>
          </cell>
          <cell r="AD9356">
            <v>4500</v>
          </cell>
        </row>
        <row r="9357">
          <cell r="W9357" t="str">
            <v>QPEXA01</v>
          </cell>
          <cell r="AD9357">
            <v>240000</v>
          </cell>
        </row>
        <row r="9358">
          <cell r="W9358" t="str">
            <v>QPEXA01</v>
          </cell>
          <cell r="AD9358">
            <v>240000</v>
          </cell>
        </row>
        <row r="9359">
          <cell r="W9359" t="str">
            <v>QPEXA01</v>
          </cell>
          <cell r="AD9359">
            <v>240000</v>
          </cell>
        </row>
        <row r="9360">
          <cell r="W9360" t="str">
            <v>QPEXA01</v>
          </cell>
          <cell r="AD9360">
            <v>240000</v>
          </cell>
        </row>
        <row r="9361">
          <cell r="W9361" t="str">
            <v>QPEXA01</v>
          </cell>
          <cell r="AD9361">
            <v>245000</v>
          </cell>
        </row>
        <row r="9362">
          <cell r="W9362" t="str">
            <v>QPEXA01</v>
          </cell>
          <cell r="AD9362">
            <v>245000</v>
          </cell>
        </row>
        <row r="9363">
          <cell r="W9363" t="str">
            <v>QPEXA01</v>
          </cell>
          <cell r="AD9363">
            <v>245000</v>
          </cell>
        </row>
        <row r="9364">
          <cell r="W9364" t="str">
            <v>QPHOS03</v>
          </cell>
          <cell r="AD9364">
            <v>125000</v>
          </cell>
        </row>
        <row r="9365">
          <cell r="W9365" t="str">
            <v>QPHOS03</v>
          </cell>
          <cell r="AD9365">
            <v>125000</v>
          </cell>
        </row>
        <row r="9366">
          <cell r="W9366" t="str">
            <v>QPHOS03</v>
          </cell>
          <cell r="AD9366">
            <v>125000</v>
          </cell>
        </row>
        <row r="9367">
          <cell r="W9367" t="str">
            <v>QPINA04</v>
          </cell>
          <cell r="AD9367">
            <v>150000</v>
          </cell>
        </row>
        <row r="9368">
          <cell r="W9368" t="str">
            <v>QPINA04</v>
          </cell>
          <cell r="AD9368">
            <v>150000</v>
          </cell>
        </row>
        <row r="9369">
          <cell r="W9369" t="str">
            <v>QPINA04</v>
          </cell>
          <cell r="AD9369">
            <v>150000</v>
          </cell>
        </row>
        <row r="9370">
          <cell r="W9370" t="str">
            <v>QPINA04</v>
          </cell>
          <cell r="AD9370">
            <v>150000</v>
          </cell>
        </row>
        <row r="9371">
          <cell r="W9371" t="str">
            <v>QPINA04</v>
          </cell>
          <cell r="AD9371">
            <v>150000</v>
          </cell>
        </row>
        <row r="9372">
          <cell r="W9372" t="str">
            <v>QPINA04</v>
          </cell>
          <cell r="AD9372">
            <v>150000</v>
          </cell>
        </row>
        <row r="9373">
          <cell r="W9373" t="str">
            <v>QPINA04</v>
          </cell>
          <cell r="AD9373">
            <v>150000</v>
          </cell>
        </row>
        <row r="9374">
          <cell r="W9374" t="str">
            <v>QPINA04</v>
          </cell>
          <cell r="AD9374">
            <v>150000</v>
          </cell>
        </row>
        <row r="9375">
          <cell r="W9375" t="str">
            <v>QPINA04</v>
          </cell>
          <cell r="AD9375">
            <v>150000</v>
          </cell>
        </row>
        <row r="9376">
          <cell r="W9376" t="str">
            <v>QPINA04</v>
          </cell>
          <cell r="AD9376">
            <v>150000</v>
          </cell>
        </row>
        <row r="9377">
          <cell r="W9377" t="str">
            <v>QPINA04</v>
          </cell>
          <cell r="AD9377">
            <v>150000</v>
          </cell>
        </row>
        <row r="9378">
          <cell r="W9378" t="str">
            <v>QPINA04</v>
          </cell>
          <cell r="AD9378">
            <v>150000</v>
          </cell>
        </row>
        <row r="9379">
          <cell r="W9379" t="str">
            <v>QPINA04</v>
          </cell>
          <cell r="AD9379">
            <v>150000</v>
          </cell>
        </row>
        <row r="9380">
          <cell r="W9380" t="str">
            <v>QPINA04</v>
          </cell>
          <cell r="AD9380">
            <v>150000</v>
          </cell>
        </row>
        <row r="9381">
          <cell r="W9381" t="str">
            <v>QPINA04</v>
          </cell>
          <cell r="AD9381">
            <v>150000</v>
          </cell>
        </row>
        <row r="9382">
          <cell r="W9382" t="str">
            <v>QPINA04</v>
          </cell>
          <cell r="AD9382">
            <v>150000</v>
          </cell>
        </row>
        <row r="9383">
          <cell r="W9383" t="str">
            <v>QPINA03</v>
          </cell>
          <cell r="AD9383">
            <v>83500</v>
          </cell>
        </row>
        <row r="9384">
          <cell r="W9384" t="str">
            <v>QPINA03</v>
          </cell>
          <cell r="AD9384">
            <v>83500</v>
          </cell>
        </row>
        <row r="9385">
          <cell r="W9385" t="str">
            <v>QPINA03</v>
          </cell>
          <cell r="AD9385">
            <v>83500</v>
          </cell>
        </row>
        <row r="9386">
          <cell r="W9386" t="str">
            <v>QPINA03</v>
          </cell>
          <cell r="AD9386">
            <v>83500</v>
          </cell>
        </row>
        <row r="9387">
          <cell r="W9387" t="str">
            <v>QPINA03</v>
          </cell>
          <cell r="AD9387">
            <v>83500</v>
          </cell>
        </row>
        <row r="9388">
          <cell r="W9388" t="str">
            <v>QPINA03</v>
          </cell>
          <cell r="AD9388">
            <v>83500</v>
          </cell>
        </row>
        <row r="9389">
          <cell r="W9389" t="str">
            <v>QPINA03</v>
          </cell>
          <cell r="AD9389">
            <v>83500</v>
          </cell>
        </row>
        <row r="9390">
          <cell r="W9390" t="str">
            <v>QPINA03</v>
          </cell>
          <cell r="AD9390">
            <v>83500</v>
          </cell>
        </row>
        <row r="9391">
          <cell r="W9391" t="str">
            <v>QPINA03</v>
          </cell>
          <cell r="AD9391">
            <v>83500</v>
          </cell>
        </row>
        <row r="9392">
          <cell r="W9392" t="str">
            <v>QPINA03</v>
          </cell>
          <cell r="AD9392">
            <v>83500</v>
          </cell>
        </row>
        <row r="9393">
          <cell r="W9393" t="str">
            <v>QPINA02</v>
          </cell>
          <cell r="AD9393">
            <v>44000</v>
          </cell>
        </row>
        <row r="9394">
          <cell r="W9394" t="str">
            <v>QPINA02</v>
          </cell>
          <cell r="AD9394">
            <v>44500</v>
          </cell>
        </row>
        <row r="9395">
          <cell r="W9395" t="str">
            <v>QPINA02</v>
          </cell>
          <cell r="AD9395">
            <v>44500</v>
          </cell>
        </row>
        <row r="9396">
          <cell r="W9396" t="str">
            <v>QPINA02</v>
          </cell>
          <cell r="AD9396">
            <v>44500</v>
          </cell>
        </row>
        <row r="9397">
          <cell r="W9397" t="str">
            <v>QPINA02</v>
          </cell>
          <cell r="AD9397">
            <v>44500</v>
          </cell>
        </row>
        <row r="9398">
          <cell r="W9398" t="str">
            <v>QPINA02</v>
          </cell>
          <cell r="AD9398">
            <v>44500</v>
          </cell>
        </row>
        <row r="9399">
          <cell r="W9399" t="str">
            <v>QPINA02</v>
          </cell>
          <cell r="AD9399">
            <v>44500</v>
          </cell>
        </row>
        <row r="9400">
          <cell r="W9400" t="str">
            <v>QPINA02</v>
          </cell>
          <cell r="AD9400">
            <v>44500</v>
          </cell>
        </row>
        <row r="9401">
          <cell r="W9401" t="str">
            <v>QPINA02</v>
          </cell>
          <cell r="AD9401">
            <v>44500</v>
          </cell>
        </row>
        <row r="9402">
          <cell r="W9402" t="str">
            <v>QPINA02</v>
          </cell>
          <cell r="AD9402">
            <v>44500</v>
          </cell>
        </row>
        <row r="9403">
          <cell r="W9403" t="str">
            <v>QPINA02</v>
          </cell>
          <cell r="AD9403">
            <v>44500</v>
          </cell>
        </row>
        <row r="9404">
          <cell r="W9404" t="str">
            <v>QPINA02</v>
          </cell>
          <cell r="AD9404">
            <v>44500</v>
          </cell>
        </row>
        <row r="9405">
          <cell r="W9405" t="str">
            <v>QPINA02</v>
          </cell>
          <cell r="AD9405">
            <v>44500</v>
          </cell>
        </row>
        <row r="9406">
          <cell r="W9406" t="str">
            <v>QPINA02</v>
          </cell>
          <cell r="AD9406">
            <v>44500</v>
          </cell>
        </row>
        <row r="9407">
          <cell r="W9407" t="str">
            <v>QPINA01</v>
          </cell>
          <cell r="AD9407">
            <v>20500</v>
          </cell>
        </row>
        <row r="9408">
          <cell r="W9408" t="str">
            <v>QPINA01</v>
          </cell>
          <cell r="AD9408">
            <v>20500</v>
          </cell>
        </row>
        <row r="9409">
          <cell r="W9409" t="str">
            <v>QPINA01</v>
          </cell>
          <cell r="AD9409">
            <v>20500</v>
          </cell>
        </row>
        <row r="9410">
          <cell r="W9410" t="str">
            <v>QPINA01</v>
          </cell>
          <cell r="AD9410">
            <v>20500</v>
          </cell>
        </row>
        <row r="9411">
          <cell r="W9411" t="str">
            <v>QPINA01</v>
          </cell>
          <cell r="AD9411">
            <v>20500</v>
          </cell>
        </row>
        <row r="9412">
          <cell r="W9412" t="str">
            <v>QPINA01</v>
          </cell>
          <cell r="AD9412">
            <v>20500</v>
          </cell>
        </row>
        <row r="9413">
          <cell r="W9413" t="str">
            <v>QPINA01</v>
          </cell>
          <cell r="AD9413">
            <v>20500</v>
          </cell>
        </row>
        <row r="9414">
          <cell r="W9414" t="str">
            <v>QPINA01</v>
          </cell>
          <cell r="AD9414">
            <v>20500</v>
          </cell>
        </row>
        <row r="9415">
          <cell r="W9415" t="str">
            <v>QPINA01</v>
          </cell>
          <cell r="AD9415">
            <v>20500</v>
          </cell>
        </row>
        <row r="9416">
          <cell r="W9416" t="str">
            <v>QPIRA01</v>
          </cell>
          <cell r="AD9416">
            <v>52800</v>
          </cell>
        </row>
        <row r="9417">
          <cell r="W9417" t="str">
            <v>QPIRA01</v>
          </cell>
          <cell r="AD9417">
            <v>52800</v>
          </cell>
        </row>
        <row r="9418">
          <cell r="W9418" t="str">
            <v>QPIRA01</v>
          </cell>
          <cell r="AD9418">
            <v>52800</v>
          </cell>
        </row>
        <row r="9419">
          <cell r="W9419" t="str">
            <v>QPIRA01</v>
          </cell>
          <cell r="AD9419">
            <v>52800</v>
          </cell>
        </row>
        <row r="9420">
          <cell r="W9420" t="str">
            <v>QPIRA01</v>
          </cell>
          <cell r="AD9420">
            <v>52800</v>
          </cell>
        </row>
        <row r="9421">
          <cell r="W9421" t="str">
            <v>QPIRA01</v>
          </cell>
          <cell r="AD9421">
            <v>52800</v>
          </cell>
        </row>
        <row r="9422">
          <cell r="W9422" t="str">
            <v>QPIRA01</v>
          </cell>
          <cell r="AD9422">
            <v>52800</v>
          </cell>
        </row>
        <row r="9423">
          <cell r="W9423" t="str">
            <v>QPIRA01</v>
          </cell>
          <cell r="AD9423">
            <v>59650</v>
          </cell>
        </row>
        <row r="9424">
          <cell r="W9424" t="str">
            <v>QPIRA01</v>
          </cell>
          <cell r="AD9424">
            <v>67000</v>
          </cell>
        </row>
        <row r="9425">
          <cell r="W9425" t="str">
            <v>QPIRA01</v>
          </cell>
          <cell r="AD9425">
            <v>67000</v>
          </cell>
        </row>
        <row r="9426">
          <cell r="W9426" t="str">
            <v>QPIRA01</v>
          </cell>
          <cell r="AD9426">
            <v>67000</v>
          </cell>
        </row>
        <row r="9427">
          <cell r="W9427" t="str">
            <v>QPIRA01</v>
          </cell>
          <cell r="AD9427">
            <v>67000</v>
          </cell>
        </row>
        <row r="9428">
          <cell r="W9428" t="str">
            <v>QPIRA01</v>
          </cell>
          <cell r="AD9428">
            <v>67000</v>
          </cell>
        </row>
        <row r="9429">
          <cell r="W9429" t="str">
            <v>QPIRA01</v>
          </cell>
          <cell r="AD9429">
            <v>67000</v>
          </cell>
        </row>
        <row r="9430">
          <cell r="W9430" t="str">
            <v>QPIRA01</v>
          </cell>
          <cell r="AD9430">
            <v>67000</v>
          </cell>
        </row>
        <row r="9431">
          <cell r="W9431" t="str">
            <v>QPIRA01</v>
          </cell>
          <cell r="AD9431">
            <v>67000</v>
          </cell>
        </row>
        <row r="9432">
          <cell r="W9432" t="str">
            <v>QPIRA01</v>
          </cell>
          <cell r="AD9432">
            <v>67000</v>
          </cell>
        </row>
        <row r="9433">
          <cell r="W9433" t="str">
            <v>QPIRA01</v>
          </cell>
          <cell r="AD9433">
            <v>67000</v>
          </cell>
        </row>
        <row r="9434">
          <cell r="W9434" t="str">
            <v>QPIRA01</v>
          </cell>
          <cell r="AD9434">
            <v>67000</v>
          </cell>
        </row>
        <row r="9435">
          <cell r="W9435" t="str">
            <v>QPIRA01</v>
          </cell>
          <cell r="AD9435">
            <v>67000</v>
          </cell>
        </row>
        <row r="9436">
          <cell r="W9436" t="str">
            <v>QPIRA01</v>
          </cell>
          <cell r="AD9436">
            <v>67000</v>
          </cell>
        </row>
        <row r="9437">
          <cell r="W9437" t="str">
            <v>QPIRA01</v>
          </cell>
          <cell r="AD9437">
            <v>67000</v>
          </cell>
        </row>
        <row r="9438">
          <cell r="W9438" t="str">
            <v>QPIRA01</v>
          </cell>
          <cell r="AD9438">
            <v>67000</v>
          </cell>
        </row>
        <row r="9439">
          <cell r="W9439" t="str">
            <v>QPIRA01</v>
          </cell>
          <cell r="AD9439">
            <v>67000</v>
          </cell>
        </row>
        <row r="9440">
          <cell r="W9440" t="str">
            <v>QPIRA01</v>
          </cell>
          <cell r="AD9440">
            <v>67500</v>
          </cell>
        </row>
        <row r="9441">
          <cell r="W9441" t="str">
            <v>QPIRA02</v>
          </cell>
          <cell r="AD9441">
            <v>161000</v>
          </cell>
        </row>
        <row r="9442">
          <cell r="W9442" t="str">
            <v>QPIRA02</v>
          </cell>
          <cell r="AD9442">
            <v>161000</v>
          </cell>
        </row>
        <row r="9443">
          <cell r="W9443" t="str">
            <v>QPIRA02</v>
          </cell>
          <cell r="AD9443">
            <v>161000</v>
          </cell>
        </row>
        <row r="9444">
          <cell r="W9444" t="str">
            <v>QPIRA02</v>
          </cell>
          <cell r="AD9444">
            <v>161000</v>
          </cell>
        </row>
        <row r="9445">
          <cell r="W9445" t="str">
            <v>QPIRA02</v>
          </cell>
          <cell r="AD9445">
            <v>161000</v>
          </cell>
        </row>
        <row r="9446">
          <cell r="W9446" t="str">
            <v>QPIRA02</v>
          </cell>
          <cell r="AD9446">
            <v>161000</v>
          </cell>
        </row>
        <row r="9447">
          <cell r="W9447" t="str">
            <v>QPIRA02</v>
          </cell>
          <cell r="AD9447">
            <v>161000</v>
          </cell>
        </row>
        <row r="9448">
          <cell r="W9448" t="str">
            <v>QPIRA02</v>
          </cell>
          <cell r="AD9448">
            <v>161000</v>
          </cell>
        </row>
        <row r="9449">
          <cell r="W9449" t="str">
            <v>QPIRA02</v>
          </cell>
          <cell r="AD9449">
            <v>161000</v>
          </cell>
        </row>
        <row r="9450">
          <cell r="W9450" t="str">
            <v>QPIRA02</v>
          </cell>
          <cell r="AD9450">
            <v>161000</v>
          </cell>
        </row>
        <row r="9451">
          <cell r="W9451" t="str">
            <v>QPIRA02</v>
          </cell>
          <cell r="AD9451">
            <v>161000</v>
          </cell>
        </row>
        <row r="9452">
          <cell r="W9452" t="str">
            <v>APIRA02</v>
          </cell>
          <cell r="AD9452">
            <v>161000</v>
          </cell>
        </row>
        <row r="9453">
          <cell r="W9453" t="str">
            <v>APIRA02</v>
          </cell>
          <cell r="AD9453">
            <v>161000</v>
          </cell>
        </row>
        <row r="9454">
          <cell r="W9454" t="str">
            <v>QPIRA02</v>
          </cell>
          <cell r="AD9454">
            <v>161000</v>
          </cell>
        </row>
        <row r="9455">
          <cell r="W9455" t="str">
            <v>QPIRA02</v>
          </cell>
          <cell r="AD9455">
            <v>161000</v>
          </cell>
        </row>
        <row r="9456">
          <cell r="W9456" t="str">
            <v>QPIRA02</v>
          </cell>
          <cell r="AD9456">
            <v>161000</v>
          </cell>
        </row>
        <row r="9457">
          <cell r="W9457" t="str">
            <v>APIRA02</v>
          </cell>
          <cell r="AD9457">
            <v>161000</v>
          </cell>
        </row>
        <row r="9458">
          <cell r="W9458" t="str">
            <v>QPIRA02</v>
          </cell>
          <cell r="AD9458">
            <v>161000</v>
          </cell>
        </row>
        <row r="9459">
          <cell r="W9459" t="str">
            <v>QPIRA02</v>
          </cell>
          <cell r="AD9459">
            <v>161000</v>
          </cell>
        </row>
        <row r="9460">
          <cell r="W9460" t="str">
            <v>QPIRA02</v>
          </cell>
          <cell r="AD9460">
            <v>161000</v>
          </cell>
        </row>
        <row r="9461">
          <cell r="W9461" t="str">
            <v>QPIRA02</v>
          </cell>
          <cell r="AD9461">
            <v>161000</v>
          </cell>
        </row>
        <row r="9462">
          <cell r="W9462" t="str">
            <v>APIRA02</v>
          </cell>
          <cell r="AD9462">
            <v>161000</v>
          </cell>
        </row>
        <row r="9463">
          <cell r="W9463" t="str">
            <v>APIRA02</v>
          </cell>
          <cell r="AD9463">
            <v>161000</v>
          </cell>
        </row>
        <row r="9464">
          <cell r="W9464" t="str">
            <v>QPIRA02</v>
          </cell>
          <cell r="AD9464">
            <v>161000</v>
          </cell>
        </row>
        <row r="9465">
          <cell r="W9465" t="str">
            <v>QPIRA02</v>
          </cell>
          <cell r="AD9465">
            <v>161000</v>
          </cell>
        </row>
        <row r="9466">
          <cell r="W9466" t="str">
            <v>QPIRA02</v>
          </cell>
          <cell r="AD9466">
            <v>161000</v>
          </cell>
        </row>
        <row r="9467">
          <cell r="W9467" t="str">
            <v>QPIRA02</v>
          </cell>
          <cell r="AD9467">
            <v>161000</v>
          </cell>
        </row>
        <row r="9468">
          <cell r="W9468" t="str">
            <v>QPIRA02</v>
          </cell>
          <cell r="AD9468">
            <v>161000</v>
          </cell>
        </row>
        <row r="9469">
          <cell r="W9469" t="str">
            <v>QPIRA02</v>
          </cell>
          <cell r="AD9469">
            <v>161000</v>
          </cell>
        </row>
        <row r="9470">
          <cell r="W9470" t="str">
            <v>QPIRA02</v>
          </cell>
          <cell r="AD9470">
            <v>170000</v>
          </cell>
        </row>
        <row r="9471">
          <cell r="W9471" t="str">
            <v>QPIRI02</v>
          </cell>
          <cell r="AD9471">
            <v>135000</v>
          </cell>
        </row>
        <row r="9472">
          <cell r="W9472" t="str">
            <v>QPIRI02</v>
          </cell>
          <cell r="AD9472">
            <v>135000</v>
          </cell>
        </row>
        <row r="9473">
          <cell r="W9473" t="str">
            <v>QPIRI02</v>
          </cell>
          <cell r="AD9473">
            <v>135000</v>
          </cell>
        </row>
        <row r="9474">
          <cell r="W9474" t="str">
            <v>QPIRI04</v>
          </cell>
          <cell r="AD9474">
            <v>75000</v>
          </cell>
        </row>
        <row r="9475">
          <cell r="W9475" t="str">
            <v>QPIRI04</v>
          </cell>
          <cell r="AD9475">
            <v>75500</v>
          </cell>
        </row>
        <row r="9476">
          <cell r="W9476" t="str">
            <v>APLED01</v>
          </cell>
          <cell r="AD9476">
            <v>1</v>
          </cell>
        </row>
        <row r="9477">
          <cell r="W9477" t="str">
            <v>APLED02</v>
          </cell>
          <cell r="AD9477">
            <v>1</v>
          </cell>
        </row>
        <row r="9478">
          <cell r="W9478" t="str">
            <v>QPLEN02</v>
          </cell>
          <cell r="AD9478">
            <v>48500</v>
          </cell>
        </row>
        <row r="9479">
          <cell r="W9479" t="str">
            <v>QPLEN02</v>
          </cell>
          <cell r="AD9479">
            <v>48750</v>
          </cell>
        </row>
        <row r="9480">
          <cell r="W9480" t="str">
            <v>QPLEN02</v>
          </cell>
          <cell r="AD9480">
            <v>48750</v>
          </cell>
        </row>
        <row r="9481">
          <cell r="W9481" t="str">
            <v>QPLEN02</v>
          </cell>
          <cell r="AD9481">
            <v>49000</v>
          </cell>
        </row>
        <row r="9482">
          <cell r="W9482" t="str">
            <v>QPLEN02</v>
          </cell>
          <cell r="AD9482">
            <v>49000</v>
          </cell>
        </row>
        <row r="9483">
          <cell r="W9483" t="str">
            <v>QPLEN02</v>
          </cell>
          <cell r="AD9483">
            <v>49000</v>
          </cell>
        </row>
        <row r="9484">
          <cell r="W9484" t="str">
            <v>QPLEN02</v>
          </cell>
          <cell r="AD9484">
            <v>49000</v>
          </cell>
        </row>
        <row r="9485">
          <cell r="W9485" t="str">
            <v>QPLEN02</v>
          </cell>
          <cell r="AD9485">
            <v>49000</v>
          </cell>
        </row>
        <row r="9486">
          <cell r="W9486" t="str">
            <v>QPLEN02</v>
          </cell>
          <cell r="AD9486">
            <v>49000</v>
          </cell>
        </row>
        <row r="9487">
          <cell r="W9487" t="str">
            <v>QPLEN02</v>
          </cell>
          <cell r="AD9487">
            <v>49000</v>
          </cell>
        </row>
        <row r="9488">
          <cell r="W9488" t="str">
            <v>QPLEN02</v>
          </cell>
          <cell r="AD9488">
            <v>49000</v>
          </cell>
        </row>
        <row r="9489">
          <cell r="W9489" t="str">
            <v>QPLEN02</v>
          </cell>
          <cell r="AD9489">
            <v>49000</v>
          </cell>
        </row>
        <row r="9490">
          <cell r="W9490" t="str">
            <v>QPLEN02</v>
          </cell>
          <cell r="AD9490">
            <v>49000</v>
          </cell>
        </row>
        <row r="9491">
          <cell r="W9491" t="str">
            <v>QPLEN02</v>
          </cell>
          <cell r="AD9491">
            <v>49500</v>
          </cell>
        </row>
        <row r="9492">
          <cell r="W9492" t="str">
            <v>QPLEN02</v>
          </cell>
          <cell r="AD9492">
            <v>49500</v>
          </cell>
        </row>
        <row r="9493">
          <cell r="W9493" t="str">
            <v>QPLEN02</v>
          </cell>
          <cell r="AD9493">
            <v>49500</v>
          </cell>
        </row>
        <row r="9494">
          <cell r="W9494" t="str">
            <v>QPLEN02</v>
          </cell>
          <cell r="AD9494">
            <v>49500</v>
          </cell>
        </row>
        <row r="9495">
          <cell r="W9495" t="str">
            <v>QPLEN02</v>
          </cell>
          <cell r="AD9495">
            <v>49500</v>
          </cell>
        </row>
        <row r="9496">
          <cell r="W9496" t="str">
            <v>QPLEN02</v>
          </cell>
          <cell r="AD9496">
            <v>49500</v>
          </cell>
        </row>
        <row r="9497">
          <cell r="W9497" t="str">
            <v>QPLEN02</v>
          </cell>
          <cell r="AD9497">
            <v>49500</v>
          </cell>
        </row>
        <row r="9498">
          <cell r="W9498" t="str">
            <v>QPLEN02</v>
          </cell>
          <cell r="AD9498">
            <v>49500</v>
          </cell>
        </row>
        <row r="9499">
          <cell r="W9499" t="str">
            <v>QPLEN02</v>
          </cell>
          <cell r="AD9499">
            <v>49500</v>
          </cell>
        </row>
        <row r="9500">
          <cell r="W9500" t="str">
            <v>QPLEN02</v>
          </cell>
          <cell r="AD9500">
            <v>50000</v>
          </cell>
        </row>
        <row r="9501">
          <cell r="W9501" t="str">
            <v>QPLEN02</v>
          </cell>
          <cell r="AD9501">
            <v>50000</v>
          </cell>
        </row>
        <row r="9502">
          <cell r="W9502" t="str">
            <v>QPLEN02</v>
          </cell>
          <cell r="AD9502">
            <v>50000</v>
          </cell>
        </row>
        <row r="9503">
          <cell r="W9503" t="str">
            <v>QPLEN02</v>
          </cell>
          <cell r="AD9503">
            <v>50000</v>
          </cell>
        </row>
        <row r="9504">
          <cell r="W9504" t="str">
            <v>QPLEN02</v>
          </cell>
          <cell r="AD9504">
            <v>50000</v>
          </cell>
        </row>
        <row r="9505">
          <cell r="W9505" t="str">
            <v>QPLEN02</v>
          </cell>
          <cell r="AD9505">
            <v>50000</v>
          </cell>
        </row>
        <row r="9506">
          <cell r="W9506" t="str">
            <v>QPLEN02</v>
          </cell>
          <cell r="AD9506">
            <v>50250</v>
          </cell>
        </row>
        <row r="9507">
          <cell r="W9507" t="str">
            <v>QPLEN01</v>
          </cell>
          <cell r="AD9507">
            <v>180000</v>
          </cell>
        </row>
        <row r="9508">
          <cell r="W9508" t="str">
            <v>QPLEN01</v>
          </cell>
          <cell r="AD9508">
            <v>180000</v>
          </cell>
        </row>
        <row r="9509">
          <cell r="W9509" t="str">
            <v>QPLEN01</v>
          </cell>
          <cell r="AD9509">
            <v>180500</v>
          </cell>
        </row>
        <row r="9510">
          <cell r="W9510" t="str">
            <v>QPLEN01</v>
          </cell>
          <cell r="AD9510">
            <v>180500</v>
          </cell>
        </row>
        <row r="9511">
          <cell r="W9511" t="str">
            <v>QPLEN01</v>
          </cell>
          <cell r="AD9511">
            <v>180500</v>
          </cell>
        </row>
        <row r="9512">
          <cell r="W9512" t="str">
            <v>QPLEN01</v>
          </cell>
          <cell r="AD9512">
            <v>180500</v>
          </cell>
        </row>
        <row r="9513">
          <cell r="W9513" t="str">
            <v>QPLEN01</v>
          </cell>
          <cell r="AD9513">
            <v>181000</v>
          </cell>
        </row>
        <row r="9514">
          <cell r="W9514" t="str">
            <v>QPLEN01</v>
          </cell>
          <cell r="AD9514">
            <v>181000</v>
          </cell>
        </row>
        <row r="9515">
          <cell r="W9515" t="str">
            <v>QPLEN01</v>
          </cell>
          <cell r="AD9515">
            <v>182500</v>
          </cell>
        </row>
        <row r="9516">
          <cell r="W9516" t="str">
            <v>QPLEN01</v>
          </cell>
          <cell r="AD9516">
            <v>183000</v>
          </cell>
        </row>
        <row r="9517">
          <cell r="W9517" t="str">
            <v>QPLEN01</v>
          </cell>
          <cell r="AD9517">
            <v>183000</v>
          </cell>
        </row>
        <row r="9518">
          <cell r="W9518" t="str">
            <v>QPLEN01</v>
          </cell>
          <cell r="AD9518">
            <v>183000</v>
          </cell>
        </row>
        <row r="9519">
          <cell r="W9519" t="str">
            <v>QPLEN01</v>
          </cell>
          <cell r="AD9519">
            <v>183000</v>
          </cell>
        </row>
        <row r="9520">
          <cell r="W9520" t="str">
            <v>QPLEN01</v>
          </cell>
          <cell r="AD9520">
            <v>183000</v>
          </cell>
        </row>
        <row r="9521">
          <cell r="W9521" t="str">
            <v>QPLEN01</v>
          </cell>
          <cell r="AD9521">
            <v>183000</v>
          </cell>
        </row>
        <row r="9522">
          <cell r="W9522" t="str">
            <v>QPLEN01</v>
          </cell>
          <cell r="AD9522">
            <v>183000</v>
          </cell>
        </row>
        <row r="9523">
          <cell r="W9523" t="str">
            <v>QPLEN01</v>
          </cell>
          <cell r="AD9523">
            <v>183000</v>
          </cell>
        </row>
        <row r="9524">
          <cell r="W9524" t="str">
            <v>QPLEN01</v>
          </cell>
          <cell r="AD9524">
            <v>183000</v>
          </cell>
        </row>
        <row r="9525">
          <cell r="W9525" t="str">
            <v>QPOIN03</v>
          </cell>
          <cell r="AD9525">
            <v>840000</v>
          </cell>
        </row>
        <row r="9526">
          <cell r="W9526" t="str">
            <v>QPOIN03</v>
          </cell>
          <cell r="AD9526">
            <v>840000</v>
          </cell>
        </row>
        <row r="9527">
          <cell r="W9527" t="str">
            <v>QPOIN03</v>
          </cell>
          <cell r="AD9527">
            <v>860000</v>
          </cell>
        </row>
        <row r="9528">
          <cell r="W9528" t="str">
            <v>QPOIN03</v>
          </cell>
          <cell r="AD9528">
            <v>860000</v>
          </cell>
        </row>
        <row r="9529">
          <cell r="W9529" t="str">
            <v>QPOIN03</v>
          </cell>
          <cell r="AD9529">
            <v>860000</v>
          </cell>
        </row>
        <row r="9530">
          <cell r="W9530" t="str">
            <v>QPOIN03</v>
          </cell>
          <cell r="AD9530">
            <v>860000</v>
          </cell>
        </row>
        <row r="9531">
          <cell r="W9531" t="str">
            <v>QPOIN01</v>
          </cell>
          <cell r="AD9531">
            <v>43000</v>
          </cell>
        </row>
        <row r="9532">
          <cell r="W9532" t="str">
            <v>QPOIN01</v>
          </cell>
          <cell r="AD9532">
            <v>43000</v>
          </cell>
        </row>
        <row r="9533">
          <cell r="W9533" t="str">
            <v>QPOIN01</v>
          </cell>
          <cell r="AD9533">
            <v>43000</v>
          </cell>
        </row>
        <row r="9534">
          <cell r="W9534" t="str">
            <v>QPOIN01</v>
          </cell>
          <cell r="AD9534">
            <v>43500</v>
          </cell>
        </row>
        <row r="9535">
          <cell r="W9535" t="str">
            <v>QPOIN01</v>
          </cell>
          <cell r="AD9535">
            <v>44000</v>
          </cell>
        </row>
        <row r="9536">
          <cell r="W9536" t="str">
            <v>QPOIN01</v>
          </cell>
          <cell r="AD9536">
            <v>44000</v>
          </cell>
        </row>
        <row r="9537">
          <cell r="W9537" t="str">
            <v>QPOIN01</v>
          </cell>
          <cell r="AD9537">
            <v>44000</v>
          </cell>
        </row>
        <row r="9538">
          <cell r="W9538" t="str">
            <v>QPOIN01</v>
          </cell>
          <cell r="AD9538">
            <v>44000</v>
          </cell>
        </row>
        <row r="9539">
          <cell r="W9539" t="str">
            <v>QPOIN01</v>
          </cell>
          <cell r="AD9539">
            <v>44500</v>
          </cell>
        </row>
        <row r="9540">
          <cell r="W9540" t="str">
            <v>QPOIN01</v>
          </cell>
          <cell r="AD9540">
            <v>44500</v>
          </cell>
        </row>
        <row r="9541">
          <cell r="W9541" t="str">
            <v>QPOIN01</v>
          </cell>
          <cell r="AD9541">
            <v>44500</v>
          </cell>
        </row>
        <row r="9542">
          <cell r="W9542" t="str">
            <v>QPOIN01</v>
          </cell>
          <cell r="AD9542">
            <v>45000</v>
          </cell>
        </row>
        <row r="9543">
          <cell r="W9543" t="str">
            <v>QPOIN01</v>
          </cell>
          <cell r="AD9543">
            <v>45000</v>
          </cell>
        </row>
        <row r="9544">
          <cell r="W9544" t="str">
            <v>QPOIN01</v>
          </cell>
          <cell r="AD9544">
            <v>45000</v>
          </cell>
        </row>
        <row r="9545">
          <cell r="W9545" t="str">
            <v>QPOIN01</v>
          </cell>
          <cell r="AD9545">
            <v>45000</v>
          </cell>
        </row>
        <row r="9546">
          <cell r="W9546" t="str">
            <v>QPOIN01</v>
          </cell>
          <cell r="AD9546">
            <v>45000</v>
          </cell>
        </row>
        <row r="9547">
          <cell r="W9547" t="str">
            <v>QPOIN01</v>
          </cell>
          <cell r="AD9547">
            <v>45000</v>
          </cell>
        </row>
        <row r="9548">
          <cell r="W9548" t="str">
            <v>QPOIN01</v>
          </cell>
          <cell r="AD9548">
            <v>45000</v>
          </cell>
        </row>
        <row r="9549">
          <cell r="W9549" t="str">
            <v>QPOIN01</v>
          </cell>
          <cell r="AD9549">
            <v>45000</v>
          </cell>
        </row>
        <row r="9550">
          <cell r="W9550" t="str">
            <v>QPOIN01</v>
          </cell>
          <cell r="AD9550">
            <v>45000</v>
          </cell>
        </row>
        <row r="9551">
          <cell r="W9551" t="str">
            <v>QPOIN01</v>
          </cell>
          <cell r="AD9551">
            <v>45000</v>
          </cell>
        </row>
        <row r="9552">
          <cell r="W9552" t="str">
            <v>QPOIN01</v>
          </cell>
          <cell r="AD9552">
            <v>45000</v>
          </cell>
        </row>
        <row r="9553">
          <cell r="W9553" t="str">
            <v>QPOIN01</v>
          </cell>
          <cell r="AD9553">
            <v>45000</v>
          </cell>
        </row>
        <row r="9554">
          <cell r="W9554" t="str">
            <v>QPOIN01</v>
          </cell>
          <cell r="AD9554">
            <v>45000</v>
          </cell>
        </row>
        <row r="9555">
          <cell r="W9555" t="str">
            <v>QPOIN01</v>
          </cell>
          <cell r="AD9555">
            <v>45000</v>
          </cell>
        </row>
        <row r="9556">
          <cell r="W9556" t="str">
            <v>QPOIN02</v>
          </cell>
          <cell r="AD9556">
            <v>217500</v>
          </cell>
        </row>
        <row r="9557">
          <cell r="W9557" t="str">
            <v>QPOIN02</v>
          </cell>
          <cell r="AD9557">
            <v>217500</v>
          </cell>
        </row>
        <row r="9558">
          <cell r="W9558" t="str">
            <v>QPOIN02</v>
          </cell>
          <cell r="AD9558">
            <v>220000</v>
          </cell>
        </row>
        <row r="9559">
          <cell r="W9559" t="str">
            <v>QPOLY16</v>
          </cell>
          <cell r="AD9559">
            <v>17272.73</v>
          </cell>
        </row>
        <row r="9560">
          <cell r="W9560" t="str">
            <v>QPOLY17</v>
          </cell>
          <cell r="AD9560">
            <v>17272.732</v>
          </cell>
        </row>
        <row r="9561">
          <cell r="W9561" t="str">
            <v>QPOLY11</v>
          </cell>
          <cell r="AD9561">
            <v>17272.7288888</v>
          </cell>
        </row>
        <row r="9562">
          <cell r="W9562" t="str">
            <v>QPOUN01</v>
          </cell>
          <cell r="AD9562">
            <v>27000</v>
          </cell>
        </row>
        <row r="9563">
          <cell r="W9563" t="str">
            <v>QPOUN01</v>
          </cell>
          <cell r="AD9563">
            <v>27500</v>
          </cell>
        </row>
        <row r="9564">
          <cell r="W9564" t="str">
            <v>QPOUN01</v>
          </cell>
          <cell r="AD9564">
            <v>28000</v>
          </cell>
        </row>
        <row r="9565">
          <cell r="W9565" t="str">
            <v>QPOUN01</v>
          </cell>
          <cell r="AD9565">
            <v>28000</v>
          </cell>
        </row>
        <row r="9566">
          <cell r="W9566" t="str">
            <v>QPOUN01</v>
          </cell>
          <cell r="AD9566">
            <v>28000</v>
          </cell>
        </row>
        <row r="9567">
          <cell r="W9567" t="str">
            <v>QPOUN01</v>
          </cell>
          <cell r="AD9567">
            <v>28000</v>
          </cell>
        </row>
        <row r="9568">
          <cell r="W9568" t="str">
            <v>QPOUN01</v>
          </cell>
          <cell r="AD9568">
            <v>28500</v>
          </cell>
        </row>
        <row r="9569">
          <cell r="W9569" t="str">
            <v>QPOUN01</v>
          </cell>
          <cell r="AD9569">
            <v>28500</v>
          </cell>
        </row>
        <row r="9570">
          <cell r="W9570" t="str">
            <v>APOWE01</v>
          </cell>
          <cell r="AD9570">
            <v>15000</v>
          </cell>
        </row>
        <row r="9571">
          <cell r="W9571" t="str">
            <v>APOWE01</v>
          </cell>
          <cell r="AD9571">
            <v>15000</v>
          </cell>
        </row>
        <row r="9572">
          <cell r="W9572" t="str">
            <v>QPREV01</v>
          </cell>
          <cell r="AD9572">
            <v>113500</v>
          </cell>
        </row>
        <row r="9573">
          <cell r="W9573" t="str">
            <v>QPREV01</v>
          </cell>
          <cell r="AD9573">
            <v>115000</v>
          </cell>
        </row>
        <row r="9574">
          <cell r="W9574" t="str">
            <v>QPREV01</v>
          </cell>
          <cell r="AD9574">
            <v>115000</v>
          </cell>
        </row>
        <row r="9575">
          <cell r="W9575" t="str">
            <v>QPREV01</v>
          </cell>
          <cell r="AD9575">
            <v>115000</v>
          </cell>
        </row>
        <row r="9576">
          <cell r="W9576" t="str">
            <v>QPREV01</v>
          </cell>
          <cell r="AD9576">
            <v>115000</v>
          </cell>
        </row>
        <row r="9577">
          <cell r="W9577" t="str">
            <v>QPREV01</v>
          </cell>
          <cell r="AD9577">
            <v>116000</v>
          </cell>
        </row>
        <row r="9578">
          <cell r="W9578" t="str">
            <v>QPREV01</v>
          </cell>
          <cell r="AD9578">
            <v>116000</v>
          </cell>
        </row>
        <row r="9579">
          <cell r="W9579" t="str">
            <v>QPREV01</v>
          </cell>
          <cell r="AD9579">
            <v>116000</v>
          </cell>
        </row>
        <row r="9580">
          <cell r="W9580" t="str">
            <v>QPREV01</v>
          </cell>
          <cell r="AD9580">
            <v>116000</v>
          </cell>
        </row>
        <row r="9581">
          <cell r="W9581" t="str">
            <v>QPREV01</v>
          </cell>
          <cell r="AD9581">
            <v>116000</v>
          </cell>
        </row>
        <row r="9582">
          <cell r="W9582" t="str">
            <v>QPREV01</v>
          </cell>
          <cell r="AD9582">
            <v>116000</v>
          </cell>
        </row>
        <row r="9583">
          <cell r="W9583" t="str">
            <v>QPREV01</v>
          </cell>
          <cell r="AD9583">
            <v>116000</v>
          </cell>
        </row>
        <row r="9584">
          <cell r="W9584" t="str">
            <v>QPREV01</v>
          </cell>
          <cell r="AD9584">
            <v>116000</v>
          </cell>
        </row>
        <row r="9585">
          <cell r="W9585" t="str">
            <v>QPREV01</v>
          </cell>
          <cell r="AD9585">
            <v>116000</v>
          </cell>
        </row>
        <row r="9586">
          <cell r="W9586" t="str">
            <v>QPREV01</v>
          </cell>
          <cell r="AD9586">
            <v>116000</v>
          </cell>
        </row>
        <row r="9587">
          <cell r="W9587" t="str">
            <v>QPREV01</v>
          </cell>
          <cell r="AD9587">
            <v>116000</v>
          </cell>
        </row>
        <row r="9588">
          <cell r="W9588" t="str">
            <v>QPREV01</v>
          </cell>
          <cell r="AD9588">
            <v>116000</v>
          </cell>
        </row>
        <row r="9589">
          <cell r="W9589" t="str">
            <v>QPREV01</v>
          </cell>
          <cell r="AD9589">
            <v>116000</v>
          </cell>
        </row>
        <row r="9590">
          <cell r="W9590" t="str">
            <v>QPREV01</v>
          </cell>
          <cell r="AD9590">
            <v>116000</v>
          </cell>
        </row>
        <row r="9591">
          <cell r="W9591" t="str">
            <v>QPREV01</v>
          </cell>
          <cell r="AD9591">
            <v>116000</v>
          </cell>
        </row>
        <row r="9592">
          <cell r="W9592" t="str">
            <v>QPREV01</v>
          </cell>
          <cell r="AD9592">
            <v>116000</v>
          </cell>
        </row>
        <row r="9593">
          <cell r="W9593" t="str">
            <v>QPREV01</v>
          </cell>
          <cell r="AD9593">
            <v>116000</v>
          </cell>
        </row>
        <row r="9594">
          <cell r="W9594" t="str">
            <v>QPREV01</v>
          </cell>
          <cell r="AD9594">
            <v>116000</v>
          </cell>
        </row>
        <row r="9595">
          <cell r="W9595" t="str">
            <v>QPREV01</v>
          </cell>
          <cell r="AD9595">
            <v>116000</v>
          </cell>
        </row>
        <row r="9596">
          <cell r="W9596" t="str">
            <v>QPREV01</v>
          </cell>
          <cell r="AD9596">
            <v>116000</v>
          </cell>
        </row>
        <row r="9597">
          <cell r="W9597" t="str">
            <v>QPREV01</v>
          </cell>
          <cell r="AD9597">
            <v>116000</v>
          </cell>
        </row>
        <row r="9598">
          <cell r="W9598" t="str">
            <v>QPREV01</v>
          </cell>
          <cell r="AD9598">
            <v>116000</v>
          </cell>
        </row>
        <row r="9599">
          <cell r="W9599" t="str">
            <v>QPREV01</v>
          </cell>
          <cell r="AD9599">
            <v>116000</v>
          </cell>
        </row>
        <row r="9600">
          <cell r="W9600" t="str">
            <v>QPREV01</v>
          </cell>
          <cell r="AD9600">
            <v>116000</v>
          </cell>
        </row>
        <row r="9601">
          <cell r="W9601" t="str">
            <v>QPREV01</v>
          </cell>
          <cell r="AD9601">
            <v>116000</v>
          </cell>
        </row>
        <row r="9602">
          <cell r="W9602" t="str">
            <v>QPREV01</v>
          </cell>
          <cell r="AD9602">
            <v>116000</v>
          </cell>
        </row>
        <row r="9603">
          <cell r="W9603" t="str">
            <v>QPREV01</v>
          </cell>
          <cell r="AD9603">
            <v>116000</v>
          </cell>
        </row>
        <row r="9604">
          <cell r="W9604" t="str">
            <v>QPREV01</v>
          </cell>
          <cell r="AD9604">
            <v>116000</v>
          </cell>
        </row>
        <row r="9605">
          <cell r="W9605" t="str">
            <v>QPREV01</v>
          </cell>
          <cell r="AD9605">
            <v>116000</v>
          </cell>
        </row>
        <row r="9606">
          <cell r="W9606" t="str">
            <v>QPREV01</v>
          </cell>
          <cell r="AD9606">
            <v>116000</v>
          </cell>
        </row>
        <row r="9607">
          <cell r="W9607" t="str">
            <v>QPREV01</v>
          </cell>
          <cell r="AD9607">
            <v>116000</v>
          </cell>
        </row>
        <row r="9608">
          <cell r="W9608" t="str">
            <v>QPREV01</v>
          </cell>
          <cell r="AD9608">
            <v>116000</v>
          </cell>
        </row>
        <row r="9609">
          <cell r="W9609" t="str">
            <v>QPREV01</v>
          </cell>
          <cell r="AD9609">
            <v>116000</v>
          </cell>
        </row>
        <row r="9610">
          <cell r="W9610" t="str">
            <v>QPREV01</v>
          </cell>
          <cell r="AD9610">
            <v>116000</v>
          </cell>
        </row>
        <row r="9611">
          <cell r="W9611" t="str">
            <v>QPREV01</v>
          </cell>
          <cell r="AD9611">
            <v>116000</v>
          </cell>
        </row>
        <row r="9612">
          <cell r="W9612" t="str">
            <v>QPREV01</v>
          </cell>
          <cell r="AD9612">
            <v>116000</v>
          </cell>
        </row>
        <row r="9613">
          <cell r="W9613" t="str">
            <v>QPREV01</v>
          </cell>
          <cell r="AD9613">
            <v>116000</v>
          </cell>
        </row>
        <row r="9614">
          <cell r="W9614" t="str">
            <v>QPREV01</v>
          </cell>
          <cell r="AD9614">
            <v>116000</v>
          </cell>
        </row>
        <row r="9615">
          <cell r="W9615" t="str">
            <v>QPREV01</v>
          </cell>
          <cell r="AD9615">
            <v>116000</v>
          </cell>
        </row>
        <row r="9616">
          <cell r="W9616" t="str">
            <v>QPREV01</v>
          </cell>
          <cell r="AD9616">
            <v>116000</v>
          </cell>
        </row>
        <row r="9617">
          <cell r="W9617" t="str">
            <v>QPREV01</v>
          </cell>
          <cell r="AD9617">
            <v>116000</v>
          </cell>
        </row>
        <row r="9618">
          <cell r="W9618" t="str">
            <v>QPREV01</v>
          </cell>
          <cell r="AD9618">
            <v>116000</v>
          </cell>
        </row>
        <row r="9619">
          <cell r="W9619" t="str">
            <v>QPREV01</v>
          </cell>
          <cell r="AD9619">
            <v>116000</v>
          </cell>
        </row>
        <row r="9620">
          <cell r="W9620" t="str">
            <v>QPREV01</v>
          </cell>
          <cell r="AD9620">
            <v>116000</v>
          </cell>
        </row>
        <row r="9621">
          <cell r="W9621" t="str">
            <v>QPREV01</v>
          </cell>
          <cell r="AD9621">
            <v>116000</v>
          </cell>
        </row>
        <row r="9622">
          <cell r="W9622" t="str">
            <v>QPREV01</v>
          </cell>
          <cell r="AD9622">
            <v>116500</v>
          </cell>
        </row>
        <row r="9623">
          <cell r="W9623" t="str">
            <v>QPREV01</v>
          </cell>
          <cell r="AD9623">
            <v>116500</v>
          </cell>
        </row>
        <row r="9624">
          <cell r="W9624" t="str">
            <v>QPREV01</v>
          </cell>
          <cell r="AD9624">
            <v>116500</v>
          </cell>
        </row>
        <row r="9625">
          <cell r="W9625" t="str">
            <v>QPREV01</v>
          </cell>
          <cell r="AD9625">
            <v>116500</v>
          </cell>
        </row>
        <row r="9626">
          <cell r="W9626" t="str">
            <v>QPREV01</v>
          </cell>
          <cell r="AD9626">
            <v>116500</v>
          </cell>
        </row>
        <row r="9627">
          <cell r="W9627" t="str">
            <v>QPREV01</v>
          </cell>
          <cell r="AD9627">
            <v>116500</v>
          </cell>
        </row>
        <row r="9628">
          <cell r="W9628" t="str">
            <v>QPREV01</v>
          </cell>
          <cell r="AD9628">
            <v>117000</v>
          </cell>
        </row>
        <row r="9629">
          <cell r="W9629" t="str">
            <v>QPREV01</v>
          </cell>
          <cell r="AD9629">
            <v>117000</v>
          </cell>
        </row>
        <row r="9630">
          <cell r="W9630" t="str">
            <v>QPREV01</v>
          </cell>
          <cell r="AD9630">
            <v>117000</v>
          </cell>
        </row>
        <row r="9631">
          <cell r="W9631" t="str">
            <v>QPREV01</v>
          </cell>
          <cell r="AD9631">
            <v>117000</v>
          </cell>
        </row>
        <row r="9632">
          <cell r="W9632" t="str">
            <v>QPREV01</v>
          </cell>
          <cell r="AD9632">
            <v>117000</v>
          </cell>
        </row>
        <row r="9633">
          <cell r="W9633" t="str">
            <v>QPREV01</v>
          </cell>
          <cell r="AD9633">
            <v>117000</v>
          </cell>
        </row>
        <row r="9634">
          <cell r="W9634" t="str">
            <v>QPREV01</v>
          </cell>
          <cell r="AD9634">
            <v>117000</v>
          </cell>
        </row>
        <row r="9635">
          <cell r="W9635" t="str">
            <v>QPREV01</v>
          </cell>
          <cell r="AD9635">
            <v>117000</v>
          </cell>
        </row>
        <row r="9636">
          <cell r="W9636" t="str">
            <v>QPREV01</v>
          </cell>
          <cell r="AD9636">
            <v>117000</v>
          </cell>
        </row>
        <row r="9637">
          <cell r="W9637" t="str">
            <v>QPREV01</v>
          </cell>
          <cell r="AD9637">
            <v>117000</v>
          </cell>
        </row>
        <row r="9638">
          <cell r="W9638" t="str">
            <v>QPREV01</v>
          </cell>
          <cell r="AD9638">
            <v>117000</v>
          </cell>
        </row>
        <row r="9639">
          <cell r="W9639" t="str">
            <v>QPREV01</v>
          </cell>
          <cell r="AD9639">
            <v>117000</v>
          </cell>
        </row>
        <row r="9640">
          <cell r="W9640" t="str">
            <v>QPREV01</v>
          </cell>
          <cell r="AD9640">
            <v>117000</v>
          </cell>
        </row>
        <row r="9641">
          <cell r="W9641" t="str">
            <v>QPREV01</v>
          </cell>
          <cell r="AD9641">
            <v>117000</v>
          </cell>
        </row>
        <row r="9642">
          <cell r="W9642" t="str">
            <v>QPREV01</v>
          </cell>
          <cell r="AD9642">
            <v>117000</v>
          </cell>
        </row>
        <row r="9643">
          <cell r="W9643" t="str">
            <v>QPREV01</v>
          </cell>
          <cell r="AD9643">
            <v>117000</v>
          </cell>
        </row>
        <row r="9644">
          <cell r="W9644" t="str">
            <v>QPREV01</v>
          </cell>
          <cell r="AD9644">
            <v>117000</v>
          </cell>
        </row>
        <row r="9645">
          <cell r="W9645" t="str">
            <v>QPREV01</v>
          </cell>
          <cell r="AD9645">
            <v>117000</v>
          </cell>
        </row>
        <row r="9646">
          <cell r="W9646" t="str">
            <v>QPREV01</v>
          </cell>
          <cell r="AD9646">
            <v>117000</v>
          </cell>
        </row>
        <row r="9647">
          <cell r="W9647" t="str">
            <v>QPREV01</v>
          </cell>
          <cell r="AD9647">
            <v>117000</v>
          </cell>
        </row>
        <row r="9648">
          <cell r="W9648" t="str">
            <v>QPREV01</v>
          </cell>
          <cell r="AD9648">
            <v>117000</v>
          </cell>
        </row>
        <row r="9649">
          <cell r="W9649" t="str">
            <v>QPREV01</v>
          </cell>
          <cell r="AD9649">
            <v>117500</v>
          </cell>
        </row>
        <row r="9650">
          <cell r="W9650" t="str">
            <v>QPREV01</v>
          </cell>
          <cell r="AD9650">
            <v>117500</v>
          </cell>
        </row>
        <row r="9651">
          <cell r="W9651" t="str">
            <v>QPREV01</v>
          </cell>
          <cell r="AD9651">
            <v>117500</v>
          </cell>
        </row>
        <row r="9652">
          <cell r="W9652" t="str">
            <v>QPREV01</v>
          </cell>
          <cell r="AD9652">
            <v>117500</v>
          </cell>
        </row>
        <row r="9653">
          <cell r="W9653" t="str">
            <v>QPREV01</v>
          </cell>
          <cell r="AD9653">
            <v>117500</v>
          </cell>
        </row>
        <row r="9654">
          <cell r="W9654" t="str">
            <v>QPREV01</v>
          </cell>
          <cell r="AD9654">
            <v>117500</v>
          </cell>
        </row>
        <row r="9655">
          <cell r="W9655" t="str">
            <v>QPREV01</v>
          </cell>
          <cell r="AD9655">
            <v>117500</v>
          </cell>
        </row>
        <row r="9656">
          <cell r="W9656" t="str">
            <v>QPREV01</v>
          </cell>
          <cell r="AD9656">
            <v>118000</v>
          </cell>
        </row>
        <row r="9657">
          <cell r="W9657" t="str">
            <v>QPREV01</v>
          </cell>
          <cell r="AD9657">
            <v>118000</v>
          </cell>
        </row>
        <row r="9658">
          <cell r="W9658" t="str">
            <v>QPREV01</v>
          </cell>
          <cell r="AD9658">
            <v>118000</v>
          </cell>
        </row>
        <row r="9659">
          <cell r="W9659" t="str">
            <v>QPREV01</v>
          </cell>
          <cell r="AD9659">
            <v>118000</v>
          </cell>
        </row>
        <row r="9660">
          <cell r="W9660" t="str">
            <v>QPREV01</v>
          </cell>
          <cell r="AD9660">
            <v>118000</v>
          </cell>
        </row>
        <row r="9661">
          <cell r="W9661" t="str">
            <v>QPREV01</v>
          </cell>
          <cell r="AD9661">
            <v>118000</v>
          </cell>
        </row>
        <row r="9662">
          <cell r="W9662" t="str">
            <v>QPREV01</v>
          </cell>
          <cell r="AD9662">
            <v>118000</v>
          </cell>
        </row>
        <row r="9663">
          <cell r="W9663" t="str">
            <v>QPREV01</v>
          </cell>
          <cell r="AD9663">
            <v>118000</v>
          </cell>
        </row>
        <row r="9664">
          <cell r="W9664" t="str">
            <v>QPREV01</v>
          </cell>
          <cell r="AD9664">
            <v>118000</v>
          </cell>
        </row>
        <row r="9665">
          <cell r="W9665" t="str">
            <v>QPREV01</v>
          </cell>
          <cell r="AD9665">
            <v>118000</v>
          </cell>
        </row>
        <row r="9666">
          <cell r="W9666" t="str">
            <v>QPREV01</v>
          </cell>
          <cell r="AD9666">
            <v>118000</v>
          </cell>
        </row>
        <row r="9667">
          <cell r="W9667" t="str">
            <v>QPREV01</v>
          </cell>
          <cell r="AD9667">
            <v>118000</v>
          </cell>
        </row>
        <row r="9668">
          <cell r="W9668" t="str">
            <v>QPREV01</v>
          </cell>
          <cell r="AD9668">
            <v>118000</v>
          </cell>
        </row>
        <row r="9669">
          <cell r="W9669" t="str">
            <v>QPREV01</v>
          </cell>
          <cell r="AD9669">
            <v>118000</v>
          </cell>
        </row>
        <row r="9670">
          <cell r="W9670" t="str">
            <v>QPREV01</v>
          </cell>
          <cell r="AD9670">
            <v>118000</v>
          </cell>
        </row>
        <row r="9671">
          <cell r="W9671" t="str">
            <v>QPREV01</v>
          </cell>
          <cell r="AD9671">
            <v>118000</v>
          </cell>
        </row>
        <row r="9672">
          <cell r="W9672" t="str">
            <v>QPREV01</v>
          </cell>
          <cell r="AD9672">
            <v>118000</v>
          </cell>
        </row>
        <row r="9673">
          <cell r="W9673" t="str">
            <v>QPREV01</v>
          </cell>
          <cell r="AD9673">
            <v>118000</v>
          </cell>
        </row>
        <row r="9674">
          <cell r="W9674" t="str">
            <v>QPREV01</v>
          </cell>
          <cell r="AD9674">
            <v>118000</v>
          </cell>
        </row>
        <row r="9675">
          <cell r="W9675" t="str">
            <v>QPREV01</v>
          </cell>
          <cell r="AD9675">
            <v>118000</v>
          </cell>
        </row>
        <row r="9676">
          <cell r="W9676" t="str">
            <v>QPREV01</v>
          </cell>
          <cell r="AD9676">
            <v>118000</v>
          </cell>
        </row>
        <row r="9677">
          <cell r="W9677" t="str">
            <v>QPREV01</v>
          </cell>
          <cell r="AD9677">
            <v>118000</v>
          </cell>
        </row>
        <row r="9678">
          <cell r="W9678" t="str">
            <v>QPREV01</v>
          </cell>
          <cell r="AD9678">
            <v>118000</v>
          </cell>
        </row>
        <row r="9679">
          <cell r="W9679" t="str">
            <v>QPREV01</v>
          </cell>
          <cell r="AD9679">
            <v>118000</v>
          </cell>
        </row>
        <row r="9680">
          <cell r="W9680" t="str">
            <v>QPREV01</v>
          </cell>
          <cell r="AD9680">
            <v>118000</v>
          </cell>
        </row>
        <row r="9681">
          <cell r="W9681" t="str">
            <v>QPREV01</v>
          </cell>
          <cell r="AD9681">
            <v>118000</v>
          </cell>
        </row>
        <row r="9682">
          <cell r="W9682" t="str">
            <v>QPREV01</v>
          </cell>
          <cell r="AD9682">
            <v>118000</v>
          </cell>
        </row>
        <row r="9683">
          <cell r="W9683" t="str">
            <v>QPREV01</v>
          </cell>
          <cell r="AD9683">
            <v>118000</v>
          </cell>
        </row>
        <row r="9684">
          <cell r="W9684" t="str">
            <v>QPREV01</v>
          </cell>
          <cell r="AD9684">
            <v>118000</v>
          </cell>
        </row>
        <row r="9685">
          <cell r="W9685" t="str">
            <v>QPREV01</v>
          </cell>
          <cell r="AD9685">
            <v>118000</v>
          </cell>
        </row>
        <row r="9686">
          <cell r="W9686" t="str">
            <v>QPREV01</v>
          </cell>
          <cell r="AD9686">
            <v>118000</v>
          </cell>
        </row>
        <row r="9687">
          <cell r="W9687" t="str">
            <v>QPREV01</v>
          </cell>
          <cell r="AD9687">
            <v>118000</v>
          </cell>
        </row>
        <row r="9688">
          <cell r="W9688" t="str">
            <v>QPREV01</v>
          </cell>
          <cell r="AD9688">
            <v>118000</v>
          </cell>
        </row>
        <row r="9689">
          <cell r="W9689" t="str">
            <v>QPREV01</v>
          </cell>
          <cell r="AD9689">
            <v>118000</v>
          </cell>
        </row>
        <row r="9690">
          <cell r="W9690" t="str">
            <v>QPREV01</v>
          </cell>
          <cell r="AD9690">
            <v>118000</v>
          </cell>
        </row>
        <row r="9691">
          <cell r="W9691" t="str">
            <v>QPREV01</v>
          </cell>
          <cell r="AD9691">
            <v>118000</v>
          </cell>
        </row>
        <row r="9692">
          <cell r="W9692" t="str">
            <v>QPREV01</v>
          </cell>
          <cell r="AD9692">
            <v>118000</v>
          </cell>
        </row>
        <row r="9693">
          <cell r="W9693" t="str">
            <v>QPREV01</v>
          </cell>
          <cell r="AD9693">
            <v>118000</v>
          </cell>
        </row>
        <row r="9694">
          <cell r="W9694" t="str">
            <v>QPREV01</v>
          </cell>
          <cell r="AD9694">
            <v>118000</v>
          </cell>
        </row>
        <row r="9695">
          <cell r="W9695" t="str">
            <v>QPREV01</v>
          </cell>
          <cell r="AD9695">
            <v>118000</v>
          </cell>
        </row>
        <row r="9696">
          <cell r="W9696" t="str">
            <v>QPREV01</v>
          </cell>
          <cell r="AD9696">
            <v>118000</v>
          </cell>
        </row>
        <row r="9697">
          <cell r="W9697" t="str">
            <v>QPREV01</v>
          </cell>
          <cell r="AD9697">
            <v>118000</v>
          </cell>
        </row>
        <row r="9698">
          <cell r="W9698" t="str">
            <v>QPREV01</v>
          </cell>
          <cell r="AD9698">
            <v>118000</v>
          </cell>
        </row>
        <row r="9699">
          <cell r="W9699" t="str">
            <v>QPREV01</v>
          </cell>
          <cell r="AD9699">
            <v>118000</v>
          </cell>
        </row>
        <row r="9700">
          <cell r="W9700" t="str">
            <v>QPREV01</v>
          </cell>
          <cell r="AD9700">
            <v>118000</v>
          </cell>
        </row>
        <row r="9701">
          <cell r="W9701" t="str">
            <v>QPREV01</v>
          </cell>
          <cell r="AD9701">
            <v>118000</v>
          </cell>
        </row>
        <row r="9702">
          <cell r="W9702" t="str">
            <v>QPREV01</v>
          </cell>
          <cell r="AD9702">
            <v>118500</v>
          </cell>
        </row>
        <row r="9703">
          <cell r="W9703" t="str">
            <v>QPREV01</v>
          </cell>
          <cell r="AD9703">
            <v>119000</v>
          </cell>
        </row>
        <row r="9704">
          <cell r="W9704" t="str">
            <v>QPREV01</v>
          </cell>
          <cell r="AD9704">
            <v>119000</v>
          </cell>
        </row>
        <row r="9705">
          <cell r="W9705" t="str">
            <v>QPREV01</v>
          </cell>
          <cell r="AD9705">
            <v>119000</v>
          </cell>
        </row>
        <row r="9706">
          <cell r="W9706" t="str">
            <v>QPREV01</v>
          </cell>
          <cell r="AD9706">
            <v>120000</v>
          </cell>
        </row>
        <row r="9707">
          <cell r="W9707" t="str">
            <v>QPREV01</v>
          </cell>
          <cell r="AD9707">
            <v>120000</v>
          </cell>
        </row>
        <row r="9708">
          <cell r="W9708" t="str">
            <v>QPREV01</v>
          </cell>
          <cell r="AD9708">
            <v>120000</v>
          </cell>
        </row>
        <row r="9709">
          <cell r="W9709" t="str">
            <v>QPREV01</v>
          </cell>
          <cell r="AD9709">
            <v>120000</v>
          </cell>
        </row>
        <row r="9710">
          <cell r="W9710" t="str">
            <v>QPREV01</v>
          </cell>
          <cell r="AD9710">
            <v>120000</v>
          </cell>
        </row>
        <row r="9711">
          <cell r="W9711" t="str">
            <v>QPREV01</v>
          </cell>
          <cell r="AD9711">
            <v>120000</v>
          </cell>
        </row>
        <row r="9712">
          <cell r="W9712" t="str">
            <v>QPREV01</v>
          </cell>
          <cell r="AD9712">
            <v>120000</v>
          </cell>
        </row>
        <row r="9713">
          <cell r="W9713" t="str">
            <v>QPREV02</v>
          </cell>
          <cell r="AD9713">
            <v>58750</v>
          </cell>
        </row>
        <row r="9714">
          <cell r="W9714" t="str">
            <v>QPREV02</v>
          </cell>
          <cell r="AD9714">
            <v>59000</v>
          </cell>
        </row>
        <row r="9715">
          <cell r="W9715" t="str">
            <v>QPREV02</v>
          </cell>
          <cell r="AD9715">
            <v>59000</v>
          </cell>
        </row>
        <row r="9716">
          <cell r="W9716" t="str">
            <v>QPREV02</v>
          </cell>
          <cell r="AD9716">
            <v>59000</v>
          </cell>
        </row>
        <row r="9717">
          <cell r="W9717" t="str">
            <v>QPREV02</v>
          </cell>
          <cell r="AD9717">
            <v>59000</v>
          </cell>
        </row>
        <row r="9718">
          <cell r="W9718" t="str">
            <v>QPREV02</v>
          </cell>
          <cell r="AD9718">
            <v>59000</v>
          </cell>
        </row>
        <row r="9719">
          <cell r="W9719" t="str">
            <v>QPREV02</v>
          </cell>
          <cell r="AD9719">
            <v>59000</v>
          </cell>
        </row>
        <row r="9720">
          <cell r="W9720" t="str">
            <v>QPREV02</v>
          </cell>
          <cell r="AD9720">
            <v>59000</v>
          </cell>
        </row>
        <row r="9721">
          <cell r="W9721" t="str">
            <v>QPREV02</v>
          </cell>
          <cell r="AD9721">
            <v>59000</v>
          </cell>
        </row>
        <row r="9722">
          <cell r="W9722" t="str">
            <v>QPREV02</v>
          </cell>
          <cell r="AD9722">
            <v>59000</v>
          </cell>
        </row>
        <row r="9723">
          <cell r="W9723" t="str">
            <v>QPREV02</v>
          </cell>
          <cell r="AD9723">
            <v>59000</v>
          </cell>
        </row>
        <row r="9724">
          <cell r="W9724" t="str">
            <v>QPREV02</v>
          </cell>
          <cell r="AD9724">
            <v>59000</v>
          </cell>
        </row>
        <row r="9725">
          <cell r="W9725" t="str">
            <v>QPREV02</v>
          </cell>
          <cell r="AD9725">
            <v>59000</v>
          </cell>
        </row>
        <row r="9726">
          <cell r="W9726" t="str">
            <v>QPREV02</v>
          </cell>
          <cell r="AD9726">
            <v>59000</v>
          </cell>
        </row>
        <row r="9727">
          <cell r="W9727" t="str">
            <v>QPREV02</v>
          </cell>
          <cell r="AD9727">
            <v>59000</v>
          </cell>
        </row>
        <row r="9728">
          <cell r="W9728" t="str">
            <v>QPREV02</v>
          </cell>
          <cell r="AD9728">
            <v>59000</v>
          </cell>
        </row>
        <row r="9729">
          <cell r="W9729" t="str">
            <v>QPREV02</v>
          </cell>
          <cell r="AD9729">
            <v>59000</v>
          </cell>
        </row>
        <row r="9730">
          <cell r="W9730" t="str">
            <v>QPREV02</v>
          </cell>
          <cell r="AD9730">
            <v>59000</v>
          </cell>
        </row>
        <row r="9731">
          <cell r="W9731" t="str">
            <v>QPREV02</v>
          </cell>
          <cell r="AD9731">
            <v>59000</v>
          </cell>
        </row>
        <row r="9732">
          <cell r="W9732" t="str">
            <v>QPREV02</v>
          </cell>
          <cell r="AD9732">
            <v>59000</v>
          </cell>
        </row>
        <row r="9733">
          <cell r="W9733" t="str">
            <v>QPREV02</v>
          </cell>
          <cell r="AD9733">
            <v>59000</v>
          </cell>
        </row>
        <row r="9734">
          <cell r="W9734" t="str">
            <v>QPREV02</v>
          </cell>
          <cell r="AD9734">
            <v>59000</v>
          </cell>
        </row>
        <row r="9735">
          <cell r="W9735" t="str">
            <v>QPREV02</v>
          </cell>
          <cell r="AD9735">
            <v>59000</v>
          </cell>
        </row>
        <row r="9736">
          <cell r="W9736" t="str">
            <v>QPREV02</v>
          </cell>
          <cell r="AD9736">
            <v>59500</v>
          </cell>
        </row>
        <row r="9737">
          <cell r="W9737" t="str">
            <v>QPREV02</v>
          </cell>
          <cell r="AD9737">
            <v>59500</v>
          </cell>
        </row>
        <row r="9738">
          <cell r="W9738" t="str">
            <v>QPREV02</v>
          </cell>
          <cell r="AD9738">
            <v>60000</v>
          </cell>
        </row>
        <row r="9739">
          <cell r="W9739" t="str">
            <v>QPREV02</v>
          </cell>
          <cell r="AD9739">
            <v>60000</v>
          </cell>
        </row>
        <row r="9740">
          <cell r="W9740" t="str">
            <v>QPREV02</v>
          </cell>
          <cell r="AD9740">
            <v>60000</v>
          </cell>
        </row>
        <row r="9741">
          <cell r="W9741" t="str">
            <v>QPREV02</v>
          </cell>
          <cell r="AD9741">
            <v>60000</v>
          </cell>
        </row>
        <row r="9742">
          <cell r="W9742" t="str">
            <v>QPREV02</v>
          </cell>
          <cell r="AD9742">
            <v>60000</v>
          </cell>
        </row>
        <row r="9743">
          <cell r="W9743" t="str">
            <v>QPREV02</v>
          </cell>
          <cell r="AD9743">
            <v>60000</v>
          </cell>
        </row>
        <row r="9744">
          <cell r="W9744" t="str">
            <v>QPREV02</v>
          </cell>
          <cell r="AD9744">
            <v>60000</v>
          </cell>
        </row>
        <row r="9745">
          <cell r="W9745" t="str">
            <v>QPREV02</v>
          </cell>
          <cell r="AD9745">
            <v>60000</v>
          </cell>
        </row>
        <row r="9746">
          <cell r="W9746" t="str">
            <v>QPREV02</v>
          </cell>
          <cell r="AD9746">
            <v>60000</v>
          </cell>
        </row>
        <row r="9747">
          <cell r="W9747" t="str">
            <v>QPREV02</v>
          </cell>
          <cell r="AD9747">
            <v>60000</v>
          </cell>
        </row>
        <row r="9748">
          <cell r="W9748" t="str">
            <v>QPREV02</v>
          </cell>
          <cell r="AD9748">
            <v>60000</v>
          </cell>
        </row>
        <row r="9749">
          <cell r="W9749" t="str">
            <v>QPREV02</v>
          </cell>
          <cell r="AD9749">
            <v>60000</v>
          </cell>
        </row>
        <row r="9750">
          <cell r="W9750" t="str">
            <v>QPREV02</v>
          </cell>
          <cell r="AD9750">
            <v>60000</v>
          </cell>
        </row>
        <row r="9751">
          <cell r="W9751" t="str">
            <v>QPREV02</v>
          </cell>
          <cell r="AD9751">
            <v>60000</v>
          </cell>
        </row>
        <row r="9752">
          <cell r="W9752" t="str">
            <v>QPREV02</v>
          </cell>
          <cell r="AD9752">
            <v>60000</v>
          </cell>
        </row>
        <row r="9753">
          <cell r="W9753" t="str">
            <v>QPREV02</v>
          </cell>
          <cell r="AD9753">
            <v>60000</v>
          </cell>
        </row>
        <row r="9754">
          <cell r="W9754" t="str">
            <v>QPREV02</v>
          </cell>
          <cell r="AD9754">
            <v>60000</v>
          </cell>
        </row>
        <row r="9755">
          <cell r="W9755" t="str">
            <v>QPREV02</v>
          </cell>
          <cell r="AD9755">
            <v>60000</v>
          </cell>
        </row>
        <row r="9756">
          <cell r="W9756" t="str">
            <v>QPREV02</v>
          </cell>
          <cell r="AD9756">
            <v>60000</v>
          </cell>
        </row>
        <row r="9757">
          <cell r="W9757" t="str">
            <v>QPREV02</v>
          </cell>
          <cell r="AD9757">
            <v>60000</v>
          </cell>
        </row>
        <row r="9758">
          <cell r="W9758" t="str">
            <v>QPREV02</v>
          </cell>
          <cell r="AD9758">
            <v>60000</v>
          </cell>
        </row>
        <row r="9759">
          <cell r="W9759" t="str">
            <v>QPREV02</v>
          </cell>
          <cell r="AD9759">
            <v>60000</v>
          </cell>
        </row>
        <row r="9760">
          <cell r="W9760" t="str">
            <v>QPREV02</v>
          </cell>
          <cell r="AD9760">
            <v>60000</v>
          </cell>
        </row>
        <row r="9761">
          <cell r="W9761" t="str">
            <v>QPREV02</v>
          </cell>
          <cell r="AD9761">
            <v>60000</v>
          </cell>
        </row>
        <row r="9762">
          <cell r="W9762" t="str">
            <v>QPREV02</v>
          </cell>
          <cell r="AD9762">
            <v>60000</v>
          </cell>
        </row>
        <row r="9763">
          <cell r="W9763" t="str">
            <v>QPREV02</v>
          </cell>
          <cell r="AD9763">
            <v>60000</v>
          </cell>
        </row>
        <row r="9764">
          <cell r="W9764" t="str">
            <v>QPREV02</v>
          </cell>
          <cell r="AD9764">
            <v>60000</v>
          </cell>
        </row>
        <row r="9765">
          <cell r="W9765" t="str">
            <v>QPREV02</v>
          </cell>
          <cell r="AD9765">
            <v>60000</v>
          </cell>
        </row>
        <row r="9766">
          <cell r="W9766" t="str">
            <v>QPREV02</v>
          </cell>
          <cell r="AD9766">
            <v>60000</v>
          </cell>
        </row>
        <row r="9767">
          <cell r="W9767" t="str">
            <v>QPREV02</v>
          </cell>
          <cell r="AD9767">
            <v>60000</v>
          </cell>
        </row>
        <row r="9768">
          <cell r="W9768" t="str">
            <v>QPREV02</v>
          </cell>
          <cell r="AD9768">
            <v>60000</v>
          </cell>
        </row>
        <row r="9769">
          <cell r="W9769" t="str">
            <v>QPREV02</v>
          </cell>
          <cell r="AD9769">
            <v>60000</v>
          </cell>
        </row>
        <row r="9770">
          <cell r="W9770" t="str">
            <v>QPREV02</v>
          </cell>
          <cell r="AD9770">
            <v>60000</v>
          </cell>
        </row>
        <row r="9771">
          <cell r="W9771" t="str">
            <v>QPREV02</v>
          </cell>
          <cell r="AD9771">
            <v>60000</v>
          </cell>
        </row>
        <row r="9772">
          <cell r="W9772" t="str">
            <v>QPREV02</v>
          </cell>
          <cell r="AD9772">
            <v>60000</v>
          </cell>
        </row>
        <row r="9773">
          <cell r="W9773" t="str">
            <v>QPREV02</v>
          </cell>
          <cell r="AD9773">
            <v>60000</v>
          </cell>
        </row>
        <row r="9774">
          <cell r="W9774" t="str">
            <v>QPREV02</v>
          </cell>
          <cell r="AD9774">
            <v>60000</v>
          </cell>
        </row>
        <row r="9775">
          <cell r="W9775" t="str">
            <v>QPREV02</v>
          </cell>
          <cell r="AD9775">
            <v>60000</v>
          </cell>
        </row>
        <row r="9776">
          <cell r="W9776" t="str">
            <v>QPREV02</v>
          </cell>
          <cell r="AD9776">
            <v>60000</v>
          </cell>
        </row>
        <row r="9777">
          <cell r="W9777" t="str">
            <v>QPREV02</v>
          </cell>
          <cell r="AD9777">
            <v>60000</v>
          </cell>
        </row>
        <row r="9778">
          <cell r="W9778" t="str">
            <v>QPREV02</v>
          </cell>
          <cell r="AD9778">
            <v>60000</v>
          </cell>
        </row>
        <row r="9779">
          <cell r="W9779" t="str">
            <v>QPREV02</v>
          </cell>
          <cell r="AD9779">
            <v>60000</v>
          </cell>
        </row>
        <row r="9780">
          <cell r="W9780" t="str">
            <v>QPREV02</v>
          </cell>
          <cell r="AD9780">
            <v>60000</v>
          </cell>
        </row>
        <row r="9781">
          <cell r="W9781" t="str">
            <v>QPREV02</v>
          </cell>
          <cell r="AD9781">
            <v>60000</v>
          </cell>
        </row>
        <row r="9782">
          <cell r="W9782" t="str">
            <v>QPREV02</v>
          </cell>
          <cell r="AD9782">
            <v>60000</v>
          </cell>
        </row>
        <row r="9783">
          <cell r="W9783" t="str">
            <v>QPREV02</v>
          </cell>
          <cell r="AD9783">
            <v>60500</v>
          </cell>
        </row>
        <row r="9784">
          <cell r="W9784" t="str">
            <v>QPREV02</v>
          </cell>
          <cell r="AD9784">
            <v>60500</v>
          </cell>
        </row>
        <row r="9785">
          <cell r="W9785" t="str">
            <v>QPREV02</v>
          </cell>
          <cell r="AD9785">
            <v>60500</v>
          </cell>
        </row>
        <row r="9786">
          <cell r="W9786" t="str">
            <v>QPREV02</v>
          </cell>
          <cell r="AD9786">
            <v>60500</v>
          </cell>
        </row>
        <row r="9787">
          <cell r="W9787" t="str">
            <v>QPREV02</v>
          </cell>
          <cell r="AD9787">
            <v>60500</v>
          </cell>
        </row>
        <row r="9788">
          <cell r="W9788" t="str">
            <v>QPREV02</v>
          </cell>
          <cell r="AD9788">
            <v>60500</v>
          </cell>
        </row>
        <row r="9789">
          <cell r="W9789" t="str">
            <v>QPREV02</v>
          </cell>
          <cell r="AD9789">
            <v>60500</v>
          </cell>
        </row>
        <row r="9790">
          <cell r="W9790" t="str">
            <v>QPREV02</v>
          </cell>
          <cell r="AD9790">
            <v>60500</v>
          </cell>
        </row>
        <row r="9791">
          <cell r="W9791" t="str">
            <v>QPREV02</v>
          </cell>
          <cell r="AD9791">
            <v>60500</v>
          </cell>
        </row>
        <row r="9792">
          <cell r="W9792" t="str">
            <v>QPREV02</v>
          </cell>
          <cell r="AD9792">
            <v>60500</v>
          </cell>
        </row>
        <row r="9793">
          <cell r="W9793" t="str">
            <v>QPREV02</v>
          </cell>
          <cell r="AD9793">
            <v>60500</v>
          </cell>
        </row>
        <row r="9794">
          <cell r="W9794" t="str">
            <v>QPREV02</v>
          </cell>
          <cell r="AD9794">
            <v>60500</v>
          </cell>
        </row>
        <row r="9795">
          <cell r="W9795" t="str">
            <v>QPREV02</v>
          </cell>
          <cell r="AD9795">
            <v>60500</v>
          </cell>
        </row>
        <row r="9796">
          <cell r="W9796" t="str">
            <v>QPREV02</v>
          </cell>
          <cell r="AD9796">
            <v>60500</v>
          </cell>
        </row>
        <row r="9797">
          <cell r="W9797" t="str">
            <v>QPREV02</v>
          </cell>
          <cell r="AD9797">
            <v>60750</v>
          </cell>
        </row>
        <row r="9798">
          <cell r="W9798" t="str">
            <v>QPREV02</v>
          </cell>
          <cell r="AD9798">
            <v>61000</v>
          </cell>
        </row>
        <row r="9799">
          <cell r="W9799" t="str">
            <v>QPREV02</v>
          </cell>
          <cell r="AD9799">
            <v>61000</v>
          </cell>
        </row>
        <row r="9800">
          <cell r="W9800" t="str">
            <v>QPREV02</v>
          </cell>
          <cell r="AD9800">
            <v>61000</v>
          </cell>
        </row>
        <row r="9801">
          <cell r="W9801" t="str">
            <v>QPREV02</v>
          </cell>
          <cell r="AD9801">
            <v>61000</v>
          </cell>
        </row>
        <row r="9802">
          <cell r="W9802" t="str">
            <v>QPREV02</v>
          </cell>
          <cell r="AD9802">
            <v>61000</v>
          </cell>
        </row>
        <row r="9803">
          <cell r="W9803" t="str">
            <v>QPREV02</v>
          </cell>
          <cell r="AD9803">
            <v>61000</v>
          </cell>
        </row>
        <row r="9804">
          <cell r="W9804" t="str">
            <v>QPREV02</v>
          </cell>
          <cell r="AD9804">
            <v>61000</v>
          </cell>
        </row>
        <row r="9805">
          <cell r="W9805" t="str">
            <v>QPREV02</v>
          </cell>
          <cell r="AD9805">
            <v>61000</v>
          </cell>
        </row>
        <row r="9806">
          <cell r="W9806" t="str">
            <v>QPREV02</v>
          </cell>
          <cell r="AD9806">
            <v>61000</v>
          </cell>
        </row>
        <row r="9807">
          <cell r="W9807" t="str">
            <v>QPREV02</v>
          </cell>
          <cell r="AD9807">
            <v>61000</v>
          </cell>
        </row>
        <row r="9808">
          <cell r="W9808" t="str">
            <v>QPREV02</v>
          </cell>
          <cell r="AD9808">
            <v>61000</v>
          </cell>
        </row>
        <row r="9809">
          <cell r="W9809" t="str">
            <v>QPREV02</v>
          </cell>
          <cell r="AD9809">
            <v>61000</v>
          </cell>
        </row>
        <row r="9810">
          <cell r="W9810" t="str">
            <v>QPREV02</v>
          </cell>
          <cell r="AD9810">
            <v>61000</v>
          </cell>
        </row>
        <row r="9811">
          <cell r="W9811" t="str">
            <v>QPREV02</v>
          </cell>
          <cell r="AD9811">
            <v>61000</v>
          </cell>
        </row>
        <row r="9812">
          <cell r="W9812" t="str">
            <v>QPREV02</v>
          </cell>
          <cell r="AD9812">
            <v>61000</v>
          </cell>
        </row>
        <row r="9813">
          <cell r="W9813" t="str">
            <v>QPREV02</v>
          </cell>
          <cell r="AD9813">
            <v>61000</v>
          </cell>
        </row>
        <row r="9814">
          <cell r="W9814" t="str">
            <v>QPREV02</v>
          </cell>
          <cell r="AD9814">
            <v>61000</v>
          </cell>
        </row>
        <row r="9815">
          <cell r="W9815" t="str">
            <v>QPREV02</v>
          </cell>
          <cell r="AD9815">
            <v>61000</v>
          </cell>
        </row>
        <row r="9816">
          <cell r="W9816" t="str">
            <v>QPREV02</v>
          </cell>
          <cell r="AD9816">
            <v>61000</v>
          </cell>
        </row>
        <row r="9817">
          <cell r="W9817" t="str">
            <v>QPREV02</v>
          </cell>
          <cell r="AD9817">
            <v>61000</v>
          </cell>
        </row>
        <row r="9818">
          <cell r="W9818" t="str">
            <v>QPREV02</v>
          </cell>
          <cell r="AD9818">
            <v>61000</v>
          </cell>
        </row>
        <row r="9819">
          <cell r="W9819" t="str">
            <v>QPREV03</v>
          </cell>
          <cell r="AD9819">
            <v>29250</v>
          </cell>
        </row>
        <row r="9820">
          <cell r="W9820" t="str">
            <v>QPREV03</v>
          </cell>
          <cell r="AD9820">
            <v>29250</v>
          </cell>
        </row>
        <row r="9821">
          <cell r="W9821" t="str">
            <v>QPREV03</v>
          </cell>
          <cell r="AD9821">
            <v>29250</v>
          </cell>
        </row>
        <row r="9822">
          <cell r="W9822" t="str">
            <v>QPREV03</v>
          </cell>
          <cell r="AD9822">
            <v>29250</v>
          </cell>
        </row>
        <row r="9823">
          <cell r="W9823" t="str">
            <v>QPREV03</v>
          </cell>
          <cell r="AD9823">
            <v>29250</v>
          </cell>
        </row>
        <row r="9824">
          <cell r="W9824" t="str">
            <v>QPREV03</v>
          </cell>
          <cell r="AD9824">
            <v>29250</v>
          </cell>
        </row>
        <row r="9825">
          <cell r="W9825" t="str">
            <v>QPREV03</v>
          </cell>
          <cell r="AD9825">
            <v>29250</v>
          </cell>
        </row>
        <row r="9826">
          <cell r="W9826" t="str">
            <v>QPREV03</v>
          </cell>
          <cell r="AD9826">
            <v>29250</v>
          </cell>
        </row>
        <row r="9827">
          <cell r="W9827" t="str">
            <v>QPREV03</v>
          </cell>
          <cell r="AD9827">
            <v>29250</v>
          </cell>
        </row>
        <row r="9828">
          <cell r="W9828" t="str">
            <v>QPREV03</v>
          </cell>
          <cell r="AD9828">
            <v>29500</v>
          </cell>
        </row>
        <row r="9829">
          <cell r="W9829" t="str">
            <v>QPREV03</v>
          </cell>
          <cell r="AD9829">
            <v>29500</v>
          </cell>
        </row>
        <row r="9830">
          <cell r="W9830" t="str">
            <v>QPREV03</v>
          </cell>
          <cell r="AD9830">
            <v>29500</v>
          </cell>
        </row>
        <row r="9831">
          <cell r="W9831" t="str">
            <v>QPREV03</v>
          </cell>
          <cell r="AD9831">
            <v>29500</v>
          </cell>
        </row>
        <row r="9832">
          <cell r="W9832" t="str">
            <v>QPREV03</v>
          </cell>
          <cell r="AD9832">
            <v>29500</v>
          </cell>
        </row>
        <row r="9833">
          <cell r="W9833" t="str">
            <v>QPREV03</v>
          </cell>
          <cell r="AD9833">
            <v>29500</v>
          </cell>
        </row>
        <row r="9834">
          <cell r="W9834" t="str">
            <v>QPREV03</v>
          </cell>
          <cell r="AD9834">
            <v>29500</v>
          </cell>
        </row>
        <row r="9835">
          <cell r="W9835" t="str">
            <v>QPREV03</v>
          </cell>
          <cell r="AD9835">
            <v>29500</v>
          </cell>
        </row>
        <row r="9836">
          <cell r="W9836" t="str">
            <v>QPREV04</v>
          </cell>
          <cell r="AD9836">
            <v>133000</v>
          </cell>
        </row>
        <row r="9837">
          <cell r="W9837" t="str">
            <v>QPREV04</v>
          </cell>
          <cell r="AD9837">
            <v>133000</v>
          </cell>
        </row>
        <row r="9838">
          <cell r="W9838" t="str">
            <v>QPREV04</v>
          </cell>
          <cell r="AD9838">
            <v>133000</v>
          </cell>
        </row>
        <row r="9839">
          <cell r="W9839" t="str">
            <v>QPREV04</v>
          </cell>
          <cell r="AD9839">
            <v>133000</v>
          </cell>
        </row>
        <row r="9840">
          <cell r="W9840" t="str">
            <v>QPREV04</v>
          </cell>
          <cell r="AD9840">
            <v>133000</v>
          </cell>
        </row>
        <row r="9841">
          <cell r="W9841" t="str">
            <v>QPREV04</v>
          </cell>
          <cell r="AD9841">
            <v>133000</v>
          </cell>
        </row>
        <row r="9842">
          <cell r="W9842" t="str">
            <v>QPREV04</v>
          </cell>
          <cell r="AD9842">
            <v>134000</v>
          </cell>
        </row>
        <row r="9843">
          <cell r="W9843" t="str">
            <v>QPREV04</v>
          </cell>
          <cell r="AD9843">
            <v>134000</v>
          </cell>
        </row>
        <row r="9844">
          <cell r="W9844" t="str">
            <v>QPREV04</v>
          </cell>
          <cell r="AD9844">
            <v>134000</v>
          </cell>
        </row>
        <row r="9845">
          <cell r="W9845" t="str">
            <v>QPREV04</v>
          </cell>
          <cell r="AD9845">
            <v>134000</v>
          </cell>
        </row>
        <row r="9846">
          <cell r="W9846" t="str">
            <v>QPREV04</v>
          </cell>
          <cell r="AD9846">
            <v>134000</v>
          </cell>
        </row>
        <row r="9847">
          <cell r="W9847" t="str">
            <v>QPREV04</v>
          </cell>
          <cell r="AD9847">
            <v>134000</v>
          </cell>
        </row>
        <row r="9848">
          <cell r="W9848" t="str">
            <v>QPREV04</v>
          </cell>
          <cell r="AD9848">
            <v>134000</v>
          </cell>
        </row>
        <row r="9849">
          <cell r="W9849" t="str">
            <v>QPREV04</v>
          </cell>
          <cell r="AD9849">
            <v>134000</v>
          </cell>
        </row>
        <row r="9850">
          <cell r="W9850" t="str">
            <v>QPREV04</v>
          </cell>
          <cell r="AD9850">
            <v>134000</v>
          </cell>
        </row>
        <row r="9851">
          <cell r="W9851" t="str">
            <v>QPREV04</v>
          </cell>
          <cell r="AD9851">
            <v>134000</v>
          </cell>
        </row>
        <row r="9852">
          <cell r="W9852" t="str">
            <v>QPREV04</v>
          </cell>
          <cell r="AD9852">
            <v>134000</v>
          </cell>
        </row>
        <row r="9853">
          <cell r="W9853" t="str">
            <v>QPREV04</v>
          </cell>
          <cell r="AD9853">
            <v>134000</v>
          </cell>
        </row>
        <row r="9854">
          <cell r="W9854" t="str">
            <v>QPREV04</v>
          </cell>
          <cell r="AD9854">
            <v>134000</v>
          </cell>
        </row>
        <row r="9855">
          <cell r="W9855" t="str">
            <v>QPREV04</v>
          </cell>
          <cell r="AD9855">
            <v>134000</v>
          </cell>
        </row>
        <row r="9856">
          <cell r="W9856" t="str">
            <v>QPREV04</v>
          </cell>
          <cell r="AD9856">
            <v>134000</v>
          </cell>
        </row>
        <row r="9857">
          <cell r="W9857" t="str">
            <v>QPREV04</v>
          </cell>
          <cell r="AD9857">
            <v>135000</v>
          </cell>
        </row>
        <row r="9858">
          <cell r="W9858" t="str">
            <v>QPREV04</v>
          </cell>
          <cell r="AD9858">
            <v>135000</v>
          </cell>
        </row>
        <row r="9859">
          <cell r="W9859" t="str">
            <v>QPREV04</v>
          </cell>
          <cell r="AD9859">
            <v>135000</v>
          </cell>
        </row>
        <row r="9860">
          <cell r="W9860" t="str">
            <v>QPREV04</v>
          </cell>
          <cell r="AD9860">
            <v>135000</v>
          </cell>
        </row>
        <row r="9861">
          <cell r="W9861" t="str">
            <v>QPREV04</v>
          </cell>
          <cell r="AD9861">
            <v>135000</v>
          </cell>
        </row>
        <row r="9862">
          <cell r="W9862" t="str">
            <v>QPREV04</v>
          </cell>
          <cell r="AD9862">
            <v>135000</v>
          </cell>
        </row>
        <row r="9863">
          <cell r="W9863" t="str">
            <v>QPREZ01</v>
          </cell>
          <cell r="AD9863">
            <v>265000</v>
          </cell>
        </row>
        <row r="9864">
          <cell r="W9864" t="str">
            <v>QPREZ01</v>
          </cell>
          <cell r="AD9864">
            <v>268000</v>
          </cell>
        </row>
        <row r="9865">
          <cell r="W9865" t="str">
            <v>QPREZ01</v>
          </cell>
          <cell r="AD9865">
            <v>268000</v>
          </cell>
        </row>
        <row r="9866">
          <cell r="W9866" t="str">
            <v>QPREZ01</v>
          </cell>
          <cell r="AD9866">
            <v>268000</v>
          </cell>
        </row>
        <row r="9867">
          <cell r="W9867" t="str">
            <v>QPREZ01</v>
          </cell>
          <cell r="AD9867">
            <v>270000</v>
          </cell>
        </row>
        <row r="9868">
          <cell r="W9868" t="str">
            <v>QPREZ01</v>
          </cell>
          <cell r="AD9868">
            <v>270000</v>
          </cell>
        </row>
        <row r="9869">
          <cell r="W9869" t="str">
            <v>QPREZ01</v>
          </cell>
          <cell r="AD9869">
            <v>270000</v>
          </cell>
        </row>
        <row r="9870">
          <cell r="W9870" t="str">
            <v>QPREZ01</v>
          </cell>
          <cell r="AD9870">
            <v>270000</v>
          </cell>
        </row>
        <row r="9871">
          <cell r="W9871" t="str">
            <v>QPREZ01</v>
          </cell>
          <cell r="AD9871">
            <v>270000</v>
          </cell>
        </row>
        <row r="9872">
          <cell r="W9872" t="str">
            <v>QPREZ01</v>
          </cell>
          <cell r="AD9872">
            <v>272500</v>
          </cell>
        </row>
        <row r="9873">
          <cell r="W9873" t="str">
            <v>QPREZ01</v>
          </cell>
          <cell r="AD9873">
            <v>273000</v>
          </cell>
        </row>
        <row r="9874">
          <cell r="W9874" t="str">
            <v>QPREZ01</v>
          </cell>
          <cell r="AD9874">
            <v>275000</v>
          </cell>
        </row>
        <row r="9875">
          <cell r="W9875" t="str">
            <v>QPREZ01</v>
          </cell>
          <cell r="AD9875">
            <v>275000</v>
          </cell>
        </row>
        <row r="9876">
          <cell r="W9876" t="str">
            <v>QPREZ01</v>
          </cell>
          <cell r="AD9876">
            <v>275000</v>
          </cell>
        </row>
        <row r="9877">
          <cell r="W9877" t="str">
            <v>QPREZ01</v>
          </cell>
          <cell r="AD9877">
            <v>275000</v>
          </cell>
        </row>
        <row r="9878">
          <cell r="W9878" t="str">
            <v>QPREZ01</v>
          </cell>
          <cell r="AD9878">
            <v>275000</v>
          </cell>
        </row>
        <row r="9879">
          <cell r="W9879" t="str">
            <v>QPREZ01</v>
          </cell>
          <cell r="AD9879">
            <v>275000</v>
          </cell>
        </row>
        <row r="9880">
          <cell r="W9880" t="str">
            <v>QPREZ01</v>
          </cell>
          <cell r="AD9880">
            <v>275000</v>
          </cell>
        </row>
        <row r="9881">
          <cell r="W9881" t="str">
            <v>QPREZ01</v>
          </cell>
          <cell r="AD9881">
            <v>278000</v>
          </cell>
        </row>
        <row r="9882">
          <cell r="W9882" t="str">
            <v>QPREZ01</v>
          </cell>
          <cell r="AD9882">
            <v>280000</v>
          </cell>
        </row>
        <row r="9883">
          <cell r="W9883" t="str">
            <v>QPREZ01</v>
          </cell>
          <cell r="AD9883">
            <v>280000</v>
          </cell>
        </row>
        <row r="9884">
          <cell r="W9884" t="str">
            <v>QPREZ01</v>
          </cell>
          <cell r="AD9884">
            <v>285000</v>
          </cell>
        </row>
        <row r="9885">
          <cell r="W9885" t="str">
            <v>QPREZ01</v>
          </cell>
          <cell r="AD9885">
            <v>285000</v>
          </cell>
        </row>
        <row r="9886">
          <cell r="W9886" t="str">
            <v>QPREZ01</v>
          </cell>
          <cell r="AD9886">
            <v>285000</v>
          </cell>
        </row>
        <row r="9887">
          <cell r="W9887" t="str">
            <v>QPREZ02</v>
          </cell>
          <cell r="AD9887">
            <v>68750</v>
          </cell>
        </row>
        <row r="9888">
          <cell r="W9888" t="str">
            <v>QPREZ02</v>
          </cell>
          <cell r="AD9888">
            <v>68750</v>
          </cell>
        </row>
        <row r="9889">
          <cell r="W9889" t="str">
            <v>QPREZ02</v>
          </cell>
          <cell r="AD9889">
            <v>74000</v>
          </cell>
        </row>
        <row r="9890">
          <cell r="W9890" t="str">
            <v>QPREZ02</v>
          </cell>
          <cell r="AD9890">
            <v>74000</v>
          </cell>
        </row>
        <row r="9891">
          <cell r="W9891" t="str">
            <v>QPREZ02</v>
          </cell>
          <cell r="AD9891">
            <v>75000</v>
          </cell>
        </row>
        <row r="9892">
          <cell r="W9892" t="str">
            <v>QPREZ02</v>
          </cell>
          <cell r="AD9892">
            <v>80000</v>
          </cell>
        </row>
        <row r="9893">
          <cell r="W9893" t="str">
            <v>QPREZ02</v>
          </cell>
          <cell r="AD9893">
            <v>80000</v>
          </cell>
        </row>
        <row r="9894">
          <cell r="W9894" t="str">
            <v>QPREZ02</v>
          </cell>
          <cell r="AD9894">
            <v>80000</v>
          </cell>
        </row>
        <row r="9895">
          <cell r="W9895" t="str">
            <v>APRIM06</v>
          </cell>
          <cell r="AD9895">
            <v>196000</v>
          </cell>
        </row>
        <row r="9896">
          <cell r="W9896" t="str">
            <v>APRIM06</v>
          </cell>
          <cell r="AD9896">
            <v>196000</v>
          </cell>
        </row>
        <row r="9897">
          <cell r="W9897" t="str">
            <v>APRIM06</v>
          </cell>
          <cell r="AD9897">
            <v>196000</v>
          </cell>
        </row>
        <row r="9898">
          <cell r="W9898" t="str">
            <v>APRIM06</v>
          </cell>
          <cell r="AD9898">
            <v>196000</v>
          </cell>
        </row>
        <row r="9899">
          <cell r="W9899" t="str">
            <v>APRIM06</v>
          </cell>
          <cell r="AD9899">
            <v>196000</v>
          </cell>
        </row>
        <row r="9900">
          <cell r="W9900" t="str">
            <v>APRIM07</v>
          </cell>
          <cell r="AD9900">
            <v>99000</v>
          </cell>
        </row>
        <row r="9901">
          <cell r="W9901" t="str">
            <v>QPRIM13</v>
          </cell>
          <cell r="AD9901">
            <v>99000</v>
          </cell>
        </row>
        <row r="9902">
          <cell r="W9902" t="str">
            <v>APRIM07</v>
          </cell>
          <cell r="AD9902">
            <v>99000</v>
          </cell>
        </row>
        <row r="9903">
          <cell r="W9903" t="str">
            <v>APRIM07</v>
          </cell>
          <cell r="AD9903">
            <v>99000</v>
          </cell>
        </row>
        <row r="9904">
          <cell r="W9904" t="str">
            <v>QPRIM13</v>
          </cell>
          <cell r="AD9904">
            <v>99000</v>
          </cell>
        </row>
        <row r="9905">
          <cell r="W9905" t="str">
            <v>APRIM07</v>
          </cell>
          <cell r="AD9905">
            <v>99000</v>
          </cell>
        </row>
        <row r="9906">
          <cell r="W9906" t="str">
            <v>QPRIM12</v>
          </cell>
          <cell r="AD9906">
            <v>53000</v>
          </cell>
        </row>
        <row r="9907">
          <cell r="W9907" t="str">
            <v>APRIM08</v>
          </cell>
          <cell r="AD9907">
            <v>53000</v>
          </cell>
        </row>
        <row r="9908">
          <cell r="W9908" t="str">
            <v>APRIM08</v>
          </cell>
          <cell r="AD9908">
            <v>53000</v>
          </cell>
        </row>
        <row r="9909">
          <cell r="W9909" t="str">
            <v>APRIM08</v>
          </cell>
          <cell r="AD9909">
            <v>53000</v>
          </cell>
        </row>
        <row r="9910">
          <cell r="W9910" t="str">
            <v>QPRIM12</v>
          </cell>
          <cell r="AD9910">
            <v>53000</v>
          </cell>
        </row>
        <row r="9911">
          <cell r="W9911" t="str">
            <v>QPRIM12</v>
          </cell>
          <cell r="AD9911">
            <v>53000</v>
          </cell>
        </row>
        <row r="9912">
          <cell r="W9912" t="str">
            <v>APRIM05</v>
          </cell>
          <cell r="AD9912">
            <v>22000</v>
          </cell>
        </row>
        <row r="9913">
          <cell r="W9913" t="str">
            <v>QPRIM11</v>
          </cell>
          <cell r="AD9913">
            <v>22000</v>
          </cell>
        </row>
        <row r="9914">
          <cell r="W9914" t="str">
            <v>QPRIM11</v>
          </cell>
          <cell r="AD9914">
            <v>22000</v>
          </cell>
        </row>
        <row r="9915">
          <cell r="W9915" t="str">
            <v>APRIM05</v>
          </cell>
          <cell r="AD9915">
            <v>22000</v>
          </cell>
        </row>
        <row r="9916">
          <cell r="W9916" t="str">
            <v>QPROC01</v>
          </cell>
          <cell r="AD9916">
            <v>110000</v>
          </cell>
        </row>
        <row r="9917">
          <cell r="W9917" t="str">
            <v>QPROC01</v>
          </cell>
          <cell r="AD9917">
            <v>110000</v>
          </cell>
        </row>
        <row r="9918">
          <cell r="W9918" t="str">
            <v>QPROC01</v>
          </cell>
          <cell r="AD9918">
            <v>116000</v>
          </cell>
        </row>
        <row r="9919">
          <cell r="W9919" t="str">
            <v>QPROC01</v>
          </cell>
          <cell r="AD9919">
            <v>116000</v>
          </cell>
        </row>
        <row r="9920">
          <cell r="W9920" t="str">
            <v>QPROC01</v>
          </cell>
          <cell r="AD9920">
            <v>116000</v>
          </cell>
        </row>
        <row r="9921">
          <cell r="W9921" t="str">
            <v>QPROC01</v>
          </cell>
          <cell r="AD9921">
            <v>116000</v>
          </cell>
        </row>
        <row r="9922">
          <cell r="W9922" t="str">
            <v>QPROC01</v>
          </cell>
          <cell r="AD9922">
            <v>116000</v>
          </cell>
        </row>
        <row r="9923">
          <cell r="W9923" t="str">
            <v>QPROC01</v>
          </cell>
          <cell r="AD9923">
            <v>117000</v>
          </cell>
        </row>
        <row r="9924">
          <cell r="W9924" t="str">
            <v>QPROC01</v>
          </cell>
          <cell r="AD9924">
            <v>119000</v>
          </cell>
        </row>
        <row r="9925">
          <cell r="W9925" t="str">
            <v>QPROC01</v>
          </cell>
          <cell r="AD9925">
            <v>120000</v>
          </cell>
        </row>
        <row r="9926">
          <cell r="W9926" t="str">
            <v>QPROC01</v>
          </cell>
          <cell r="AD9926">
            <v>120000</v>
          </cell>
        </row>
        <row r="9927">
          <cell r="W9927" t="str">
            <v>QPROC01</v>
          </cell>
          <cell r="AD9927">
            <v>120000</v>
          </cell>
        </row>
        <row r="9928">
          <cell r="W9928" t="str">
            <v>QPROF03</v>
          </cell>
          <cell r="AD9928">
            <v>135000</v>
          </cell>
        </row>
        <row r="9929">
          <cell r="W9929" t="str">
            <v>QPROF03</v>
          </cell>
          <cell r="AD9929">
            <v>150000</v>
          </cell>
        </row>
        <row r="9930">
          <cell r="W9930" t="str">
            <v>QPROF03</v>
          </cell>
          <cell r="AD9930">
            <v>150000</v>
          </cell>
        </row>
        <row r="9931">
          <cell r="W9931" t="str">
            <v>QPROF03</v>
          </cell>
          <cell r="AD9931">
            <v>150000</v>
          </cell>
        </row>
        <row r="9932">
          <cell r="W9932" t="str">
            <v>QPROF03</v>
          </cell>
          <cell r="AD9932">
            <v>150000</v>
          </cell>
        </row>
        <row r="9933">
          <cell r="W9933" t="str">
            <v>APROF01</v>
          </cell>
          <cell r="AD9933">
            <v>150000</v>
          </cell>
        </row>
        <row r="9934">
          <cell r="W9934" t="str">
            <v>APROF01</v>
          </cell>
          <cell r="AD9934">
            <v>150000</v>
          </cell>
        </row>
        <row r="9935">
          <cell r="W9935" t="str">
            <v>QPROF03</v>
          </cell>
          <cell r="AD9935">
            <v>150000</v>
          </cell>
        </row>
        <row r="9936">
          <cell r="W9936" t="str">
            <v>QPROF02</v>
          </cell>
          <cell r="AD9936">
            <v>77500</v>
          </cell>
        </row>
        <row r="9937">
          <cell r="W9937" t="str">
            <v>QPROF02</v>
          </cell>
          <cell r="AD9937">
            <v>77500</v>
          </cell>
        </row>
        <row r="9938">
          <cell r="W9938" t="str">
            <v>QPROF02</v>
          </cell>
          <cell r="AD9938">
            <v>77500</v>
          </cell>
        </row>
        <row r="9939">
          <cell r="W9939" t="str">
            <v>QPROF02</v>
          </cell>
          <cell r="AD9939">
            <v>77500</v>
          </cell>
        </row>
        <row r="9940">
          <cell r="W9940" t="str">
            <v>QPROF02</v>
          </cell>
          <cell r="AD9940">
            <v>77500</v>
          </cell>
        </row>
        <row r="9941">
          <cell r="W9941" t="str">
            <v>QPROF02</v>
          </cell>
          <cell r="AD9941">
            <v>77500</v>
          </cell>
        </row>
        <row r="9942">
          <cell r="W9942" t="str">
            <v>QPROF02</v>
          </cell>
          <cell r="AD9942">
            <v>77500</v>
          </cell>
        </row>
        <row r="9943">
          <cell r="W9943" t="str">
            <v>QPROF02</v>
          </cell>
          <cell r="AD9943">
            <v>77500</v>
          </cell>
        </row>
        <row r="9944">
          <cell r="W9944" t="str">
            <v>QPROF02</v>
          </cell>
          <cell r="AD9944">
            <v>77500</v>
          </cell>
        </row>
        <row r="9945">
          <cell r="W9945" t="str">
            <v>QPROF02</v>
          </cell>
          <cell r="AD9945">
            <v>77500</v>
          </cell>
        </row>
        <row r="9946">
          <cell r="W9946" t="str">
            <v>QPROF02</v>
          </cell>
          <cell r="AD9946">
            <v>77500</v>
          </cell>
        </row>
        <row r="9947">
          <cell r="W9947" t="str">
            <v>QPROF01</v>
          </cell>
          <cell r="AD9947">
            <v>31000</v>
          </cell>
        </row>
        <row r="9948">
          <cell r="W9948" t="str">
            <v>QPROM10</v>
          </cell>
          <cell r="AD9948">
            <v>215000</v>
          </cell>
        </row>
        <row r="9949">
          <cell r="W9949" t="str">
            <v>QPROM10</v>
          </cell>
          <cell r="AD9949">
            <v>215000</v>
          </cell>
        </row>
        <row r="9950">
          <cell r="W9950" t="str">
            <v>QPROM09</v>
          </cell>
          <cell r="AD9950">
            <v>115000</v>
          </cell>
        </row>
        <row r="9951">
          <cell r="W9951" t="str">
            <v>QPUPU04</v>
          </cell>
          <cell r="AD9951">
            <v>105000</v>
          </cell>
        </row>
        <row r="9952">
          <cell r="W9952" t="str">
            <v>QPUPU04</v>
          </cell>
          <cell r="AD9952">
            <v>132500</v>
          </cell>
        </row>
        <row r="9953">
          <cell r="W9953" t="str">
            <v>QPUPU04</v>
          </cell>
          <cell r="AD9953">
            <v>132500</v>
          </cell>
        </row>
        <row r="9954">
          <cell r="W9954" t="str">
            <v>QPUPU04</v>
          </cell>
          <cell r="AD9954">
            <v>132500</v>
          </cell>
        </row>
        <row r="9955">
          <cell r="W9955" t="str">
            <v>QPUPU04</v>
          </cell>
          <cell r="AD9955">
            <v>132500</v>
          </cell>
        </row>
        <row r="9956">
          <cell r="W9956" t="str">
            <v>QPUPU04</v>
          </cell>
          <cell r="AD9956">
            <v>132500</v>
          </cell>
        </row>
        <row r="9957">
          <cell r="W9957" t="str">
            <v>QPUPU04</v>
          </cell>
          <cell r="AD9957">
            <v>132500</v>
          </cell>
        </row>
        <row r="9958">
          <cell r="W9958" t="str">
            <v>QPUPU04</v>
          </cell>
          <cell r="AD9958">
            <v>132500</v>
          </cell>
        </row>
        <row r="9959">
          <cell r="W9959" t="str">
            <v>QPUPU04</v>
          </cell>
          <cell r="AD9959">
            <v>132500</v>
          </cell>
        </row>
        <row r="9960">
          <cell r="W9960" t="str">
            <v>QPUPU04</v>
          </cell>
          <cell r="AD9960">
            <v>132500</v>
          </cell>
        </row>
        <row r="9961">
          <cell r="W9961" t="str">
            <v>QPUPU04</v>
          </cell>
          <cell r="AD9961">
            <v>132500</v>
          </cell>
        </row>
        <row r="9962">
          <cell r="W9962" t="str">
            <v>QPUPU04</v>
          </cell>
          <cell r="AD9962">
            <v>132500</v>
          </cell>
        </row>
        <row r="9963">
          <cell r="W9963" t="str">
            <v>QPUPU04</v>
          </cell>
          <cell r="AD9963">
            <v>132500</v>
          </cell>
        </row>
        <row r="9964">
          <cell r="W9964" t="str">
            <v>QPUPU04</v>
          </cell>
          <cell r="AD9964">
            <v>132500</v>
          </cell>
        </row>
        <row r="9965">
          <cell r="W9965" t="str">
            <v>QPUPU04</v>
          </cell>
          <cell r="AD9965">
            <v>132500</v>
          </cell>
        </row>
        <row r="9966">
          <cell r="W9966" t="str">
            <v>QPUPU04</v>
          </cell>
          <cell r="AD9966">
            <v>132500</v>
          </cell>
        </row>
        <row r="9967">
          <cell r="W9967" t="str">
            <v>QPUPU04</v>
          </cell>
          <cell r="AD9967">
            <v>132500</v>
          </cell>
        </row>
        <row r="9968">
          <cell r="W9968" t="str">
            <v>QPUPU04</v>
          </cell>
          <cell r="AD9968">
            <v>132500</v>
          </cell>
        </row>
        <row r="9969">
          <cell r="W9969" t="str">
            <v>QPUPU04</v>
          </cell>
          <cell r="AD9969">
            <v>132500</v>
          </cell>
        </row>
        <row r="9970">
          <cell r="W9970" t="str">
            <v>QPUPU04</v>
          </cell>
          <cell r="AD9970">
            <v>132500</v>
          </cell>
        </row>
        <row r="9971">
          <cell r="W9971" t="str">
            <v>QPUPU04</v>
          </cell>
          <cell r="AD9971">
            <v>132500</v>
          </cell>
        </row>
        <row r="9972">
          <cell r="W9972" t="str">
            <v>QPUPU04</v>
          </cell>
          <cell r="AD9972">
            <v>132500</v>
          </cell>
        </row>
        <row r="9973">
          <cell r="W9973" t="str">
            <v>QPUPU04</v>
          </cell>
          <cell r="AD9973">
            <v>132500</v>
          </cell>
        </row>
        <row r="9974">
          <cell r="W9974" t="str">
            <v>QPUPU04</v>
          </cell>
          <cell r="AD9974">
            <v>132500</v>
          </cell>
        </row>
        <row r="9975">
          <cell r="W9975" t="str">
            <v>QPUPU04</v>
          </cell>
          <cell r="AD9975">
            <v>132500</v>
          </cell>
        </row>
        <row r="9976">
          <cell r="W9976" t="str">
            <v>QPUPU04</v>
          </cell>
          <cell r="AD9976">
            <v>132500</v>
          </cell>
        </row>
        <row r="9977">
          <cell r="W9977" t="str">
            <v>QPUPU04</v>
          </cell>
          <cell r="AD9977">
            <v>132500</v>
          </cell>
        </row>
        <row r="9978">
          <cell r="W9978" t="str">
            <v>QPUPU04</v>
          </cell>
          <cell r="AD9978">
            <v>132500</v>
          </cell>
        </row>
        <row r="9979">
          <cell r="W9979" t="str">
            <v>QPUPU04</v>
          </cell>
          <cell r="AD9979">
            <v>132500</v>
          </cell>
        </row>
        <row r="9980">
          <cell r="W9980" t="str">
            <v>QPUPU04</v>
          </cell>
          <cell r="AD9980">
            <v>132500</v>
          </cell>
        </row>
        <row r="9981">
          <cell r="W9981" t="str">
            <v>QPUPU04</v>
          </cell>
          <cell r="AD9981">
            <v>132500</v>
          </cell>
        </row>
        <row r="9982">
          <cell r="W9982" t="str">
            <v>QPUPU04</v>
          </cell>
          <cell r="AD9982">
            <v>132500</v>
          </cell>
        </row>
        <row r="9983">
          <cell r="W9983" t="str">
            <v>QPUPU04</v>
          </cell>
          <cell r="AD9983">
            <v>132500</v>
          </cell>
        </row>
        <row r="9984">
          <cell r="W9984" t="str">
            <v>QPUPU04</v>
          </cell>
          <cell r="AD9984">
            <v>132500</v>
          </cell>
        </row>
        <row r="9985">
          <cell r="W9985" t="str">
            <v>QPUPU04</v>
          </cell>
          <cell r="AD9985">
            <v>132500</v>
          </cell>
        </row>
        <row r="9986">
          <cell r="W9986" t="str">
            <v>QPUPU04</v>
          </cell>
          <cell r="AD9986">
            <v>132500</v>
          </cell>
        </row>
        <row r="9987">
          <cell r="W9987" t="str">
            <v>QPUPU04</v>
          </cell>
          <cell r="AD9987">
            <v>132500</v>
          </cell>
        </row>
        <row r="9988">
          <cell r="W9988" t="str">
            <v>QPUPU04</v>
          </cell>
          <cell r="AD9988">
            <v>132500</v>
          </cell>
        </row>
        <row r="9989">
          <cell r="W9989" t="str">
            <v>QPUPU04</v>
          </cell>
          <cell r="AD9989">
            <v>132500</v>
          </cell>
        </row>
        <row r="9990">
          <cell r="W9990" t="str">
            <v>QPUPU04</v>
          </cell>
          <cell r="AD9990">
            <v>132500</v>
          </cell>
        </row>
        <row r="9991">
          <cell r="W9991" t="str">
            <v>QPUPU04</v>
          </cell>
          <cell r="AD9991">
            <v>132500</v>
          </cell>
        </row>
        <row r="9992">
          <cell r="W9992" t="str">
            <v>QPUPU04</v>
          </cell>
          <cell r="AD9992">
            <v>132500</v>
          </cell>
        </row>
        <row r="9993">
          <cell r="W9993" t="str">
            <v>QPUPU04</v>
          </cell>
          <cell r="AD9993">
            <v>132500</v>
          </cell>
        </row>
        <row r="9994">
          <cell r="W9994" t="str">
            <v>QPUPU04</v>
          </cell>
          <cell r="AD9994">
            <v>132500</v>
          </cell>
        </row>
        <row r="9995">
          <cell r="W9995" t="str">
            <v>QPUPU04</v>
          </cell>
          <cell r="AD9995">
            <v>132500</v>
          </cell>
        </row>
        <row r="9996">
          <cell r="W9996" t="str">
            <v>QPUPU04</v>
          </cell>
          <cell r="AD9996">
            <v>132500</v>
          </cell>
        </row>
        <row r="9997">
          <cell r="W9997" t="str">
            <v>QPUPU04</v>
          </cell>
          <cell r="AD9997">
            <v>132500</v>
          </cell>
        </row>
        <row r="9998">
          <cell r="W9998" t="str">
            <v>QPUPU04</v>
          </cell>
          <cell r="AD9998">
            <v>132500</v>
          </cell>
        </row>
        <row r="9999">
          <cell r="W9999" t="str">
            <v>QPUPU04</v>
          </cell>
          <cell r="AD9999">
            <v>132500</v>
          </cell>
        </row>
        <row r="10000">
          <cell r="W10000" t="str">
            <v>QPUPU04</v>
          </cell>
          <cell r="AD10000">
            <v>132500</v>
          </cell>
        </row>
        <row r="10001">
          <cell r="W10001" t="str">
            <v>QPUPU04</v>
          </cell>
          <cell r="AD10001">
            <v>132500</v>
          </cell>
        </row>
        <row r="10002">
          <cell r="W10002" t="str">
            <v>QPUPU04</v>
          </cell>
          <cell r="AD10002">
            <v>132500</v>
          </cell>
        </row>
        <row r="10003">
          <cell r="W10003" t="str">
            <v>QPUPU04</v>
          </cell>
          <cell r="AD10003">
            <v>132500</v>
          </cell>
        </row>
        <row r="10004">
          <cell r="W10004" t="str">
            <v>QPUPU04</v>
          </cell>
          <cell r="AD10004">
            <v>132500</v>
          </cell>
        </row>
        <row r="10005">
          <cell r="W10005" t="str">
            <v>QPUPU04</v>
          </cell>
          <cell r="AD10005">
            <v>140000</v>
          </cell>
        </row>
        <row r="10006">
          <cell r="W10006" t="str">
            <v>QPUPU04</v>
          </cell>
          <cell r="AD10006">
            <v>140000</v>
          </cell>
        </row>
        <row r="10007">
          <cell r="W10007" t="str">
            <v>QPUPU04</v>
          </cell>
          <cell r="AD10007">
            <v>140000</v>
          </cell>
        </row>
        <row r="10008">
          <cell r="W10008" t="str">
            <v>QPUPU04</v>
          </cell>
          <cell r="AD10008">
            <v>140000</v>
          </cell>
        </row>
        <row r="10009">
          <cell r="W10009" t="str">
            <v>QPUPU04</v>
          </cell>
          <cell r="AD10009">
            <v>140000</v>
          </cell>
        </row>
        <row r="10010">
          <cell r="W10010" t="str">
            <v>QPUPU04</v>
          </cell>
          <cell r="AD10010">
            <v>140000</v>
          </cell>
        </row>
        <row r="10011">
          <cell r="W10011" t="str">
            <v>QPUPU13</v>
          </cell>
          <cell r="AD10011">
            <v>56000</v>
          </cell>
        </row>
        <row r="10012">
          <cell r="W10012" t="str">
            <v>QPUPU13</v>
          </cell>
          <cell r="AD10012">
            <v>56000</v>
          </cell>
        </row>
        <row r="10013">
          <cell r="W10013" t="str">
            <v>QPUPU13</v>
          </cell>
          <cell r="AD10013">
            <v>120000</v>
          </cell>
        </row>
        <row r="10014">
          <cell r="W10014" t="str">
            <v>QPUPU08</v>
          </cell>
          <cell r="AD10014">
            <v>27500</v>
          </cell>
        </row>
        <row r="10015">
          <cell r="W10015" t="str">
            <v>QPUPU08</v>
          </cell>
          <cell r="AD10015">
            <v>27500</v>
          </cell>
        </row>
        <row r="10016">
          <cell r="W10016" t="str">
            <v>QPUPU08</v>
          </cell>
          <cell r="AD10016">
            <v>27500</v>
          </cell>
        </row>
        <row r="10017">
          <cell r="W10017" t="str">
            <v>QPUPU08</v>
          </cell>
          <cell r="AD10017">
            <v>27500</v>
          </cell>
        </row>
        <row r="10018">
          <cell r="W10018" t="str">
            <v>QPUPU08</v>
          </cell>
          <cell r="AD10018">
            <v>27500</v>
          </cell>
        </row>
        <row r="10019">
          <cell r="W10019" t="str">
            <v>QPUPU08</v>
          </cell>
          <cell r="AD10019">
            <v>27500</v>
          </cell>
        </row>
        <row r="10020">
          <cell r="W10020" t="str">
            <v>QPUPU08</v>
          </cell>
          <cell r="AD10020">
            <v>27500</v>
          </cell>
        </row>
        <row r="10021">
          <cell r="W10021" t="str">
            <v>QPUPU08</v>
          </cell>
          <cell r="AD10021">
            <v>27500</v>
          </cell>
        </row>
        <row r="10022">
          <cell r="W10022" t="str">
            <v>QPUPU08</v>
          </cell>
          <cell r="AD10022">
            <v>27500</v>
          </cell>
        </row>
        <row r="10023">
          <cell r="W10023" t="str">
            <v>QPUPU08</v>
          </cell>
          <cell r="AD10023">
            <v>28000</v>
          </cell>
        </row>
        <row r="10024">
          <cell r="W10024" t="str">
            <v>APUPU09</v>
          </cell>
          <cell r="AD10024">
            <v>1</v>
          </cell>
        </row>
        <row r="10025">
          <cell r="W10025" t="str">
            <v>QPUPU09</v>
          </cell>
          <cell r="AD10025">
            <v>19500</v>
          </cell>
        </row>
        <row r="10026">
          <cell r="W10026" t="str">
            <v>QPUPU09</v>
          </cell>
          <cell r="AD10026">
            <v>19500</v>
          </cell>
        </row>
        <row r="10027">
          <cell r="W10027" t="str">
            <v>QPUPU09</v>
          </cell>
          <cell r="AD10027">
            <v>19500</v>
          </cell>
        </row>
        <row r="10028">
          <cell r="W10028" t="str">
            <v>QPUPU09</v>
          </cell>
          <cell r="AD10028">
            <v>19500</v>
          </cell>
        </row>
        <row r="10029">
          <cell r="W10029" t="str">
            <v>QPUPU09</v>
          </cell>
          <cell r="AD10029">
            <v>19500</v>
          </cell>
        </row>
        <row r="10030">
          <cell r="W10030" t="str">
            <v>QPUPU09</v>
          </cell>
          <cell r="AD10030">
            <v>19500</v>
          </cell>
        </row>
        <row r="10031">
          <cell r="W10031" t="str">
            <v>QPUPU09</v>
          </cell>
          <cell r="AD10031">
            <v>19500</v>
          </cell>
        </row>
        <row r="10032">
          <cell r="W10032" t="str">
            <v>QPUPU09</v>
          </cell>
          <cell r="AD10032">
            <v>19500</v>
          </cell>
        </row>
        <row r="10033">
          <cell r="W10033" t="str">
            <v>QPUPU09</v>
          </cell>
          <cell r="AD10033">
            <v>19500</v>
          </cell>
        </row>
        <row r="10034">
          <cell r="W10034" t="str">
            <v>QPUPU09</v>
          </cell>
          <cell r="AD10034">
            <v>19500</v>
          </cell>
        </row>
        <row r="10035">
          <cell r="W10035" t="str">
            <v>QPUPU09</v>
          </cell>
          <cell r="AD10035">
            <v>19500</v>
          </cell>
        </row>
        <row r="10036">
          <cell r="W10036" t="str">
            <v>QPUPU09</v>
          </cell>
          <cell r="AD10036">
            <v>19500</v>
          </cell>
        </row>
        <row r="10037">
          <cell r="W10037" t="str">
            <v>QPUPU09</v>
          </cell>
          <cell r="AD10037">
            <v>19500</v>
          </cell>
        </row>
        <row r="10038">
          <cell r="W10038" t="str">
            <v>QPUPU09</v>
          </cell>
          <cell r="AD10038">
            <v>19500</v>
          </cell>
        </row>
        <row r="10039">
          <cell r="W10039" t="str">
            <v>QPUPU09</v>
          </cell>
          <cell r="AD10039">
            <v>19500</v>
          </cell>
        </row>
        <row r="10040">
          <cell r="W10040" t="str">
            <v>QPUPU09</v>
          </cell>
          <cell r="AD10040">
            <v>19500</v>
          </cell>
        </row>
        <row r="10041">
          <cell r="W10041" t="str">
            <v>QPUPU09</v>
          </cell>
          <cell r="AD10041">
            <v>19500</v>
          </cell>
        </row>
        <row r="10042">
          <cell r="W10042" t="str">
            <v>QPUPU09</v>
          </cell>
          <cell r="AD10042">
            <v>20500</v>
          </cell>
        </row>
        <row r="10043">
          <cell r="W10043" t="str">
            <v>QPUPU09</v>
          </cell>
          <cell r="AD10043">
            <v>22000</v>
          </cell>
        </row>
        <row r="10044">
          <cell r="W10044" t="str">
            <v>QPUPU11</v>
          </cell>
          <cell r="AD10044">
            <v>520000</v>
          </cell>
        </row>
        <row r="10045">
          <cell r="W10045" t="str">
            <v>QPUPU11</v>
          </cell>
          <cell r="AD10045">
            <v>520000</v>
          </cell>
        </row>
        <row r="10046">
          <cell r="W10046" t="str">
            <v>QPUPU11</v>
          </cell>
          <cell r="AD10046">
            <v>520000</v>
          </cell>
        </row>
        <row r="10047">
          <cell r="W10047" t="str">
            <v>QPUPU11</v>
          </cell>
          <cell r="AD10047">
            <v>520000</v>
          </cell>
        </row>
        <row r="10048">
          <cell r="W10048" t="str">
            <v>QPUPU11</v>
          </cell>
          <cell r="AD10048">
            <v>520000</v>
          </cell>
        </row>
        <row r="10049">
          <cell r="W10049" t="str">
            <v>QPUPU10</v>
          </cell>
          <cell r="AD10049">
            <v>79500</v>
          </cell>
        </row>
        <row r="10050">
          <cell r="W10050" t="str">
            <v>QPUPU10</v>
          </cell>
          <cell r="AD10050">
            <v>79500</v>
          </cell>
        </row>
        <row r="10051">
          <cell r="W10051" t="str">
            <v>QPUPU10</v>
          </cell>
          <cell r="AD10051">
            <v>79500</v>
          </cell>
        </row>
        <row r="10052">
          <cell r="W10052" t="str">
            <v>QPUPU10</v>
          </cell>
          <cell r="AD10052">
            <v>79500</v>
          </cell>
        </row>
        <row r="10053">
          <cell r="W10053" t="str">
            <v>QPUPU10</v>
          </cell>
          <cell r="AD10053">
            <v>79500</v>
          </cell>
        </row>
        <row r="10054">
          <cell r="W10054" t="str">
            <v>QPUPU10</v>
          </cell>
          <cell r="AD10054">
            <v>85000</v>
          </cell>
        </row>
        <row r="10055">
          <cell r="W10055" t="str">
            <v>QPUPU06</v>
          </cell>
          <cell r="AD10055">
            <v>120000</v>
          </cell>
        </row>
        <row r="10056">
          <cell r="W10056" t="str">
            <v>QPUPU06</v>
          </cell>
          <cell r="AD10056">
            <v>120000</v>
          </cell>
        </row>
        <row r="10057">
          <cell r="W10057" t="str">
            <v>QPUPU06</v>
          </cell>
          <cell r="AD10057">
            <v>120000</v>
          </cell>
        </row>
        <row r="10058">
          <cell r="W10058" t="str">
            <v>QPUPU06</v>
          </cell>
          <cell r="AD10058">
            <v>120000</v>
          </cell>
        </row>
        <row r="10059">
          <cell r="W10059" t="str">
            <v>QPUPU06</v>
          </cell>
          <cell r="AD10059">
            <v>120000</v>
          </cell>
        </row>
        <row r="10060">
          <cell r="W10060" t="str">
            <v>QPUPU06</v>
          </cell>
          <cell r="AD10060">
            <v>120000</v>
          </cell>
        </row>
        <row r="10061">
          <cell r="W10061" t="str">
            <v>QPUPU06</v>
          </cell>
          <cell r="AD10061">
            <v>120000</v>
          </cell>
        </row>
        <row r="10062">
          <cell r="W10062" t="str">
            <v>QPUPU06</v>
          </cell>
          <cell r="AD10062">
            <v>120000</v>
          </cell>
        </row>
        <row r="10063">
          <cell r="W10063" t="str">
            <v>QPUPU06</v>
          </cell>
          <cell r="AD10063">
            <v>120000</v>
          </cell>
        </row>
        <row r="10064">
          <cell r="W10064" t="str">
            <v>QPUPU06</v>
          </cell>
          <cell r="AD10064">
            <v>120000</v>
          </cell>
        </row>
        <row r="10065">
          <cell r="W10065" t="str">
            <v>QPUPU06</v>
          </cell>
          <cell r="AD10065">
            <v>120000</v>
          </cell>
        </row>
        <row r="10066">
          <cell r="W10066" t="str">
            <v>QPUPU06</v>
          </cell>
          <cell r="AD10066">
            <v>120000</v>
          </cell>
        </row>
        <row r="10067">
          <cell r="W10067" t="str">
            <v>QPUPU06</v>
          </cell>
          <cell r="AD10067">
            <v>135000</v>
          </cell>
        </row>
        <row r="10068">
          <cell r="W10068" t="str">
            <v>QPUPU06</v>
          </cell>
          <cell r="AD10068">
            <v>135000</v>
          </cell>
        </row>
        <row r="10069">
          <cell r="W10069" t="str">
            <v>QPUPU06</v>
          </cell>
          <cell r="AD10069">
            <v>135000</v>
          </cell>
        </row>
        <row r="10070">
          <cell r="W10070" t="str">
            <v>QPUPU06</v>
          </cell>
          <cell r="AD10070">
            <v>135000</v>
          </cell>
        </row>
        <row r="10071">
          <cell r="W10071" t="str">
            <v>QPYPE02</v>
          </cell>
          <cell r="AD10071">
            <v>115000</v>
          </cell>
        </row>
        <row r="10072">
          <cell r="W10072" t="str">
            <v>QPYPE02</v>
          </cell>
          <cell r="AD10072">
            <v>120000</v>
          </cell>
        </row>
        <row r="10073">
          <cell r="W10073" t="str">
            <v>QPYPE02</v>
          </cell>
          <cell r="AD10073">
            <v>120000</v>
          </cell>
        </row>
        <row r="10074">
          <cell r="W10074" t="str">
            <v>QPYPE01</v>
          </cell>
          <cell r="AD10074">
            <v>51500</v>
          </cell>
        </row>
        <row r="10075">
          <cell r="W10075" t="str">
            <v>QPYPE01</v>
          </cell>
          <cell r="AD10075">
            <v>51500</v>
          </cell>
        </row>
        <row r="10076">
          <cell r="W10076" t="str">
            <v>QPYPE01</v>
          </cell>
          <cell r="AD10076">
            <v>51500</v>
          </cell>
        </row>
        <row r="10077">
          <cell r="W10077" t="str">
            <v>QPYZE01</v>
          </cell>
          <cell r="AD10077">
            <v>157500</v>
          </cell>
        </row>
        <row r="10078">
          <cell r="W10078" t="str">
            <v>QPYZE01</v>
          </cell>
          <cell r="AD10078">
            <v>158000</v>
          </cell>
        </row>
        <row r="10079">
          <cell r="W10079" t="str">
            <v>QQAIS02</v>
          </cell>
          <cell r="AD10079">
            <v>22000</v>
          </cell>
        </row>
        <row r="10080">
          <cell r="W10080" t="str">
            <v>QQAIS02</v>
          </cell>
          <cell r="AD10080">
            <v>22000</v>
          </cell>
        </row>
        <row r="10081">
          <cell r="W10081" t="str">
            <v>QQAIS02</v>
          </cell>
          <cell r="AD10081">
            <v>22000</v>
          </cell>
        </row>
        <row r="10082">
          <cell r="W10082" t="str">
            <v>QQAIS02</v>
          </cell>
          <cell r="AD10082">
            <v>22000</v>
          </cell>
        </row>
        <row r="10083">
          <cell r="W10083" t="str">
            <v>QQAIS02</v>
          </cell>
          <cell r="AD10083">
            <v>22000</v>
          </cell>
        </row>
        <row r="10084">
          <cell r="W10084" t="str">
            <v>QQAIS02</v>
          </cell>
          <cell r="AD10084">
            <v>22000</v>
          </cell>
        </row>
        <row r="10085">
          <cell r="W10085" t="str">
            <v>QQAIS02</v>
          </cell>
          <cell r="AD10085">
            <v>22000</v>
          </cell>
        </row>
        <row r="10086">
          <cell r="W10086" t="str">
            <v>QQAIS02</v>
          </cell>
          <cell r="AD10086">
            <v>22000</v>
          </cell>
        </row>
        <row r="10087">
          <cell r="W10087" t="str">
            <v>QQAIS02</v>
          </cell>
          <cell r="AD10087">
            <v>22000</v>
          </cell>
        </row>
        <row r="10088">
          <cell r="W10088" t="str">
            <v>QQAIS02</v>
          </cell>
          <cell r="AD10088">
            <v>22500</v>
          </cell>
        </row>
        <row r="10089">
          <cell r="W10089" t="str">
            <v>AQAIS02</v>
          </cell>
          <cell r="AD10089">
            <v>24000</v>
          </cell>
        </row>
        <row r="10090">
          <cell r="W10090" t="str">
            <v>QQIUD01</v>
          </cell>
          <cell r="AD10090">
            <v>14550</v>
          </cell>
        </row>
        <row r="10091">
          <cell r="W10091" t="str">
            <v>QQIUD01</v>
          </cell>
          <cell r="AD10091">
            <v>18000</v>
          </cell>
        </row>
        <row r="10092">
          <cell r="W10092" t="str">
            <v>QQIUD01</v>
          </cell>
          <cell r="AD10092">
            <v>18000</v>
          </cell>
        </row>
        <row r="10093">
          <cell r="W10093" t="str">
            <v>QQIUD01</v>
          </cell>
          <cell r="AD10093">
            <v>21500</v>
          </cell>
        </row>
        <row r="10094">
          <cell r="W10094" t="str">
            <v>QQIUD01</v>
          </cell>
          <cell r="AD10094">
            <v>21500</v>
          </cell>
        </row>
        <row r="10095">
          <cell r="W10095" t="str">
            <v>QQIUD01</v>
          </cell>
          <cell r="AD10095">
            <v>21500</v>
          </cell>
        </row>
        <row r="10096">
          <cell r="W10096" t="str">
            <v>QQIUD01</v>
          </cell>
          <cell r="AD10096">
            <v>21500</v>
          </cell>
        </row>
        <row r="10097">
          <cell r="W10097" t="str">
            <v>QQIUD01</v>
          </cell>
          <cell r="AD10097">
            <v>21500</v>
          </cell>
        </row>
        <row r="10098">
          <cell r="W10098" t="str">
            <v>QQIUD01</v>
          </cell>
          <cell r="AD10098">
            <v>21500</v>
          </cell>
        </row>
        <row r="10099">
          <cell r="W10099" t="str">
            <v>QQIUD01</v>
          </cell>
          <cell r="AD10099">
            <v>23500</v>
          </cell>
        </row>
        <row r="10100">
          <cell r="W10100" t="str">
            <v>QQIUM07</v>
          </cell>
          <cell r="AD10100">
            <v>200000</v>
          </cell>
        </row>
        <row r="10101">
          <cell r="W10101" t="str">
            <v>QQIUM07</v>
          </cell>
          <cell r="AD10101">
            <v>200000</v>
          </cell>
        </row>
        <row r="10102">
          <cell r="W10102" t="str">
            <v>QQIUM07</v>
          </cell>
          <cell r="AD10102">
            <v>200000</v>
          </cell>
        </row>
        <row r="10103">
          <cell r="W10103" t="str">
            <v>QQIUM07</v>
          </cell>
          <cell r="AD10103">
            <v>200000</v>
          </cell>
        </row>
        <row r="10104">
          <cell r="W10104" t="str">
            <v>QQIUM07</v>
          </cell>
          <cell r="AD10104">
            <v>200000</v>
          </cell>
        </row>
        <row r="10105">
          <cell r="W10105" t="str">
            <v>QQIUM07</v>
          </cell>
          <cell r="AD10105">
            <v>200000</v>
          </cell>
        </row>
        <row r="10106">
          <cell r="W10106" t="str">
            <v>QQIUM07</v>
          </cell>
          <cell r="AD10106">
            <v>200000</v>
          </cell>
        </row>
        <row r="10107">
          <cell r="W10107" t="str">
            <v>QQIUM07</v>
          </cell>
          <cell r="AD10107">
            <v>200000</v>
          </cell>
        </row>
        <row r="10108">
          <cell r="W10108" t="str">
            <v>QQIUM07</v>
          </cell>
          <cell r="AD10108">
            <v>200000</v>
          </cell>
        </row>
        <row r="10109">
          <cell r="W10109" t="str">
            <v>QQIUM07</v>
          </cell>
          <cell r="AD10109">
            <v>200000</v>
          </cell>
        </row>
        <row r="10110">
          <cell r="W10110" t="str">
            <v>QQIUM07</v>
          </cell>
          <cell r="AD10110">
            <v>200000</v>
          </cell>
        </row>
        <row r="10111">
          <cell r="W10111" t="str">
            <v>QQIUM07</v>
          </cell>
          <cell r="AD10111">
            <v>200000</v>
          </cell>
        </row>
        <row r="10112">
          <cell r="W10112" t="str">
            <v>QQIUM07</v>
          </cell>
          <cell r="AD10112">
            <v>200000</v>
          </cell>
        </row>
        <row r="10113">
          <cell r="W10113" t="str">
            <v>QQIUM07</v>
          </cell>
          <cell r="AD10113">
            <v>200000</v>
          </cell>
        </row>
        <row r="10114">
          <cell r="W10114" t="str">
            <v>QQIUM08</v>
          </cell>
          <cell r="AD10114">
            <v>21000</v>
          </cell>
        </row>
        <row r="10115">
          <cell r="W10115" t="str">
            <v>QQIUM08</v>
          </cell>
          <cell r="AD10115">
            <v>21500</v>
          </cell>
        </row>
        <row r="10116">
          <cell r="W10116" t="str">
            <v>QQIUM08</v>
          </cell>
          <cell r="AD10116">
            <v>21500</v>
          </cell>
        </row>
        <row r="10117">
          <cell r="W10117" t="str">
            <v>QQIUM08</v>
          </cell>
          <cell r="AD10117">
            <v>21500</v>
          </cell>
        </row>
        <row r="10118">
          <cell r="W10118" t="str">
            <v>QQIUM08</v>
          </cell>
          <cell r="AD10118">
            <v>21500</v>
          </cell>
        </row>
        <row r="10119">
          <cell r="W10119" t="str">
            <v>QQIUM08</v>
          </cell>
          <cell r="AD10119">
            <v>21500</v>
          </cell>
        </row>
        <row r="10120">
          <cell r="W10120" t="str">
            <v>QQIUM08</v>
          </cell>
          <cell r="AD10120">
            <v>21500</v>
          </cell>
        </row>
        <row r="10121">
          <cell r="W10121" t="str">
            <v>QQIUM08</v>
          </cell>
          <cell r="AD10121">
            <v>21500</v>
          </cell>
        </row>
        <row r="10122">
          <cell r="W10122" t="str">
            <v>QQIUM08</v>
          </cell>
          <cell r="AD10122">
            <v>21500</v>
          </cell>
        </row>
        <row r="10123">
          <cell r="W10123" t="str">
            <v>QQIUM08</v>
          </cell>
          <cell r="AD10123">
            <v>21500</v>
          </cell>
        </row>
        <row r="10124">
          <cell r="W10124" t="str">
            <v>QQIUM08</v>
          </cell>
          <cell r="AD10124">
            <v>21500</v>
          </cell>
        </row>
        <row r="10125">
          <cell r="W10125" t="str">
            <v>QQIUM08</v>
          </cell>
          <cell r="AD10125">
            <v>21500</v>
          </cell>
        </row>
        <row r="10126">
          <cell r="W10126" t="str">
            <v>QQIUM08</v>
          </cell>
          <cell r="AD10126">
            <v>21500</v>
          </cell>
        </row>
        <row r="10127">
          <cell r="W10127" t="str">
            <v>QQIUM08</v>
          </cell>
          <cell r="AD10127">
            <v>21500</v>
          </cell>
        </row>
        <row r="10128">
          <cell r="W10128" t="str">
            <v>QQIUM08</v>
          </cell>
          <cell r="AD10128">
            <v>21500</v>
          </cell>
        </row>
        <row r="10129">
          <cell r="W10129" t="str">
            <v>QQIUM08</v>
          </cell>
          <cell r="AD10129">
            <v>21500</v>
          </cell>
        </row>
        <row r="10130">
          <cell r="W10130" t="str">
            <v>QQIUM08</v>
          </cell>
          <cell r="AD10130">
            <v>21500</v>
          </cell>
        </row>
        <row r="10131">
          <cell r="W10131" t="str">
            <v>QQIUM08</v>
          </cell>
          <cell r="AD10131">
            <v>21500</v>
          </cell>
        </row>
        <row r="10132">
          <cell r="W10132" t="str">
            <v>QQIUM08</v>
          </cell>
          <cell r="AD10132">
            <v>21500</v>
          </cell>
        </row>
        <row r="10133">
          <cell r="W10133" t="str">
            <v>QQIUM08</v>
          </cell>
          <cell r="AD10133">
            <v>21500</v>
          </cell>
        </row>
        <row r="10134">
          <cell r="W10134" t="str">
            <v>QQIUM08</v>
          </cell>
          <cell r="AD10134">
            <v>21500</v>
          </cell>
        </row>
        <row r="10135">
          <cell r="W10135" t="str">
            <v>QQIUM08</v>
          </cell>
          <cell r="AD10135">
            <v>21500</v>
          </cell>
        </row>
        <row r="10136">
          <cell r="W10136" t="str">
            <v>QQIUM08</v>
          </cell>
          <cell r="AD10136">
            <v>21500</v>
          </cell>
        </row>
        <row r="10137">
          <cell r="W10137" t="str">
            <v>QQIUM08</v>
          </cell>
          <cell r="AD10137">
            <v>21500</v>
          </cell>
        </row>
        <row r="10138">
          <cell r="W10138" t="str">
            <v>QQIUM08</v>
          </cell>
          <cell r="AD10138">
            <v>21500</v>
          </cell>
        </row>
        <row r="10139">
          <cell r="W10139" t="str">
            <v>QQIUM08</v>
          </cell>
          <cell r="AD10139">
            <v>28000</v>
          </cell>
        </row>
        <row r="10140">
          <cell r="W10140" t="str">
            <v>QQIUM08</v>
          </cell>
          <cell r="AD10140">
            <v>30000</v>
          </cell>
        </row>
        <row r="10141">
          <cell r="W10141" t="str">
            <v>QQIUM08</v>
          </cell>
          <cell r="AD10141">
            <v>30000</v>
          </cell>
        </row>
        <row r="10142">
          <cell r="W10142" t="str">
            <v>QQIUM08</v>
          </cell>
          <cell r="AD10142">
            <v>30000</v>
          </cell>
        </row>
        <row r="10143">
          <cell r="W10143" t="str">
            <v>QQIUM08</v>
          </cell>
          <cell r="AD10143">
            <v>30000</v>
          </cell>
        </row>
        <row r="10144">
          <cell r="W10144" t="str">
            <v>QQIUM03</v>
          </cell>
          <cell r="AD10144">
            <v>105000</v>
          </cell>
        </row>
        <row r="10145">
          <cell r="W10145" t="str">
            <v>QQIUM03</v>
          </cell>
          <cell r="AD10145">
            <v>105000</v>
          </cell>
        </row>
        <row r="10146">
          <cell r="W10146" t="str">
            <v>QQIUM03</v>
          </cell>
          <cell r="AD10146">
            <v>105000</v>
          </cell>
        </row>
        <row r="10147">
          <cell r="W10147" t="str">
            <v>QQIUM03</v>
          </cell>
          <cell r="AD10147">
            <v>105000</v>
          </cell>
        </row>
        <row r="10148">
          <cell r="W10148" t="str">
            <v>QQIUM03</v>
          </cell>
          <cell r="AD10148">
            <v>105000</v>
          </cell>
        </row>
        <row r="10149">
          <cell r="W10149" t="str">
            <v>QQIUM03</v>
          </cell>
          <cell r="AD10149">
            <v>105000</v>
          </cell>
        </row>
        <row r="10150">
          <cell r="W10150" t="str">
            <v>QQIUM03</v>
          </cell>
          <cell r="AD10150">
            <v>105000</v>
          </cell>
        </row>
        <row r="10151">
          <cell r="W10151" t="str">
            <v>QQIUM03</v>
          </cell>
          <cell r="AD10151">
            <v>105000</v>
          </cell>
        </row>
        <row r="10152">
          <cell r="W10152" t="str">
            <v>QQIUM03</v>
          </cell>
          <cell r="AD10152">
            <v>105000</v>
          </cell>
        </row>
        <row r="10153">
          <cell r="W10153" t="str">
            <v>QQIUM03</v>
          </cell>
          <cell r="AD10153">
            <v>105000</v>
          </cell>
        </row>
        <row r="10154">
          <cell r="W10154" t="str">
            <v>QQIUM03</v>
          </cell>
          <cell r="AD10154">
            <v>105000</v>
          </cell>
        </row>
        <row r="10155">
          <cell r="W10155" t="str">
            <v>QQIUM03</v>
          </cell>
          <cell r="AD10155">
            <v>105000</v>
          </cell>
        </row>
        <row r="10156">
          <cell r="W10156" t="str">
            <v>QQIUM03</v>
          </cell>
          <cell r="AD10156">
            <v>105000</v>
          </cell>
        </row>
        <row r="10157">
          <cell r="W10157" t="str">
            <v>QQIUM03</v>
          </cell>
          <cell r="AD10157">
            <v>105000</v>
          </cell>
        </row>
        <row r="10158">
          <cell r="W10158" t="str">
            <v>QQIUM03</v>
          </cell>
          <cell r="AD10158">
            <v>105000</v>
          </cell>
        </row>
        <row r="10159">
          <cell r="W10159" t="str">
            <v>QQIUM03</v>
          </cell>
          <cell r="AD10159">
            <v>140000</v>
          </cell>
        </row>
        <row r="10160">
          <cell r="W10160" t="str">
            <v>AQIUM06</v>
          </cell>
          <cell r="AD10160">
            <v>38000</v>
          </cell>
        </row>
        <row r="10161">
          <cell r="W10161" t="str">
            <v>QQIUM06</v>
          </cell>
          <cell r="AD10161">
            <v>53000</v>
          </cell>
        </row>
        <row r="10162">
          <cell r="W10162" t="str">
            <v>QQIUM06</v>
          </cell>
          <cell r="AD10162">
            <v>53000</v>
          </cell>
        </row>
        <row r="10163">
          <cell r="W10163" t="str">
            <v>QQIUM06</v>
          </cell>
          <cell r="AD10163">
            <v>53000</v>
          </cell>
        </row>
        <row r="10164">
          <cell r="W10164" t="str">
            <v>QQIUM06</v>
          </cell>
          <cell r="AD10164">
            <v>53000</v>
          </cell>
        </row>
        <row r="10165">
          <cell r="W10165" t="str">
            <v>QQIUM06</v>
          </cell>
          <cell r="AD10165">
            <v>53000</v>
          </cell>
        </row>
        <row r="10166">
          <cell r="W10166" t="str">
            <v>QQIUM06</v>
          </cell>
          <cell r="AD10166">
            <v>53000</v>
          </cell>
        </row>
        <row r="10167">
          <cell r="W10167" t="str">
            <v>QQIUM06</v>
          </cell>
          <cell r="AD10167">
            <v>53000</v>
          </cell>
        </row>
        <row r="10168">
          <cell r="W10168" t="str">
            <v>QQIUM06</v>
          </cell>
          <cell r="AD10168">
            <v>53000</v>
          </cell>
        </row>
        <row r="10169">
          <cell r="W10169" t="str">
            <v>QQIUM06</v>
          </cell>
          <cell r="AD10169">
            <v>53000</v>
          </cell>
        </row>
        <row r="10170">
          <cell r="W10170" t="str">
            <v>QQIUM06</v>
          </cell>
          <cell r="AD10170">
            <v>53000</v>
          </cell>
        </row>
        <row r="10171">
          <cell r="W10171" t="str">
            <v>QQIUM06</v>
          </cell>
          <cell r="AD10171">
            <v>53000</v>
          </cell>
        </row>
        <row r="10172">
          <cell r="W10172" t="str">
            <v>QQIUM06</v>
          </cell>
          <cell r="AD10172">
            <v>53000</v>
          </cell>
        </row>
        <row r="10173">
          <cell r="W10173" t="str">
            <v>QQIUM06</v>
          </cell>
          <cell r="AD10173">
            <v>53000</v>
          </cell>
        </row>
        <row r="10174">
          <cell r="W10174" t="str">
            <v>QQIUM06</v>
          </cell>
          <cell r="AD10174">
            <v>53000</v>
          </cell>
        </row>
        <row r="10175">
          <cell r="W10175" t="str">
            <v>QQIUM06</v>
          </cell>
          <cell r="AD10175">
            <v>53000</v>
          </cell>
        </row>
        <row r="10176">
          <cell r="W10176" t="str">
            <v>QQIUM06</v>
          </cell>
          <cell r="AD10176">
            <v>53000</v>
          </cell>
        </row>
        <row r="10177">
          <cell r="W10177" t="str">
            <v>QQIUM06</v>
          </cell>
          <cell r="AD10177">
            <v>53000</v>
          </cell>
        </row>
        <row r="10178">
          <cell r="W10178" t="str">
            <v>QQIUM06</v>
          </cell>
          <cell r="AD10178">
            <v>53000</v>
          </cell>
        </row>
        <row r="10179">
          <cell r="W10179" t="str">
            <v>QQIUM06</v>
          </cell>
          <cell r="AD10179">
            <v>53000</v>
          </cell>
        </row>
        <row r="10180">
          <cell r="W10180" t="str">
            <v>QQIUM06</v>
          </cell>
          <cell r="AD10180">
            <v>53000</v>
          </cell>
        </row>
        <row r="10181">
          <cell r="W10181" t="str">
            <v>QQIUM06</v>
          </cell>
          <cell r="AD10181">
            <v>53000</v>
          </cell>
        </row>
        <row r="10182">
          <cell r="W10182" t="str">
            <v>QQIUM06</v>
          </cell>
          <cell r="AD10182">
            <v>55000</v>
          </cell>
        </row>
        <row r="10183">
          <cell r="W10183" t="str">
            <v>QQIUM06</v>
          </cell>
          <cell r="AD10183">
            <v>61000</v>
          </cell>
        </row>
        <row r="10184">
          <cell r="W10184" t="str">
            <v>QQIUM06</v>
          </cell>
          <cell r="AD10184">
            <v>65000</v>
          </cell>
        </row>
        <row r="10185">
          <cell r="W10185" t="str">
            <v>QQIUM06</v>
          </cell>
          <cell r="AD10185">
            <v>68000</v>
          </cell>
        </row>
        <row r="10186">
          <cell r="W10186" t="str">
            <v>QQIUM06</v>
          </cell>
          <cell r="AD10186">
            <v>68000</v>
          </cell>
        </row>
        <row r="10187">
          <cell r="W10187" t="str">
            <v>QQIUM06</v>
          </cell>
          <cell r="AD10187">
            <v>68000</v>
          </cell>
        </row>
        <row r="10188">
          <cell r="W10188" t="str">
            <v>QQIUM06</v>
          </cell>
          <cell r="AD10188">
            <v>68000</v>
          </cell>
        </row>
        <row r="10189">
          <cell r="W10189" t="str">
            <v>QQIUM06</v>
          </cell>
          <cell r="AD10189">
            <v>70000</v>
          </cell>
        </row>
        <row r="10190">
          <cell r="W10190" t="str">
            <v>QQIUM06</v>
          </cell>
          <cell r="AD10190">
            <v>70000</v>
          </cell>
        </row>
        <row r="10191">
          <cell r="W10191" t="str">
            <v>QQIUM06</v>
          </cell>
          <cell r="AD10191">
            <v>70000</v>
          </cell>
        </row>
        <row r="10192">
          <cell r="W10192" t="str">
            <v>QQIUM06</v>
          </cell>
          <cell r="AD10192">
            <v>70000</v>
          </cell>
        </row>
        <row r="10193">
          <cell r="W10193" t="str">
            <v>QQIUM06</v>
          </cell>
          <cell r="AD10193">
            <v>73000</v>
          </cell>
        </row>
        <row r="10194">
          <cell r="W10194" t="str">
            <v>QQIUM06</v>
          </cell>
          <cell r="AD10194">
            <v>73000</v>
          </cell>
        </row>
        <row r="10195">
          <cell r="W10195" t="str">
            <v>QQIUN01</v>
          </cell>
          <cell r="AD10195">
            <v>82500</v>
          </cell>
        </row>
        <row r="10196">
          <cell r="W10196" t="str">
            <v>QQIUN01</v>
          </cell>
          <cell r="AD10196">
            <v>82500</v>
          </cell>
        </row>
        <row r="10197">
          <cell r="W10197" t="str">
            <v>QQIUN01</v>
          </cell>
          <cell r="AD10197">
            <v>82500</v>
          </cell>
        </row>
        <row r="10198">
          <cell r="W10198" t="str">
            <v>QQIUS02</v>
          </cell>
          <cell r="AD10198">
            <v>195000</v>
          </cell>
        </row>
        <row r="10199">
          <cell r="W10199" t="str">
            <v>QQIUT02</v>
          </cell>
          <cell r="AD10199">
            <v>71000</v>
          </cell>
        </row>
        <row r="10200">
          <cell r="W10200" t="str">
            <v>QQIUT02</v>
          </cell>
          <cell r="AD10200">
            <v>71000</v>
          </cell>
        </row>
        <row r="10201">
          <cell r="W10201" t="str">
            <v>QQIUT02</v>
          </cell>
          <cell r="AD10201">
            <v>71000</v>
          </cell>
        </row>
        <row r="10202">
          <cell r="W10202" t="str">
            <v>QQIUT02</v>
          </cell>
          <cell r="AD10202">
            <v>71000</v>
          </cell>
        </row>
        <row r="10203">
          <cell r="W10203" t="str">
            <v>QQIUT02</v>
          </cell>
          <cell r="AD10203">
            <v>71000</v>
          </cell>
        </row>
        <row r="10204">
          <cell r="W10204" t="str">
            <v>QQIUT02</v>
          </cell>
          <cell r="AD10204">
            <v>71000</v>
          </cell>
        </row>
        <row r="10205">
          <cell r="W10205" t="str">
            <v>QQIUT02</v>
          </cell>
          <cell r="AD10205">
            <v>71000</v>
          </cell>
        </row>
        <row r="10206">
          <cell r="W10206" t="str">
            <v>QQIUT02</v>
          </cell>
          <cell r="AD10206">
            <v>71000</v>
          </cell>
        </row>
        <row r="10207">
          <cell r="W10207" t="str">
            <v>QQIUT02</v>
          </cell>
          <cell r="AD10207">
            <v>71000</v>
          </cell>
        </row>
        <row r="10208">
          <cell r="W10208" t="str">
            <v>QQIUV01</v>
          </cell>
          <cell r="AD10208">
            <v>4725</v>
          </cell>
        </row>
        <row r="10209">
          <cell r="W10209" t="str">
            <v>QQIUV01</v>
          </cell>
          <cell r="AD10209">
            <v>4725</v>
          </cell>
        </row>
        <row r="10210">
          <cell r="W10210" t="str">
            <v>QQIUV01</v>
          </cell>
          <cell r="AD10210">
            <v>4725</v>
          </cell>
        </row>
        <row r="10211">
          <cell r="W10211" t="str">
            <v>QQIUV01</v>
          </cell>
          <cell r="AD10211">
            <v>4725</v>
          </cell>
        </row>
        <row r="10212">
          <cell r="W10212" t="str">
            <v>QQIUV01</v>
          </cell>
          <cell r="AD10212">
            <v>9750</v>
          </cell>
        </row>
        <row r="10213">
          <cell r="W10213" t="str">
            <v>QQIUV01</v>
          </cell>
          <cell r="AD10213">
            <v>9750</v>
          </cell>
        </row>
        <row r="10214">
          <cell r="W10214" t="str">
            <v>QQIUV01</v>
          </cell>
          <cell r="AD10214">
            <v>9750</v>
          </cell>
        </row>
        <row r="10215">
          <cell r="W10215" t="str">
            <v>AQIUV04</v>
          </cell>
          <cell r="AD10215">
            <v>9750</v>
          </cell>
        </row>
        <row r="10216">
          <cell r="W10216" t="str">
            <v>QQIUV01</v>
          </cell>
          <cell r="AD10216">
            <v>9750</v>
          </cell>
        </row>
        <row r="10217">
          <cell r="W10217" t="str">
            <v>QQIUV01</v>
          </cell>
          <cell r="AD10217">
            <v>9750</v>
          </cell>
        </row>
        <row r="10218">
          <cell r="W10218" t="str">
            <v>QQIUV01</v>
          </cell>
          <cell r="AD10218">
            <v>9750</v>
          </cell>
        </row>
        <row r="10219">
          <cell r="W10219" t="str">
            <v>QQIUV01</v>
          </cell>
          <cell r="AD10219">
            <v>10000</v>
          </cell>
        </row>
        <row r="10220">
          <cell r="W10220" t="str">
            <v>QQIUV01</v>
          </cell>
          <cell r="AD10220">
            <v>10250</v>
          </cell>
        </row>
        <row r="10221">
          <cell r="W10221" t="str">
            <v>QQIUV01</v>
          </cell>
          <cell r="AD10221">
            <v>10750</v>
          </cell>
        </row>
        <row r="10222">
          <cell r="W10222" t="str">
            <v>QQIUV01</v>
          </cell>
          <cell r="AD10222">
            <v>13500</v>
          </cell>
        </row>
        <row r="10223">
          <cell r="W10223" t="str">
            <v>QQIUV01</v>
          </cell>
          <cell r="AD10223">
            <v>13500</v>
          </cell>
        </row>
        <row r="10224">
          <cell r="W10224" t="str">
            <v>QQIUV01</v>
          </cell>
          <cell r="AD10224">
            <v>13500</v>
          </cell>
        </row>
        <row r="10225">
          <cell r="W10225" t="str">
            <v>QQIUV02</v>
          </cell>
          <cell r="AD10225">
            <v>29500</v>
          </cell>
        </row>
        <row r="10226">
          <cell r="W10226" t="str">
            <v>QQIUV02</v>
          </cell>
          <cell r="AD10226">
            <v>29500</v>
          </cell>
        </row>
        <row r="10227">
          <cell r="W10227" t="str">
            <v>QQIUV02</v>
          </cell>
          <cell r="AD10227">
            <v>30250</v>
          </cell>
        </row>
        <row r="10228">
          <cell r="W10228" t="str">
            <v>QQIUV02</v>
          </cell>
          <cell r="AD10228">
            <v>30500</v>
          </cell>
        </row>
        <row r="10229">
          <cell r="W10229" t="str">
            <v>QQIUV02</v>
          </cell>
          <cell r="AD10229">
            <v>30500</v>
          </cell>
        </row>
        <row r="10230">
          <cell r="W10230" t="str">
            <v>QQIUV02</v>
          </cell>
          <cell r="AD10230">
            <v>30500</v>
          </cell>
        </row>
        <row r="10231">
          <cell r="W10231" t="str">
            <v>QQIUV02</v>
          </cell>
          <cell r="AD10231">
            <v>30500</v>
          </cell>
        </row>
        <row r="10232">
          <cell r="W10232" t="str">
            <v>QQIUV02</v>
          </cell>
          <cell r="AD10232">
            <v>30500</v>
          </cell>
        </row>
        <row r="10233">
          <cell r="W10233" t="str">
            <v>QQIUV02</v>
          </cell>
          <cell r="AD10233">
            <v>30500</v>
          </cell>
        </row>
        <row r="10234">
          <cell r="W10234" t="str">
            <v>QQIUV02</v>
          </cell>
          <cell r="AD10234">
            <v>30500</v>
          </cell>
        </row>
        <row r="10235">
          <cell r="W10235" t="str">
            <v>QQIUV02</v>
          </cell>
          <cell r="AD10235">
            <v>30500</v>
          </cell>
        </row>
        <row r="10236">
          <cell r="W10236" t="str">
            <v>QQIUV02</v>
          </cell>
          <cell r="AD10236">
            <v>30500</v>
          </cell>
        </row>
        <row r="10237">
          <cell r="W10237" t="str">
            <v>QQIUV02</v>
          </cell>
          <cell r="AD10237">
            <v>30500</v>
          </cell>
        </row>
        <row r="10238">
          <cell r="W10238" t="str">
            <v>QQIUV02</v>
          </cell>
          <cell r="AD10238">
            <v>30500</v>
          </cell>
        </row>
        <row r="10239">
          <cell r="W10239" t="str">
            <v>QQIUV02</v>
          </cell>
          <cell r="AD10239">
            <v>30500</v>
          </cell>
        </row>
        <row r="10240">
          <cell r="W10240" t="str">
            <v>QQIUV02</v>
          </cell>
          <cell r="AD10240">
            <v>30500</v>
          </cell>
        </row>
        <row r="10241">
          <cell r="W10241" t="str">
            <v>QQIUV02</v>
          </cell>
          <cell r="AD10241">
            <v>30500</v>
          </cell>
        </row>
        <row r="10242">
          <cell r="W10242" t="str">
            <v>QQIUV02</v>
          </cell>
          <cell r="AD10242">
            <v>30500</v>
          </cell>
        </row>
        <row r="10243">
          <cell r="W10243" t="str">
            <v>QQIUV02</v>
          </cell>
          <cell r="AD10243">
            <v>30500</v>
          </cell>
        </row>
        <row r="10244">
          <cell r="W10244" t="str">
            <v>QQIUV02</v>
          </cell>
          <cell r="AD10244">
            <v>30500</v>
          </cell>
        </row>
        <row r="10245">
          <cell r="W10245" t="str">
            <v>QQIUV02</v>
          </cell>
          <cell r="AD10245">
            <v>30500</v>
          </cell>
        </row>
        <row r="10246">
          <cell r="W10246" t="str">
            <v>QQIUV02</v>
          </cell>
          <cell r="AD10246">
            <v>30500</v>
          </cell>
        </row>
        <row r="10247">
          <cell r="W10247" t="str">
            <v>QQIUV02</v>
          </cell>
          <cell r="AD10247">
            <v>30500</v>
          </cell>
        </row>
        <row r="10248">
          <cell r="W10248" t="str">
            <v>QQIUV02</v>
          </cell>
          <cell r="AD10248">
            <v>30500</v>
          </cell>
        </row>
        <row r="10249">
          <cell r="W10249" t="str">
            <v>QQIUV02</v>
          </cell>
          <cell r="AD10249">
            <v>30500</v>
          </cell>
        </row>
        <row r="10250">
          <cell r="W10250" t="str">
            <v>QQIUV02</v>
          </cell>
          <cell r="AD10250">
            <v>30500</v>
          </cell>
        </row>
        <row r="10251">
          <cell r="W10251" t="str">
            <v>QQIUV02</v>
          </cell>
          <cell r="AD10251">
            <v>30500</v>
          </cell>
        </row>
        <row r="10252">
          <cell r="W10252" t="str">
            <v>QQIUV02</v>
          </cell>
          <cell r="AD10252">
            <v>30500</v>
          </cell>
        </row>
        <row r="10253">
          <cell r="W10253" t="str">
            <v>QQIUV02</v>
          </cell>
          <cell r="AD10253">
            <v>30500</v>
          </cell>
        </row>
        <row r="10254">
          <cell r="W10254" t="str">
            <v>QQIUV02</v>
          </cell>
          <cell r="AD10254">
            <v>30500</v>
          </cell>
        </row>
        <row r="10255">
          <cell r="W10255" t="str">
            <v>QQIUV02</v>
          </cell>
          <cell r="AD10255">
            <v>30500</v>
          </cell>
        </row>
        <row r="10256">
          <cell r="W10256" t="str">
            <v>QQIUV02</v>
          </cell>
          <cell r="AD10256">
            <v>30500</v>
          </cell>
        </row>
        <row r="10257">
          <cell r="W10257" t="str">
            <v>QQIUV02</v>
          </cell>
          <cell r="AD10257">
            <v>30500</v>
          </cell>
        </row>
        <row r="10258">
          <cell r="W10258" t="str">
            <v>QQIUV02</v>
          </cell>
          <cell r="AD10258">
            <v>30500</v>
          </cell>
        </row>
        <row r="10259">
          <cell r="W10259" t="str">
            <v>QQIUV02</v>
          </cell>
          <cell r="AD10259">
            <v>30500</v>
          </cell>
        </row>
        <row r="10260">
          <cell r="W10260" t="str">
            <v>QQIUV02</v>
          </cell>
          <cell r="AD10260">
            <v>30500</v>
          </cell>
        </row>
        <row r="10261">
          <cell r="W10261" t="str">
            <v>QQIUV02</v>
          </cell>
          <cell r="AD10261">
            <v>30500</v>
          </cell>
        </row>
        <row r="10262">
          <cell r="W10262" t="str">
            <v>QQIUV02</v>
          </cell>
          <cell r="AD10262">
            <v>30500</v>
          </cell>
        </row>
        <row r="10263">
          <cell r="W10263" t="str">
            <v>QQIUV02</v>
          </cell>
          <cell r="AD10263">
            <v>30500</v>
          </cell>
        </row>
        <row r="10264">
          <cell r="W10264" t="str">
            <v>QQIUV02</v>
          </cell>
          <cell r="AD10264">
            <v>30500</v>
          </cell>
        </row>
        <row r="10265">
          <cell r="W10265" t="str">
            <v>QQIUV02</v>
          </cell>
          <cell r="AD10265">
            <v>30500</v>
          </cell>
        </row>
        <row r="10266">
          <cell r="W10266" t="str">
            <v>QQIUV02</v>
          </cell>
          <cell r="AD10266">
            <v>30500</v>
          </cell>
        </row>
        <row r="10267">
          <cell r="W10267" t="str">
            <v>QQIUV02</v>
          </cell>
          <cell r="AD10267">
            <v>30500</v>
          </cell>
        </row>
        <row r="10268">
          <cell r="W10268" t="str">
            <v>QQIUV02</v>
          </cell>
          <cell r="AD10268">
            <v>30500</v>
          </cell>
        </row>
        <row r="10269">
          <cell r="W10269" t="str">
            <v>QQIUV02</v>
          </cell>
          <cell r="AD10269">
            <v>30500</v>
          </cell>
        </row>
        <row r="10270">
          <cell r="W10270" t="str">
            <v>QQIUV02</v>
          </cell>
          <cell r="AD10270">
            <v>30500</v>
          </cell>
        </row>
        <row r="10271">
          <cell r="W10271" t="str">
            <v>QQIUV02</v>
          </cell>
          <cell r="AD10271">
            <v>30500</v>
          </cell>
        </row>
        <row r="10272">
          <cell r="W10272" t="str">
            <v>QQIUV02</v>
          </cell>
          <cell r="AD10272">
            <v>30500</v>
          </cell>
        </row>
        <row r="10273">
          <cell r="W10273" t="str">
            <v>QQIUV02</v>
          </cell>
          <cell r="AD10273">
            <v>32500</v>
          </cell>
        </row>
        <row r="10274">
          <cell r="W10274" t="str">
            <v>QQIUV02</v>
          </cell>
          <cell r="AD10274">
            <v>32500</v>
          </cell>
        </row>
        <row r="10275">
          <cell r="W10275" t="str">
            <v>QQIUV02</v>
          </cell>
          <cell r="AD10275">
            <v>32500</v>
          </cell>
        </row>
        <row r="10276">
          <cell r="W10276" t="str">
            <v>QQIUV02</v>
          </cell>
          <cell r="AD10276">
            <v>32500</v>
          </cell>
        </row>
        <row r="10277">
          <cell r="W10277" t="str">
            <v>QQIUV02</v>
          </cell>
          <cell r="AD10277">
            <v>32500</v>
          </cell>
        </row>
        <row r="10278">
          <cell r="W10278" t="str">
            <v>QQIUV02</v>
          </cell>
          <cell r="AD10278">
            <v>32500</v>
          </cell>
        </row>
        <row r="10279">
          <cell r="W10279" t="str">
            <v>QQIUV02</v>
          </cell>
          <cell r="AD10279">
            <v>32500</v>
          </cell>
        </row>
        <row r="10280">
          <cell r="W10280" t="str">
            <v>QQIUV02</v>
          </cell>
          <cell r="AD10280">
            <v>32500</v>
          </cell>
        </row>
        <row r="10281">
          <cell r="W10281" t="str">
            <v>QQIUV02</v>
          </cell>
          <cell r="AD10281">
            <v>32500</v>
          </cell>
        </row>
        <row r="10282">
          <cell r="W10282" t="str">
            <v>QQIUV02</v>
          </cell>
          <cell r="AD10282">
            <v>32500</v>
          </cell>
        </row>
        <row r="10283">
          <cell r="W10283" t="str">
            <v>QQIUV02</v>
          </cell>
          <cell r="AD10283">
            <v>37500</v>
          </cell>
        </row>
        <row r="10284">
          <cell r="W10284" t="str">
            <v>QQIUV02</v>
          </cell>
          <cell r="AD10284">
            <v>40000</v>
          </cell>
        </row>
        <row r="10285">
          <cell r="W10285" t="str">
            <v>QQIUV03</v>
          </cell>
          <cell r="AD10285">
            <v>3770.45</v>
          </cell>
        </row>
        <row r="10286">
          <cell r="W10286" t="str">
            <v>QQIUV03</v>
          </cell>
          <cell r="AD10286">
            <v>4150</v>
          </cell>
        </row>
        <row r="10287">
          <cell r="W10287" t="str">
            <v>QQIUV03</v>
          </cell>
          <cell r="AD10287">
            <v>4150</v>
          </cell>
        </row>
        <row r="10288">
          <cell r="W10288" t="str">
            <v>QQIUV03</v>
          </cell>
          <cell r="AD10288">
            <v>4150</v>
          </cell>
        </row>
        <row r="10289">
          <cell r="W10289" t="str">
            <v>QQIUV03</v>
          </cell>
          <cell r="AD10289">
            <v>4150</v>
          </cell>
        </row>
        <row r="10290">
          <cell r="W10290" t="str">
            <v>QQIUV03</v>
          </cell>
          <cell r="AD10290">
            <v>9750</v>
          </cell>
        </row>
        <row r="10291">
          <cell r="W10291" t="str">
            <v>QQIUV03</v>
          </cell>
          <cell r="AD10291">
            <v>9750</v>
          </cell>
        </row>
        <row r="10292">
          <cell r="W10292" t="str">
            <v>QQIUV03</v>
          </cell>
          <cell r="AD10292">
            <v>9750</v>
          </cell>
        </row>
        <row r="10293">
          <cell r="W10293" t="str">
            <v>QQIUV03</v>
          </cell>
          <cell r="AD10293">
            <v>9750</v>
          </cell>
        </row>
        <row r="10294">
          <cell r="W10294" t="str">
            <v>QQIUV03</v>
          </cell>
          <cell r="AD10294">
            <v>9750</v>
          </cell>
        </row>
        <row r="10295">
          <cell r="W10295" t="str">
            <v>QQIUV03</v>
          </cell>
          <cell r="AD10295">
            <v>9750</v>
          </cell>
        </row>
        <row r="10296">
          <cell r="W10296" t="str">
            <v>QQIUV03</v>
          </cell>
          <cell r="AD10296">
            <v>9750</v>
          </cell>
        </row>
        <row r="10297">
          <cell r="W10297" t="str">
            <v>QQIUV03</v>
          </cell>
          <cell r="AD10297">
            <v>9750</v>
          </cell>
        </row>
        <row r="10298">
          <cell r="W10298" t="str">
            <v>QQIUV03</v>
          </cell>
          <cell r="AD10298">
            <v>9750</v>
          </cell>
        </row>
        <row r="10299">
          <cell r="W10299" t="str">
            <v>QQIUV03</v>
          </cell>
          <cell r="AD10299">
            <v>9750</v>
          </cell>
        </row>
        <row r="10300">
          <cell r="W10300" t="str">
            <v>QQIUV03</v>
          </cell>
          <cell r="AD10300">
            <v>9750</v>
          </cell>
        </row>
        <row r="10301">
          <cell r="W10301" t="str">
            <v>QQIUV03</v>
          </cell>
          <cell r="AD10301">
            <v>9750</v>
          </cell>
        </row>
        <row r="10302">
          <cell r="W10302" t="str">
            <v>QQIUV03</v>
          </cell>
          <cell r="AD10302">
            <v>10000</v>
          </cell>
        </row>
        <row r="10303">
          <cell r="W10303" t="str">
            <v>QQIUV03</v>
          </cell>
          <cell r="AD10303">
            <v>10250</v>
          </cell>
        </row>
        <row r="10304">
          <cell r="W10304" t="str">
            <v>QQIUV03</v>
          </cell>
          <cell r="AD10304">
            <v>10750</v>
          </cell>
        </row>
        <row r="10305">
          <cell r="W10305" t="str">
            <v>QQIUV03</v>
          </cell>
          <cell r="AD10305">
            <v>12000</v>
          </cell>
        </row>
        <row r="10306">
          <cell r="W10306" t="str">
            <v>QQIUV03</v>
          </cell>
          <cell r="AD10306">
            <v>13500</v>
          </cell>
        </row>
        <row r="10307">
          <cell r="W10307" t="str">
            <v>QQIUV04</v>
          </cell>
          <cell r="AD10307">
            <v>15225</v>
          </cell>
        </row>
        <row r="10308">
          <cell r="W10308" t="str">
            <v>QQIUV04</v>
          </cell>
          <cell r="AD10308">
            <v>24950</v>
          </cell>
        </row>
        <row r="10309">
          <cell r="W10309" t="str">
            <v>QQIUV04</v>
          </cell>
          <cell r="AD10309">
            <v>29500</v>
          </cell>
        </row>
        <row r="10310">
          <cell r="W10310" t="str">
            <v>QQIUV04</v>
          </cell>
          <cell r="AD10310">
            <v>29500</v>
          </cell>
        </row>
        <row r="10311">
          <cell r="W10311" t="str">
            <v>QQIUV04</v>
          </cell>
          <cell r="AD10311">
            <v>29500</v>
          </cell>
        </row>
        <row r="10312">
          <cell r="W10312" t="str">
            <v>QQIUV04</v>
          </cell>
          <cell r="AD10312">
            <v>30250</v>
          </cell>
        </row>
        <row r="10313">
          <cell r="W10313" t="str">
            <v>QQIUV04</v>
          </cell>
          <cell r="AD10313">
            <v>30500</v>
          </cell>
        </row>
        <row r="10314">
          <cell r="W10314" t="str">
            <v>QQIUV04</v>
          </cell>
          <cell r="AD10314">
            <v>30500</v>
          </cell>
        </row>
        <row r="10315">
          <cell r="W10315" t="str">
            <v>QQIUV04</v>
          </cell>
          <cell r="AD10315">
            <v>30500</v>
          </cell>
        </row>
        <row r="10316">
          <cell r="W10316" t="str">
            <v>QQIUV04</v>
          </cell>
          <cell r="AD10316">
            <v>30500</v>
          </cell>
        </row>
        <row r="10317">
          <cell r="W10317" t="str">
            <v>QQIUV04</v>
          </cell>
          <cell r="AD10317">
            <v>30500</v>
          </cell>
        </row>
        <row r="10318">
          <cell r="W10318" t="str">
            <v>QQIUV04</v>
          </cell>
          <cell r="AD10318">
            <v>30500</v>
          </cell>
        </row>
        <row r="10319">
          <cell r="W10319" t="str">
            <v>QQIUV04</v>
          </cell>
          <cell r="AD10319">
            <v>30500</v>
          </cell>
        </row>
        <row r="10320">
          <cell r="W10320" t="str">
            <v>QQIUV04</v>
          </cell>
          <cell r="AD10320">
            <v>30500</v>
          </cell>
        </row>
        <row r="10321">
          <cell r="W10321" t="str">
            <v>QQIUV04</v>
          </cell>
          <cell r="AD10321">
            <v>30500</v>
          </cell>
        </row>
        <row r="10322">
          <cell r="W10322" t="str">
            <v>QQIUV04</v>
          </cell>
          <cell r="AD10322">
            <v>30500</v>
          </cell>
        </row>
        <row r="10323">
          <cell r="W10323" t="str">
            <v>QQIUV04</v>
          </cell>
          <cell r="AD10323">
            <v>30500</v>
          </cell>
        </row>
        <row r="10324">
          <cell r="W10324" t="str">
            <v>QQIUV04</v>
          </cell>
          <cell r="AD10324">
            <v>30500</v>
          </cell>
        </row>
        <row r="10325">
          <cell r="W10325" t="str">
            <v>QQIUV04</v>
          </cell>
          <cell r="AD10325">
            <v>30500</v>
          </cell>
        </row>
        <row r="10326">
          <cell r="W10326" t="str">
            <v>QQIUV04</v>
          </cell>
          <cell r="AD10326">
            <v>30500</v>
          </cell>
        </row>
        <row r="10327">
          <cell r="W10327" t="str">
            <v>QQIUV04</v>
          </cell>
          <cell r="AD10327">
            <v>30500</v>
          </cell>
        </row>
        <row r="10328">
          <cell r="W10328" t="str">
            <v>QQIUV04</v>
          </cell>
          <cell r="AD10328">
            <v>30500</v>
          </cell>
        </row>
        <row r="10329">
          <cell r="W10329" t="str">
            <v>QQIUV04</v>
          </cell>
          <cell r="AD10329">
            <v>30500</v>
          </cell>
        </row>
        <row r="10330">
          <cell r="W10330" t="str">
            <v>QQIUV04</v>
          </cell>
          <cell r="AD10330">
            <v>30500</v>
          </cell>
        </row>
        <row r="10331">
          <cell r="W10331" t="str">
            <v>QQIUV04</v>
          </cell>
          <cell r="AD10331">
            <v>30500</v>
          </cell>
        </row>
        <row r="10332">
          <cell r="W10332" t="str">
            <v>QQIUV04</v>
          </cell>
          <cell r="AD10332">
            <v>30500</v>
          </cell>
        </row>
        <row r="10333">
          <cell r="W10333" t="str">
            <v>QQIUV04</v>
          </cell>
          <cell r="AD10333">
            <v>30500</v>
          </cell>
        </row>
        <row r="10334">
          <cell r="W10334" t="str">
            <v>QQIUV04</v>
          </cell>
          <cell r="AD10334">
            <v>30500</v>
          </cell>
        </row>
        <row r="10335">
          <cell r="W10335" t="str">
            <v>QQIUV04</v>
          </cell>
          <cell r="AD10335">
            <v>30500</v>
          </cell>
        </row>
        <row r="10336">
          <cell r="W10336" t="str">
            <v>QQIUV04</v>
          </cell>
          <cell r="AD10336">
            <v>30500</v>
          </cell>
        </row>
        <row r="10337">
          <cell r="W10337" t="str">
            <v>QQIUV04</v>
          </cell>
          <cell r="AD10337">
            <v>30500</v>
          </cell>
        </row>
        <row r="10338">
          <cell r="W10338" t="str">
            <v>QQIUV04</v>
          </cell>
          <cell r="AD10338">
            <v>30500</v>
          </cell>
        </row>
        <row r="10339">
          <cell r="W10339" t="str">
            <v>QQIUV04</v>
          </cell>
          <cell r="AD10339">
            <v>30500</v>
          </cell>
        </row>
        <row r="10340">
          <cell r="W10340" t="str">
            <v>QQIUV04</v>
          </cell>
          <cell r="AD10340">
            <v>30500</v>
          </cell>
        </row>
        <row r="10341">
          <cell r="W10341" t="str">
            <v>QQIUV04</v>
          </cell>
          <cell r="AD10341">
            <v>30500</v>
          </cell>
        </row>
        <row r="10342">
          <cell r="W10342" t="str">
            <v>QQIUV04</v>
          </cell>
          <cell r="AD10342">
            <v>30500</v>
          </cell>
        </row>
        <row r="10343">
          <cell r="W10343" t="str">
            <v>QQIUV04</v>
          </cell>
          <cell r="AD10343">
            <v>30500</v>
          </cell>
        </row>
        <row r="10344">
          <cell r="W10344" t="str">
            <v>QQIUV04</v>
          </cell>
          <cell r="AD10344">
            <v>30500</v>
          </cell>
        </row>
        <row r="10345">
          <cell r="W10345" t="str">
            <v>QQIUV04</v>
          </cell>
          <cell r="AD10345">
            <v>30500</v>
          </cell>
        </row>
        <row r="10346">
          <cell r="W10346" t="str">
            <v>QQIUV04</v>
          </cell>
          <cell r="AD10346">
            <v>30500</v>
          </cell>
        </row>
        <row r="10347">
          <cell r="W10347" t="str">
            <v>QQIUV04</v>
          </cell>
          <cell r="AD10347">
            <v>30500</v>
          </cell>
        </row>
        <row r="10348">
          <cell r="W10348" t="str">
            <v>QQIUV04</v>
          </cell>
          <cell r="AD10348">
            <v>30500</v>
          </cell>
        </row>
        <row r="10349">
          <cell r="W10349" t="str">
            <v>QQIUV04</v>
          </cell>
          <cell r="AD10349">
            <v>30500</v>
          </cell>
        </row>
        <row r="10350">
          <cell r="W10350" t="str">
            <v>QQIUV04</v>
          </cell>
          <cell r="AD10350">
            <v>30500</v>
          </cell>
        </row>
        <row r="10351">
          <cell r="W10351" t="str">
            <v>QQIUV04</v>
          </cell>
          <cell r="AD10351">
            <v>30500</v>
          </cell>
        </row>
        <row r="10352">
          <cell r="W10352" t="str">
            <v>QQIUV04</v>
          </cell>
          <cell r="AD10352">
            <v>30500</v>
          </cell>
        </row>
        <row r="10353">
          <cell r="W10353" t="str">
            <v>QQIUV04</v>
          </cell>
          <cell r="AD10353">
            <v>30500</v>
          </cell>
        </row>
        <row r="10354">
          <cell r="W10354" t="str">
            <v>QQIUV04</v>
          </cell>
          <cell r="AD10354">
            <v>30500</v>
          </cell>
        </row>
        <row r="10355">
          <cell r="W10355" t="str">
            <v>QQIUV04</v>
          </cell>
          <cell r="AD10355">
            <v>30500</v>
          </cell>
        </row>
        <row r="10356">
          <cell r="W10356" t="str">
            <v>QQIUV04</v>
          </cell>
          <cell r="AD10356">
            <v>30500</v>
          </cell>
        </row>
        <row r="10357">
          <cell r="W10357" t="str">
            <v>QQIUV04</v>
          </cell>
          <cell r="AD10357">
            <v>30500</v>
          </cell>
        </row>
        <row r="10358">
          <cell r="W10358" t="str">
            <v>QQIUV04</v>
          </cell>
          <cell r="AD10358">
            <v>30500</v>
          </cell>
        </row>
        <row r="10359">
          <cell r="W10359" t="str">
            <v>QQIUV04</v>
          </cell>
          <cell r="AD10359">
            <v>30500</v>
          </cell>
        </row>
        <row r="10360">
          <cell r="W10360" t="str">
            <v>QQIUV04</v>
          </cell>
          <cell r="AD10360">
            <v>30500</v>
          </cell>
        </row>
        <row r="10361">
          <cell r="W10361" t="str">
            <v>QQIUV04</v>
          </cell>
          <cell r="AD10361">
            <v>30500</v>
          </cell>
        </row>
        <row r="10362">
          <cell r="W10362" t="str">
            <v>QQIUV04</v>
          </cell>
          <cell r="AD10362">
            <v>30500</v>
          </cell>
        </row>
        <row r="10363">
          <cell r="W10363" t="str">
            <v>QQIUV04</v>
          </cell>
          <cell r="AD10363">
            <v>30500</v>
          </cell>
        </row>
        <row r="10364">
          <cell r="W10364" t="str">
            <v>QQIUV04</v>
          </cell>
          <cell r="AD10364">
            <v>30500</v>
          </cell>
        </row>
        <row r="10365">
          <cell r="W10365" t="str">
            <v>QQIUV04</v>
          </cell>
          <cell r="AD10365">
            <v>30500</v>
          </cell>
        </row>
        <row r="10366">
          <cell r="W10366" t="str">
            <v>QQIUV04</v>
          </cell>
          <cell r="AD10366">
            <v>30500</v>
          </cell>
        </row>
        <row r="10367">
          <cell r="W10367" t="str">
            <v>QQIUV04</v>
          </cell>
          <cell r="AD10367">
            <v>30500</v>
          </cell>
        </row>
        <row r="10368">
          <cell r="W10368" t="str">
            <v>QQIUV04</v>
          </cell>
          <cell r="AD10368">
            <v>30500</v>
          </cell>
        </row>
        <row r="10369">
          <cell r="W10369" t="str">
            <v>QQIUV04</v>
          </cell>
          <cell r="AD10369">
            <v>30500</v>
          </cell>
        </row>
        <row r="10370">
          <cell r="W10370" t="str">
            <v>QQIUV04</v>
          </cell>
          <cell r="AD10370">
            <v>30500</v>
          </cell>
        </row>
        <row r="10371">
          <cell r="W10371" t="str">
            <v>QQIUV04</v>
          </cell>
          <cell r="AD10371">
            <v>30500</v>
          </cell>
        </row>
        <row r="10372">
          <cell r="W10372" t="str">
            <v>QQIUV04</v>
          </cell>
          <cell r="AD10372">
            <v>30500</v>
          </cell>
        </row>
        <row r="10373">
          <cell r="W10373" t="str">
            <v>QQIUV04</v>
          </cell>
          <cell r="AD10373">
            <v>30500</v>
          </cell>
        </row>
        <row r="10374">
          <cell r="W10374" t="str">
            <v>QQIUV04</v>
          </cell>
          <cell r="AD10374">
            <v>30500</v>
          </cell>
        </row>
        <row r="10375">
          <cell r="W10375" t="str">
            <v>QQIUV04</v>
          </cell>
          <cell r="AD10375">
            <v>30500</v>
          </cell>
        </row>
        <row r="10376">
          <cell r="W10376" t="str">
            <v>QQIUV04</v>
          </cell>
          <cell r="AD10376">
            <v>30500</v>
          </cell>
        </row>
        <row r="10377">
          <cell r="W10377" t="str">
            <v>QQIUV04</v>
          </cell>
          <cell r="AD10377">
            <v>30500</v>
          </cell>
        </row>
        <row r="10378">
          <cell r="W10378" t="str">
            <v>QQIUV04</v>
          </cell>
          <cell r="AD10378">
            <v>30500</v>
          </cell>
        </row>
        <row r="10379">
          <cell r="W10379" t="str">
            <v>QQIUV04</v>
          </cell>
          <cell r="AD10379">
            <v>30500</v>
          </cell>
        </row>
        <row r="10380">
          <cell r="W10380" t="str">
            <v>QQIUV04</v>
          </cell>
          <cell r="AD10380">
            <v>30500</v>
          </cell>
        </row>
        <row r="10381">
          <cell r="W10381" t="str">
            <v>QQIUV04</v>
          </cell>
          <cell r="AD10381">
            <v>30500</v>
          </cell>
        </row>
        <row r="10382">
          <cell r="W10382" t="str">
            <v>QQIUV04</v>
          </cell>
          <cell r="AD10382">
            <v>30500</v>
          </cell>
        </row>
        <row r="10383">
          <cell r="W10383" t="str">
            <v>QQIUV04</v>
          </cell>
          <cell r="AD10383">
            <v>30500</v>
          </cell>
        </row>
        <row r="10384">
          <cell r="W10384" t="str">
            <v>QQIUV04</v>
          </cell>
          <cell r="AD10384">
            <v>30500</v>
          </cell>
        </row>
        <row r="10385">
          <cell r="W10385" t="str">
            <v>QQIUV04</v>
          </cell>
          <cell r="AD10385">
            <v>30500</v>
          </cell>
        </row>
        <row r="10386">
          <cell r="W10386" t="str">
            <v>QQIUV04</v>
          </cell>
          <cell r="AD10386">
            <v>30500</v>
          </cell>
        </row>
        <row r="10387">
          <cell r="W10387" t="str">
            <v>QQIUV04</v>
          </cell>
          <cell r="AD10387">
            <v>30500</v>
          </cell>
        </row>
        <row r="10388">
          <cell r="W10388" t="str">
            <v>QQIUV04</v>
          </cell>
          <cell r="AD10388">
            <v>30500</v>
          </cell>
        </row>
        <row r="10389">
          <cell r="W10389" t="str">
            <v>QQIUV04</v>
          </cell>
          <cell r="AD10389">
            <v>30500</v>
          </cell>
        </row>
        <row r="10390">
          <cell r="W10390" t="str">
            <v>QQIUV04</v>
          </cell>
          <cell r="AD10390">
            <v>30500</v>
          </cell>
        </row>
        <row r="10391">
          <cell r="W10391" t="str">
            <v>QQIUV04</v>
          </cell>
          <cell r="AD10391">
            <v>30500</v>
          </cell>
        </row>
        <row r="10392">
          <cell r="W10392" t="str">
            <v>QQIUV04</v>
          </cell>
          <cell r="AD10392">
            <v>30500</v>
          </cell>
        </row>
        <row r="10393">
          <cell r="W10393" t="str">
            <v>QQIUV04</v>
          </cell>
          <cell r="AD10393">
            <v>30500</v>
          </cell>
        </row>
        <row r="10394">
          <cell r="W10394" t="str">
            <v>QQIUV04</v>
          </cell>
          <cell r="AD10394">
            <v>30500</v>
          </cell>
        </row>
        <row r="10395">
          <cell r="W10395" t="str">
            <v>QQIUV04</v>
          </cell>
          <cell r="AD10395">
            <v>30500</v>
          </cell>
        </row>
        <row r="10396">
          <cell r="W10396" t="str">
            <v>QQIUV04</v>
          </cell>
          <cell r="AD10396">
            <v>30500</v>
          </cell>
        </row>
        <row r="10397">
          <cell r="W10397" t="str">
            <v>QQIUV04</v>
          </cell>
          <cell r="AD10397">
            <v>30500</v>
          </cell>
        </row>
        <row r="10398">
          <cell r="W10398" t="str">
            <v>QQIUV04</v>
          </cell>
          <cell r="AD10398">
            <v>30500</v>
          </cell>
        </row>
        <row r="10399">
          <cell r="W10399" t="str">
            <v>QQIUV04</v>
          </cell>
          <cell r="AD10399">
            <v>30500</v>
          </cell>
        </row>
        <row r="10400">
          <cell r="W10400" t="str">
            <v>QQIUV04</v>
          </cell>
          <cell r="AD10400">
            <v>32500</v>
          </cell>
        </row>
        <row r="10401">
          <cell r="W10401" t="str">
            <v>QQIUV04</v>
          </cell>
          <cell r="AD10401">
            <v>32500</v>
          </cell>
        </row>
        <row r="10402">
          <cell r="W10402" t="str">
            <v>QQIUV04</v>
          </cell>
          <cell r="AD10402">
            <v>32500</v>
          </cell>
        </row>
        <row r="10403">
          <cell r="W10403" t="str">
            <v>QQIUV04</v>
          </cell>
          <cell r="AD10403">
            <v>32500</v>
          </cell>
        </row>
        <row r="10404">
          <cell r="W10404" t="str">
            <v>QQIUV04</v>
          </cell>
          <cell r="AD10404">
            <v>32500</v>
          </cell>
        </row>
        <row r="10405">
          <cell r="W10405" t="str">
            <v>QQIUV04</v>
          </cell>
          <cell r="AD10405">
            <v>32500</v>
          </cell>
        </row>
        <row r="10406">
          <cell r="W10406" t="str">
            <v>QQIUV04</v>
          </cell>
          <cell r="AD10406">
            <v>32500</v>
          </cell>
        </row>
        <row r="10407">
          <cell r="W10407" t="str">
            <v>QQIUV04</v>
          </cell>
          <cell r="AD10407">
            <v>32500</v>
          </cell>
        </row>
        <row r="10408">
          <cell r="W10408" t="str">
            <v>QQIUV04</v>
          </cell>
          <cell r="AD10408">
            <v>32500</v>
          </cell>
        </row>
        <row r="10409">
          <cell r="W10409" t="str">
            <v>QQIUV04</v>
          </cell>
          <cell r="AD10409">
            <v>32500</v>
          </cell>
        </row>
        <row r="10410">
          <cell r="W10410" t="str">
            <v>QQIUV04</v>
          </cell>
          <cell r="AD10410">
            <v>32500</v>
          </cell>
        </row>
        <row r="10411">
          <cell r="W10411" t="str">
            <v>QQIUV04</v>
          </cell>
          <cell r="AD10411">
            <v>32500</v>
          </cell>
        </row>
        <row r="10412">
          <cell r="W10412" t="str">
            <v>QQIUV04</v>
          </cell>
          <cell r="AD10412">
            <v>32500</v>
          </cell>
        </row>
        <row r="10413">
          <cell r="W10413" t="str">
            <v>QQIUV04</v>
          </cell>
          <cell r="AD10413">
            <v>32500</v>
          </cell>
        </row>
        <row r="10414">
          <cell r="W10414" t="str">
            <v>QQIUV04</v>
          </cell>
          <cell r="AD10414">
            <v>32500</v>
          </cell>
        </row>
        <row r="10415">
          <cell r="W10415" t="str">
            <v>QQIUV04</v>
          </cell>
          <cell r="AD10415">
            <v>32500</v>
          </cell>
        </row>
        <row r="10416">
          <cell r="W10416" t="str">
            <v>QQIUV04</v>
          </cell>
          <cell r="AD10416">
            <v>35000</v>
          </cell>
        </row>
        <row r="10417">
          <cell r="W10417" t="str">
            <v>QQIUV04</v>
          </cell>
          <cell r="AD10417">
            <v>35000</v>
          </cell>
        </row>
        <row r="10418">
          <cell r="W10418" t="str">
            <v>QQIUV04</v>
          </cell>
          <cell r="AD10418">
            <v>37500</v>
          </cell>
        </row>
        <row r="10419">
          <cell r="W10419" t="str">
            <v>QQIUV04</v>
          </cell>
          <cell r="AD10419">
            <v>37500</v>
          </cell>
        </row>
        <row r="10420">
          <cell r="W10420" t="str">
            <v>QQIUV04</v>
          </cell>
          <cell r="AD10420">
            <v>37500</v>
          </cell>
        </row>
        <row r="10421">
          <cell r="W10421" t="str">
            <v>QQIUV05</v>
          </cell>
          <cell r="AD10421">
            <v>5200</v>
          </cell>
        </row>
        <row r="10422">
          <cell r="W10422" t="str">
            <v>QQIUV05</v>
          </cell>
          <cell r="AD10422">
            <v>5200</v>
          </cell>
        </row>
        <row r="10423">
          <cell r="W10423" t="str">
            <v>QQIUV05</v>
          </cell>
          <cell r="AD10423">
            <v>5200</v>
          </cell>
        </row>
        <row r="10424">
          <cell r="W10424" t="str">
            <v>QQIUV05</v>
          </cell>
          <cell r="AD10424">
            <v>5200</v>
          </cell>
        </row>
        <row r="10425">
          <cell r="W10425" t="str">
            <v>QQIUV05</v>
          </cell>
          <cell r="AD10425">
            <v>9750</v>
          </cell>
        </row>
        <row r="10426">
          <cell r="W10426" t="str">
            <v>QQIUV05</v>
          </cell>
          <cell r="AD10426">
            <v>9750</v>
          </cell>
        </row>
        <row r="10427">
          <cell r="W10427" t="str">
            <v>QQIUV05</v>
          </cell>
          <cell r="AD10427">
            <v>9750</v>
          </cell>
        </row>
        <row r="10428">
          <cell r="W10428" t="str">
            <v>QQIUV05</v>
          </cell>
          <cell r="AD10428">
            <v>9750</v>
          </cell>
        </row>
        <row r="10429">
          <cell r="W10429" t="str">
            <v>QQIUV05</v>
          </cell>
          <cell r="AD10429">
            <v>9750</v>
          </cell>
        </row>
        <row r="10430">
          <cell r="W10430" t="str">
            <v>QQIUV05</v>
          </cell>
          <cell r="AD10430">
            <v>9750</v>
          </cell>
        </row>
        <row r="10431">
          <cell r="W10431" t="str">
            <v>QQIUV05</v>
          </cell>
          <cell r="AD10431">
            <v>9750</v>
          </cell>
        </row>
        <row r="10432">
          <cell r="W10432" t="str">
            <v>QQIUV05</v>
          </cell>
          <cell r="AD10432">
            <v>9750</v>
          </cell>
        </row>
        <row r="10433">
          <cell r="W10433" t="str">
            <v>QQIUV05</v>
          </cell>
          <cell r="AD10433">
            <v>9750</v>
          </cell>
        </row>
        <row r="10434">
          <cell r="W10434" t="str">
            <v>QQIUV05</v>
          </cell>
          <cell r="AD10434">
            <v>9750</v>
          </cell>
        </row>
        <row r="10435">
          <cell r="W10435" t="str">
            <v>QQIUV05</v>
          </cell>
          <cell r="AD10435">
            <v>10000</v>
          </cell>
        </row>
        <row r="10436">
          <cell r="W10436" t="str">
            <v>QQIUV05</v>
          </cell>
          <cell r="AD10436">
            <v>10250</v>
          </cell>
        </row>
        <row r="10437">
          <cell r="W10437" t="str">
            <v>QQIUV05</v>
          </cell>
          <cell r="AD10437">
            <v>10750</v>
          </cell>
        </row>
        <row r="10438">
          <cell r="W10438" t="str">
            <v>QQIUV05</v>
          </cell>
          <cell r="AD10438">
            <v>12000</v>
          </cell>
        </row>
        <row r="10439">
          <cell r="W10439" t="str">
            <v>QQIUV05</v>
          </cell>
          <cell r="AD10439">
            <v>13500</v>
          </cell>
        </row>
        <row r="10440">
          <cell r="W10440" t="str">
            <v>QQIUV05</v>
          </cell>
          <cell r="AD10440">
            <v>13500</v>
          </cell>
        </row>
        <row r="10441">
          <cell r="W10441" t="str">
            <v>QQIUV06</v>
          </cell>
          <cell r="AD10441">
            <v>29500</v>
          </cell>
        </row>
        <row r="10442">
          <cell r="W10442" t="str">
            <v>QQIUV06</v>
          </cell>
          <cell r="AD10442">
            <v>29500</v>
          </cell>
        </row>
        <row r="10443">
          <cell r="W10443" t="str">
            <v>QQIUV06</v>
          </cell>
          <cell r="AD10443">
            <v>30250</v>
          </cell>
        </row>
        <row r="10444">
          <cell r="W10444" t="str">
            <v>QQIUV06</v>
          </cell>
          <cell r="AD10444">
            <v>30500</v>
          </cell>
        </row>
        <row r="10445">
          <cell r="W10445" t="str">
            <v>QQIUV06</v>
          </cell>
          <cell r="AD10445">
            <v>30500</v>
          </cell>
        </row>
        <row r="10446">
          <cell r="W10446" t="str">
            <v>QQIUV06</v>
          </cell>
          <cell r="AD10446">
            <v>30500</v>
          </cell>
        </row>
        <row r="10447">
          <cell r="W10447" t="str">
            <v>QQIUV06</v>
          </cell>
          <cell r="AD10447">
            <v>30500</v>
          </cell>
        </row>
        <row r="10448">
          <cell r="W10448" t="str">
            <v>QQIUV06</v>
          </cell>
          <cell r="AD10448">
            <v>30500</v>
          </cell>
        </row>
        <row r="10449">
          <cell r="W10449" t="str">
            <v>QQIUV06</v>
          </cell>
          <cell r="AD10449">
            <v>30500</v>
          </cell>
        </row>
        <row r="10450">
          <cell r="W10450" t="str">
            <v>QQIUV06</v>
          </cell>
          <cell r="AD10450">
            <v>30500</v>
          </cell>
        </row>
        <row r="10451">
          <cell r="W10451" t="str">
            <v>QQIUV06</v>
          </cell>
          <cell r="AD10451">
            <v>30500</v>
          </cell>
        </row>
        <row r="10452">
          <cell r="W10452" t="str">
            <v>QQIUV06</v>
          </cell>
          <cell r="AD10452">
            <v>30500</v>
          </cell>
        </row>
        <row r="10453">
          <cell r="W10453" t="str">
            <v>QQIUV06</v>
          </cell>
          <cell r="AD10453">
            <v>30500</v>
          </cell>
        </row>
        <row r="10454">
          <cell r="W10454" t="str">
            <v>QQIUV06</v>
          </cell>
          <cell r="AD10454">
            <v>30500</v>
          </cell>
        </row>
        <row r="10455">
          <cell r="W10455" t="str">
            <v>QQIUV06</v>
          </cell>
          <cell r="AD10455">
            <v>30500</v>
          </cell>
        </row>
        <row r="10456">
          <cell r="W10456" t="str">
            <v>QQIUV06</v>
          </cell>
          <cell r="AD10456">
            <v>30500</v>
          </cell>
        </row>
        <row r="10457">
          <cell r="W10457" t="str">
            <v>QQIUV06</v>
          </cell>
          <cell r="AD10457">
            <v>30500</v>
          </cell>
        </row>
        <row r="10458">
          <cell r="W10458" t="str">
            <v>QQIUV06</v>
          </cell>
          <cell r="AD10458">
            <v>30500</v>
          </cell>
        </row>
        <row r="10459">
          <cell r="W10459" t="str">
            <v>QQIUV06</v>
          </cell>
          <cell r="AD10459">
            <v>30500</v>
          </cell>
        </row>
        <row r="10460">
          <cell r="W10460" t="str">
            <v>QQIUV06</v>
          </cell>
          <cell r="AD10460">
            <v>30500</v>
          </cell>
        </row>
        <row r="10461">
          <cell r="W10461" t="str">
            <v>QQIUV06</v>
          </cell>
          <cell r="AD10461">
            <v>30500</v>
          </cell>
        </row>
        <row r="10462">
          <cell r="W10462" t="str">
            <v>QQIUV06</v>
          </cell>
          <cell r="AD10462">
            <v>30500</v>
          </cell>
        </row>
        <row r="10463">
          <cell r="W10463" t="str">
            <v>QQIUV06</v>
          </cell>
          <cell r="AD10463">
            <v>30500</v>
          </cell>
        </row>
        <row r="10464">
          <cell r="W10464" t="str">
            <v>QQIUV06</v>
          </cell>
          <cell r="AD10464">
            <v>30500</v>
          </cell>
        </row>
        <row r="10465">
          <cell r="W10465" t="str">
            <v>QQIUV06</v>
          </cell>
          <cell r="AD10465">
            <v>30500</v>
          </cell>
        </row>
        <row r="10466">
          <cell r="W10466" t="str">
            <v>QQIUV06</v>
          </cell>
          <cell r="AD10466">
            <v>30500</v>
          </cell>
        </row>
        <row r="10467">
          <cell r="W10467" t="str">
            <v>QQIUV06</v>
          </cell>
          <cell r="AD10467">
            <v>30500</v>
          </cell>
        </row>
        <row r="10468">
          <cell r="W10468" t="str">
            <v>QQIUV06</v>
          </cell>
          <cell r="AD10468">
            <v>30500</v>
          </cell>
        </row>
        <row r="10469">
          <cell r="W10469" t="str">
            <v>QQIUV06</v>
          </cell>
          <cell r="AD10469">
            <v>30500</v>
          </cell>
        </row>
        <row r="10470">
          <cell r="W10470" t="str">
            <v>QQIUV06</v>
          </cell>
          <cell r="AD10470">
            <v>30500</v>
          </cell>
        </row>
        <row r="10471">
          <cell r="W10471" t="str">
            <v>QQIUV06</v>
          </cell>
          <cell r="AD10471">
            <v>30500</v>
          </cell>
        </row>
        <row r="10472">
          <cell r="W10472" t="str">
            <v>QQIUV06</v>
          </cell>
          <cell r="AD10472">
            <v>30500</v>
          </cell>
        </row>
        <row r="10473">
          <cell r="W10473" t="str">
            <v>QQIUV06</v>
          </cell>
          <cell r="AD10473">
            <v>30500</v>
          </cell>
        </row>
        <row r="10474">
          <cell r="W10474" t="str">
            <v>QQIUV06</v>
          </cell>
          <cell r="AD10474">
            <v>30500</v>
          </cell>
        </row>
        <row r="10475">
          <cell r="W10475" t="str">
            <v>QQIUV06</v>
          </cell>
          <cell r="AD10475">
            <v>30500</v>
          </cell>
        </row>
        <row r="10476">
          <cell r="W10476" t="str">
            <v>QQIUV06</v>
          </cell>
          <cell r="AD10476">
            <v>30500</v>
          </cell>
        </row>
        <row r="10477">
          <cell r="W10477" t="str">
            <v>QQIUV06</v>
          </cell>
          <cell r="AD10477">
            <v>30500</v>
          </cell>
        </row>
        <row r="10478">
          <cell r="W10478" t="str">
            <v>QQIUV06</v>
          </cell>
          <cell r="AD10478">
            <v>30500</v>
          </cell>
        </row>
        <row r="10479">
          <cell r="W10479" t="str">
            <v>QQIUV06</v>
          </cell>
          <cell r="AD10479">
            <v>30500</v>
          </cell>
        </row>
        <row r="10480">
          <cell r="W10480" t="str">
            <v>QQIUV06</v>
          </cell>
          <cell r="AD10480">
            <v>30500</v>
          </cell>
        </row>
        <row r="10481">
          <cell r="W10481" t="str">
            <v>QQIUV06</v>
          </cell>
          <cell r="AD10481">
            <v>30500</v>
          </cell>
        </row>
        <row r="10482">
          <cell r="W10482" t="str">
            <v>QQIUV06</v>
          </cell>
          <cell r="AD10482">
            <v>30500</v>
          </cell>
        </row>
        <row r="10483">
          <cell r="W10483" t="str">
            <v>QQIUV06</v>
          </cell>
          <cell r="AD10483">
            <v>30500</v>
          </cell>
        </row>
        <row r="10484">
          <cell r="W10484" t="str">
            <v>QQIUV06</v>
          </cell>
          <cell r="AD10484">
            <v>30500</v>
          </cell>
        </row>
        <row r="10485">
          <cell r="W10485" t="str">
            <v>QQIUV06</v>
          </cell>
          <cell r="AD10485">
            <v>30500</v>
          </cell>
        </row>
        <row r="10486">
          <cell r="W10486" t="str">
            <v>QQIUV06</v>
          </cell>
          <cell r="AD10486">
            <v>30500</v>
          </cell>
        </row>
        <row r="10487">
          <cell r="W10487" t="str">
            <v>QQIUV06</v>
          </cell>
          <cell r="AD10487">
            <v>30500</v>
          </cell>
        </row>
        <row r="10488">
          <cell r="W10488" t="str">
            <v>QQIUV06</v>
          </cell>
          <cell r="AD10488">
            <v>30500</v>
          </cell>
        </row>
        <row r="10489">
          <cell r="W10489" t="str">
            <v>QQIUV06</v>
          </cell>
          <cell r="AD10489">
            <v>30500</v>
          </cell>
        </row>
        <row r="10490">
          <cell r="W10490" t="str">
            <v>QQIUV06</v>
          </cell>
          <cell r="AD10490">
            <v>30500</v>
          </cell>
        </row>
        <row r="10491">
          <cell r="W10491" t="str">
            <v>QQIUV06</v>
          </cell>
          <cell r="AD10491">
            <v>30500</v>
          </cell>
        </row>
        <row r="10492">
          <cell r="W10492" t="str">
            <v>QQIUV06</v>
          </cell>
          <cell r="AD10492">
            <v>30500</v>
          </cell>
        </row>
        <row r="10493">
          <cell r="W10493" t="str">
            <v>QQIUV06</v>
          </cell>
          <cell r="AD10493">
            <v>30500</v>
          </cell>
        </row>
        <row r="10494">
          <cell r="W10494" t="str">
            <v>QQIUV06</v>
          </cell>
          <cell r="AD10494">
            <v>30500</v>
          </cell>
        </row>
        <row r="10495">
          <cell r="W10495" t="str">
            <v>QQIUV06</v>
          </cell>
          <cell r="AD10495">
            <v>30500</v>
          </cell>
        </row>
        <row r="10496">
          <cell r="W10496" t="str">
            <v>QQIUV06</v>
          </cell>
          <cell r="AD10496">
            <v>30500</v>
          </cell>
        </row>
        <row r="10497">
          <cell r="W10497" t="str">
            <v>QQIUV06</v>
          </cell>
          <cell r="AD10497">
            <v>30500</v>
          </cell>
        </row>
        <row r="10498">
          <cell r="W10498" t="str">
            <v>QQIUV06</v>
          </cell>
          <cell r="AD10498">
            <v>30500</v>
          </cell>
        </row>
        <row r="10499">
          <cell r="W10499" t="str">
            <v>QQIUV06</v>
          </cell>
          <cell r="AD10499">
            <v>30500</v>
          </cell>
        </row>
        <row r="10500">
          <cell r="W10500" t="str">
            <v>QQIUV06</v>
          </cell>
          <cell r="AD10500">
            <v>30500</v>
          </cell>
        </row>
        <row r="10501">
          <cell r="W10501" t="str">
            <v>QQIUV06</v>
          </cell>
          <cell r="AD10501">
            <v>30500</v>
          </cell>
        </row>
        <row r="10502">
          <cell r="W10502" t="str">
            <v>QQIUV06</v>
          </cell>
          <cell r="AD10502">
            <v>30500</v>
          </cell>
        </row>
        <row r="10503">
          <cell r="W10503" t="str">
            <v>QQIUV06</v>
          </cell>
          <cell r="AD10503">
            <v>30500</v>
          </cell>
        </row>
        <row r="10504">
          <cell r="W10504" t="str">
            <v>QQIUV06</v>
          </cell>
          <cell r="AD10504">
            <v>30500</v>
          </cell>
        </row>
        <row r="10505">
          <cell r="W10505" t="str">
            <v>QQIUV06</v>
          </cell>
          <cell r="AD10505">
            <v>30500</v>
          </cell>
        </row>
        <row r="10506">
          <cell r="W10506" t="str">
            <v>QQIUV06</v>
          </cell>
          <cell r="AD10506">
            <v>30500</v>
          </cell>
        </row>
        <row r="10507">
          <cell r="W10507" t="str">
            <v>QQIUV06</v>
          </cell>
          <cell r="AD10507">
            <v>30500</v>
          </cell>
        </row>
        <row r="10508">
          <cell r="W10508" t="str">
            <v>QQIUV06</v>
          </cell>
          <cell r="AD10508">
            <v>30500</v>
          </cell>
        </row>
        <row r="10509">
          <cell r="W10509" t="str">
            <v>QQIUV06</v>
          </cell>
          <cell r="AD10509">
            <v>30500</v>
          </cell>
        </row>
        <row r="10510">
          <cell r="W10510" t="str">
            <v>QQIUV06</v>
          </cell>
          <cell r="AD10510">
            <v>30500</v>
          </cell>
        </row>
        <row r="10511">
          <cell r="W10511" t="str">
            <v>QQIUV06</v>
          </cell>
          <cell r="AD10511">
            <v>30500</v>
          </cell>
        </row>
        <row r="10512">
          <cell r="W10512" t="str">
            <v>QQIUV06</v>
          </cell>
          <cell r="AD10512">
            <v>30500</v>
          </cell>
        </row>
        <row r="10513">
          <cell r="W10513" t="str">
            <v>QQIUV06</v>
          </cell>
          <cell r="AD10513">
            <v>30500</v>
          </cell>
        </row>
        <row r="10514">
          <cell r="W10514" t="str">
            <v>QQIUV06</v>
          </cell>
          <cell r="AD10514">
            <v>30500</v>
          </cell>
        </row>
        <row r="10515">
          <cell r="W10515" t="str">
            <v>QQIUV06</v>
          </cell>
          <cell r="AD10515">
            <v>30500</v>
          </cell>
        </row>
        <row r="10516">
          <cell r="W10516" t="str">
            <v>QQIUV06</v>
          </cell>
          <cell r="AD10516">
            <v>30500</v>
          </cell>
        </row>
        <row r="10517">
          <cell r="W10517" t="str">
            <v>QQIUV06</v>
          </cell>
          <cell r="AD10517">
            <v>30500</v>
          </cell>
        </row>
        <row r="10518">
          <cell r="W10518" t="str">
            <v>QQIUV06</v>
          </cell>
          <cell r="AD10518">
            <v>30500</v>
          </cell>
        </row>
        <row r="10519">
          <cell r="W10519" t="str">
            <v>QQIUV06</v>
          </cell>
          <cell r="AD10519">
            <v>30500</v>
          </cell>
        </row>
        <row r="10520">
          <cell r="W10520" t="str">
            <v>QQIUV06</v>
          </cell>
          <cell r="AD10520">
            <v>30500</v>
          </cell>
        </row>
        <row r="10521">
          <cell r="W10521" t="str">
            <v>QQIUV06</v>
          </cell>
          <cell r="AD10521">
            <v>30500</v>
          </cell>
        </row>
        <row r="10522">
          <cell r="W10522" t="str">
            <v>QQIUV06</v>
          </cell>
          <cell r="AD10522">
            <v>30500</v>
          </cell>
        </row>
        <row r="10523">
          <cell r="W10523" t="str">
            <v>QQIUV06</v>
          </cell>
          <cell r="AD10523">
            <v>30500</v>
          </cell>
        </row>
        <row r="10524">
          <cell r="W10524" t="str">
            <v>QQIUV06</v>
          </cell>
          <cell r="AD10524">
            <v>30500</v>
          </cell>
        </row>
        <row r="10525">
          <cell r="W10525" t="str">
            <v>QQIUV06</v>
          </cell>
          <cell r="AD10525">
            <v>32500</v>
          </cell>
        </row>
        <row r="10526">
          <cell r="W10526" t="str">
            <v>QQIUV06</v>
          </cell>
          <cell r="AD10526">
            <v>32500</v>
          </cell>
        </row>
        <row r="10527">
          <cell r="W10527" t="str">
            <v>QQIUV06</v>
          </cell>
          <cell r="AD10527">
            <v>32500</v>
          </cell>
        </row>
        <row r="10528">
          <cell r="W10528" t="str">
            <v>QQIUV06</v>
          </cell>
          <cell r="AD10528">
            <v>32500</v>
          </cell>
        </row>
        <row r="10529">
          <cell r="W10529" t="str">
            <v>QQIUV06</v>
          </cell>
          <cell r="AD10529">
            <v>32500</v>
          </cell>
        </row>
        <row r="10530">
          <cell r="W10530" t="str">
            <v>QQIUV06</v>
          </cell>
          <cell r="AD10530">
            <v>32500</v>
          </cell>
        </row>
        <row r="10531">
          <cell r="W10531" t="str">
            <v>QQIUV06</v>
          </cell>
          <cell r="AD10531">
            <v>32500</v>
          </cell>
        </row>
        <row r="10532">
          <cell r="W10532" t="str">
            <v>QQIUV06</v>
          </cell>
          <cell r="AD10532">
            <v>32500</v>
          </cell>
        </row>
        <row r="10533">
          <cell r="W10533" t="str">
            <v>QQIUV06</v>
          </cell>
          <cell r="AD10533">
            <v>32500</v>
          </cell>
        </row>
        <row r="10534">
          <cell r="W10534" t="str">
            <v>QQIUV06</v>
          </cell>
          <cell r="AD10534">
            <v>32500</v>
          </cell>
        </row>
        <row r="10535">
          <cell r="W10535" t="str">
            <v>QQIUV06</v>
          </cell>
          <cell r="AD10535">
            <v>32500</v>
          </cell>
        </row>
        <row r="10536">
          <cell r="W10536" t="str">
            <v>QQIUV06</v>
          </cell>
          <cell r="AD10536">
            <v>32500</v>
          </cell>
        </row>
        <row r="10537">
          <cell r="W10537" t="str">
            <v>QQIUV06</v>
          </cell>
          <cell r="AD10537">
            <v>35000</v>
          </cell>
        </row>
        <row r="10538">
          <cell r="W10538" t="str">
            <v>QQIUV06</v>
          </cell>
          <cell r="AD10538">
            <v>35000</v>
          </cell>
        </row>
        <row r="10539">
          <cell r="W10539" t="str">
            <v>QQIUV06</v>
          </cell>
          <cell r="AD10539">
            <v>37500</v>
          </cell>
        </row>
        <row r="10540">
          <cell r="W10540" t="str">
            <v>AQIUV13</v>
          </cell>
          <cell r="AD10540">
            <v>3000</v>
          </cell>
        </row>
        <row r="10541">
          <cell r="W10541" t="str">
            <v>AQIUV13</v>
          </cell>
          <cell r="AD10541">
            <v>3000</v>
          </cell>
        </row>
        <row r="10542">
          <cell r="W10542" t="str">
            <v>QRACU01</v>
          </cell>
          <cell r="AD10542">
            <v>8500</v>
          </cell>
        </row>
        <row r="10543">
          <cell r="W10543" t="str">
            <v>QRACU01</v>
          </cell>
          <cell r="AD10543">
            <v>8750</v>
          </cell>
        </row>
        <row r="10544">
          <cell r="W10544" t="str">
            <v>QRACU01</v>
          </cell>
          <cell r="AD10544">
            <v>8750</v>
          </cell>
        </row>
        <row r="10545">
          <cell r="W10545" t="str">
            <v>QRACU01</v>
          </cell>
          <cell r="AD10545">
            <v>8750</v>
          </cell>
        </row>
        <row r="10546">
          <cell r="W10546" t="str">
            <v>QRACU01</v>
          </cell>
          <cell r="AD10546">
            <v>8750</v>
          </cell>
        </row>
        <row r="10547">
          <cell r="W10547" t="str">
            <v>QRACU01</v>
          </cell>
          <cell r="AD10547">
            <v>8750</v>
          </cell>
        </row>
        <row r="10548">
          <cell r="W10548" t="str">
            <v>QRACU01</v>
          </cell>
          <cell r="AD10548">
            <v>8750</v>
          </cell>
        </row>
        <row r="10549">
          <cell r="W10549" t="str">
            <v>QRACU01</v>
          </cell>
          <cell r="AD10549">
            <v>8750</v>
          </cell>
        </row>
        <row r="10550">
          <cell r="W10550" t="str">
            <v>QRACU01</v>
          </cell>
          <cell r="AD10550">
            <v>9000</v>
          </cell>
        </row>
        <row r="10551">
          <cell r="W10551" t="str">
            <v>QRACU01</v>
          </cell>
          <cell r="AD10551">
            <v>9000</v>
          </cell>
        </row>
        <row r="10552">
          <cell r="W10552" t="str">
            <v>QRACU01</v>
          </cell>
          <cell r="AD10552">
            <v>9000</v>
          </cell>
        </row>
        <row r="10553">
          <cell r="W10553" t="str">
            <v>QRACU01</v>
          </cell>
          <cell r="AD10553">
            <v>9000</v>
          </cell>
        </row>
        <row r="10554">
          <cell r="W10554" t="str">
            <v>QRACU01</v>
          </cell>
          <cell r="AD10554">
            <v>9000</v>
          </cell>
        </row>
        <row r="10555">
          <cell r="W10555" t="str">
            <v>QRACU01</v>
          </cell>
          <cell r="AD10555">
            <v>9000</v>
          </cell>
        </row>
        <row r="10556">
          <cell r="W10556" t="str">
            <v>QRACU01</v>
          </cell>
          <cell r="AD10556">
            <v>9000</v>
          </cell>
        </row>
        <row r="10557">
          <cell r="W10557" t="str">
            <v>QRACU01</v>
          </cell>
          <cell r="AD10557">
            <v>9000</v>
          </cell>
        </row>
        <row r="10558">
          <cell r="W10558" t="str">
            <v>QRACU01</v>
          </cell>
          <cell r="AD10558">
            <v>9000</v>
          </cell>
        </row>
        <row r="10559">
          <cell r="W10559" t="str">
            <v>QRACU01</v>
          </cell>
          <cell r="AD10559">
            <v>9000</v>
          </cell>
        </row>
        <row r="10560">
          <cell r="W10560" t="str">
            <v>QRACU01</v>
          </cell>
          <cell r="AD10560">
            <v>9000</v>
          </cell>
        </row>
        <row r="10561">
          <cell r="W10561" t="str">
            <v>QRACU01</v>
          </cell>
          <cell r="AD10561">
            <v>9000</v>
          </cell>
        </row>
        <row r="10562">
          <cell r="W10562" t="str">
            <v>QRACU01</v>
          </cell>
          <cell r="AD10562">
            <v>9000</v>
          </cell>
        </row>
        <row r="10563">
          <cell r="W10563" t="str">
            <v>QRACU01</v>
          </cell>
          <cell r="AD10563">
            <v>9000</v>
          </cell>
        </row>
        <row r="10564">
          <cell r="W10564" t="str">
            <v>QRACU01</v>
          </cell>
          <cell r="AD10564">
            <v>9000</v>
          </cell>
        </row>
        <row r="10565">
          <cell r="W10565" t="str">
            <v>QRACU01</v>
          </cell>
          <cell r="AD10565">
            <v>9000</v>
          </cell>
        </row>
        <row r="10566">
          <cell r="W10566" t="str">
            <v>QRADI01</v>
          </cell>
          <cell r="AD10566">
            <v>44000</v>
          </cell>
        </row>
        <row r="10567">
          <cell r="W10567" t="str">
            <v>QRADI01</v>
          </cell>
          <cell r="AD10567">
            <v>45375</v>
          </cell>
        </row>
        <row r="10568">
          <cell r="W10568" t="str">
            <v>QRADI01</v>
          </cell>
          <cell r="AD10568">
            <v>45375</v>
          </cell>
        </row>
        <row r="10569">
          <cell r="W10569" t="str">
            <v>QRADI01</v>
          </cell>
          <cell r="AD10569">
            <v>45375</v>
          </cell>
        </row>
        <row r="10570">
          <cell r="W10570" t="str">
            <v>QRADI01</v>
          </cell>
          <cell r="AD10570">
            <v>45375</v>
          </cell>
        </row>
        <row r="10571">
          <cell r="W10571" t="str">
            <v>QRADI01</v>
          </cell>
          <cell r="AD10571">
            <v>45375</v>
          </cell>
        </row>
        <row r="10572">
          <cell r="W10572" t="str">
            <v>QRADI01</v>
          </cell>
          <cell r="AD10572">
            <v>45375</v>
          </cell>
        </row>
        <row r="10573">
          <cell r="W10573" t="str">
            <v>QRADI01</v>
          </cell>
          <cell r="AD10573">
            <v>45375</v>
          </cell>
        </row>
        <row r="10574">
          <cell r="W10574" t="str">
            <v>QRADI01</v>
          </cell>
          <cell r="AD10574">
            <v>45375</v>
          </cell>
        </row>
        <row r="10575">
          <cell r="W10575" t="str">
            <v>QRADI01</v>
          </cell>
          <cell r="AD10575">
            <v>45375</v>
          </cell>
        </row>
        <row r="10576">
          <cell r="W10576" t="str">
            <v>QRADI01</v>
          </cell>
          <cell r="AD10576">
            <v>47000</v>
          </cell>
        </row>
        <row r="10577">
          <cell r="W10577" t="str">
            <v>QRAJA06</v>
          </cell>
          <cell r="AD10577">
            <v>285000</v>
          </cell>
        </row>
        <row r="10578">
          <cell r="W10578" t="str">
            <v>QRAJA05</v>
          </cell>
          <cell r="AD10578">
            <v>565000</v>
          </cell>
        </row>
        <row r="10579">
          <cell r="W10579" t="str">
            <v>QRANG01</v>
          </cell>
          <cell r="AD10579">
            <v>560000</v>
          </cell>
        </row>
        <row r="10580">
          <cell r="W10580" t="str">
            <v>QRANG01</v>
          </cell>
          <cell r="AD10580">
            <v>580000</v>
          </cell>
        </row>
        <row r="10581">
          <cell r="W10581" t="str">
            <v>QRANG01</v>
          </cell>
          <cell r="AD10581">
            <v>580000</v>
          </cell>
        </row>
        <row r="10582">
          <cell r="W10582" t="str">
            <v>QRATG01</v>
          </cell>
          <cell r="AD10582">
            <v>37000</v>
          </cell>
        </row>
        <row r="10583">
          <cell r="W10583" t="str">
            <v>QRATG01</v>
          </cell>
          <cell r="AD10583">
            <v>37000</v>
          </cell>
        </row>
        <row r="10584">
          <cell r="W10584" t="str">
            <v>QRATG01</v>
          </cell>
          <cell r="AD10584">
            <v>37000</v>
          </cell>
        </row>
        <row r="10585">
          <cell r="W10585" t="str">
            <v>QRATG01</v>
          </cell>
          <cell r="AD10585">
            <v>37500</v>
          </cell>
        </row>
        <row r="10586">
          <cell r="W10586" t="str">
            <v>QRATG01</v>
          </cell>
          <cell r="AD10586">
            <v>37500</v>
          </cell>
        </row>
        <row r="10587">
          <cell r="W10587" t="str">
            <v>QRATG01</v>
          </cell>
          <cell r="AD10587">
            <v>37500</v>
          </cell>
        </row>
        <row r="10588">
          <cell r="W10588" t="str">
            <v>QRATG01</v>
          </cell>
          <cell r="AD10588">
            <v>37500</v>
          </cell>
        </row>
        <row r="10589">
          <cell r="W10589" t="str">
            <v>QRATG01</v>
          </cell>
          <cell r="AD10589">
            <v>38000</v>
          </cell>
        </row>
        <row r="10590">
          <cell r="W10590" t="str">
            <v>QRATG01</v>
          </cell>
          <cell r="AD10590">
            <v>38000</v>
          </cell>
        </row>
        <row r="10591">
          <cell r="W10591" t="str">
            <v>QRATG01</v>
          </cell>
          <cell r="AD10591">
            <v>38000</v>
          </cell>
        </row>
        <row r="10592">
          <cell r="W10592" t="str">
            <v>QRATG01</v>
          </cell>
          <cell r="AD10592">
            <v>38000</v>
          </cell>
        </row>
        <row r="10593">
          <cell r="W10593" t="str">
            <v>QRATG01</v>
          </cell>
          <cell r="AD10593">
            <v>38000</v>
          </cell>
        </row>
        <row r="10594">
          <cell r="W10594" t="str">
            <v>QRATG01</v>
          </cell>
          <cell r="AD10594">
            <v>38000</v>
          </cell>
        </row>
        <row r="10595">
          <cell r="W10595" t="str">
            <v>QRATG01</v>
          </cell>
          <cell r="AD10595">
            <v>38500</v>
          </cell>
        </row>
        <row r="10596">
          <cell r="W10596" t="str">
            <v>QRATG01</v>
          </cell>
          <cell r="AD10596">
            <v>38500</v>
          </cell>
        </row>
        <row r="10597">
          <cell r="W10597" t="str">
            <v>QRATG01</v>
          </cell>
          <cell r="AD10597">
            <v>38500</v>
          </cell>
        </row>
        <row r="10598">
          <cell r="W10598" t="str">
            <v>QRATG01</v>
          </cell>
          <cell r="AD10598">
            <v>38500</v>
          </cell>
        </row>
        <row r="10599">
          <cell r="W10599" t="str">
            <v>QRATG01</v>
          </cell>
          <cell r="AD10599">
            <v>38500</v>
          </cell>
        </row>
        <row r="10600">
          <cell r="W10600" t="str">
            <v>QRATG01</v>
          </cell>
          <cell r="AD10600">
            <v>38500</v>
          </cell>
        </row>
        <row r="10601">
          <cell r="W10601" t="str">
            <v>QRATG01</v>
          </cell>
          <cell r="AD10601">
            <v>38500</v>
          </cell>
        </row>
        <row r="10602">
          <cell r="W10602" t="str">
            <v>QRATG01</v>
          </cell>
          <cell r="AD10602">
            <v>38500</v>
          </cell>
        </row>
        <row r="10603">
          <cell r="W10603" t="str">
            <v>QRATG01</v>
          </cell>
          <cell r="AD10603">
            <v>38500</v>
          </cell>
        </row>
        <row r="10604">
          <cell r="W10604" t="str">
            <v>QRATG01</v>
          </cell>
          <cell r="AD10604">
            <v>38500</v>
          </cell>
        </row>
        <row r="10605">
          <cell r="W10605" t="str">
            <v>QRATG01</v>
          </cell>
          <cell r="AD10605">
            <v>38500</v>
          </cell>
        </row>
        <row r="10606">
          <cell r="W10606" t="str">
            <v>QRATG01</v>
          </cell>
          <cell r="AD10606">
            <v>38500</v>
          </cell>
        </row>
        <row r="10607">
          <cell r="W10607" t="str">
            <v>QRATG01</v>
          </cell>
          <cell r="AD10607">
            <v>38500</v>
          </cell>
        </row>
        <row r="10608">
          <cell r="W10608" t="str">
            <v>QRATG01</v>
          </cell>
          <cell r="AD10608">
            <v>38500</v>
          </cell>
        </row>
        <row r="10609">
          <cell r="W10609" t="str">
            <v>QRATG01</v>
          </cell>
          <cell r="AD10609">
            <v>38500</v>
          </cell>
        </row>
        <row r="10610">
          <cell r="W10610" t="str">
            <v>QRATG01</v>
          </cell>
          <cell r="AD10610">
            <v>39000</v>
          </cell>
        </row>
        <row r="10611">
          <cell r="W10611" t="str">
            <v>QRATG01</v>
          </cell>
          <cell r="AD10611">
            <v>39000</v>
          </cell>
        </row>
        <row r="10612">
          <cell r="W10612" t="str">
            <v>QRATG01</v>
          </cell>
          <cell r="AD10612">
            <v>39000</v>
          </cell>
        </row>
        <row r="10613">
          <cell r="W10613" t="str">
            <v>QRATG01</v>
          </cell>
          <cell r="AD10613">
            <v>39000</v>
          </cell>
        </row>
        <row r="10614">
          <cell r="W10614" t="str">
            <v>QRATG01</v>
          </cell>
          <cell r="AD10614">
            <v>39500</v>
          </cell>
        </row>
        <row r="10615">
          <cell r="W10615" t="str">
            <v>QRATG01</v>
          </cell>
          <cell r="AD10615">
            <v>40000</v>
          </cell>
        </row>
        <row r="10616">
          <cell r="W10616" t="str">
            <v>QRATO02</v>
          </cell>
          <cell r="AD10616">
            <v>155000</v>
          </cell>
        </row>
        <row r="10617">
          <cell r="W10617" t="str">
            <v>QRATO02</v>
          </cell>
          <cell r="AD10617">
            <v>160000</v>
          </cell>
        </row>
        <row r="10618">
          <cell r="W10618" t="str">
            <v>QRATO02</v>
          </cell>
          <cell r="AD10618">
            <v>160000</v>
          </cell>
        </row>
        <row r="10619">
          <cell r="W10619" t="str">
            <v>QRATO02</v>
          </cell>
          <cell r="AD10619">
            <v>160000</v>
          </cell>
        </row>
        <row r="10620">
          <cell r="W10620" t="str">
            <v>QRATO02</v>
          </cell>
          <cell r="AD10620">
            <v>160000</v>
          </cell>
        </row>
        <row r="10621">
          <cell r="W10621" t="str">
            <v>QRATO02</v>
          </cell>
          <cell r="AD10621">
            <v>160000</v>
          </cell>
        </row>
        <row r="10622">
          <cell r="W10622" t="str">
            <v>QRATO02</v>
          </cell>
          <cell r="AD10622">
            <v>165000</v>
          </cell>
        </row>
        <row r="10623">
          <cell r="W10623" t="str">
            <v>QRATO02</v>
          </cell>
          <cell r="AD10623">
            <v>165000</v>
          </cell>
        </row>
        <row r="10624">
          <cell r="W10624" t="str">
            <v>QRATO02</v>
          </cell>
          <cell r="AD10624">
            <v>165000</v>
          </cell>
        </row>
        <row r="10625">
          <cell r="W10625" t="str">
            <v>QRATO02</v>
          </cell>
          <cell r="AD10625">
            <v>165000</v>
          </cell>
        </row>
        <row r="10626">
          <cell r="W10626" t="str">
            <v>QRATO02</v>
          </cell>
          <cell r="AD10626">
            <v>165000</v>
          </cell>
        </row>
        <row r="10627">
          <cell r="W10627" t="str">
            <v>QRATO02</v>
          </cell>
          <cell r="AD10627">
            <v>165000</v>
          </cell>
        </row>
        <row r="10628">
          <cell r="W10628" t="str">
            <v>QRATO02</v>
          </cell>
          <cell r="AD10628">
            <v>165000</v>
          </cell>
        </row>
        <row r="10629">
          <cell r="W10629" t="str">
            <v>QRATO02</v>
          </cell>
          <cell r="AD10629">
            <v>165000</v>
          </cell>
        </row>
        <row r="10630">
          <cell r="W10630" t="str">
            <v>QRATO02</v>
          </cell>
          <cell r="AD10630">
            <v>165000</v>
          </cell>
        </row>
        <row r="10631">
          <cell r="W10631" t="str">
            <v>QRATO02</v>
          </cell>
          <cell r="AD10631">
            <v>165000</v>
          </cell>
        </row>
        <row r="10632">
          <cell r="W10632" t="str">
            <v>QRATO02</v>
          </cell>
          <cell r="AD10632">
            <v>165000</v>
          </cell>
        </row>
        <row r="10633">
          <cell r="W10633" t="str">
            <v>QRATO02</v>
          </cell>
          <cell r="AD10633">
            <v>165000</v>
          </cell>
        </row>
        <row r="10634">
          <cell r="W10634" t="str">
            <v>QRATO02</v>
          </cell>
          <cell r="AD10634">
            <v>165000</v>
          </cell>
        </row>
        <row r="10635">
          <cell r="W10635" t="str">
            <v>QRATO01</v>
          </cell>
          <cell r="AD10635">
            <v>2500</v>
          </cell>
        </row>
        <row r="10636">
          <cell r="W10636" t="str">
            <v>QRATO01</v>
          </cell>
          <cell r="AD10636">
            <v>2500</v>
          </cell>
        </row>
        <row r="10637">
          <cell r="W10637" t="str">
            <v>QRATO01</v>
          </cell>
          <cell r="AD10637">
            <v>2500</v>
          </cell>
        </row>
        <row r="10638">
          <cell r="W10638" t="str">
            <v>QRATO01</v>
          </cell>
          <cell r="AD10638">
            <v>2500</v>
          </cell>
        </row>
        <row r="10639">
          <cell r="W10639" t="str">
            <v>QREAC01</v>
          </cell>
          <cell r="AD10639">
            <v>820000</v>
          </cell>
        </row>
        <row r="10640">
          <cell r="W10640" t="str">
            <v>QREAC01</v>
          </cell>
          <cell r="AD10640">
            <v>820000</v>
          </cell>
        </row>
        <row r="10641">
          <cell r="W10641" t="str">
            <v>QREAC01</v>
          </cell>
          <cell r="AD10641">
            <v>820000</v>
          </cell>
        </row>
        <row r="10642">
          <cell r="W10642" t="str">
            <v>QREAC01</v>
          </cell>
          <cell r="AD10642">
            <v>830000</v>
          </cell>
        </row>
        <row r="10643">
          <cell r="W10643" t="str">
            <v>QREAC01</v>
          </cell>
          <cell r="AD10643">
            <v>840000</v>
          </cell>
        </row>
        <row r="10644">
          <cell r="W10644" t="str">
            <v>QREAC01</v>
          </cell>
          <cell r="AD10644">
            <v>840000</v>
          </cell>
        </row>
        <row r="10645">
          <cell r="W10645" t="str">
            <v>QREAC01</v>
          </cell>
          <cell r="AD10645">
            <v>840000</v>
          </cell>
        </row>
        <row r="10646">
          <cell r="W10646" t="str">
            <v>QREAC01</v>
          </cell>
          <cell r="AD10646">
            <v>840000</v>
          </cell>
        </row>
        <row r="10647">
          <cell r="W10647" t="str">
            <v>QREAC01</v>
          </cell>
          <cell r="AD10647">
            <v>880000</v>
          </cell>
        </row>
        <row r="10648">
          <cell r="W10648" t="str">
            <v>QREAC01</v>
          </cell>
          <cell r="AD10648">
            <v>880000</v>
          </cell>
        </row>
        <row r="10649">
          <cell r="W10649" t="str">
            <v>QREAC01</v>
          </cell>
          <cell r="AD10649">
            <v>880000</v>
          </cell>
        </row>
        <row r="10650">
          <cell r="W10650" t="str">
            <v>QREAC01</v>
          </cell>
          <cell r="AD10650">
            <v>880000</v>
          </cell>
        </row>
        <row r="10651">
          <cell r="W10651" t="str">
            <v>QREAC01</v>
          </cell>
          <cell r="AD10651">
            <v>880000</v>
          </cell>
        </row>
        <row r="10652">
          <cell r="W10652" t="str">
            <v>QREAC01</v>
          </cell>
          <cell r="AD10652">
            <v>880000</v>
          </cell>
        </row>
        <row r="10653">
          <cell r="W10653" t="str">
            <v>QREAC01</v>
          </cell>
          <cell r="AD10653">
            <v>900000</v>
          </cell>
        </row>
        <row r="10654">
          <cell r="W10654" t="str">
            <v>QREAC01</v>
          </cell>
          <cell r="AD10654">
            <v>88000</v>
          </cell>
        </row>
        <row r="10655">
          <cell r="W10655" t="str">
            <v>QREAC02</v>
          </cell>
          <cell r="AD10655">
            <v>40000</v>
          </cell>
        </row>
        <row r="10656">
          <cell r="W10656" t="str">
            <v>QREAC02</v>
          </cell>
          <cell r="AD10656">
            <v>44000</v>
          </cell>
        </row>
        <row r="10657">
          <cell r="W10657" t="str">
            <v>QREAC02</v>
          </cell>
          <cell r="AD10657">
            <v>45000</v>
          </cell>
        </row>
        <row r="10658">
          <cell r="W10658" t="str">
            <v>QREAC02</v>
          </cell>
          <cell r="AD10658">
            <v>45000</v>
          </cell>
        </row>
        <row r="10659">
          <cell r="W10659" t="str">
            <v>QREAC02</v>
          </cell>
          <cell r="AD10659">
            <v>45000</v>
          </cell>
        </row>
        <row r="10660">
          <cell r="W10660" t="str">
            <v>QREAC02</v>
          </cell>
          <cell r="AD10660">
            <v>45000</v>
          </cell>
        </row>
        <row r="10661">
          <cell r="W10661" t="str">
            <v>QREAC02</v>
          </cell>
          <cell r="AD10661">
            <v>45000</v>
          </cell>
        </row>
        <row r="10662">
          <cell r="W10662" t="str">
            <v>QREAC02</v>
          </cell>
          <cell r="AD10662">
            <v>45000</v>
          </cell>
        </row>
        <row r="10663">
          <cell r="W10663" t="str">
            <v>QREAC02</v>
          </cell>
          <cell r="AD10663">
            <v>45000</v>
          </cell>
        </row>
        <row r="10664">
          <cell r="W10664" t="str">
            <v>QREAC02</v>
          </cell>
          <cell r="AD10664">
            <v>45000</v>
          </cell>
        </row>
        <row r="10665">
          <cell r="W10665" t="str">
            <v>QREAC02</v>
          </cell>
          <cell r="AD10665">
            <v>45000</v>
          </cell>
        </row>
        <row r="10666">
          <cell r="W10666" t="str">
            <v>QREAC02</v>
          </cell>
          <cell r="AD10666">
            <v>45000</v>
          </cell>
        </row>
        <row r="10667">
          <cell r="W10667" t="str">
            <v>QREAC02</v>
          </cell>
          <cell r="AD10667">
            <v>45000</v>
          </cell>
        </row>
        <row r="10668">
          <cell r="W10668" t="str">
            <v>QREAC02</v>
          </cell>
          <cell r="AD10668">
            <v>45000</v>
          </cell>
        </row>
        <row r="10669">
          <cell r="W10669" t="str">
            <v>QREAC02</v>
          </cell>
          <cell r="AD10669">
            <v>45000</v>
          </cell>
        </row>
        <row r="10670">
          <cell r="W10670" t="str">
            <v>QREAC02</v>
          </cell>
          <cell r="AD10670">
            <v>45000</v>
          </cell>
        </row>
        <row r="10671">
          <cell r="W10671" t="str">
            <v>QREAC02</v>
          </cell>
          <cell r="AD10671">
            <v>45000</v>
          </cell>
        </row>
        <row r="10672">
          <cell r="W10672" t="str">
            <v>QREAC02</v>
          </cell>
          <cell r="AD10672">
            <v>45000</v>
          </cell>
        </row>
        <row r="10673">
          <cell r="W10673" t="str">
            <v>QREAC02</v>
          </cell>
          <cell r="AD10673">
            <v>45000</v>
          </cell>
        </row>
        <row r="10674">
          <cell r="W10674" t="str">
            <v>QREAC02</v>
          </cell>
          <cell r="AD10674">
            <v>46000</v>
          </cell>
        </row>
        <row r="10675">
          <cell r="W10675" t="str">
            <v>QREAC02</v>
          </cell>
          <cell r="AD10675">
            <v>46000</v>
          </cell>
        </row>
        <row r="10676">
          <cell r="W10676" t="str">
            <v>QREAC02</v>
          </cell>
          <cell r="AD10676">
            <v>46000</v>
          </cell>
        </row>
        <row r="10677">
          <cell r="W10677" t="str">
            <v>QREAC02</v>
          </cell>
          <cell r="AD10677">
            <v>46000</v>
          </cell>
        </row>
        <row r="10678">
          <cell r="W10678" t="str">
            <v>QREAC02</v>
          </cell>
          <cell r="AD10678">
            <v>47000</v>
          </cell>
        </row>
        <row r="10679">
          <cell r="W10679" t="str">
            <v>QREAC02</v>
          </cell>
          <cell r="AD10679">
            <v>47000</v>
          </cell>
        </row>
        <row r="10680">
          <cell r="W10680" t="str">
            <v>QREAC02</v>
          </cell>
          <cell r="AD10680">
            <v>47000</v>
          </cell>
        </row>
        <row r="10681">
          <cell r="W10681" t="str">
            <v>QREAC02</v>
          </cell>
          <cell r="AD10681">
            <v>47000</v>
          </cell>
        </row>
        <row r="10682">
          <cell r="W10682" t="str">
            <v>QREAC02</v>
          </cell>
          <cell r="AD10682">
            <v>47000</v>
          </cell>
        </row>
        <row r="10683">
          <cell r="W10683" t="str">
            <v>QREAC02</v>
          </cell>
          <cell r="AD10683">
            <v>47000</v>
          </cell>
        </row>
        <row r="10684">
          <cell r="W10684" t="str">
            <v>QREAC02</v>
          </cell>
          <cell r="AD10684">
            <v>47000</v>
          </cell>
        </row>
        <row r="10685">
          <cell r="W10685" t="str">
            <v>QREAC02</v>
          </cell>
          <cell r="AD10685">
            <v>47000</v>
          </cell>
        </row>
        <row r="10686">
          <cell r="W10686" t="str">
            <v>QREAC02</v>
          </cell>
          <cell r="AD10686">
            <v>47000</v>
          </cell>
        </row>
        <row r="10687">
          <cell r="W10687" t="str">
            <v>QREAC02</v>
          </cell>
          <cell r="AD10687">
            <v>47000</v>
          </cell>
        </row>
        <row r="10688">
          <cell r="W10688" t="str">
            <v>QREAC02</v>
          </cell>
          <cell r="AD10688">
            <v>47000</v>
          </cell>
        </row>
        <row r="10689">
          <cell r="W10689" t="str">
            <v>QREAC02</v>
          </cell>
          <cell r="AD10689">
            <v>47000</v>
          </cell>
        </row>
        <row r="10690">
          <cell r="W10690" t="str">
            <v>QREAC02</v>
          </cell>
          <cell r="AD10690">
            <v>47000</v>
          </cell>
        </row>
        <row r="10691">
          <cell r="W10691" t="str">
            <v>QREAC02</v>
          </cell>
          <cell r="AD10691">
            <v>47000</v>
          </cell>
        </row>
        <row r="10692">
          <cell r="W10692" t="str">
            <v>QREAC02</v>
          </cell>
          <cell r="AD10692">
            <v>47000</v>
          </cell>
        </row>
        <row r="10693">
          <cell r="W10693" t="str">
            <v>QREAC02</v>
          </cell>
          <cell r="AD10693">
            <v>47000</v>
          </cell>
        </row>
        <row r="10694">
          <cell r="W10694" t="str">
            <v>QREAC02</v>
          </cell>
          <cell r="AD10694">
            <v>47000</v>
          </cell>
        </row>
        <row r="10695">
          <cell r="W10695" t="str">
            <v>QREAC02</v>
          </cell>
          <cell r="AD10695">
            <v>47000</v>
          </cell>
        </row>
        <row r="10696">
          <cell r="W10696" t="str">
            <v>QREAC02</v>
          </cell>
          <cell r="AD10696">
            <v>47000</v>
          </cell>
        </row>
        <row r="10697">
          <cell r="W10697" t="str">
            <v>QREAC02</v>
          </cell>
          <cell r="AD10697">
            <v>47500</v>
          </cell>
        </row>
        <row r="10698">
          <cell r="W10698" t="str">
            <v>QREAC02</v>
          </cell>
          <cell r="AD10698">
            <v>48000</v>
          </cell>
        </row>
        <row r="10699">
          <cell r="W10699" t="str">
            <v>QREAC02</v>
          </cell>
          <cell r="AD10699">
            <v>48000</v>
          </cell>
        </row>
        <row r="10700">
          <cell r="W10700" t="str">
            <v>QREAC02</v>
          </cell>
          <cell r="AD10700">
            <v>48000</v>
          </cell>
        </row>
        <row r="10701">
          <cell r="W10701" t="str">
            <v>QREAC02</v>
          </cell>
          <cell r="AD10701">
            <v>48000</v>
          </cell>
        </row>
        <row r="10702">
          <cell r="W10702" t="str">
            <v>QREAC02</v>
          </cell>
          <cell r="AD10702">
            <v>48500</v>
          </cell>
        </row>
        <row r="10703">
          <cell r="W10703" t="str">
            <v>QREAC02</v>
          </cell>
          <cell r="AD10703">
            <v>48500</v>
          </cell>
        </row>
        <row r="10704">
          <cell r="W10704" t="str">
            <v>QREAC02</v>
          </cell>
          <cell r="AD10704">
            <v>48500</v>
          </cell>
        </row>
        <row r="10705">
          <cell r="W10705" t="str">
            <v>QREAC02</v>
          </cell>
          <cell r="AD10705">
            <v>48500</v>
          </cell>
        </row>
        <row r="10706">
          <cell r="W10706" t="str">
            <v>QREAC02</v>
          </cell>
          <cell r="AD10706">
            <v>48500</v>
          </cell>
        </row>
        <row r="10707">
          <cell r="W10707" t="str">
            <v>QREAC04</v>
          </cell>
          <cell r="AD10707">
            <v>7800000</v>
          </cell>
        </row>
        <row r="10708">
          <cell r="W10708" t="str">
            <v>QREAC04</v>
          </cell>
          <cell r="AD10708">
            <v>7800000</v>
          </cell>
        </row>
        <row r="10709">
          <cell r="W10709" t="str">
            <v>QREAC04</v>
          </cell>
          <cell r="AD10709">
            <v>7800000</v>
          </cell>
        </row>
        <row r="10710">
          <cell r="W10710" t="str">
            <v>QREAC04</v>
          </cell>
          <cell r="AD10710">
            <v>7900000</v>
          </cell>
        </row>
        <row r="10711">
          <cell r="W10711" t="str">
            <v>QREAC04</v>
          </cell>
          <cell r="AD10711">
            <v>8000000</v>
          </cell>
        </row>
        <row r="10712">
          <cell r="W10712" t="str">
            <v>QREAC04</v>
          </cell>
          <cell r="AD10712">
            <v>8000000</v>
          </cell>
        </row>
        <row r="10713">
          <cell r="W10713" t="str">
            <v>QREAC06</v>
          </cell>
          <cell r="AD10713">
            <v>200000</v>
          </cell>
        </row>
        <row r="10714">
          <cell r="W10714" t="str">
            <v>QREAC06</v>
          </cell>
          <cell r="AD10714">
            <v>200000</v>
          </cell>
        </row>
        <row r="10715">
          <cell r="W10715" t="str">
            <v>QREAC06</v>
          </cell>
          <cell r="AD10715">
            <v>210000</v>
          </cell>
        </row>
        <row r="10716">
          <cell r="W10716" t="str">
            <v>QREAC06</v>
          </cell>
          <cell r="AD10716">
            <v>215000</v>
          </cell>
        </row>
        <row r="10717">
          <cell r="W10717" t="str">
            <v>QREAC06</v>
          </cell>
          <cell r="AD10717">
            <v>215000</v>
          </cell>
        </row>
        <row r="10718">
          <cell r="W10718" t="str">
            <v>QREAC06</v>
          </cell>
          <cell r="AD10718">
            <v>215000</v>
          </cell>
        </row>
        <row r="10719">
          <cell r="W10719" t="str">
            <v>QREAC06</v>
          </cell>
          <cell r="AD10719">
            <v>215000</v>
          </cell>
        </row>
        <row r="10720">
          <cell r="W10720" t="str">
            <v>QREAC06</v>
          </cell>
          <cell r="AD10720">
            <v>215000</v>
          </cell>
        </row>
        <row r="10721">
          <cell r="W10721" t="str">
            <v>QREAC06</v>
          </cell>
          <cell r="AD10721">
            <v>215000</v>
          </cell>
        </row>
        <row r="10722">
          <cell r="W10722" t="str">
            <v>QREAC06</v>
          </cell>
          <cell r="AD10722">
            <v>215000</v>
          </cell>
        </row>
        <row r="10723">
          <cell r="W10723" t="str">
            <v>QREAC06</v>
          </cell>
          <cell r="AD10723">
            <v>215000</v>
          </cell>
        </row>
        <row r="10724">
          <cell r="W10724" t="str">
            <v>QREAC06</v>
          </cell>
          <cell r="AD10724">
            <v>215000</v>
          </cell>
        </row>
        <row r="10725">
          <cell r="W10725" t="str">
            <v>QREAC06</v>
          </cell>
          <cell r="AD10725">
            <v>215000</v>
          </cell>
        </row>
        <row r="10726">
          <cell r="W10726" t="str">
            <v>QREAC06</v>
          </cell>
          <cell r="AD10726">
            <v>215000</v>
          </cell>
        </row>
        <row r="10727">
          <cell r="W10727" t="str">
            <v>QREAC06</v>
          </cell>
          <cell r="AD10727">
            <v>220000</v>
          </cell>
        </row>
        <row r="10728">
          <cell r="W10728" t="str">
            <v>QREAC06</v>
          </cell>
          <cell r="AD10728">
            <v>220000</v>
          </cell>
        </row>
        <row r="10729">
          <cell r="W10729" t="str">
            <v>QREAC06</v>
          </cell>
          <cell r="AD10729">
            <v>225000</v>
          </cell>
        </row>
        <row r="10730">
          <cell r="W10730" t="str">
            <v>QREAC06</v>
          </cell>
          <cell r="AD10730">
            <v>225000</v>
          </cell>
        </row>
        <row r="10731">
          <cell r="W10731" t="str">
            <v>QRECO04</v>
          </cell>
          <cell r="AD10731">
            <v>165000</v>
          </cell>
        </row>
        <row r="10732">
          <cell r="W10732" t="str">
            <v>QRECO04</v>
          </cell>
          <cell r="AD10732">
            <v>165000</v>
          </cell>
        </row>
        <row r="10733">
          <cell r="W10733" t="str">
            <v>QREGE04</v>
          </cell>
          <cell r="AD10733">
            <v>129500</v>
          </cell>
        </row>
        <row r="10734">
          <cell r="W10734" t="str">
            <v>QREGE04</v>
          </cell>
          <cell r="AD10734">
            <v>129500</v>
          </cell>
        </row>
        <row r="10735">
          <cell r="W10735" t="str">
            <v>QREGE04</v>
          </cell>
          <cell r="AD10735">
            <v>129750</v>
          </cell>
        </row>
        <row r="10736">
          <cell r="W10736" t="str">
            <v>QREGE04</v>
          </cell>
          <cell r="AD10736">
            <v>129750</v>
          </cell>
        </row>
        <row r="10737">
          <cell r="W10737" t="str">
            <v>QREGE04</v>
          </cell>
          <cell r="AD10737">
            <v>129750</v>
          </cell>
        </row>
        <row r="10738">
          <cell r="W10738" t="str">
            <v>QREGE04</v>
          </cell>
          <cell r="AD10738">
            <v>130000</v>
          </cell>
        </row>
        <row r="10739">
          <cell r="W10739" t="str">
            <v>QREGE04</v>
          </cell>
          <cell r="AD10739">
            <v>130000</v>
          </cell>
        </row>
        <row r="10740">
          <cell r="W10740" t="str">
            <v>QREGE04</v>
          </cell>
          <cell r="AD10740">
            <v>130000</v>
          </cell>
        </row>
        <row r="10741">
          <cell r="W10741" t="str">
            <v>QREGE04</v>
          </cell>
          <cell r="AD10741">
            <v>130000</v>
          </cell>
        </row>
        <row r="10742">
          <cell r="W10742" t="str">
            <v>QREGE04</v>
          </cell>
          <cell r="AD10742">
            <v>130000</v>
          </cell>
        </row>
        <row r="10743">
          <cell r="W10743" t="str">
            <v>QREGE04</v>
          </cell>
          <cell r="AD10743">
            <v>130000</v>
          </cell>
        </row>
        <row r="10744">
          <cell r="W10744" t="str">
            <v>QREGE04</v>
          </cell>
          <cell r="AD10744">
            <v>130000</v>
          </cell>
        </row>
        <row r="10745">
          <cell r="W10745" t="str">
            <v>QREGE04</v>
          </cell>
          <cell r="AD10745">
            <v>130000</v>
          </cell>
        </row>
        <row r="10746">
          <cell r="W10746" t="str">
            <v>QREGE04</v>
          </cell>
          <cell r="AD10746">
            <v>130000</v>
          </cell>
        </row>
        <row r="10747">
          <cell r="W10747" t="str">
            <v>QREGE04</v>
          </cell>
          <cell r="AD10747">
            <v>130000</v>
          </cell>
        </row>
        <row r="10748">
          <cell r="W10748" t="str">
            <v>QREGE04</v>
          </cell>
          <cell r="AD10748">
            <v>130500</v>
          </cell>
        </row>
        <row r="10749">
          <cell r="W10749" t="str">
            <v>QREGE04</v>
          </cell>
          <cell r="AD10749">
            <v>130500</v>
          </cell>
        </row>
        <row r="10750">
          <cell r="W10750" t="str">
            <v>QREGE04</v>
          </cell>
          <cell r="AD10750">
            <v>130500</v>
          </cell>
        </row>
        <row r="10751">
          <cell r="W10751" t="str">
            <v>QREGE04</v>
          </cell>
          <cell r="AD10751">
            <v>130500</v>
          </cell>
        </row>
        <row r="10752">
          <cell r="W10752" t="str">
            <v>QREGE04</v>
          </cell>
          <cell r="AD10752">
            <v>130500</v>
          </cell>
        </row>
        <row r="10753">
          <cell r="W10753" t="str">
            <v>QREGE04</v>
          </cell>
          <cell r="AD10753">
            <v>130500</v>
          </cell>
        </row>
        <row r="10754">
          <cell r="W10754" t="str">
            <v>QREGE04</v>
          </cell>
          <cell r="AD10754">
            <v>130500</v>
          </cell>
        </row>
        <row r="10755">
          <cell r="W10755" t="str">
            <v>QREGE04</v>
          </cell>
          <cell r="AD10755">
            <v>130500</v>
          </cell>
        </row>
        <row r="10756">
          <cell r="W10756" t="str">
            <v>QREGE04</v>
          </cell>
          <cell r="AD10756">
            <v>130500</v>
          </cell>
        </row>
        <row r="10757">
          <cell r="W10757" t="str">
            <v>QREGE04</v>
          </cell>
          <cell r="AD10757">
            <v>130500</v>
          </cell>
        </row>
        <row r="10758">
          <cell r="W10758" t="str">
            <v>QREGE04</v>
          </cell>
          <cell r="AD10758">
            <v>130500</v>
          </cell>
        </row>
        <row r="10759">
          <cell r="W10759" t="str">
            <v>QREGE04</v>
          </cell>
          <cell r="AD10759">
            <v>130500</v>
          </cell>
        </row>
        <row r="10760">
          <cell r="W10760" t="str">
            <v>QREGE04</v>
          </cell>
          <cell r="AD10760">
            <v>130500</v>
          </cell>
        </row>
        <row r="10761">
          <cell r="W10761" t="str">
            <v>QREGE04</v>
          </cell>
          <cell r="AD10761">
            <v>130500</v>
          </cell>
        </row>
        <row r="10762">
          <cell r="W10762" t="str">
            <v>QREGE04</v>
          </cell>
          <cell r="AD10762">
            <v>130500</v>
          </cell>
        </row>
        <row r="10763">
          <cell r="W10763" t="str">
            <v>QREGE04</v>
          </cell>
          <cell r="AD10763">
            <v>130500</v>
          </cell>
        </row>
        <row r="10764">
          <cell r="W10764" t="str">
            <v>QREGE04</v>
          </cell>
          <cell r="AD10764">
            <v>131000</v>
          </cell>
        </row>
        <row r="10765">
          <cell r="W10765" t="str">
            <v>QREGE04</v>
          </cell>
          <cell r="AD10765">
            <v>131000</v>
          </cell>
        </row>
        <row r="10766">
          <cell r="W10766" t="str">
            <v>QREGE04</v>
          </cell>
          <cell r="AD10766">
            <v>131000</v>
          </cell>
        </row>
        <row r="10767">
          <cell r="W10767" t="str">
            <v>QREGE04</v>
          </cell>
          <cell r="AD10767">
            <v>131000</v>
          </cell>
        </row>
        <row r="10768">
          <cell r="W10768" t="str">
            <v>QREGE04</v>
          </cell>
          <cell r="AD10768">
            <v>131000</v>
          </cell>
        </row>
        <row r="10769">
          <cell r="W10769" t="str">
            <v>QREGE04</v>
          </cell>
          <cell r="AD10769">
            <v>131000</v>
          </cell>
        </row>
        <row r="10770">
          <cell r="W10770" t="str">
            <v>QREGE04</v>
          </cell>
          <cell r="AD10770">
            <v>131000</v>
          </cell>
        </row>
        <row r="10771">
          <cell r="W10771" t="str">
            <v>QREGE04</v>
          </cell>
          <cell r="AD10771">
            <v>131000</v>
          </cell>
        </row>
        <row r="10772">
          <cell r="W10772" t="str">
            <v>QREGE04</v>
          </cell>
          <cell r="AD10772">
            <v>131000</v>
          </cell>
        </row>
        <row r="10773">
          <cell r="W10773" t="str">
            <v>QREGE04</v>
          </cell>
          <cell r="AD10773">
            <v>131000</v>
          </cell>
        </row>
        <row r="10774">
          <cell r="W10774" t="str">
            <v>QREGE04</v>
          </cell>
          <cell r="AD10774">
            <v>131000</v>
          </cell>
        </row>
        <row r="10775">
          <cell r="W10775" t="str">
            <v>QREGE04</v>
          </cell>
          <cell r="AD10775">
            <v>131000</v>
          </cell>
        </row>
        <row r="10776">
          <cell r="W10776" t="str">
            <v>QREGE04</v>
          </cell>
          <cell r="AD10776">
            <v>131000</v>
          </cell>
        </row>
        <row r="10777">
          <cell r="W10777" t="str">
            <v>QREGE04</v>
          </cell>
          <cell r="AD10777">
            <v>131000</v>
          </cell>
        </row>
        <row r="10778">
          <cell r="W10778" t="str">
            <v>QREGE04</v>
          </cell>
          <cell r="AD10778">
            <v>131000</v>
          </cell>
        </row>
        <row r="10779">
          <cell r="W10779" t="str">
            <v>QREGE04</v>
          </cell>
          <cell r="AD10779">
            <v>131000</v>
          </cell>
        </row>
        <row r="10780">
          <cell r="W10780" t="str">
            <v>QREGE04</v>
          </cell>
          <cell r="AD10780">
            <v>131000</v>
          </cell>
        </row>
        <row r="10781">
          <cell r="W10781" t="str">
            <v>QREGE04</v>
          </cell>
          <cell r="AD10781">
            <v>131000</v>
          </cell>
        </row>
        <row r="10782">
          <cell r="W10782" t="str">
            <v>QREGE04</v>
          </cell>
          <cell r="AD10782">
            <v>131000</v>
          </cell>
        </row>
        <row r="10783">
          <cell r="W10783" t="str">
            <v>QREGE04</v>
          </cell>
          <cell r="AD10783">
            <v>131500</v>
          </cell>
        </row>
        <row r="10784">
          <cell r="W10784" t="str">
            <v>QREGE04</v>
          </cell>
          <cell r="AD10784">
            <v>131500</v>
          </cell>
        </row>
        <row r="10785">
          <cell r="W10785" t="str">
            <v>QREGE04</v>
          </cell>
          <cell r="AD10785">
            <v>131500</v>
          </cell>
        </row>
        <row r="10786">
          <cell r="W10786" t="str">
            <v>QREGE04</v>
          </cell>
          <cell r="AD10786">
            <v>131500</v>
          </cell>
        </row>
        <row r="10787">
          <cell r="W10787" t="str">
            <v>QREGE04</v>
          </cell>
          <cell r="AD10787">
            <v>131500</v>
          </cell>
        </row>
        <row r="10788">
          <cell r="W10788" t="str">
            <v>QREGE04</v>
          </cell>
          <cell r="AD10788">
            <v>131500</v>
          </cell>
        </row>
        <row r="10789">
          <cell r="W10789" t="str">
            <v>QREGE04</v>
          </cell>
          <cell r="AD10789">
            <v>131500</v>
          </cell>
        </row>
        <row r="10790">
          <cell r="W10790" t="str">
            <v>QREGE04</v>
          </cell>
          <cell r="AD10790">
            <v>132500</v>
          </cell>
        </row>
        <row r="10791">
          <cell r="W10791" t="str">
            <v>QREGE04</v>
          </cell>
          <cell r="AD10791">
            <v>132500</v>
          </cell>
        </row>
        <row r="10792">
          <cell r="W10792" t="str">
            <v>QREGE04</v>
          </cell>
          <cell r="AD10792">
            <v>132500</v>
          </cell>
        </row>
        <row r="10793">
          <cell r="W10793" t="str">
            <v>QREGE04</v>
          </cell>
          <cell r="AD10793">
            <v>132500</v>
          </cell>
        </row>
        <row r="10794">
          <cell r="W10794" t="str">
            <v>QREGE07</v>
          </cell>
          <cell r="AD10794">
            <v>68000</v>
          </cell>
        </row>
        <row r="10795">
          <cell r="W10795" t="str">
            <v>QREGE07</v>
          </cell>
          <cell r="AD10795">
            <v>68000</v>
          </cell>
        </row>
        <row r="10796">
          <cell r="W10796" t="str">
            <v>QREGE07</v>
          </cell>
          <cell r="AD10796">
            <v>68000</v>
          </cell>
        </row>
        <row r="10797">
          <cell r="W10797" t="str">
            <v>QREGE07</v>
          </cell>
          <cell r="AD10797">
            <v>68000</v>
          </cell>
        </row>
        <row r="10798">
          <cell r="W10798" t="str">
            <v>QREGE07</v>
          </cell>
          <cell r="AD10798">
            <v>68000</v>
          </cell>
        </row>
        <row r="10799">
          <cell r="W10799" t="str">
            <v>QREGE07</v>
          </cell>
          <cell r="AD10799">
            <v>68000</v>
          </cell>
        </row>
        <row r="10800">
          <cell r="W10800" t="str">
            <v>QREGE07</v>
          </cell>
          <cell r="AD10800">
            <v>68000</v>
          </cell>
        </row>
        <row r="10801">
          <cell r="W10801" t="str">
            <v>QREGE07</v>
          </cell>
          <cell r="AD10801">
            <v>68250</v>
          </cell>
        </row>
        <row r="10802">
          <cell r="W10802" t="str">
            <v>QREGE07</v>
          </cell>
          <cell r="AD10802">
            <v>68500</v>
          </cell>
        </row>
        <row r="10803">
          <cell r="W10803" t="str">
            <v>QREGE07</v>
          </cell>
          <cell r="AD10803">
            <v>68500</v>
          </cell>
        </row>
        <row r="10804">
          <cell r="W10804" t="str">
            <v>QREGE07</v>
          </cell>
          <cell r="AD10804">
            <v>68500</v>
          </cell>
        </row>
        <row r="10805">
          <cell r="W10805" t="str">
            <v>QREGE07</v>
          </cell>
          <cell r="AD10805">
            <v>68500</v>
          </cell>
        </row>
        <row r="10806">
          <cell r="W10806" t="str">
            <v>QREGE07</v>
          </cell>
          <cell r="AD10806">
            <v>68500</v>
          </cell>
        </row>
        <row r="10807">
          <cell r="W10807" t="str">
            <v>QREGE07</v>
          </cell>
          <cell r="AD10807">
            <v>68500</v>
          </cell>
        </row>
        <row r="10808">
          <cell r="W10808" t="str">
            <v>QREGE07</v>
          </cell>
          <cell r="AD10808">
            <v>68750</v>
          </cell>
        </row>
        <row r="10809">
          <cell r="W10809" t="str">
            <v>QREGE07</v>
          </cell>
          <cell r="AD10809">
            <v>68750</v>
          </cell>
        </row>
        <row r="10810">
          <cell r="W10810" t="str">
            <v>QREGE07</v>
          </cell>
          <cell r="AD10810">
            <v>68900</v>
          </cell>
        </row>
        <row r="10811">
          <cell r="W10811" t="str">
            <v>QREGE07</v>
          </cell>
          <cell r="AD10811">
            <v>69000</v>
          </cell>
        </row>
        <row r="10812">
          <cell r="W10812" t="str">
            <v>QREGE07</v>
          </cell>
          <cell r="AD10812">
            <v>69000</v>
          </cell>
        </row>
        <row r="10813">
          <cell r="W10813" t="str">
            <v>QREGE07</v>
          </cell>
          <cell r="AD10813">
            <v>69000</v>
          </cell>
        </row>
        <row r="10814">
          <cell r="W10814" t="str">
            <v>QREGE07</v>
          </cell>
          <cell r="AD10814">
            <v>69000</v>
          </cell>
        </row>
        <row r="10815">
          <cell r="W10815" t="str">
            <v>QREGE07</v>
          </cell>
          <cell r="AD10815">
            <v>69000</v>
          </cell>
        </row>
        <row r="10816">
          <cell r="W10816" t="str">
            <v>QREGE07</v>
          </cell>
          <cell r="AD10816">
            <v>69000</v>
          </cell>
        </row>
        <row r="10817">
          <cell r="W10817" t="str">
            <v>QREGE07</v>
          </cell>
          <cell r="AD10817">
            <v>69250</v>
          </cell>
        </row>
        <row r="10818">
          <cell r="W10818" t="str">
            <v>QREGE07</v>
          </cell>
          <cell r="AD10818">
            <v>69500</v>
          </cell>
        </row>
        <row r="10819">
          <cell r="W10819" t="str">
            <v>QREGE07</v>
          </cell>
          <cell r="AD10819">
            <v>69500</v>
          </cell>
        </row>
        <row r="10820">
          <cell r="W10820" t="str">
            <v>QREGE07</v>
          </cell>
          <cell r="AD10820">
            <v>69500</v>
          </cell>
        </row>
        <row r="10821">
          <cell r="W10821" t="str">
            <v>QREGE07</v>
          </cell>
          <cell r="AD10821">
            <v>69500</v>
          </cell>
        </row>
        <row r="10822">
          <cell r="W10822" t="str">
            <v>QREGE07</v>
          </cell>
          <cell r="AD10822">
            <v>69500</v>
          </cell>
        </row>
        <row r="10823">
          <cell r="W10823" t="str">
            <v>QREGE07</v>
          </cell>
          <cell r="AD10823">
            <v>69500</v>
          </cell>
        </row>
        <row r="10824">
          <cell r="W10824" t="str">
            <v>QREGE07</v>
          </cell>
          <cell r="AD10824">
            <v>69500</v>
          </cell>
        </row>
        <row r="10825">
          <cell r="W10825" t="str">
            <v>QREGE07</v>
          </cell>
          <cell r="AD10825">
            <v>69500</v>
          </cell>
        </row>
        <row r="10826">
          <cell r="W10826" t="str">
            <v>QREGE07</v>
          </cell>
          <cell r="AD10826">
            <v>69500</v>
          </cell>
        </row>
        <row r="10827">
          <cell r="W10827" t="str">
            <v>QREGE07</v>
          </cell>
          <cell r="AD10827">
            <v>69500</v>
          </cell>
        </row>
        <row r="10828">
          <cell r="W10828" t="str">
            <v>QREGE07</v>
          </cell>
          <cell r="AD10828">
            <v>69500</v>
          </cell>
        </row>
        <row r="10829">
          <cell r="W10829" t="str">
            <v>QREGE07</v>
          </cell>
          <cell r="AD10829">
            <v>69500</v>
          </cell>
        </row>
        <row r="10830">
          <cell r="W10830" t="str">
            <v>QREGE07</v>
          </cell>
          <cell r="AD10830">
            <v>69500</v>
          </cell>
        </row>
        <row r="10831">
          <cell r="W10831" t="str">
            <v>QREGE07</v>
          </cell>
          <cell r="AD10831">
            <v>69500</v>
          </cell>
        </row>
        <row r="10832">
          <cell r="W10832" t="str">
            <v>QREGE07</v>
          </cell>
          <cell r="AD10832">
            <v>69500</v>
          </cell>
        </row>
        <row r="10833">
          <cell r="W10833" t="str">
            <v>QREGE07</v>
          </cell>
          <cell r="AD10833">
            <v>70000</v>
          </cell>
        </row>
        <row r="10834">
          <cell r="W10834" t="str">
            <v>QREGE07</v>
          </cell>
          <cell r="AD10834">
            <v>70000</v>
          </cell>
        </row>
        <row r="10835">
          <cell r="W10835" t="str">
            <v>QREGE07</v>
          </cell>
          <cell r="AD10835">
            <v>70000</v>
          </cell>
        </row>
        <row r="10836">
          <cell r="W10836" t="str">
            <v>QREGE07</v>
          </cell>
          <cell r="AD10836">
            <v>70000</v>
          </cell>
        </row>
        <row r="10837">
          <cell r="W10837" t="str">
            <v>QREGE07</v>
          </cell>
          <cell r="AD10837">
            <v>70000</v>
          </cell>
        </row>
        <row r="10838">
          <cell r="W10838" t="str">
            <v>QREGE07</v>
          </cell>
          <cell r="AD10838">
            <v>70000</v>
          </cell>
        </row>
        <row r="10839">
          <cell r="W10839" t="str">
            <v>QREGE07</v>
          </cell>
          <cell r="AD10839">
            <v>70500</v>
          </cell>
        </row>
        <row r="10840">
          <cell r="W10840" t="str">
            <v>AREGE03</v>
          </cell>
          <cell r="AD10840">
            <v>25000</v>
          </cell>
        </row>
        <row r="10841">
          <cell r="W10841" t="str">
            <v>QREGE05</v>
          </cell>
          <cell r="AD10841">
            <v>27000</v>
          </cell>
        </row>
        <row r="10842">
          <cell r="W10842" t="str">
            <v>QREGE05</v>
          </cell>
          <cell r="AD10842">
            <v>27000</v>
          </cell>
        </row>
        <row r="10843">
          <cell r="W10843" t="str">
            <v>QREGE05</v>
          </cell>
          <cell r="AD10843">
            <v>27000</v>
          </cell>
        </row>
        <row r="10844">
          <cell r="W10844" t="str">
            <v>QREGE05</v>
          </cell>
          <cell r="AD10844">
            <v>27000</v>
          </cell>
        </row>
        <row r="10845">
          <cell r="W10845" t="str">
            <v>QREGE05</v>
          </cell>
          <cell r="AD10845">
            <v>27000</v>
          </cell>
        </row>
        <row r="10846">
          <cell r="W10846" t="str">
            <v>QREGE05</v>
          </cell>
          <cell r="AD10846">
            <v>27000</v>
          </cell>
        </row>
        <row r="10847">
          <cell r="W10847" t="str">
            <v>QREGE05</v>
          </cell>
          <cell r="AD10847">
            <v>27000</v>
          </cell>
        </row>
        <row r="10848">
          <cell r="W10848" t="str">
            <v>QREGE05</v>
          </cell>
          <cell r="AD10848">
            <v>27000</v>
          </cell>
        </row>
        <row r="10849">
          <cell r="W10849" t="str">
            <v>QREGE05</v>
          </cell>
          <cell r="AD10849">
            <v>27000</v>
          </cell>
        </row>
        <row r="10850">
          <cell r="W10850" t="str">
            <v>QREGE05</v>
          </cell>
          <cell r="AD10850">
            <v>27000</v>
          </cell>
        </row>
        <row r="10851">
          <cell r="W10851" t="str">
            <v>QREGE05</v>
          </cell>
          <cell r="AD10851">
            <v>27000</v>
          </cell>
        </row>
        <row r="10852">
          <cell r="W10852" t="str">
            <v>QREGE05</v>
          </cell>
          <cell r="AD10852">
            <v>27000</v>
          </cell>
        </row>
        <row r="10853">
          <cell r="W10853" t="str">
            <v>QREGE05</v>
          </cell>
          <cell r="AD10853">
            <v>27000</v>
          </cell>
        </row>
        <row r="10854">
          <cell r="W10854" t="str">
            <v>QREGE05</v>
          </cell>
          <cell r="AD10854">
            <v>27000</v>
          </cell>
        </row>
        <row r="10855">
          <cell r="W10855" t="str">
            <v>QREGE05</v>
          </cell>
          <cell r="AD10855">
            <v>27000</v>
          </cell>
        </row>
        <row r="10856">
          <cell r="W10856" t="str">
            <v>QREGE05</v>
          </cell>
          <cell r="AD10856">
            <v>27000</v>
          </cell>
        </row>
        <row r="10857">
          <cell r="W10857" t="str">
            <v>QREGE05</v>
          </cell>
          <cell r="AD10857">
            <v>27000</v>
          </cell>
        </row>
        <row r="10858">
          <cell r="W10858" t="str">
            <v>QREGE05</v>
          </cell>
          <cell r="AD10858">
            <v>27250</v>
          </cell>
        </row>
        <row r="10859">
          <cell r="W10859" t="str">
            <v>AREGE03</v>
          </cell>
          <cell r="AD10859">
            <v>27250</v>
          </cell>
        </row>
        <row r="10860">
          <cell r="W10860" t="str">
            <v>QREGE05</v>
          </cell>
          <cell r="AD10860">
            <v>27250</v>
          </cell>
        </row>
        <row r="10861">
          <cell r="W10861" t="str">
            <v>QREGE05</v>
          </cell>
          <cell r="AD10861">
            <v>27250</v>
          </cell>
        </row>
        <row r="10862">
          <cell r="W10862" t="str">
            <v>QREGE05</v>
          </cell>
          <cell r="AD10862">
            <v>27250</v>
          </cell>
        </row>
        <row r="10863">
          <cell r="W10863" t="str">
            <v>QREGE05</v>
          </cell>
          <cell r="AD10863">
            <v>27250</v>
          </cell>
        </row>
        <row r="10864">
          <cell r="W10864" t="str">
            <v>QREGE05</v>
          </cell>
          <cell r="AD10864">
            <v>27250</v>
          </cell>
        </row>
        <row r="10865">
          <cell r="W10865" t="str">
            <v>QREGE05</v>
          </cell>
          <cell r="AD10865">
            <v>27250</v>
          </cell>
        </row>
        <row r="10866">
          <cell r="W10866" t="str">
            <v>QREGE05</v>
          </cell>
          <cell r="AD10866">
            <v>27250</v>
          </cell>
        </row>
        <row r="10867">
          <cell r="W10867" t="str">
            <v>QREGE05</v>
          </cell>
          <cell r="AD10867">
            <v>27500</v>
          </cell>
        </row>
        <row r="10868">
          <cell r="W10868" t="str">
            <v>QREGE05</v>
          </cell>
          <cell r="AD10868">
            <v>27500</v>
          </cell>
        </row>
        <row r="10869">
          <cell r="W10869" t="str">
            <v>QREGE05</v>
          </cell>
          <cell r="AD10869">
            <v>27500</v>
          </cell>
        </row>
        <row r="10870">
          <cell r="W10870" t="str">
            <v>QREGE05</v>
          </cell>
          <cell r="AD10870">
            <v>27500</v>
          </cell>
        </row>
        <row r="10871">
          <cell r="W10871" t="str">
            <v>QREGE05</v>
          </cell>
          <cell r="AD10871">
            <v>27500</v>
          </cell>
        </row>
        <row r="10872">
          <cell r="W10872" t="str">
            <v>QREGE05</v>
          </cell>
          <cell r="AD10872">
            <v>27500</v>
          </cell>
        </row>
        <row r="10873">
          <cell r="W10873" t="str">
            <v>QREGE05</v>
          </cell>
          <cell r="AD10873">
            <v>27500</v>
          </cell>
        </row>
        <row r="10874">
          <cell r="W10874" t="str">
            <v>AREGE03</v>
          </cell>
          <cell r="AD10874">
            <v>27500</v>
          </cell>
        </row>
        <row r="10875">
          <cell r="W10875" t="str">
            <v>AREGE03</v>
          </cell>
          <cell r="AD10875">
            <v>27500</v>
          </cell>
        </row>
        <row r="10876">
          <cell r="W10876" t="str">
            <v>QREGE05</v>
          </cell>
          <cell r="AD10876">
            <v>27500</v>
          </cell>
        </row>
        <row r="10877">
          <cell r="W10877" t="str">
            <v>QREGE05</v>
          </cell>
          <cell r="AD10877">
            <v>27500</v>
          </cell>
        </row>
        <row r="10878">
          <cell r="W10878" t="str">
            <v>QREGE05</v>
          </cell>
          <cell r="AD10878">
            <v>27500</v>
          </cell>
        </row>
        <row r="10879">
          <cell r="W10879" t="str">
            <v>QREGE05</v>
          </cell>
          <cell r="AD10879">
            <v>27500</v>
          </cell>
        </row>
        <row r="10880">
          <cell r="W10880" t="str">
            <v>QREGE05</v>
          </cell>
          <cell r="AD10880">
            <v>27500</v>
          </cell>
        </row>
        <row r="10881">
          <cell r="W10881" t="str">
            <v>QREGE05</v>
          </cell>
          <cell r="AD10881">
            <v>27500</v>
          </cell>
        </row>
        <row r="10882">
          <cell r="W10882" t="str">
            <v>QREGE05</v>
          </cell>
          <cell r="AD10882">
            <v>27500</v>
          </cell>
        </row>
        <row r="10883">
          <cell r="W10883" t="str">
            <v>QREGE05</v>
          </cell>
          <cell r="AD10883">
            <v>27500</v>
          </cell>
        </row>
        <row r="10884">
          <cell r="W10884" t="str">
            <v>QREGE05</v>
          </cell>
          <cell r="AD10884">
            <v>27500</v>
          </cell>
        </row>
        <row r="10885">
          <cell r="W10885" t="str">
            <v>QREGE05</v>
          </cell>
          <cell r="AD10885">
            <v>27500</v>
          </cell>
        </row>
        <row r="10886">
          <cell r="W10886" t="str">
            <v>QREGE05</v>
          </cell>
          <cell r="AD10886">
            <v>27500</v>
          </cell>
        </row>
        <row r="10887">
          <cell r="W10887" t="str">
            <v>QREGE05</v>
          </cell>
          <cell r="AD10887">
            <v>27500</v>
          </cell>
        </row>
        <row r="10888">
          <cell r="W10888" t="str">
            <v>QREGE05</v>
          </cell>
          <cell r="AD10888">
            <v>27500</v>
          </cell>
        </row>
        <row r="10889">
          <cell r="W10889" t="str">
            <v>QREGE05</v>
          </cell>
          <cell r="AD10889">
            <v>27500</v>
          </cell>
        </row>
        <row r="10890">
          <cell r="W10890" t="str">
            <v>QREGE05</v>
          </cell>
          <cell r="AD10890">
            <v>27750</v>
          </cell>
        </row>
        <row r="10891">
          <cell r="W10891" t="str">
            <v>QREGE05</v>
          </cell>
          <cell r="AD10891">
            <v>27750</v>
          </cell>
        </row>
        <row r="10892">
          <cell r="W10892" t="str">
            <v>QREGE05</v>
          </cell>
          <cell r="AD10892">
            <v>27750</v>
          </cell>
        </row>
        <row r="10893">
          <cell r="W10893" t="str">
            <v>QREGE05</v>
          </cell>
          <cell r="AD10893">
            <v>27750</v>
          </cell>
        </row>
        <row r="10894">
          <cell r="W10894" t="str">
            <v>QREGE05</v>
          </cell>
          <cell r="AD10894">
            <v>28000</v>
          </cell>
        </row>
        <row r="10895">
          <cell r="W10895" t="str">
            <v>QREGE05</v>
          </cell>
          <cell r="AD10895">
            <v>28000</v>
          </cell>
        </row>
        <row r="10896">
          <cell r="W10896" t="str">
            <v>QREGE05</v>
          </cell>
          <cell r="AD10896">
            <v>28000</v>
          </cell>
        </row>
        <row r="10897">
          <cell r="W10897" t="str">
            <v>QREGE05</v>
          </cell>
          <cell r="AD10897">
            <v>28000</v>
          </cell>
        </row>
        <row r="10898">
          <cell r="W10898" t="str">
            <v>QREGE05</v>
          </cell>
          <cell r="AD10898">
            <v>28000</v>
          </cell>
        </row>
        <row r="10899">
          <cell r="W10899" t="str">
            <v>QREGE05</v>
          </cell>
          <cell r="AD10899">
            <v>28000</v>
          </cell>
        </row>
        <row r="10900">
          <cell r="W10900" t="str">
            <v>QREGE05</v>
          </cell>
          <cell r="AD10900">
            <v>28000</v>
          </cell>
        </row>
        <row r="10901">
          <cell r="W10901" t="str">
            <v>QREGE05</v>
          </cell>
          <cell r="AD10901">
            <v>28000</v>
          </cell>
        </row>
        <row r="10902">
          <cell r="W10902" t="str">
            <v>QREGE05</v>
          </cell>
          <cell r="AD10902">
            <v>28000</v>
          </cell>
        </row>
        <row r="10903">
          <cell r="W10903" t="str">
            <v>QREGE05</v>
          </cell>
          <cell r="AD10903">
            <v>28000</v>
          </cell>
        </row>
        <row r="10904">
          <cell r="W10904" t="str">
            <v>QREGE05</v>
          </cell>
          <cell r="AD10904">
            <v>28000</v>
          </cell>
        </row>
        <row r="10905">
          <cell r="W10905" t="str">
            <v>AREGE03</v>
          </cell>
          <cell r="AD10905">
            <v>28000</v>
          </cell>
        </row>
        <row r="10906">
          <cell r="W10906" t="str">
            <v>QREGE05</v>
          </cell>
          <cell r="AD10906">
            <v>28000</v>
          </cell>
        </row>
        <row r="10907">
          <cell r="W10907" t="str">
            <v>QREGE05</v>
          </cell>
          <cell r="AD10907">
            <v>28000</v>
          </cell>
        </row>
        <row r="10908">
          <cell r="W10908" t="str">
            <v>QREGE05</v>
          </cell>
          <cell r="AD10908">
            <v>28000</v>
          </cell>
        </row>
        <row r="10909">
          <cell r="W10909" t="str">
            <v>AREGE03</v>
          </cell>
          <cell r="AD10909">
            <v>28250</v>
          </cell>
        </row>
        <row r="10910">
          <cell r="W10910" t="str">
            <v>QREGE05</v>
          </cell>
          <cell r="AD10910">
            <v>29250</v>
          </cell>
        </row>
        <row r="10911">
          <cell r="W10911" t="str">
            <v>QREGE05</v>
          </cell>
          <cell r="AD10911">
            <v>29500</v>
          </cell>
        </row>
        <row r="10912">
          <cell r="W10912" t="str">
            <v>QREGE08</v>
          </cell>
          <cell r="AD10912">
            <v>15850</v>
          </cell>
        </row>
        <row r="10913">
          <cell r="W10913" t="str">
            <v>QREGE08</v>
          </cell>
          <cell r="AD10913">
            <v>15850</v>
          </cell>
        </row>
        <row r="10914">
          <cell r="W10914" t="str">
            <v>QREGE08</v>
          </cell>
          <cell r="AD10914">
            <v>15850</v>
          </cell>
        </row>
        <row r="10915">
          <cell r="W10915" t="str">
            <v>QREGE08</v>
          </cell>
          <cell r="AD10915">
            <v>15850</v>
          </cell>
        </row>
        <row r="10916">
          <cell r="W10916" t="str">
            <v>QREGE08</v>
          </cell>
          <cell r="AD10916">
            <v>15850</v>
          </cell>
        </row>
        <row r="10917">
          <cell r="W10917" t="str">
            <v>QREGE08</v>
          </cell>
          <cell r="AD10917">
            <v>16000</v>
          </cell>
        </row>
        <row r="10918">
          <cell r="W10918" t="str">
            <v>QREGE08</v>
          </cell>
          <cell r="AD10918">
            <v>16000</v>
          </cell>
        </row>
        <row r="10919">
          <cell r="W10919" t="str">
            <v>QREGE02</v>
          </cell>
          <cell r="AD10919">
            <v>32500</v>
          </cell>
        </row>
        <row r="10920">
          <cell r="W10920" t="str">
            <v>QREGE02</v>
          </cell>
          <cell r="AD10920">
            <v>35000</v>
          </cell>
        </row>
        <row r="10921">
          <cell r="W10921" t="str">
            <v>QREGE03</v>
          </cell>
          <cell r="AD10921">
            <v>15850</v>
          </cell>
        </row>
        <row r="10922">
          <cell r="W10922" t="str">
            <v>QREGE03</v>
          </cell>
          <cell r="AD10922">
            <v>18000</v>
          </cell>
        </row>
        <row r="10923">
          <cell r="W10923" t="str">
            <v>QREGE03</v>
          </cell>
          <cell r="AD10923">
            <v>18500</v>
          </cell>
        </row>
        <row r="10924">
          <cell r="W10924" t="str">
            <v>QREMA03</v>
          </cell>
          <cell r="AD10924">
            <v>230000</v>
          </cell>
        </row>
        <row r="10925">
          <cell r="W10925" t="str">
            <v>QREMA03</v>
          </cell>
          <cell r="AD10925">
            <v>230000</v>
          </cell>
        </row>
        <row r="10926">
          <cell r="W10926" t="str">
            <v>QREMA03</v>
          </cell>
          <cell r="AD10926">
            <v>230000</v>
          </cell>
        </row>
        <row r="10927">
          <cell r="W10927" t="str">
            <v>QREMA03</v>
          </cell>
          <cell r="AD10927">
            <v>230000</v>
          </cell>
        </row>
        <row r="10928">
          <cell r="W10928" t="str">
            <v>QREMA03</v>
          </cell>
          <cell r="AD10928">
            <v>230000</v>
          </cell>
        </row>
        <row r="10929">
          <cell r="W10929" t="str">
            <v>QREMA03</v>
          </cell>
          <cell r="AD10929">
            <v>230000</v>
          </cell>
        </row>
        <row r="10930">
          <cell r="W10930" t="str">
            <v>QREMA03</v>
          </cell>
          <cell r="AD10930">
            <v>230000</v>
          </cell>
        </row>
        <row r="10931">
          <cell r="W10931" t="str">
            <v>QREMA03</v>
          </cell>
          <cell r="AD10931">
            <v>230000</v>
          </cell>
        </row>
        <row r="10932">
          <cell r="W10932" t="str">
            <v>QREMA03</v>
          </cell>
          <cell r="AD10932">
            <v>230000</v>
          </cell>
        </row>
        <row r="10933">
          <cell r="W10933" t="str">
            <v>QREMA03</v>
          </cell>
          <cell r="AD10933">
            <v>230000</v>
          </cell>
        </row>
        <row r="10934">
          <cell r="W10934" t="str">
            <v>QREMA03</v>
          </cell>
          <cell r="AD10934">
            <v>230000</v>
          </cell>
        </row>
        <row r="10935">
          <cell r="W10935" t="str">
            <v>QREMA03</v>
          </cell>
          <cell r="AD10935">
            <v>230000</v>
          </cell>
        </row>
        <row r="10936">
          <cell r="W10936" t="str">
            <v>QREMA03</v>
          </cell>
          <cell r="AD10936">
            <v>230000</v>
          </cell>
        </row>
        <row r="10937">
          <cell r="W10937" t="str">
            <v>QREMA03</v>
          </cell>
          <cell r="AD10937">
            <v>230000</v>
          </cell>
        </row>
        <row r="10938">
          <cell r="W10938" t="str">
            <v>QREMA03</v>
          </cell>
          <cell r="AD10938">
            <v>230000</v>
          </cell>
        </row>
        <row r="10939">
          <cell r="W10939" t="str">
            <v>AREMA01</v>
          </cell>
          <cell r="AD10939">
            <v>140000</v>
          </cell>
        </row>
        <row r="10940">
          <cell r="W10940" t="str">
            <v>QREMA02</v>
          </cell>
          <cell r="AD10940">
            <v>150000</v>
          </cell>
        </row>
        <row r="10941">
          <cell r="W10941" t="str">
            <v>QREMA02</v>
          </cell>
          <cell r="AD10941">
            <v>150000</v>
          </cell>
        </row>
        <row r="10942">
          <cell r="W10942" t="str">
            <v>QREMA02</v>
          </cell>
          <cell r="AD10942">
            <v>151000</v>
          </cell>
        </row>
        <row r="10943">
          <cell r="W10943" t="str">
            <v>QREMA02</v>
          </cell>
          <cell r="AD10943">
            <v>151000</v>
          </cell>
        </row>
        <row r="10944">
          <cell r="W10944" t="str">
            <v>QREMA02</v>
          </cell>
          <cell r="AD10944">
            <v>151000</v>
          </cell>
        </row>
        <row r="10945">
          <cell r="W10945" t="str">
            <v>QREMA02</v>
          </cell>
          <cell r="AD10945">
            <v>151000</v>
          </cell>
        </row>
        <row r="10946">
          <cell r="W10946" t="str">
            <v>QREMA02</v>
          </cell>
          <cell r="AD10946">
            <v>151000</v>
          </cell>
        </row>
        <row r="10947">
          <cell r="W10947" t="str">
            <v>QREMA02</v>
          </cell>
          <cell r="AD10947">
            <v>151000</v>
          </cell>
        </row>
        <row r="10948">
          <cell r="W10948" t="str">
            <v>QREMA02</v>
          </cell>
          <cell r="AD10948">
            <v>151000</v>
          </cell>
        </row>
        <row r="10949">
          <cell r="W10949" t="str">
            <v>QREMA02</v>
          </cell>
          <cell r="AD10949">
            <v>151000</v>
          </cell>
        </row>
        <row r="10950">
          <cell r="W10950" t="str">
            <v>QREMA02</v>
          </cell>
          <cell r="AD10950">
            <v>151000</v>
          </cell>
        </row>
        <row r="10951">
          <cell r="W10951" t="str">
            <v>QREMA02</v>
          </cell>
          <cell r="AD10951">
            <v>151000</v>
          </cell>
        </row>
        <row r="10952">
          <cell r="W10952" t="str">
            <v>QREMA02</v>
          </cell>
          <cell r="AD10952">
            <v>151000</v>
          </cell>
        </row>
        <row r="10953">
          <cell r="W10953" t="str">
            <v>QREMA02</v>
          </cell>
          <cell r="AD10953">
            <v>151000</v>
          </cell>
        </row>
        <row r="10954">
          <cell r="W10954" t="str">
            <v>QREMA02</v>
          </cell>
          <cell r="AD10954">
            <v>151000</v>
          </cell>
        </row>
        <row r="10955">
          <cell r="W10955" t="str">
            <v>QREMA02</v>
          </cell>
          <cell r="AD10955">
            <v>151000</v>
          </cell>
        </row>
        <row r="10956">
          <cell r="W10956" t="str">
            <v>QREMA02</v>
          </cell>
          <cell r="AD10956">
            <v>151000</v>
          </cell>
        </row>
        <row r="10957">
          <cell r="W10957" t="str">
            <v>QREMA02</v>
          </cell>
          <cell r="AD10957">
            <v>151000</v>
          </cell>
        </row>
        <row r="10958">
          <cell r="W10958" t="str">
            <v>QREMA02</v>
          </cell>
          <cell r="AD10958">
            <v>151000</v>
          </cell>
        </row>
        <row r="10959">
          <cell r="W10959" t="str">
            <v>QREMA02</v>
          </cell>
          <cell r="AD10959">
            <v>151000</v>
          </cell>
        </row>
        <row r="10960">
          <cell r="W10960" t="str">
            <v>QREMA02</v>
          </cell>
          <cell r="AD10960">
            <v>151000</v>
          </cell>
        </row>
        <row r="10961">
          <cell r="W10961" t="str">
            <v>QREMA02</v>
          </cell>
          <cell r="AD10961">
            <v>151000</v>
          </cell>
        </row>
        <row r="10962">
          <cell r="W10962" t="str">
            <v>QREMA02</v>
          </cell>
          <cell r="AD10962">
            <v>151000</v>
          </cell>
        </row>
        <row r="10963">
          <cell r="W10963" t="str">
            <v>QREMA02</v>
          </cell>
          <cell r="AD10963">
            <v>151000</v>
          </cell>
        </row>
        <row r="10964">
          <cell r="W10964" t="str">
            <v>QREMA02</v>
          </cell>
          <cell r="AD10964">
            <v>151000</v>
          </cell>
        </row>
        <row r="10965">
          <cell r="W10965" t="str">
            <v>QREMA02</v>
          </cell>
          <cell r="AD10965">
            <v>151000</v>
          </cell>
        </row>
        <row r="10966">
          <cell r="W10966" t="str">
            <v>QREMA02</v>
          </cell>
          <cell r="AD10966">
            <v>151000</v>
          </cell>
        </row>
        <row r="10967">
          <cell r="W10967" t="str">
            <v>QREMA02</v>
          </cell>
          <cell r="AD10967">
            <v>151000</v>
          </cell>
        </row>
        <row r="10968">
          <cell r="W10968" t="str">
            <v>QREMA02</v>
          </cell>
          <cell r="AD10968">
            <v>151000</v>
          </cell>
        </row>
        <row r="10969">
          <cell r="W10969" t="str">
            <v>QREMA02</v>
          </cell>
          <cell r="AD10969">
            <v>151000</v>
          </cell>
        </row>
        <row r="10970">
          <cell r="W10970" t="str">
            <v>QREMA02</v>
          </cell>
          <cell r="AD10970">
            <v>151000</v>
          </cell>
        </row>
        <row r="10971">
          <cell r="W10971" t="str">
            <v>QREMA02</v>
          </cell>
          <cell r="AD10971">
            <v>151000</v>
          </cell>
        </row>
        <row r="10972">
          <cell r="W10972" t="str">
            <v>QREMA02</v>
          </cell>
          <cell r="AD10972">
            <v>151000</v>
          </cell>
        </row>
        <row r="10973">
          <cell r="W10973" t="str">
            <v>QREMA02</v>
          </cell>
          <cell r="AD10973">
            <v>151000</v>
          </cell>
        </row>
        <row r="10974">
          <cell r="W10974" t="str">
            <v>QREMA02</v>
          </cell>
          <cell r="AD10974">
            <v>151000</v>
          </cell>
        </row>
        <row r="10975">
          <cell r="W10975" t="str">
            <v>QREMA02</v>
          </cell>
          <cell r="AD10975">
            <v>151000</v>
          </cell>
        </row>
        <row r="10976">
          <cell r="W10976" t="str">
            <v>QREMA02</v>
          </cell>
          <cell r="AD10976">
            <v>151000</v>
          </cell>
        </row>
        <row r="10977">
          <cell r="W10977" t="str">
            <v>QREMA02</v>
          </cell>
          <cell r="AD10977">
            <v>151000</v>
          </cell>
        </row>
        <row r="10978">
          <cell r="W10978" t="str">
            <v>QREMA02</v>
          </cell>
          <cell r="AD10978">
            <v>151000</v>
          </cell>
        </row>
        <row r="10979">
          <cell r="W10979" t="str">
            <v>QREMA02</v>
          </cell>
          <cell r="AD10979">
            <v>151000</v>
          </cell>
        </row>
        <row r="10980">
          <cell r="W10980" t="str">
            <v>QREMA02</v>
          </cell>
          <cell r="AD10980">
            <v>151000</v>
          </cell>
        </row>
        <row r="10981">
          <cell r="W10981" t="str">
            <v>QREMA02</v>
          </cell>
          <cell r="AD10981">
            <v>151000</v>
          </cell>
        </row>
        <row r="10982">
          <cell r="W10982" t="str">
            <v>QREMA02</v>
          </cell>
          <cell r="AD10982">
            <v>151000</v>
          </cell>
        </row>
        <row r="10983">
          <cell r="W10983" t="str">
            <v>QREMA02</v>
          </cell>
          <cell r="AD10983">
            <v>151000</v>
          </cell>
        </row>
        <row r="10984">
          <cell r="W10984" t="str">
            <v>QREMA02</v>
          </cell>
          <cell r="AD10984">
            <v>151000</v>
          </cell>
        </row>
        <row r="10985">
          <cell r="W10985" t="str">
            <v>QREMA02</v>
          </cell>
          <cell r="AD10985">
            <v>151000</v>
          </cell>
        </row>
        <row r="10986">
          <cell r="W10986" t="str">
            <v>QREMA02</v>
          </cell>
          <cell r="AD10986">
            <v>151000</v>
          </cell>
        </row>
        <row r="10987">
          <cell r="W10987" t="str">
            <v>QREMA02</v>
          </cell>
          <cell r="AD10987">
            <v>151000</v>
          </cell>
        </row>
        <row r="10988">
          <cell r="W10988" t="str">
            <v>QREMA02</v>
          </cell>
          <cell r="AD10988">
            <v>151000</v>
          </cell>
        </row>
        <row r="10989">
          <cell r="W10989" t="str">
            <v>QREVU03</v>
          </cell>
          <cell r="AD10989">
            <v>62250</v>
          </cell>
        </row>
        <row r="10990">
          <cell r="W10990" t="str">
            <v>QREVU03</v>
          </cell>
          <cell r="AD10990">
            <v>63500</v>
          </cell>
        </row>
        <row r="10991">
          <cell r="W10991" t="str">
            <v>QREVU02</v>
          </cell>
          <cell r="AD10991">
            <v>97000</v>
          </cell>
        </row>
        <row r="10992">
          <cell r="W10992" t="str">
            <v>QREVU02</v>
          </cell>
          <cell r="AD10992">
            <v>100000</v>
          </cell>
        </row>
        <row r="10993">
          <cell r="W10993" t="str">
            <v>QREVU02</v>
          </cell>
          <cell r="AD10993">
            <v>100000</v>
          </cell>
        </row>
        <row r="10994">
          <cell r="W10994" t="str">
            <v>QREVU02</v>
          </cell>
          <cell r="AD10994">
            <v>100250</v>
          </cell>
        </row>
        <row r="10995">
          <cell r="W10995" t="str">
            <v>QREVU02</v>
          </cell>
          <cell r="AD10995">
            <v>101000</v>
          </cell>
        </row>
        <row r="10996">
          <cell r="W10996" t="str">
            <v>QREVU02</v>
          </cell>
          <cell r="AD10996">
            <v>101000</v>
          </cell>
        </row>
        <row r="10997">
          <cell r="W10997" t="str">
            <v>QREXD02</v>
          </cell>
          <cell r="AD10997">
            <v>17272.73</v>
          </cell>
        </row>
        <row r="10998">
          <cell r="W10998" t="str">
            <v>QRHIZ01</v>
          </cell>
          <cell r="AD10998">
            <v>117500</v>
          </cell>
        </row>
        <row r="10999">
          <cell r="W10999" t="str">
            <v>QRHIZ01</v>
          </cell>
          <cell r="AD10999">
            <v>117500</v>
          </cell>
        </row>
        <row r="11000">
          <cell r="W11000" t="str">
            <v>QRHIZ01</v>
          </cell>
          <cell r="AD11000">
            <v>117500</v>
          </cell>
        </row>
        <row r="11001">
          <cell r="W11001" t="str">
            <v>QRHIZ01</v>
          </cell>
          <cell r="AD11001">
            <v>117500</v>
          </cell>
        </row>
        <row r="11002">
          <cell r="W11002" t="str">
            <v>QRHIZ01</v>
          </cell>
          <cell r="AD11002">
            <v>117500</v>
          </cell>
        </row>
        <row r="11003">
          <cell r="W11003" t="str">
            <v>QRHIZ01</v>
          </cell>
          <cell r="AD11003">
            <v>117500</v>
          </cell>
        </row>
        <row r="11004">
          <cell r="W11004" t="str">
            <v>QRHIZ01</v>
          </cell>
          <cell r="AD11004">
            <v>117500</v>
          </cell>
        </row>
        <row r="11005">
          <cell r="W11005" t="str">
            <v>QRHIZ01</v>
          </cell>
          <cell r="AD11005">
            <v>117500</v>
          </cell>
        </row>
        <row r="11006">
          <cell r="W11006" t="str">
            <v>QRICE01</v>
          </cell>
          <cell r="AD11006">
            <v>30750</v>
          </cell>
        </row>
        <row r="11007">
          <cell r="W11007" t="str">
            <v>QRICE01</v>
          </cell>
          <cell r="AD11007">
            <v>32000</v>
          </cell>
        </row>
        <row r="11008">
          <cell r="W11008" t="str">
            <v>QRICE01</v>
          </cell>
          <cell r="AD11008">
            <v>32000</v>
          </cell>
        </row>
        <row r="11009">
          <cell r="W11009" t="str">
            <v>QRICE01</v>
          </cell>
          <cell r="AD11009">
            <v>32000</v>
          </cell>
        </row>
        <row r="11010">
          <cell r="W11010" t="str">
            <v>QRICE01</v>
          </cell>
          <cell r="AD11010">
            <v>32000</v>
          </cell>
        </row>
        <row r="11011">
          <cell r="W11011" t="str">
            <v>QRICE02</v>
          </cell>
          <cell r="AD11011">
            <v>74000</v>
          </cell>
        </row>
        <row r="11012">
          <cell r="W11012" t="str">
            <v>QRICE02</v>
          </cell>
          <cell r="AD11012">
            <v>76000</v>
          </cell>
        </row>
        <row r="11013">
          <cell r="W11013" t="str">
            <v>QRICE02</v>
          </cell>
          <cell r="AD11013">
            <v>76000</v>
          </cell>
        </row>
        <row r="11014">
          <cell r="W11014" t="str">
            <v>QRICE02</v>
          </cell>
          <cell r="AD11014">
            <v>76000</v>
          </cell>
        </row>
        <row r="11015">
          <cell r="W11015" t="str">
            <v>QRICE02</v>
          </cell>
          <cell r="AD11015">
            <v>76000</v>
          </cell>
        </row>
        <row r="11016">
          <cell r="W11016" t="str">
            <v>QRICE02</v>
          </cell>
          <cell r="AD11016">
            <v>76000</v>
          </cell>
        </row>
        <row r="11017">
          <cell r="W11017" t="str">
            <v>QRICE03</v>
          </cell>
          <cell r="AD11017">
            <v>47000</v>
          </cell>
        </row>
        <row r="11018">
          <cell r="W11018" t="str">
            <v>QRICE03</v>
          </cell>
          <cell r="AD11018">
            <v>47000</v>
          </cell>
        </row>
        <row r="11019">
          <cell r="W11019" t="str">
            <v>QRICE03</v>
          </cell>
          <cell r="AD11019">
            <v>47500</v>
          </cell>
        </row>
        <row r="11020">
          <cell r="W11020" t="str">
            <v>QRICE03</v>
          </cell>
          <cell r="AD11020">
            <v>47500</v>
          </cell>
        </row>
        <row r="11021">
          <cell r="W11021" t="str">
            <v>QRICE03</v>
          </cell>
          <cell r="AD11021">
            <v>47500</v>
          </cell>
        </row>
        <row r="11022">
          <cell r="W11022" t="str">
            <v>QRICE03</v>
          </cell>
          <cell r="AD11022">
            <v>47500</v>
          </cell>
        </row>
        <row r="11023">
          <cell r="W11023" t="str">
            <v>QRICE03</v>
          </cell>
          <cell r="AD11023">
            <v>47500</v>
          </cell>
        </row>
        <row r="11024">
          <cell r="W11024" t="str">
            <v>QRICE03</v>
          </cell>
          <cell r="AD11024">
            <v>47500</v>
          </cell>
        </row>
        <row r="11025">
          <cell r="W11025" t="str">
            <v>QRICE03</v>
          </cell>
          <cell r="AD11025">
            <v>47500</v>
          </cell>
        </row>
        <row r="11026">
          <cell r="W11026" t="str">
            <v>QRICE03</v>
          </cell>
          <cell r="AD11026">
            <v>47500</v>
          </cell>
        </row>
        <row r="11027">
          <cell r="W11027" t="str">
            <v>QRICE03</v>
          </cell>
          <cell r="AD11027">
            <v>47500</v>
          </cell>
        </row>
        <row r="11028">
          <cell r="W11028" t="str">
            <v>QRICE03</v>
          </cell>
          <cell r="AD11028">
            <v>47500</v>
          </cell>
        </row>
        <row r="11029">
          <cell r="W11029" t="str">
            <v>QRICE03</v>
          </cell>
          <cell r="AD11029">
            <v>47500</v>
          </cell>
        </row>
        <row r="11030">
          <cell r="W11030" t="str">
            <v>QRICE03</v>
          </cell>
          <cell r="AD11030">
            <v>47500</v>
          </cell>
        </row>
        <row r="11031">
          <cell r="W11031" t="str">
            <v>QRICE03</v>
          </cell>
          <cell r="AD11031">
            <v>48000</v>
          </cell>
        </row>
        <row r="11032">
          <cell r="W11032" t="str">
            <v>QRICE03</v>
          </cell>
          <cell r="AD11032">
            <v>48000</v>
          </cell>
        </row>
        <row r="11033">
          <cell r="W11033" t="str">
            <v>QRICE03</v>
          </cell>
          <cell r="AD11033">
            <v>48000</v>
          </cell>
        </row>
        <row r="11034">
          <cell r="W11034" t="str">
            <v>QRICE03</v>
          </cell>
          <cell r="AD11034">
            <v>48000</v>
          </cell>
        </row>
        <row r="11035">
          <cell r="W11035" t="str">
            <v>QRICE03</v>
          </cell>
          <cell r="AD11035">
            <v>48000</v>
          </cell>
        </row>
        <row r="11036">
          <cell r="W11036" t="str">
            <v>QRICE03</v>
          </cell>
          <cell r="AD11036">
            <v>48000</v>
          </cell>
        </row>
        <row r="11037">
          <cell r="W11037" t="str">
            <v>QRICE03</v>
          </cell>
          <cell r="AD11037">
            <v>48000</v>
          </cell>
        </row>
        <row r="11038">
          <cell r="W11038" t="str">
            <v>QRICE03</v>
          </cell>
          <cell r="AD11038">
            <v>48000</v>
          </cell>
        </row>
        <row r="11039">
          <cell r="W11039" t="str">
            <v>QRICE03</v>
          </cell>
          <cell r="AD11039">
            <v>48000</v>
          </cell>
        </row>
        <row r="11040">
          <cell r="W11040" t="str">
            <v>QRICE03</v>
          </cell>
          <cell r="AD11040">
            <v>48000</v>
          </cell>
        </row>
        <row r="11041">
          <cell r="W11041" t="str">
            <v>QRICE03</v>
          </cell>
          <cell r="AD11041">
            <v>48000</v>
          </cell>
        </row>
        <row r="11042">
          <cell r="W11042" t="str">
            <v>QRICE03</v>
          </cell>
          <cell r="AD11042">
            <v>48000</v>
          </cell>
        </row>
        <row r="11043">
          <cell r="W11043" t="str">
            <v>QRICE03</v>
          </cell>
          <cell r="AD11043">
            <v>48000</v>
          </cell>
        </row>
        <row r="11044">
          <cell r="W11044" t="str">
            <v>QRICE03</v>
          </cell>
          <cell r="AD11044">
            <v>48000</v>
          </cell>
        </row>
        <row r="11045">
          <cell r="W11045" t="str">
            <v>QRICE03</v>
          </cell>
          <cell r="AD11045">
            <v>48000</v>
          </cell>
        </row>
        <row r="11046">
          <cell r="W11046" t="str">
            <v>QRICE03</v>
          </cell>
          <cell r="AD11046">
            <v>48000</v>
          </cell>
        </row>
        <row r="11047">
          <cell r="W11047" t="str">
            <v>QRICE03</v>
          </cell>
          <cell r="AD11047">
            <v>48000</v>
          </cell>
        </row>
        <row r="11048">
          <cell r="W11048" t="str">
            <v>QRICE03</v>
          </cell>
          <cell r="AD11048">
            <v>48500</v>
          </cell>
        </row>
        <row r="11049">
          <cell r="W11049" t="str">
            <v>QRICE03</v>
          </cell>
          <cell r="AD11049">
            <v>48500</v>
          </cell>
        </row>
        <row r="11050">
          <cell r="W11050" t="str">
            <v>QRICE03</v>
          </cell>
          <cell r="AD11050">
            <v>48500</v>
          </cell>
        </row>
        <row r="11051">
          <cell r="W11051" t="str">
            <v>QRICE03</v>
          </cell>
          <cell r="AD11051">
            <v>48500</v>
          </cell>
        </row>
        <row r="11052">
          <cell r="W11052" t="str">
            <v>QRICE03</v>
          </cell>
          <cell r="AD11052">
            <v>48500</v>
          </cell>
        </row>
        <row r="11053">
          <cell r="W11053" t="str">
            <v>QRICE03</v>
          </cell>
          <cell r="AD11053">
            <v>48500</v>
          </cell>
        </row>
        <row r="11054">
          <cell r="W11054" t="str">
            <v>QRICE03</v>
          </cell>
          <cell r="AD11054">
            <v>48500</v>
          </cell>
        </row>
        <row r="11055">
          <cell r="W11055" t="str">
            <v>QRICE03</v>
          </cell>
          <cell r="AD11055">
            <v>48500</v>
          </cell>
        </row>
        <row r="11056">
          <cell r="W11056" t="str">
            <v>QRICE03</v>
          </cell>
          <cell r="AD11056">
            <v>49000</v>
          </cell>
        </row>
        <row r="11057">
          <cell r="W11057" t="str">
            <v>QRICE03</v>
          </cell>
          <cell r="AD11057">
            <v>49000</v>
          </cell>
        </row>
        <row r="11058">
          <cell r="W11058" t="str">
            <v>QRICE03</v>
          </cell>
          <cell r="AD11058">
            <v>49000</v>
          </cell>
        </row>
        <row r="11059">
          <cell r="W11059" t="str">
            <v>QRICE03</v>
          </cell>
          <cell r="AD11059">
            <v>49000</v>
          </cell>
        </row>
        <row r="11060">
          <cell r="W11060" t="str">
            <v>QRICE03</v>
          </cell>
          <cell r="AD11060">
            <v>49000</v>
          </cell>
        </row>
        <row r="11061">
          <cell r="W11061" t="str">
            <v>QRICE03</v>
          </cell>
          <cell r="AD11061">
            <v>52700</v>
          </cell>
        </row>
        <row r="11062">
          <cell r="W11062" t="str">
            <v>QRICE04</v>
          </cell>
          <cell r="AD11062">
            <v>111000</v>
          </cell>
        </row>
        <row r="11063">
          <cell r="W11063" t="str">
            <v>QRICE04</v>
          </cell>
          <cell r="AD11063">
            <v>112000</v>
          </cell>
        </row>
        <row r="11064">
          <cell r="W11064" t="str">
            <v>QRICE04</v>
          </cell>
          <cell r="AD11064">
            <v>112000</v>
          </cell>
        </row>
        <row r="11065">
          <cell r="W11065" t="str">
            <v>QRICE04</v>
          </cell>
          <cell r="AD11065">
            <v>112000</v>
          </cell>
        </row>
        <row r="11066">
          <cell r="W11066" t="str">
            <v>QRICE04</v>
          </cell>
          <cell r="AD11066">
            <v>112000</v>
          </cell>
        </row>
        <row r="11067">
          <cell r="W11067" t="str">
            <v>QRICE04</v>
          </cell>
          <cell r="AD11067">
            <v>112000</v>
          </cell>
        </row>
        <row r="11068">
          <cell r="W11068" t="str">
            <v>QRICE04</v>
          </cell>
          <cell r="AD11068">
            <v>112000</v>
          </cell>
        </row>
        <row r="11069">
          <cell r="W11069" t="str">
            <v>QRICE04</v>
          </cell>
          <cell r="AD11069">
            <v>112000</v>
          </cell>
        </row>
        <row r="11070">
          <cell r="W11070" t="str">
            <v>QRICE04</v>
          </cell>
          <cell r="AD11070">
            <v>112000</v>
          </cell>
        </row>
        <row r="11071">
          <cell r="W11071" t="str">
            <v>QRICE04</v>
          </cell>
          <cell r="AD11071">
            <v>112000</v>
          </cell>
        </row>
        <row r="11072">
          <cell r="W11072" t="str">
            <v>QRICE04</v>
          </cell>
          <cell r="AD11072">
            <v>112000</v>
          </cell>
        </row>
        <row r="11073">
          <cell r="W11073" t="str">
            <v>QRICE04</v>
          </cell>
          <cell r="AD11073">
            <v>112000</v>
          </cell>
        </row>
        <row r="11074">
          <cell r="W11074" t="str">
            <v>QRICE04</v>
          </cell>
          <cell r="AD11074">
            <v>112500</v>
          </cell>
        </row>
        <row r="11075">
          <cell r="W11075" t="str">
            <v>QRICE04</v>
          </cell>
          <cell r="AD11075">
            <v>112500</v>
          </cell>
        </row>
        <row r="11076">
          <cell r="W11076" t="str">
            <v>QRICE04</v>
          </cell>
          <cell r="AD11076">
            <v>112500</v>
          </cell>
        </row>
        <row r="11077">
          <cell r="W11077" t="str">
            <v>QRICE04</v>
          </cell>
          <cell r="AD11077">
            <v>112500</v>
          </cell>
        </row>
        <row r="11078">
          <cell r="W11078" t="str">
            <v>QRICE04</v>
          </cell>
          <cell r="AD11078">
            <v>112500</v>
          </cell>
        </row>
        <row r="11079">
          <cell r="W11079" t="str">
            <v>QRICE04</v>
          </cell>
          <cell r="AD11079">
            <v>112500</v>
          </cell>
        </row>
        <row r="11080">
          <cell r="W11080" t="str">
            <v>QRICE04</v>
          </cell>
          <cell r="AD11080">
            <v>112500</v>
          </cell>
        </row>
        <row r="11081">
          <cell r="W11081" t="str">
            <v>QRICE04</v>
          </cell>
          <cell r="AD11081">
            <v>112500</v>
          </cell>
        </row>
        <row r="11082">
          <cell r="W11082" t="str">
            <v>QRICE04</v>
          </cell>
          <cell r="AD11082">
            <v>112500</v>
          </cell>
        </row>
        <row r="11083">
          <cell r="W11083" t="str">
            <v>QRICE04</v>
          </cell>
          <cell r="AD11083">
            <v>112500</v>
          </cell>
        </row>
        <row r="11084">
          <cell r="W11084" t="str">
            <v>QRICE04</v>
          </cell>
          <cell r="AD11084">
            <v>112500</v>
          </cell>
        </row>
        <row r="11085">
          <cell r="W11085" t="str">
            <v>QRICE04</v>
          </cell>
          <cell r="AD11085">
            <v>112500</v>
          </cell>
        </row>
        <row r="11086">
          <cell r="W11086" t="str">
            <v>QRICE04</v>
          </cell>
          <cell r="AD11086">
            <v>112500</v>
          </cell>
        </row>
        <row r="11087">
          <cell r="W11087" t="str">
            <v>QRICE04</v>
          </cell>
          <cell r="AD11087">
            <v>112500</v>
          </cell>
        </row>
        <row r="11088">
          <cell r="W11088" t="str">
            <v>QRICE04</v>
          </cell>
          <cell r="AD11088">
            <v>112500</v>
          </cell>
        </row>
        <row r="11089">
          <cell r="W11089" t="str">
            <v>QRICE04</v>
          </cell>
          <cell r="AD11089">
            <v>113000</v>
          </cell>
        </row>
        <row r="11090">
          <cell r="W11090" t="str">
            <v>QRICE04</v>
          </cell>
          <cell r="AD11090">
            <v>113000</v>
          </cell>
        </row>
        <row r="11091">
          <cell r="W11091" t="str">
            <v>QRICE04</v>
          </cell>
          <cell r="AD11091">
            <v>113000</v>
          </cell>
        </row>
        <row r="11092">
          <cell r="W11092" t="str">
            <v>QRICE04</v>
          </cell>
          <cell r="AD11092">
            <v>113500</v>
          </cell>
        </row>
        <row r="11093">
          <cell r="W11093" t="str">
            <v>QRICE04</v>
          </cell>
          <cell r="AD11093">
            <v>113500</v>
          </cell>
        </row>
        <row r="11094">
          <cell r="W11094" t="str">
            <v>QRICE04</v>
          </cell>
          <cell r="AD11094">
            <v>113500</v>
          </cell>
        </row>
        <row r="11095">
          <cell r="W11095" t="str">
            <v>QRICE04</v>
          </cell>
          <cell r="AD11095">
            <v>113500</v>
          </cell>
        </row>
        <row r="11096">
          <cell r="W11096" t="str">
            <v>QRICE04</v>
          </cell>
          <cell r="AD11096">
            <v>114000</v>
          </cell>
        </row>
        <row r="11097">
          <cell r="W11097" t="str">
            <v>QRICE04</v>
          </cell>
          <cell r="AD11097">
            <v>114000</v>
          </cell>
        </row>
        <row r="11098">
          <cell r="W11098" t="str">
            <v>QRICE04</v>
          </cell>
          <cell r="AD11098">
            <v>114500</v>
          </cell>
        </row>
        <row r="11099">
          <cell r="W11099" t="str">
            <v>QRICE04</v>
          </cell>
          <cell r="AD11099">
            <v>115000</v>
          </cell>
        </row>
        <row r="11100">
          <cell r="W11100" t="str">
            <v>QRICE04</v>
          </cell>
          <cell r="AD11100">
            <v>115000</v>
          </cell>
        </row>
        <row r="11101">
          <cell r="W11101" t="str">
            <v>QRICE04</v>
          </cell>
          <cell r="AD11101">
            <v>115000</v>
          </cell>
        </row>
        <row r="11102">
          <cell r="W11102" t="str">
            <v>QRICE04</v>
          </cell>
          <cell r="AD11102">
            <v>115000</v>
          </cell>
        </row>
        <row r="11103">
          <cell r="W11103" t="str">
            <v>QRICE04</v>
          </cell>
          <cell r="AD11103">
            <v>124200</v>
          </cell>
        </row>
        <row r="11104">
          <cell r="W11104" t="str">
            <v>QRIDO02</v>
          </cell>
          <cell r="AD11104">
            <v>21350</v>
          </cell>
        </row>
        <row r="11105">
          <cell r="W11105" t="str">
            <v>QRIDO02</v>
          </cell>
          <cell r="AD11105">
            <v>21500</v>
          </cell>
        </row>
        <row r="11106">
          <cell r="W11106" t="str">
            <v>QRIDO02</v>
          </cell>
          <cell r="AD11106">
            <v>21750</v>
          </cell>
        </row>
        <row r="11107">
          <cell r="W11107" t="str">
            <v>QRIDO02</v>
          </cell>
          <cell r="AD11107">
            <v>21750</v>
          </cell>
        </row>
        <row r="11108">
          <cell r="W11108" t="str">
            <v>QRIDO02</v>
          </cell>
          <cell r="AD11108">
            <v>21750</v>
          </cell>
        </row>
        <row r="11109">
          <cell r="W11109" t="str">
            <v>QRIDO02</v>
          </cell>
          <cell r="AD11109">
            <v>21750</v>
          </cell>
        </row>
        <row r="11110">
          <cell r="W11110" t="str">
            <v>QRIDO02</v>
          </cell>
          <cell r="AD11110">
            <v>21750</v>
          </cell>
        </row>
        <row r="11111">
          <cell r="W11111" t="str">
            <v>QRIDO02</v>
          </cell>
          <cell r="AD11111">
            <v>22500</v>
          </cell>
        </row>
        <row r="11112">
          <cell r="W11112" t="str">
            <v>QRIDO02</v>
          </cell>
          <cell r="AD11112">
            <v>22500</v>
          </cell>
        </row>
        <row r="11113">
          <cell r="W11113" t="str">
            <v>QRIDO02</v>
          </cell>
          <cell r="AD11113">
            <v>22500</v>
          </cell>
        </row>
        <row r="11114">
          <cell r="W11114" t="str">
            <v>QRIDO02</v>
          </cell>
          <cell r="AD11114">
            <v>22500</v>
          </cell>
        </row>
        <row r="11115">
          <cell r="W11115" t="str">
            <v>QRIDO02</v>
          </cell>
          <cell r="AD11115">
            <v>22500</v>
          </cell>
        </row>
        <row r="11116">
          <cell r="W11116" t="str">
            <v>QRIDO02</v>
          </cell>
          <cell r="AD11116">
            <v>22500</v>
          </cell>
        </row>
        <row r="11117">
          <cell r="W11117" t="str">
            <v>QRIDO02</v>
          </cell>
          <cell r="AD11117">
            <v>22500</v>
          </cell>
        </row>
        <row r="11118">
          <cell r="W11118" t="str">
            <v>QRIDO03</v>
          </cell>
          <cell r="AD11118">
            <v>30500</v>
          </cell>
        </row>
        <row r="11119">
          <cell r="W11119" t="str">
            <v>QRIDO03</v>
          </cell>
          <cell r="AD11119">
            <v>30500</v>
          </cell>
        </row>
        <row r="11120">
          <cell r="W11120" t="str">
            <v>QRIDO03</v>
          </cell>
          <cell r="AD11120">
            <v>30500</v>
          </cell>
        </row>
        <row r="11121">
          <cell r="W11121" t="str">
            <v>QRIDO03</v>
          </cell>
          <cell r="AD11121">
            <v>30500</v>
          </cell>
        </row>
        <row r="11122">
          <cell r="W11122" t="str">
            <v>QRIDO03</v>
          </cell>
          <cell r="AD11122">
            <v>30500</v>
          </cell>
        </row>
        <row r="11123">
          <cell r="W11123" t="str">
            <v>QRIDO03</v>
          </cell>
          <cell r="AD11123">
            <v>30500</v>
          </cell>
        </row>
        <row r="11124">
          <cell r="W11124" t="str">
            <v>QRIDO03</v>
          </cell>
          <cell r="AD11124">
            <v>30650</v>
          </cell>
        </row>
        <row r="11125">
          <cell r="W11125" t="str">
            <v>QRIDO03</v>
          </cell>
          <cell r="AD11125">
            <v>30750</v>
          </cell>
        </row>
        <row r="11126">
          <cell r="W11126" t="str">
            <v>QRIDO03</v>
          </cell>
          <cell r="AD11126">
            <v>30750</v>
          </cell>
        </row>
        <row r="11127">
          <cell r="W11127" t="str">
            <v>QRIDO03</v>
          </cell>
          <cell r="AD11127">
            <v>30850</v>
          </cell>
        </row>
        <row r="11128">
          <cell r="W11128" t="str">
            <v>QRIDO03</v>
          </cell>
          <cell r="AD11128">
            <v>31000</v>
          </cell>
        </row>
        <row r="11129">
          <cell r="W11129" t="str">
            <v>QRIDO03</v>
          </cell>
          <cell r="AD11129">
            <v>31000</v>
          </cell>
        </row>
        <row r="11130">
          <cell r="W11130" t="str">
            <v>QRIDO03</v>
          </cell>
          <cell r="AD11130">
            <v>31000</v>
          </cell>
        </row>
        <row r="11131">
          <cell r="W11131" t="str">
            <v>QRIDO03</v>
          </cell>
          <cell r="AD11131">
            <v>31000</v>
          </cell>
        </row>
        <row r="11132">
          <cell r="W11132" t="str">
            <v>QRIDO03</v>
          </cell>
          <cell r="AD11132">
            <v>31000</v>
          </cell>
        </row>
        <row r="11133">
          <cell r="W11133" t="str">
            <v>QRIDO03</v>
          </cell>
          <cell r="AD11133">
            <v>31000</v>
          </cell>
        </row>
        <row r="11134">
          <cell r="W11134" t="str">
            <v>QRIDO03</v>
          </cell>
          <cell r="AD11134">
            <v>31000</v>
          </cell>
        </row>
        <row r="11135">
          <cell r="W11135" t="str">
            <v>QRIDO03</v>
          </cell>
          <cell r="AD11135">
            <v>31000</v>
          </cell>
        </row>
        <row r="11136">
          <cell r="W11136" t="str">
            <v>QRIDO03</v>
          </cell>
          <cell r="AD11136">
            <v>31000</v>
          </cell>
        </row>
        <row r="11137">
          <cell r="W11137" t="str">
            <v>QRIDO03</v>
          </cell>
          <cell r="AD11137">
            <v>31500</v>
          </cell>
        </row>
        <row r="11138">
          <cell r="W11138" t="str">
            <v>QRIDO03</v>
          </cell>
          <cell r="AD11138">
            <v>31500</v>
          </cell>
        </row>
        <row r="11139">
          <cell r="W11139" t="str">
            <v>QRIDO03</v>
          </cell>
          <cell r="AD11139">
            <v>31500</v>
          </cell>
        </row>
        <row r="11140">
          <cell r="W11140" t="str">
            <v>QRIDO04</v>
          </cell>
          <cell r="AD11140">
            <v>142000</v>
          </cell>
        </row>
        <row r="11141">
          <cell r="W11141" t="str">
            <v>QRIDO04</v>
          </cell>
          <cell r="AD11141">
            <v>142000</v>
          </cell>
        </row>
        <row r="11142">
          <cell r="W11142" t="str">
            <v>QRIDO04</v>
          </cell>
          <cell r="AD11142">
            <v>142000</v>
          </cell>
        </row>
        <row r="11143">
          <cell r="W11143" t="str">
            <v>QRIDO04</v>
          </cell>
          <cell r="AD11143">
            <v>142000</v>
          </cell>
        </row>
        <row r="11144">
          <cell r="W11144" t="str">
            <v>QRIDO04</v>
          </cell>
          <cell r="AD11144">
            <v>142000</v>
          </cell>
        </row>
        <row r="11145">
          <cell r="W11145" t="str">
            <v>QRIDO04</v>
          </cell>
          <cell r="AD11145">
            <v>142000</v>
          </cell>
        </row>
        <row r="11146">
          <cell r="W11146" t="str">
            <v>QRIDO04</v>
          </cell>
          <cell r="AD11146">
            <v>142000</v>
          </cell>
        </row>
        <row r="11147">
          <cell r="W11147" t="str">
            <v>QRIDO04</v>
          </cell>
          <cell r="AD11147">
            <v>142000</v>
          </cell>
        </row>
        <row r="11148">
          <cell r="W11148" t="str">
            <v>QRIDO04</v>
          </cell>
          <cell r="AD11148">
            <v>142000</v>
          </cell>
        </row>
        <row r="11149">
          <cell r="W11149" t="str">
            <v>QRIDO04</v>
          </cell>
          <cell r="AD11149">
            <v>143000</v>
          </cell>
        </row>
        <row r="11150">
          <cell r="W11150" t="str">
            <v>QRIDO04</v>
          </cell>
          <cell r="AD11150">
            <v>143000</v>
          </cell>
        </row>
        <row r="11151">
          <cell r="W11151" t="str">
            <v>QRIDO04</v>
          </cell>
          <cell r="AD11151">
            <v>143000</v>
          </cell>
        </row>
        <row r="11152">
          <cell r="W11152" t="str">
            <v>QRIDO04</v>
          </cell>
          <cell r="AD11152">
            <v>143500</v>
          </cell>
        </row>
        <row r="11153">
          <cell r="W11153" t="str">
            <v>QRIDO04</v>
          </cell>
          <cell r="AD11153">
            <v>144500</v>
          </cell>
        </row>
        <row r="11154">
          <cell r="W11154" t="str">
            <v>QRIDO04</v>
          </cell>
          <cell r="AD11154">
            <v>145000</v>
          </cell>
        </row>
        <row r="11155">
          <cell r="W11155" t="str">
            <v>QRIDO04</v>
          </cell>
          <cell r="AD11155">
            <v>145000</v>
          </cell>
        </row>
        <row r="11156">
          <cell r="W11156" t="str">
            <v>QRIDO04</v>
          </cell>
          <cell r="AD11156">
            <v>145000</v>
          </cell>
        </row>
        <row r="11157">
          <cell r="W11157" t="str">
            <v>QRIDO04</v>
          </cell>
          <cell r="AD11157">
            <v>145000</v>
          </cell>
        </row>
        <row r="11158">
          <cell r="W11158" t="str">
            <v>QRIDO04</v>
          </cell>
          <cell r="AD11158">
            <v>145500</v>
          </cell>
        </row>
        <row r="11159">
          <cell r="W11159" t="str">
            <v>QRIDO04</v>
          </cell>
          <cell r="AD11159">
            <v>145500</v>
          </cell>
        </row>
        <row r="11160">
          <cell r="W11160" t="str">
            <v>QRIDO04</v>
          </cell>
          <cell r="AD11160">
            <v>145500</v>
          </cell>
        </row>
        <row r="11161">
          <cell r="W11161" t="str">
            <v>QRIDO05</v>
          </cell>
          <cell r="AD11161">
            <v>73000</v>
          </cell>
        </row>
        <row r="11162">
          <cell r="W11162" t="str">
            <v>QRIDO05</v>
          </cell>
          <cell r="AD11162">
            <v>73000</v>
          </cell>
        </row>
        <row r="11163">
          <cell r="W11163" t="str">
            <v>QRIDO05</v>
          </cell>
          <cell r="AD11163">
            <v>73000</v>
          </cell>
        </row>
        <row r="11164">
          <cell r="W11164" t="str">
            <v>QRIDO05</v>
          </cell>
          <cell r="AD11164">
            <v>73500</v>
          </cell>
        </row>
        <row r="11165">
          <cell r="W11165" t="str">
            <v>QRIDO05</v>
          </cell>
          <cell r="AD11165">
            <v>73500</v>
          </cell>
        </row>
        <row r="11166">
          <cell r="W11166" t="str">
            <v>QRIDO05</v>
          </cell>
          <cell r="AD11166">
            <v>73500</v>
          </cell>
        </row>
        <row r="11167">
          <cell r="W11167" t="str">
            <v>QRIDO05</v>
          </cell>
          <cell r="AD11167">
            <v>74000</v>
          </cell>
        </row>
        <row r="11168">
          <cell r="W11168" t="str">
            <v>QRIDO05</v>
          </cell>
          <cell r="AD11168">
            <v>74000</v>
          </cell>
        </row>
        <row r="11169">
          <cell r="W11169" t="str">
            <v>QRIDO05</v>
          </cell>
          <cell r="AD11169">
            <v>74000</v>
          </cell>
        </row>
        <row r="11170">
          <cell r="W11170" t="str">
            <v>QRIDO05</v>
          </cell>
          <cell r="AD11170">
            <v>74500</v>
          </cell>
        </row>
        <row r="11171">
          <cell r="W11171" t="str">
            <v>QRIDO05</v>
          </cell>
          <cell r="AD11171">
            <v>74500</v>
          </cell>
        </row>
        <row r="11172">
          <cell r="W11172" t="str">
            <v>QROGE01</v>
          </cell>
          <cell r="AD11172">
            <v>850000</v>
          </cell>
        </row>
        <row r="11173">
          <cell r="W11173" t="str">
            <v>QROGE01</v>
          </cell>
          <cell r="AD11173">
            <v>880000</v>
          </cell>
        </row>
        <row r="11174">
          <cell r="W11174" t="str">
            <v>QROGE01</v>
          </cell>
          <cell r="AD11174">
            <v>910000</v>
          </cell>
        </row>
        <row r="11175">
          <cell r="W11175" t="str">
            <v>QROGE01</v>
          </cell>
          <cell r="AD11175">
            <v>910000</v>
          </cell>
        </row>
        <row r="11176">
          <cell r="W11176" t="str">
            <v>QROGE01</v>
          </cell>
          <cell r="AD11176">
            <v>910000</v>
          </cell>
        </row>
        <row r="11177">
          <cell r="W11177" t="str">
            <v>QROGE01</v>
          </cell>
          <cell r="AD11177">
            <v>910000</v>
          </cell>
        </row>
        <row r="11178">
          <cell r="W11178" t="str">
            <v>QROGE02</v>
          </cell>
          <cell r="AD11178">
            <v>46000</v>
          </cell>
        </row>
        <row r="11179">
          <cell r="W11179" t="str">
            <v>QROGE02</v>
          </cell>
          <cell r="AD11179">
            <v>46000</v>
          </cell>
        </row>
        <row r="11180">
          <cell r="W11180" t="str">
            <v>QROGE02</v>
          </cell>
          <cell r="AD11180">
            <v>46000</v>
          </cell>
        </row>
        <row r="11181">
          <cell r="W11181" t="str">
            <v>QROGE02</v>
          </cell>
          <cell r="AD11181">
            <v>46000</v>
          </cell>
        </row>
        <row r="11182">
          <cell r="W11182" t="str">
            <v>QROGE02</v>
          </cell>
          <cell r="AD11182">
            <v>46000</v>
          </cell>
        </row>
        <row r="11183">
          <cell r="W11183" t="str">
            <v>QROGE02</v>
          </cell>
          <cell r="AD11183">
            <v>46000</v>
          </cell>
        </row>
        <row r="11184">
          <cell r="W11184" t="str">
            <v>QROGE02</v>
          </cell>
          <cell r="AD11184">
            <v>46000</v>
          </cell>
        </row>
        <row r="11185">
          <cell r="W11185" t="str">
            <v>QROGE02</v>
          </cell>
          <cell r="AD11185">
            <v>46000</v>
          </cell>
        </row>
        <row r="11186">
          <cell r="W11186" t="str">
            <v>QROGE02</v>
          </cell>
          <cell r="AD11186">
            <v>46000</v>
          </cell>
        </row>
        <row r="11187">
          <cell r="W11187" t="str">
            <v>QROGE02</v>
          </cell>
          <cell r="AD11187">
            <v>46000</v>
          </cell>
        </row>
        <row r="11188">
          <cell r="W11188" t="str">
            <v>QROGE02</v>
          </cell>
          <cell r="AD11188">
            <v>46000</v>
          </cell>
        </row>
        <row r="11189">
          <cell r="W11189" t="str">
            <v>QROGE02</v>
          </cell>
          <cell r="AD11189">
            <v>46000</v>
          </cell>
        </row>
        <row r="11190">
          <cell r="W11190" t="str">
            <v>QROGE02</v>
          </cell>
          <cell r="AD11190">
            <v>46000</v>
          </cell>
        </row>
        <row r="11191">
          <cell r="W11191" t="str">
            <v>QROGE02</v>
          </cell>
          <cell r="AD11191">
            <v>46000</v>
          </cell>
        </row>
        <row r="11192">
          <cell r="W11192" t="str">
            <v>QROGE02</v>
          </cell>
          <cell r="AD11192">
            <v>46000</v>
          </cell>
        </row>
        <row r="11193">
          <cell r="W11193" t="str">
            <v>QROGE02</v>
          </cell>
          <cell r="AD11193">
            <v>46000</v>
          </cell>
        </row>
        <row r="11194">
          <cell r="W11194" t="str">
            <v>QROGE02</v>
          </cell>
          <cell r="AD11194">
            <v>46000</v>
          </cell>
        </row>
        <row r="11195">
          <cell r="W11195" t="str">
            <v>QROGE02</v>
          </cell>
          <cell r="AD11195">
            <v>46000</v>
          </cell>
        </row>
        <row r="11196">
          <cell r="W11196" t="str">
            <v>QROGE02</v>
          </cell>
          <cell r="AD11196">
            <v>46000</v>
          </cell>
        </row>
        <row r="11197">
          <cell r="W11197" t="str">
            <v>QROGE02</v>
          </cell>
          <cell r="AD11197">
            <v>46000</v>
          </cell>
        </row>
        <row r="11198">
          <cell r="W11198" t="str">
            <v>QROGE02</v>
          </cell>
          <cell r="AD11198">
            <v>46000</v>
          </cell>
        </row>
        <row r="11199">
          <cell r="W11199" t="str">
            <v>QROGE02</v>
          </cell>
          <cell r="AD11199">
            <v>46000</v>
          </cell>
        </row>
        <row r="11200">
          <cell r="W11200" t="str">
            <v>QROGE02</v>
          </cell>
          <cell r="AD11200">
            <v>46000</v>
          </cell>
        </row>
        <row r="11201">
          <cell r="W11201" t="str">
            <v>QROGE02</v>
          </cell>
          <cell r="AD11201">
            <v>46000</v>
          </cell>
        </row>
        <row r="11202">
          <cell r="W11202" t="str">
            <v>QROGE02</v>
          </cell>
          <cell r="AD11202">
            <v>46000</v>
          </cell>
        </row>
        <row r="11203">
          <cell r="W11203" t="str">
            <v>QROGE02</v>
          </cell>
          <cell r="AD11203">
            <v>47000</v>
          </cell>
        </row>
        <row r="11204">
          <cell r="W11204" t="str">
            <v>QROGE02</v>
          </cell>
          <cell r="AD11204">
            <v>47000</v>
          </cell>
        </row>
        <row r="11205">
          <cell r="W11205" t="str">
            <v>QROGE02</v>
          </cell>
          <cell r="AD11205">
            <v>48500</v>
          </cell>
        </row>
        <row r="11206">
          <cell r="W11206" t="str">
            <v>QROGE02</v>
          </cell>
          <cell r="AD11206">
            <v>48500</v>
          </cell>
        </row>
        <row r="11207">
          <cell r="W11207" t="str">
            <v>QROGE02</v>
          </cell>
          <cell r="AD11207">
            <v>48500</v>
          </cell>
        </row>
        <row r="11208">
          <cell r="W11208" t="str">
            <v>QROGE02</v>
          </cell>
          <cell r="AD11208">
            <v>48500</v>
          </cell>
        </row>
        <row r="11209">
          <cell r="W11209" t="str">
            <v>QROGE04</v>
          </cell>
          <cell r="AD11209">
            <v>8000000</v>
          </cell>
        </row>
        <row r="11210">
          <cell r="W11210" t="str">
            <v>QROGE04</v>
          </cell>
          <cell r="AD11210">
            <v>8000000</v>
          </cell>
        </row>
        <row r="11211">
          <cell r="W11211" t="str">
            <v>AROGE01</v>
          </cell>
          <cell r="AD11211">
            <v>8000000</v>
          </cell>
        </row>
        <row r="11212">
          <cell r="W11212" t="str">
            <v>QROGE03</v>
          </cell>
          <cell r="AD11212">
            <v>220000</v>
          </cell>
        </row>
        <row r="11213">
          <cell r="W11213" t="str">
            <v>QROGE03</v>
          </cell>
          <cell r="AD11213">
            <v>220000</v>
          </cell>
        </row>
        <row r="11214">
          <cell r="W11214" t="str">
            <v>QROGE03</v>
          </cell>
          <cell r="AD11214">
            <v>220000</v>
          </cell>
        </row>
        <row r="11215">
          <cell r="W11215" t="str">
            <v>QROGE03</v>
          </cell>
          <cell r="AD11215">
            <v>225000</v>
          </cell>
        </row>
        <row r="11216">
          <cell r="W11216" t="str">
            <v>QROGE03</v>
          </cell>
          <cell r="AD11216">
            <v>225000</v>
          </cell>
        </row>
        <row r="11217">
          <cell r="W11217" t="str">
            <v>QROTR01</v>
          </cell>
          <cell r="AD11217">
            <v>93000</v>
          </cell>
        </row>
        <row r="11218">
          <cell r="W11218" t="str">
            <v>QROTR01</v>
          </cell>
          <cell r="AD11218">
            <v>94000</v>
          </cell>
        </row>
        <row r="11219">
          <cell r="W11219" t="str">
            <v>QROTR01</v>
          </cell>
          <cell r="AD11219">
            <v>94000</v>
          </cell>
        </row>
        <row r="11220">
          <cell r="W11220" t="str">
            <v>QROTR01</v>
          </cell>
          <cell r="AD11220">
            <v>94000</v>
          </cell>
        </row>
        <row r="11221">
          <cell r="W11221" t="str">
            <v>QROTR01</v>
          </cell>
          <cell r="AD11221">
            <v>95000</v>
          </cell>
        </row>
        <row r="11222">
          <cell r="W11222" t="str">
            <v>QROTR01</v>
          </cell>
          <cell r="AD11222">
            <v>95000</v>
          </cell>
        </row>
        <row r="11223">
          <cell r="W11223" t="str">
            <v>QROTR01</v>
          </cell>
          <cell r="AD11223">
            <v>95000</v>
          </cell>
        </row>
        <row r="11224">
          <cell r="W11224" t="str">
            <v>QROTR01</v>
          </cell>
          <cell r="AD11224">
            <v>95000</v>
          </cell>
        </row>
        <row r="11225">
          <cell r="W11225" t="str">
            <v>QROTR01</v>
          </cell>
          <cell r="AD11225">
            <v>95000</v>
          </cell>
        </row>
        <row r="11226">
          <cell r="W11226" t="str">
            <v>QROTR01</v>
          </cell>
          <cell r="AD11226">
            <v>97500</v>
          </cell>
        </row>
        <row r="11227">
          <cell r="W11227" t="str">
            <v>QROTR01</v>
          </cell>
          <cell r="AD11227">
            <v>99500</v>
          </cell>
        </row>
        <row r="11228">
          <cell r="W11228" t="str">
            <v>QROUN01</v>
          </cell>
          <cell r="AD11228">
            <v>70500</v>
          </cell>
        </row>
        <row r="11229">
          <cell r="W11229" t="str">
            <v>QROUN01</v>
          </cell>
          <cell r="AD11229">
            <v>71000</v>
          </cell>
        </row>
        <row r="11230">
          <cell r="W11230" t="str">
            <v>QROUN01</v>
          </cell>
          <cell r="AD11230">
            <v>71000</v>
          </cell>
        </row>
        <row r="11231">
          <cell r="W11231" t="str">
            <v>QROUN01</v>
          </cell>
          <cell r="AD11231">
            <v>71000</v>
          </cell>
        </row>
        <row r="11232">
          <cell r="W11232" t="str">
            <v>QROUN01</v>
          </cell>
          <cell r="AD11232">
            <v>71000</v>
          </cell>
        </row>
        <row r="11233">
          <cell r="W11233" t="str">
            <v>QROUN01</v>
          </cell>
          <cell r="AD11233">
            <v>71000</v>
          </cell>
        </row>
        <row r="11234">
          <cell r="W11234" t="str">
            <v>QROUN01</v>
          </cell>
          <cell r="AD11234">
            <v>71000</v>
          </cell>
        </row>
        <row r="11235">
          <cell r="W11235" t="str">
            <v>QROUN01</v>
          </cell>
          <cell r="AD11235">
            <v>71000</v>
          </cell>
        </row>
        <row r="11236">
          <cell r="W11236" t="str">
            <v>QROUN01</v>
          </cell>
          <cell r="AD11236">
            <v>71000</v>
          </cell>
        </row>
        <row r="11237">
          <cell r="W11237" t="str">
            <v>QROUN01</v>
          </cell>
          <cell r="AD11237">
            <v>71000</v>
          </cell>
        </row>
        <row r="11238">
          <cell r="W11238" t="str">
            <v>QROUN01</v>
          </cell>
          <cell r="AD11238">
            <v>71000</v>
          </cell>
        </row>
        <row r="11239">
          <cell r="W11239" t="str">
            <v>QROUN01</v>
          </cell>
          <cell r="AD11239">
            <v>71000</v>
          </cell>
        </row>
        <row r="11240">
          <cell r="W11240" t="str">
            <v>QROUN01</v>
          </cell>
          <cell r="AD11240">
            <v>71000</v>
          </cell>
        </row>
        <row r="11241">
          <cell r="W11241" t="str">
            <v>QROUN01</v>
          </cell>
          <cell r="AD11241">
            <v>71000</v>
          </cell>
        </row>
        <row r="11242">
          <cell r="W11242" t="str">
            <v>QROUN01</v>
          </cell>
          <cell r="AD11242">
            <v>71500</v>
          </cell>
        </row>
        <row r="11243">
          <cell r="W11243" t="str">
            <v>QROUN01</v>
          </cell>
          <cell r="AD11243">
            <v>72500</v>
          </cell>
        </row>
        <row r="11244">
          <cell r="W11244" t="str">
            <v>QROUN01</v>
          </cell>
          <cell r="AD11244">
            <v>72500</v>
          </cell>
        </row>
        <row r="11245">
          <cell r="W11245" t="str">
            <v>QROUN01</v>
          </cell>
          <cell r="AD11245">
            <v>72500</v>
          </cell>
        </row>
        <row r="11246">
          <cell r="W11246" t="str">
            <v>QROUN01</v>
          </cell>
          <cell r="AD11246">
            <v>73000</v>
          </cell>
        </row>
        <row r="11247">
          <cell r="W11247" t="str">
            <v>QROUN01</v>
          </cell>
          <cell r="AD11247">
            <v>73000</v>
          </cell>
        </row>
        <row r="11248">
          <cell r="W11248" t="str">
            <v>QROUN02</v>
          </cell>
          <cell r="AD11248">
            <v>1260000</v>
          </cell>
        </row>
        <row r="11249">
          <cell r="W11249" t="str">
            <v>QROUN02</v>
          </cell>
          <cell r="AD11249">
            <v>1265000</v>
          </cell>
        </row>
        <row r="11250">
          <cell r="W11250" t="str">
            <v>QROUN02</v>
          </cell>
          <cell r="AD11250">
            <v>1265000</v>
          </cell>
        </row>
        <row r="11251">
          <cell r="W11251" t="str">
            <v>QROUN02</v>
          </cell>
          <cell r="AD11251">
            <v>1265000</v>
          </cell>
        </row>
        <row r="11252">
          <cell r="W11252" t="str">
            <v>QROUN02</v>
          </cell>
          <cell r="AD11252">
            <v>1265000</v>
          </cell>
        </row>
        <row r="11253">
          <cell r="W11253" t="str">
            <v>QROUN02</v>
          </cell>
          <cell r="AD11253">
            <v>1265000</v>
          </cell>
        </row>
        <row r="11254">
          <cell r="W11254" t="str">
            <v>QROUN03</v>
          </cell>
          <cell r="AD11254">
            <v>265000</v>
          </cell>
        </row>
        <row r="11255">
          <cell r="W11255" t="str">
            <v>QROUN03</v>
          </cell>
          <cell r="AD11255">
            <v>265000</v>
          </cell>
        </row>
        <row r="11256">
          <cell r="W11256" t="str">
            <v>QROVR01</v>
          </cell>
          <cell r="AD11256">
            <v>52500</v>
          </cell>
        </row>
        <row r="11257">
          <cell r="W11257" t="str">
            <v>QROVR01</v>
          </cell>
          <cell r="AD11257">
            <v>52500</v>
          </cell>
        </row>
        <row r="11258">
          <cell r="W11258" t="str">
            <v>QROVR01</v>
          </cell>
          <cell r="AD11258">
            <v>52500</v>
          </cell>
        </row>
        <row r="11259">
          <cell r="W11259" t="str">
            <v>QROVR01</v>
          </cell>
          <cell r="AD11259">
            <v>53000</v>
          </cell>
        </row>
        <row r="11260">
          <cell r="W11260" t="str">
            <v>QROVR01</v>
          </cell>
          <cell r="AD11260">
            <v>53000</v>
          </cell>
        </row>
        <row r="11261">
          <cell r="W11261" t="str">
            <v>QROVR01</v>
          </cell>
          <cell r="AD11261">
            <v>53000</v>
          </cell>
        </row>
        <row r="11262">
          <cell r="W11262" t="str">
            <v>QROVR01</v>
          </cell>
          <cell r="AD11262">
            <v>53000</v>
          </cell>
        </row>
        <row r="11263">
          <cell r="W11263" t="str">
            <v>QROVR01</v>
          </cell>
          <cell r="AD11263">
            <v>53500</v>
          </cell>
        </row>
        <row r="11264">
          <cell r="W11264" t="str">
            <v>QROVR01</v>
          </cell>
          <cell r="AD11264">
            <v>53500</v>
          </cell>
        </row>
        <row r="11265">
          <cell r="W11265" t="str">
            <v>QROVR01</v>
          </cell>
          <cell r="AD11265">
            <v>53500</v>
          </cell>
        </row>
        <row r="11266">
          <cell r="W11266" t="str">
            <v>QROVR01</v>
          </cell>
          <cell r="AD11266">
            <v>53500</v>
          </cell>
        </row>
        <row r="11267">
          <cell r="W11267" t="str">
            <v>QROVR01</v>
          </cell>
          <cell r="AD11267">
            <v>53500</v>
          </cell>
        </row>
        <row r="11268">
          <cell r="W11268" t="str">
            <v>QROVR01</v>
          </cell>
          <cell r="AD11268">
            <v>53500</v>
          </cell>
        </row>
        <row r="11269">
          <cell r="W11269" t="str">
            <v>QROVR01</v>
          </cell>
          <cell r="AD11269">
            <v>53500</v>
          </cell>
        </row>
        <row r="11270">
          <cell r="W11270" t="str">
            <v>QROVR01</v>
          </cell>
          <cell r="AD11270">
            <v>53500</v>
          </cell>
        </row>
        <row r="11271">
          <cell r="W11271" t="str">
            <v>QROVR01</v>
          </cell>
          <cell r="AD11271">
            <v>53750</v>
          </cell>
        </row>
        <row r="11272">
          <cell r="W11272" t="str">
            <v>QROVR01</v>
          </cell>
          <cell r="AD11272">
            <v>54000</v>
          </cell>
        </row>
        <row r="11273">
          <cell r="W11273" t="str">
            <v>QRUMP01</v>
          </cell>
          <cell r="AD11273">
            <v>33250</v>
          </cell>
        </row>
        <row r="11274">
          <cell r="W11274" t="str">
            <v>QRUMP01</v>
          </cell>
          <cell r="AD11274">
            <v>33250</v>
          </cell>
        </row>
        <row r="11275">
          <cell r="W11275" t="str">
            <v>QRUMP01</v>
          </cell>
          <cell r="AD11275">
            <v>33500</v>
          </cell>
        </row>
        <row r="11276">
          <cell r="W11276" t="str">
            <v>QRUMP01</v>
          </cell>
          <cell r="AD11276">
            <v>33500</v>
          </cell>
        </row>
        <row r="11277">
          <cell r="W11277" t="str">
            <v>QRUMP01</v>
          </cell>
          <cell r="AD11277">
            <v>33500</v>
          </cell>
        </row>
        <row r="11278">
          <cell r="W11278" t="str">
            <v>QRUMP01</v>
          </cell>
          <cell r="AD11278">
            <v>33500</v>
          </cell>
        </row>
        <row r="11279">
          <cell r="W11279" t="str">
            <v>QRUMP01</v>
          </cell>
          <cell r="AD11279">
            <v>33500</v>
          </cell>
        </row>
        <row r="11280">
          <cell r="W11280" t="str">
            <v>QRUMP01</v>
          </cell>
          <cell r="AD11280">
            <v>33500</v>
          </cell>
        </row>
        <row r="11281">
          <cell r="W11281" t="str">
            <v>QRUMP01</v>
          </cell>
          <cell r="AD11281">
            <v>33500</v>
          </cell>
        </row>
        <row r="11282">
          <cell r="W11282" t="str">
            <v>QRUMP01</v>
          </cell>
          <cell r="AD11282">
            <v>33500</v>
          </cell>
        </row>
        <row r="11283">
          <cell r="W11283" t="str">
            <v>QRUMP01</v>
          </cell>
          <cell r="AD11283">
            <v>33500</v>
          </cell>
        </row>
        <row r="11284">
          <cell r="W11284" t="str">
            <v>QRUMP01</v>
          </cell>
          <cell r="AD11284">
            <v>33500</v>
          </cell>
        </row>
        <row r="11285">
          <cell r="W11285" t="str">
            <v>QRUMP01</v>
          </cell>
          <cell r="AD11285">
            <v>33500</v>
          </cell>
        </row>
        <row r="11286">
          <cell r="W11286" t="str">
            <v>QRUMP01</v>
          </cell>
          <cell r="AD11286">
            <v>33500</v>
          </cell>
        </row>
        <row r="11287">
          <cell r="W11287" t="str">
            <v>QRUMP01</v>
          </cell>
          <cell r="AD11287">
            <v>33500</v>
          </cell>
        </row>
        <row r="11288">
          <cell r="W11288" t="str">
            <v>QRUMP01</v>
          </cell>
          <cell r="AD11288">
            <v>33500</v>
          </cell>
        </row>
        <row r="11289">
          <cell r="W11289" t="str">
            <v>QRUMP01</v>
          </cell>
          <cell r="AD11289">
            <v>33500</v>
          </cell>
        </row>
        <row r="11290">
          <cell r="W11290" t="str">
            <v>QRUMP01</v>
          </cell>
          <cell r="AD11290">
            <v>33500</v>
          </cell>
        </row>
        <row r="11291">
          <cell r="W11291" t="str">
            <v>QRUMP01</v>
          </cell>
          <cell r="AD11291">
            <v>33500</v>
          </cell>
        </row>
        <row r="11292">
          <cell r="W11292" t="str">
            <v>QRUMP01</v>
          </cell>
          <cell r="AD11292">
            <v>33500</v>
          </cell>
        </row>
        <row r="11293">
          <cell r="W11293" t="str">
            <v>QRUMP01</v>
          </cell>
          <cell r="AD11293">
            <v>33500</v>
          </cell>
        </row>
        <row r="11294">
          <cell r="W11294" t="str">
            <v>QRUMP01</v>
          </cell>
          <cell r="AD11294">
            <v>33500</v>
          </cell>
        </row>
        <row r="11295">
          <cell r="W11295" t="str">
            <v>QRUMP01</v>
          </cell>
          <cell r="AD11295">
            <v>33500</v>
          </cell>
        </row>
        <row r="11296">
          <cell r="W11296" t="str">
            <v>QRUMP01</v>
          </cell>
          <cell r="AD11296">
            <v>33500</v>
          </cell>
        </row>
        <row r="11297">
          <cell r="W11297" t="str">
            <v>QRUMP01</v>
          </cell>
          <cell r="AD11297">
            <v>33500</v>
          </cell>
        </row>
        <row r="11298">
          <cell r="W11298" t="str">
            <v>QRUMP01</v>
          </cell>
          <cell r="AD11298">
            <v>33500</v>
          </cell>
        </row>
        <row r="11299">
          <cell r="W11299" t="str">
            <v>QRUMP01</v>
          </cell>
          <cell r="AD11299">
            <v>34000</v>
          </cell>
        </row>
        <row r="11300">
          <cell r="W11300" t="str">
            <v>QRUMP01</v>
          </cell>
          <cell r="AD11300">
            <v>34000</v>
          </cell>
        </row>
        <row r="11301">
          <cell r="W11301" t="str">
            <v>QRUMP01</v>
          </cell>
          <cell r="AD11301">
            <v>34000</v>
          </cell>
        </row>
        <row r="11302">
          <cell r="W11302" t="str">
            <v>QRUMP01</v>
          </cell>
          <cell r="AD11302">
            <v>34000</v>
          </cell>
        </row>
        <row r="11303">
          <cell r="W11303" t="str">
            <v>QRUMP01</v>
          </cell>
          <cell r="AD11303">
            <v>34000</v>
          </cell>
        </row>
        <row r="11304">
          <cell r="W11304" t="str">
            <v>QRUMP01</v>
          </cell>
          <cell r="AD11304">
            <v>34000</v>
          </cell>
        </row>
        <row r="11305">
          <cell r="W11305" t="str">
            <v>QRUMP01</v>
          </cell>
          <cell r="AD11305">
            <v>34000</v>
          </cell>
        </row>
        <row r="11306">
          <cell r="W11306" t="str">
            <v>QRUMP01</v>
          </cell>
          <cell r="AD11306">
            <v>34000</v>
          </cell>
        </row>
        <row r="11307">
          <cell r="W11307" t="str">
            <v>QRUMP01</v>
          </cell>
          <cell r="AD11307">
            <v>34000</v>
          </cell>
        </row>
        <row r="11308">
          <cell r="W11308" t="str">
            <v>QRUMP01</v>
          </cell>
          <cell r="AD11308">
            <v>34000</v>
          </cell>
        </row>
        <row r="11309">
          <cell r="W11309" t="str">
            <v>QRUMP01</v>
          </cell>
          <cell r="AD11309">
            <v>34000</v>
          </cell>
        </row>
        <row r="11310">
          <cell r="W11310" t="str">
            <v>QRUMP01</v>
          </cell>
          <cell r="AD11310">
            <v>34000</v>
          </cell>
        </row>
        <row r="11311">
          <cell r="W11311" t="str">
            <v>QRUMP01</v>
          </cell>
          <cell r="AD11311">
            <v>34000</v>
          </cell>
        </row>
        <row r="11312">
          <cell r="W11312" t="str">
            <v>QRUMP01</v>
          </cell>
          <cell r="AD11312">
            <v>34000</v>
          </cell>
        </row>
        <row r="11313">
          <cell r="W11313" t="str">
            <v>QRUMP01</v>
          </cell>
          <cell r="AD11313">
            <v>34000</v>
          </cell>
        </row>
        <row r="11314">
          <cell r="W11314" t="str">
            <v>QRUMP01</v>
          </cell>
          <cell r="AD11314">
            <v>34000</v>
          </cell>
        </row>
        <row r="11315">
          <cell r="W11315" t="str">
            <v>QRUMP01</v>
          </cell>
          <cell r="AD11315">
            <v>34000</v>
          </cell>
        </row>
        <row r="11316">
          <cell r="W11316" t="str">
            <v>QRUMP01</v>
          </cell>
          <cell r="AD11316">
            <v>34000</v>
          </cell>
        </row>
        <row r="11317">
          <cell r="W11317" t="str">
            <v>QRUMP01</v>
          </cell>
          <cell r="AD11317">
            <v>34000</v>
          </cell>
        </row>
        <row r="11318">
          <cell r="W11318" t="str">
            <v>QRUMP01</v>
          </cell>
          <cell r="AD11318">
            <v>34000</v>
          </cell>
        </row>
        <row r="11319">
          <cell r="W11319" t="str">
            <v>QRUMP01</v>
          </cell>
          <cell r="AD11319">
            <v>34000</v>
          </cell>
        </row>
        <row r="11320">
          <cell r="W11320" t="str">
            <v>QRUMP01</v>
          </cell>
          <cell r="AD11320">
            <v>34000</v>
          </cell>
        </row>
        <row r="11321">
          <cell r="W11321" t="str">
            <v>QRUMP01</v>
          </cell>
          <cell r="AD11321">
            <v>34000</v>
          </cell>
        </row>
        <row r="11322">
          <cell r="W11322" t="str">
            <v>QRUMP01</v>
          </cell>
          <cell r="AD11322">
            <v>34000</v>
          </cell>
        </row>
        <row r="11323">
          <cell r="W11323" t="str">
            <v>QRUMP01</v>
          </cell>
          <cell r="AD11323">
            <v>34000</v>
          </cell>
        </row>
        <row r="11324">
          <cell r="W11324" t="str">
            <v>QRUMP01</v>
          </cell>
          <cell r="AD11324">
            <v>34500</v>
          </cell>
        </row>
        <row r="11325">
          <cell r="W11325" t="str">
            <v>QRUMP01</v>
          </cell>
          <cell r="AD11325">
            <v>35500</v>
          </cell>
        </row>
        <row r="11326">
          <cell r="W11326" t="str">
            <v>QRUMP02</v>
          </cell>
          <cell r="AD11326">
            <v>81500</v>
          </cell>
        </row>
        <row r="11327">
          <cell r="W11327" t="str">
            <v>QRUMP02</v>
          </cell>
          <cell r="AD11327">
            <v>81500</v>
          </cell>
        </row>
        <row r="11328">
          <cell r="W11328" t="str">
            <v>QRUMP02</v>
          </cell>
          <cell r="AD11328">
            <v>81500</v>
          </cell>
        </row>
        <row r="11329">
          <cell r="W11329" t="str">
            <v>QRUMP02</v>
          </cell>
          <cell r="AD11329">
            <v>81500</v>
          </cell>
        </row>
        <row r="11330">
          <cell r="W11330" t="str">
            <v>QRUMP02</v>
          </cell>
          <cell r="AD11330">
            <v>81500</v>
          </cell>
        </row>
        <row r="11331">
          <cell r="W11331" t="str">
            <v>QRUMP02</v>
          </cell>
          <cell r="AD11331">
            <v>81500</v>
          </cell>
        </row>
        <row r="11332">
          <cell r="W11332" t="str">
            <v>QRUMP02</v>
          </cell>
          <cell r="AD11332">
            <v>81500</v>
          </cell>
        </row>
        <row r="11333">
          <cell r="W11333" t="str">
            <v>QRUMP02</v>
          </cell>
          <cell r="AD11333">
            <v>81500</v>
          </cell>
        </row>
        <row r="11334">
          <cell r="W11334" t="str">
            <v>QRUMP02</v>
          </cell>
          <cell r="AD11334">
            <v>81500</v>
          </cell>
        </row>
        <row r="11335">
          <cell r="W11335" t="str">
            <v>QRUMP02</v>
          </cell>
          <cell r="AD11335">
            <v>81500</v>
          </cell>
        </row>
        <row r="11336">
          <cell r="W11336" t="str">
            <v>QRUMP02</v>
          </cell>
          <cell r="AD11336">
            <v>81500</v>
          </cell>
        </row>
        <row r="11337">
          <cell r="W11337" t="str">
            <v>QRUMP02</v>
          </cell>
          <cell r="AD11337">
            <v>84000</v>
          </cell>
        </row>
        <row r="11338">
          <cell r="W11338" t="str">
            <v>QRUMP02</v>
          </cell>
          <cell r="AD11338">
            <v>84000</v>
          </cell>
        </row>
        <row r="11339">
          <cell r="W11339" t="str">
            <v>QRUMP02</v>
          </cell>
          <cell r="AD11339">
            <v>85500</v>
          </cell>
        </row>
        <row r="11340">
          <cell r="W11340" t="str">
            <v>QRUMP02</v>
          </cell>
          <cell r="AD11340">
            <v>86500</v>
          </cell>
        </row>
        <row r="11341">
          <cell r="W11341" t="str">
            <v>QRUMP02</v>
          </cell>
          <cell r="AD11341">
            <v>86500</v>
          </cell>
        </row>
        <row r="11342">
          <cell r="W11342" t="str">
            <v>QRUMP02</v>
          </cell>
          <cell r="AD11342">
            <v>86500</v>
          </cell>
        </row>
        <row r="11343">
          <cell r="W11343" t="str">
            <v>QRUMP02</v>
          </cell>
          <cell r="AD11343">
            <v>86500</v>
          </cell>
        </row>
        <row r="11344">
          <cell r="W11344" t="str">
            <v>QRUMP02</v>
          </cell>
          <cell r="AD11344">
            <v>86500</v>
          </cell>
        </row>
        <row r="11345">
          <cell r="W11345" t="str">
            <v>QRUMP02</v>
          </cell>
          <cell r="AD11345">
            <v>86500</v>
          </cell>
        </row>
        <row r="11346">
          <cell r="W11346" t="str">
            <v>QRUMP02</v>
          </cell>
          <cell r="AD11346">
            <v>86500</v>
          </cell>
        </row>
        <row r="11347">
          <cell r="W11347" t="str">
            <v>QRUMP02</v>
          </cell>
          <cell r="AD11347">
            <v>86500</v>
          </cell>
        </row>
        <row r="11348">
          <cell r="W11348" t="str">
            <v>QRUMP02</v>
          </cell>
          <cell r="AD11348">
            <v>86500</v>
          </cell>
        </row>
        <row r="11349">
          <cell r="W11349" t="str">
            <v>QRUMP02</v>
          </cell>
          <cell r="AD11349">
            <v>86500</v>
          </cell>
        </row>
        <row r="11350">
          <cell r="W11350" t="str">
            <v>QRUMP02</v>
          </cell>
          <cell r="AD11350">
            <v>86500</v>
          </cell>
        </row>
        <row r="11351">
          <cell r="W11351" t="str">
            <v>QRUMP02</v>
          </cell>
          <cell r="AD11351">
            <v>89500</v>
          </cell>
        </row>
        <row r="11352">
          <cell r="W11352" t="str">
            <v>QRUMP02</v>
          </cell>
          <cell r="AD11352">
            <v>89500</v>
          </cell>
        </row>
        <row r="11353">
          <cell r="W11353" t="str">
            <v>QRUMP02</v>
          </cell>
          <cell r="AD11353">
            <v>89500</v>
          </cell>
        </row>
        <row r="11354">
          <cell r="W11354" t="str">
            <v>QRUMP02</v>
          </cell>
          <cell r="AD11354">
            <v>89500</v>
          </cell>
        </row>
        <row r="11355">
          <cell r="W11355" t="str">
            <v>QRUMP02</v>
          </cell>
          <cell r="AD11355">
            <v>89500</v>
          </cell>
        </row>
        <row r="11356">
          <cell r="W11356" t="str">
            <v>QRUMP02</v>
          </cell>
          <cell r="AD11356">
            <v>91500</v>
          </cell>
        </row>
        <row r="11357">
          <cell r="W11357" t="str">
            <v>QSAGR01</v>
          </cell>
          <cell r="AD11357">
            <v>81250</v>
          </cell>
        </row>
        <row r="11358">
          <cell r="W11358" t="str">
            <v>QSAMI02</v>
          </cell>
          <cell r="AD11358">
            <v>30000</v>
          </cell>
        </row>
        <row r="11359">
          <cell r="W11359" t="str">
            <v>QSAMI02</v>
          </cell>
          <cell r="AD11359">
            <v>30000</v>
          </cell>
        </row>
        <row r="11360">
          <cell r="W11360" t="str">
            <v>QSAMI02</v>
          </cell>
          <cell r="AD11360">
            <v>30000</v>
          </cell>
        </row>
        <row r="11361">
          <cell r="W11361" t="str">
            <v>QSAMI01</v>
          </cell>
          <cell r="AD11361">
            <v>55000</v>
          </cell>
        </row>
        <row r="11362">
          <cell r="W11362" t="str">
            <v>QSAMI01</v>
          </cell>
          <cell r="AD11362">
            <v>55000</v>
          </cell>
        </row>
        <row r="11363">
          <cell r="W11363" t="str">
            <v>QSAMI01</v>
          </cell>
          <cell r="AD11363">
            <v>55000</v>
          </cell>
        </row>
        <row r="11364">
          <cell r="W11364" t="str">
            <v>QSAMI01</v>
          </cell>
          <cell r="AD11364">
            <v>55000</v>
          </cell>
        </row>
        <row r="11365">
          <cell r="W11365" t="str">
            <v>QSAMI01</v>
          </cell>
          <cell r="AD11365">
            <v>55000</v>
          </cell>
        </row>
        <row r="11366">
          <cell r="W11366" t="str">
            <v>QSAMI01</v>
          </cell>
          <cell r="AD11366">
            <v>55000</v>
          </cell>
        </row>
        <row r="11367">
          <cell r="W11367" t="str">
            <v>QSAMI01</v>
          </cell>
          <cell r="AD11367">
            <v>55000</v>
          </cell>
        </row>
        <row r="11368">
          <cell r="W11368" t="str">
            <v>QSAMI01</v>
          </cell>
          <cell r="AD11368">
            <v>56000</v>
          </cell>
        </row>
        <row r="11369">
          <cell r="W11369" t="str">
            <v>QSANG04</v>
          </cell>
          <cell r="AD11369">
            <v>54000</v>
          </cell>
        </row>
        <row r="11370">
          <cell r="W11370" t="str">
            <v>QSANG04</v>
          </cell>
          <cell r="AD11370">
            <v>54000</v>
          </cell>
        </row>
        <row r="11371">
          <cell r="W11371" t="str">
            <v>QSANG04</v>
          </cell>
          <cell r="AD11371">
            <v>54000</v>
          </cell>
        </row>
        <row r="11372">
          <cell r="W11372" t="str">
            <v>QSAPR01</v>
          </cell>
          <cell r="AD11372">
            <v>165000</v>
          </cell>
        </row>
        <row r="11373">
          <cell r="W11373" t="str">
            <v>QSAPR01</v>
          </cell>
          <cell r="AD11373">
            <v>170000</v>
          </cell>
        </row>
        <row r="11374">
          <cell r="W11374" t="str">
            <v>QSAPR01</v>
          </cell>
          <cell r="AD11374">
            <v>175000</v>
          </cell>
        </row>
        <row r="11375">
          <cell r="W11375" t="str">
            <v>QSAPR01</v>
          </cell>
          <cell r="AD11375">
            <v>175000</v>
          </cell>
        </row>
        <row r="11376">
          <cell r="W11376" t="str">
            <v>QSAWI18</v>
          </cell>
          <cell r="AD11376">
            <v>15000</v>
          </cell>
        </row>
        <row r="11377">
          <cell r="W11377" t="str">
            <v>QSAWI18</v>
          </cell>
          <cell r="AD11377">
            <v>15000</v>
          </cell>
        </row>
        <row r="11378">
          <cell r="W11378" t="str">
            <v>QSAWI18</v>
          </cell>
          <cell r="AD11378">
            <v>15000</v>
          </cell>
        </row>
        <row r="11379">
          <cell r="W11379" t="str">
            <v>QSAWI18</v>
          </cell>
          <cell r="AD11379">
            <v>15000</v>
          </cell>
        </row>
        <row r="11380">
          <cell r="W11380" t="str">
            <v>QSAWI18</v>
          </cell>
          <cell r="AD11380">
            <v>15000</v>
          </cell>
        </row>
        <row r="11381">
          <cell r="W11381" t="str">
            <v>QSAWI18</v>
          </cell>
          <cell r="AD11381">
            <v>16000</v>
          </cell>
        </row>
        <row r="11382">
          <cell r="W11382" t="str">
            <v>QSAWI18</v>
          </cell>
          <cell r="AD11382">
            <v>16000</v>
          </cell>
        </row>
        <row r="11383">
          <cell r="W11383" t="str">
            <v>QSAWI18</v>
          </cell>
          <cell r="AD11383">
            <v>16000</v>
          </cell>
        </row>
        <row r="11384">
          <cell r="W11384" t="str">
            <v>QSAWI18</v>
          </cell>
          <cell r="AD11384">
            <v>16000</v>
          </cell>
        </row>
        <row r="11385">
          <cell r="W11385" t="str">
            <v>QSAWI01</v>
          </cell>
          <cell r="AD11385">
            <v>7500</v>
          </cell>
        </row>
        <row r="11386">
          <cell r="W11386" t="str">
            <v>QSAWI01</v>
          </cell>
          <cell r="AD11386">
            <v>7500</v>
          </cell>
        </row>
        <row r="11387">
          <cell r="W11387" t="str">
            <v>QSAWI01</v>
          </cell>
          <cell r="AD11387">
            <v>7500</v>
          </cell>
        </row>
        <row r="11388">
          <cell r="W11388" t="str">
            <v>QSAWI01</v>
          </cell>
          <cell r="AD11388">
            <v>8000</v>
          </cell>
        </row>
        <row r="11389">
          <cell r="W11389" t="str">
            <v>QSAWI01</v>
          </cell>
          <cell r="AD11389">
            <v>8000</v>
          </cell>
        </row>
        <row r="11390">
          <cell r="W11390" t="str">
            <v>QSAWI01</v>
          </cell>
          <cell r="AD11390">
            <v>9000</v>
          </cell>
        </row>
        <row r="11391">
          <cell r="W11391" t="str">
            <v>QSAWI01</v>
          </cell>
          <cell r="AD11391">
            <v>9000</v>
          </cell>
        </row>
        <row r="11392">
          <cell r="W11392" t="str">
            <v>QSAWI02</v>
          </cell>
          <cell r="AD11392">
            <v>11000</v>
          </cell>
        </row>
        <row r="11393">
          <cell r="W11393" t="str">
            <v>QSAWI02</v>
          </cell>
          <cell r="AD11393">
            <v>11000</v>
          </cell>
        </row>
        <row r="11394">
          <cell r="W11394" t="str">
            <v>QSAWI02</v>
          </cell>
          <cell r="AD11394">
            <v>12500</v>
          </cell>
        </row>
        <row r="11395">
          <cell r="W11395" t="str">
            <v>QSAWI02</v>
          </cell>
          <cell r="AD11395">
            <v>12500</v>
          </cell>
        </row>
        <row r="11396">
          <cell r="W11396" t="str">
            <v>QSAWI02</v>
          </cell>
          <cell r="AD11396">
            <v>12500</v>
          </cell>
        </row>
        <row r="11397">
          <cell r="W11397" t="str">
            <v>QSAWI02</v>
          </cell>
          <cell r="AD11397">
            <v>12500</v>
          </cell>
        </row>
        <row r="11398">
          <cell r="W11398" t="str">
            <v>QSAWI02</v>
          </cell>
          <cell r="AD11398">
            <v>12500</v>
          </cell>
        </row>
        <row r="11399">
          <cell r="W11399" t="str">
            <v>QSAWI02</v>
          </cell>
          <cell r="AD11399">
            <v>12500</v>
          </cell>
        </row>
        <row r="11400">
          <cell r="W11400" t="str">
            <v>QSAWI02</v>
          </cell>
          <cell r="AD11400">
            <v>12500</v>
          </cell>
        </row>
        <row r="11401">
          <cell r="W11401" t="str">
            <v>QSAWI02</v>
          </cell>
          <cell r="AD11401">
            <v>12500</v>
          </cell>
        </row>
        <row r="11402">
          <cell r="W11402" t="str">
            <v>QSAWI02</v>
          </cell>
          <cell r="AD11402">
            <v>12500</v>
          </cell>
        </row>
        <row r="11403">
          <cell r="W11403" t="str">
            <v>QSAWI02</v>
          </cell>
          <cell r="AD11403">
            <v>12500</v>
          </cell>
        </row>
        <row r="11404">
          <cell r="W11404" t="str">
            <v>QSAWI02</v>
          </cell>
          <cell r="AD11404">
            <v>12500</v>
          </cell>
        </row>
        <row r="11405">
          <cell r="W11405" t="str">
            <v>QSAWI02</v>
          </cell>
          <cell r="AD11405">
            <v>12500</v>
          </cell>
        </row>
        <row r="11406">
          <cell r="W11406" t="str">
            <v>QSAWI02</v>
          </cell>
          <cell r="AD11406">
            <v>12500</v>
          </cell>
        </row>
        <row r="11407">
          <cell r="W11407" t="str">
            <v>QSAWI02</v>
          </cell>
          <cell r="AD11407">
            <v>12500</v>
          </cell>
        </row>
        <row r="11408">
          <cell r="W11408" t="str">
            <v>QSAWI02</v>
          </cell>
          <cell r="AD11408">
            <v>13000</v>
          </cell>
        </row>
        <row r="11409">
          <cell r="W11409" t="str">
            <v>QSAWI02</v>
          </cell>
          <cell r="AD11409">
            <v>13000</v>
          </cell>
        </row>
        <row r="11410">
          <cell r="W11410" t="str">
            <v>QSAWI02</v>
          </cell>
          <cell r="AD11410">
            <v>13000</v>
          </cell>
        </row>
        <row r="11411">
          <cell r="W11411" t="str">
            <v>QSAWI02</v>
          </cell>
          <cell r="AD11411">
            <v>13000</v>
          </cell>
        </row>
        <row r="11412">
          <cell r="W11412" t="str">
            <v>QSAWI02</v>
          </cell>
          <cell r="AD11412">
            <v>13000</v>
          </cell>
        </row>
        <row r="11413">
          <cell r="W11413" t="str">
            <v>QSAWI02</v>
          </cell>
          <cell r="AD11413">
            <v>13000</v>
          </cell>
        </row>
        <row r="11414">
          <cell r="W11414" t="str">
            <v>QSAWI02</v>
          </cell>
          <cell r="AD11414">
            <v>13000</v>
          </cell>
        </row>
        <row r="11415">
          <cell r="W11415" t="str">
            <v>QSAWI02</v>
          </cell>
          <cell r="AD11415">
            <v>13000</v>
          </cell>
        </row>
        <row r="11416">
          <cell r="W11416" t="str">
            <v>QSAWI02</v>
          </cell>
          <cell r="AD11416">
            <v>14000</v>
          </cell>
        </row>
        <row r="11417">
          <cell r="W11417" t="str">
            <v>QSAWI02</v>
          </cell>
          <cell r="AD11417">
            <v>15000</v>
          </cell>
        </row>
        <row r="11418">
          <cell r="W11418" t="str">
            <v>QSAWI02</v>
          </cell>
          <cell r="AD11418">
            <v>15000</v>
          </cell>
        </row>
        <row r="11419">
          <cell r="W11419" t="str">
            <v>QSAWI02</v>
          </cell>
          <cell r="AD11419">
            <v>15000</v>
          </cell>
        </row>
        <row r="11420">
          <cell r="W11420" t="str">
            <v>QSAWI17</v>
          </cell>
          <cell r="AD11420">
            <v>33000</v>
          </cell>
        </row>
        <row r="11421">
          <cell r="W11421" t="str">
            <v>QSAWI17</v>
          </cell>
          <cell r="AD11421">
            <v>33000</v>
          </cell>
        </row>
        <row r="11422">
          <cell r="W11422" t="str">
            <v>QSAWI17</v>
          </cell>
          <cell r="AD11422">
            <v>33000</v>
          </cell>
        </row>
        <row r="11423">
          <cell r="W11423" t="str">
            <v>QSAWI17</v>
          </cell>
          <cell r="AD11423">
            <v>33000</v>
          </cell>
        </row>
        <row r="11424">
          <cell r="W11424" t="str">
            <v>QSAWI17</v>
          </cell>
          <cell r="AD11424">
            <v>35000</v>
          </cell>
        </row>
        <row r="11425">
          <cell r="W11425" t="str">
            <v>QSAWI17</v>
          </cell>
          <cell r="AD11425">
            <v>35000</v>
          </cell>
        </row>
        <row r="11426">
          <cell r="W11426" t="str">
            <v>QSAWI17</v>
          </cell>
          <cell r="AD11426">
            <v>35000</v>
          </cell>
        </row>
        <row r="11427">
          <cell r="W11427" t="str">
            <v>QSAWI17</v>
          </cell>
          <cell r="AD11427">
            <v>35000</v>
          </cell>
        </row>
        <row r="11428">
          <cell r="W11428" t="str">
            <v>QSAWI17</v>
          </cell>
          <cell r="AD11428">
            <v>38000</v>
          </cell>
        </row>
        <row r="11429">
          <cell r="W11429" t="str">
            <v>QSAWI04</v>
          </cell>
          <cell r="AD11429">
            <v>41000</v>
          </cell>
        </row>
        <row r="11430">
          <cell r="W11430" t="str">
            <v>QSAWI26</v>
          </cell>
          <cell r="AD11430">
            <v>41000</v>
          </cell>
        </row>
        <row r="11431">
          <cell r="W11431" t="str">
            <v>QSAWI26</v>
          </cell>
          <cell r="AD11431">
            <v>45000</v>
          </cell>
        </row>
        <row r="11432">
          <cell r="W11432" t="str">
            <v>QSAWI26</v>
          </cell>
          <cell r="AD11432">
            <v>45000</v>
          </cell>
        </row>
        <row r="11433">
          <cell r="W11433" t="str">
            <v>QSAWI26</v>
          </cell>
          <cell r="AD11433">
            <v>45000</v>
          </cell>
        </row>
        <row r="11434">
          <cell r="W11434" t="str">
            <v>QSAWI26</v>
          </cell>
          <cell r="AD11434">
            <v>47000</v>
          </cell>
        </row>
        <row r="11435">
          <cell r="W11435" t="str">
            <v>QSAWI06</v>
          </cell>
          <cell r="AD11435">
            <v>12000</v>
          </cell>
        </row>
        <row r="11436">
          <cell r="W11436" t="str">
            <v>QSAWI06</v>
          </cell>
          <cell r="AD11436">
            <v>12000</v>
          </cell>
        </row>
        <row r="11437">
          <cell r="W11437" t="str">
            <v>QSAWI06</v>
          </cell>
          <cell r="AD11437">
            <v>12000</v>
          </cell>
        </row>
        <row r="11438">
          <cell r="W11438" t="str">
            <v>QSAWI06</v>
          </cell>
          <cell r="AD11438">
            <v>12000</v>
          </cell>
        </row>
        <row r="11439">
          <cell r="W11439" t="str">
            <v>QSAWI06</v>
          </cell>
          <cell r="AD11439">
            <v>12000</v>
          </cell>
        </row>
        <row r="11440">
          <cell r="W11440" t="str">
            <v>QSAWI06</v>
          </cell>
          <cell r="AD11440">
            <v>12000</v>
          </cell>
        </row>
        <row r="11441">
          <cell r="W11441" t="str">
            <v>QSAWI06</v>
          </cell>
          <cell r="AD11441">
            <v>12000</v>
          </cell>
        </row>
        <row r="11442">
          <cell r="W11442" t="str">
            <v>QSAWI06</v>
          </cell>
          <cell r="AD11442">
            <v>12000</v>
          </cell>
        </row>
        <row r="11443">
          <cell r="W11443" t="str">
            <v>QSAWI06</v>
          </cell>
          <cell r="AD11443">
            <v>12000</v>
          </cell>
        </row>
        <row r="11444">
          <cell r="W11444" t="str">
            <v>QSAWI06</v>
          </cell>
          <cell r="AD11444">
            <v>12000</v>
          </cell>
        </row>
        <row r="11445">
          <cell r="W11445" t="str">
            <v>QSAWI06</v>
          </cell>
          <cell r="AD11445">
            <v>12000</v>
          </cell>
        </row>
        <row r="11446">
          <cell r="W11446" t="str">
            <v>QSAWI06</v>
          </cell>
          <cell r="AD11446">
            <v>12000</v>
          </cell>
        </row>
        <row r="11447">
          <cell r="W11447" t="str">
            <v>QSAWI06</v>
          </cell>
          <cell r="AD11447">
            <v>12000</v>
          </cell>
        </row>
        <row r="11448">
          <cell r="W11448" t="str">
            <v>QSAWI06</v>
          </cell>
          <cell r="AD11448">
            <v>12000</v>
          </cell>
        </row>
        <row r="11449">
          <cell r="W11449" t="str">
            <v>QSAWI06</v>
          </cell>
          <cell r="AD11449">
            <v>12000</v>
          </cell>
        </row>
        <row r="11450">
          <cell r="W11450" t="str">
            <v>QSAWI06</v>
          </cell>
          <cell r="AD11450">
            <v>12000</v>
          </cell>
        </row>
        <row r="11451">
          <cell r="W11451" t="str">
            <v>QSAWI06</v>
          </cell>
          <cell r="AD11451">
            <v>12000</v>
          </cell>
        </row>
        <row r="11452">
          <cell r="W11452" t="str">
            <v>QSAWI06</v>
          </cell>
          <cell r="AD11452">
            <v>12000</v>
          </cell>
        </row>
        <row r="11453">
          <cell r="W11453" t="str">
            <v>QSAWI06</v>
          </cell>
          <cell r="AD11453">
            <v>12000</v>
          </cell>
        </row>
        <row r="11454">
          <cell r="W11454" t="str">
            <v>QSAWI06</v>
          </cell>
          <cell r="AD11454">
            <v>13000</v>
          </cell>
        </row>
        <row r="11455">
          <cell r="W11455" t="str">
            <v>QSAWI06</v>
          </cell>
          <cell r="AD11455">
            <v>13000</v>
          </cell>
        </row>
        <row r="11456">
          <cell r="W11456" t="str">
            <v>QSAWI06</v>
          </cell>
          <cell r="AD11456">
            <v>13000</v>
          </cell>
        </row>
        <row r="11457">
          <cell r="W11457" t="str">
            <v>QSAWI06</v>
          </cell>
          <cell r="AD11457">
            <v>13000</v>
          </cell>
        </row>
        <row r="11458">
          <cell r="W11458" t="str">
            <v>QSAWI06</v>
          </cell>
          <cell r="AD11458">
            <v>13000</v>
          </cell>
        </row>
        <row r="11459">
          <cell r="W11459" t="str">
            <v>QSAWI06</v>
          </cell>
          <cell r="AD11459">
            <v>13000</v>
          </cell>
        </row>
        <row r="11460">
          <cell r="W11460" t="str">
            <v>QSAWI06</v>
          </cell>
          <cell r="AD11460">
            <v>13500</v>
          </cell>
        </row>
        <row r="11461">
          <cell r="W11461" t="str">
            <v>QSAWI06</v>
          </cell>
          <cell r="AD11461">
            <v>15000</v>
          </cell>
        </row>
        <row r="11462">
          <cell r="W11462" t="str">
            <v>QSCOR02</v>
          </cell>
          <cell r="AD11462">
            <v>150000</v>
          </cell>
        </row>
        <row r="11463">
          <cell r="W11463" t="str">
            <v>QSCOR02</v>
          </cell>
          <cell r="AD11463">
            <v>150000</v>
          </cell>
        </row>
        <row r="11464">
          <cell r="W11464" t="str">
            <v>QSCOR02</v>
          </cell>
          <cell r="AD11464">
            <v>150000</v>
          </cell>
        </row>
        <row r="11465">
          <cell r="W11465" t="str">
            <v>QSCOR02</v>
          </cell>
          <cell r="AD11465">
            <v>150000</v>
          </cell>
        </row>
        <row r="11466">
          <cell r="W11466" t="str">
            <v>QSCOR02</v>
          </cell>
          <cell r="AD11466">
            <v>150000</v>
          </cell>
        </row>
        <row r="11467">
          <cell r="W11467" t="str">
            <v>QSCOR02</v>
          </cell>
          <cell r="AD11467">
            <v>150000</v>
          </cell>
        </row>
        <row r="11468">
          <cell r="W11468" t="str">
            <v>QSCOR02</v>
          </cell>
          <cell r="AD11468">
            <v>150500</v>
          </cell>
        </row>
        <row r="11469">
          <cell r="W11469" t="str">
            <v>QSCOR02</v>
          </cell>
          <cell r="AD11469">
            <v>150500</v>
          </cell>
        </row>
        <row r="11470">
          <cell r="W11470" t="str">
            <v>QSCOR02</v>
          </cell>
          <cell r="AD11470">
            <v>150500</v>
          </cell>
        </row>
        <row r="11471">
          <cell r="W11471" t="str">
            <v>QSCOR02</v>
          </cell>
          <cell r="AD11471">
            <v>150500</v>
          </cell>
        </row>
        <row r="11472">
          <cell r="W11472" t="str">
            <v>QSCOR02</v>
          </cell>
          <cell r="AD11472">
            <v>151000</v>
          </cell>
        </row>
        <row r="11473">
          <cell r="W11473" t="str">
            <v>QSCOR02</v>
          </cell>
          <cell r="AD11473">
            <v>151000</v>
          </cell>
        </row>
        <row r="11474">
          <cell r="W11474" t="str">
            <v>QSCOR02</v>
          </cell>
          <cell r="AD11474">
            <v>151000</v>
          </cell>
        </row>
        <row r="11475">
          <cell r="W11475" t="str">
            <v>QSCOR02</v>
          </cell>
          <cell r="AD11475">
            <v>151000</v>
          </cell>
        </row>
        <row r="11476">
          <cell r="W11476" t="str">
            <v>QSCOR02</v>
          </cell>
          <cell r="AD11476">
            <v>153000</v>
          </cell>
        </row>
        <row r="11477">
          <cell r="W11477" t="str">
            <v>QSCOR02</v>
          </cell>
          <cell r="AD11477">
            <v>153000</v>
          </cell>
        </row>
        <row r="11478">
          <cell r="W11478" t="str">
            <v>QSCOR02</v>
          </cell>
          <cell r="AD11478">
            <v>153000</v>
          </cell>
        </row>
        <row r="11479">
          <cell r="W11479" t="str">
            <v>QSCOR02</v>
          </cell>
          <cell r="AD11479">
            <v>153000</v>
          </cell>
        </row>
        <row r="11480">
          <cell r="W11480" t="str">
            <v>QSCOR02</v>
          </cell>
          <cell r="AD11480">
            <v>153000</v>
          </cell>
        </row>
        <row r="11481">
          <cell r="W11481" t="str">
            <v>QSCOR02</v>
          </cell>
          <cell r="AD11481">
            <v>153000</v>
          </cell>
        </row>
        <row r="11482">
          <cell r="W11482" t="str">
            <v>QSCOR02</v>
          </cell>
          <cell r="AD11482">
            <v>153000</v>
          </cell>
        </row>
        <row r="11483">
          <cell r="W11483" t="str">
            <v>QSCOR02</v>
          </cell>
          <cell r="AD11483">
            <v>153000</v>
          </cell>
        </row>
        <row r="11484">
          <cell r="W11484" t="str">
            <v>QSCOR02</v>
          </cell>
          <cell r="AD11484">
            <v>153000</v>
          </cell>
        </row>
        <row r="11485">
          <cell r="W11485" t="str">
            <v>QSCOR02</v>
          </cell>
          <cell r="AD11485">
            <v>153000</v>
          </cell>
        </row>
        <row r="11486">
          <cell r="W11486" t="str">
            <v>QSCOR02</v>
          </cell>
          <cell r="AD11486">
            <v>153000</v>
          </cell>
        </row>
        <row r="11487">
          <cell r="W11487" t="str">
            <v>QSCOR02</v>
          </cell>
          <cell r="AD11487">
            <v>153000</v>
          </cell>
        </row>
        <row r="11488">
          <cell r="W11488" t="str">
            <v>QSCOR02</v>
          </cell>
          <cell r="AD11488">
            <v>153000</v>
          </cell>
        </row>
        <row r="11489">
          <cell r="W11489" t="str">
            <v>QSCOR02</v>
          </cell>
          <cell r="AD11489">
            <v>153000</v>
          </cell>
        </row>
        <row r="11490">
          <cell r="W11490" t="str">
            <v>QSCOR02</v>
          </cell>
          <cell r="AD11490">
            <v>153250</v>
          </cell>
        </row>
        <row r="11491">
          <cell r="W11491" t="str">
            <v>QSCOR02</v>
          </cell>
          <cell r="AD11491">
            <v>153500</v>
          </cell>
        </row>
        <row r="11492">
          <cell r="W11492" t="str">
            <v>QSCOR02</v>
          </cell>
          <cell r="AD11492">
            <v>153500</v>
          </cell>
        </row>
        <row r="11493">
          <cell r="W11493" t="str">
            <v>QSCOR02</v>
          </cell>
          <cell r="AD11493">
            <v>153500</v>
          </cell>
        </row>
        <row r="11494">
          <cell r="W11494" t="str">
            <v>QSCOR02</v>
          </cell>
          <cell r="AD11494">
            <v>154500</v>
          </cell>
        </row>
        <row r="11495">
          <cell r="W11495" t="str">
            <v>QSCOR02</v>
          </cell>
          <cell r="AD11495">
            <v>154500</v>
          </cell>
        </row>
        <row r="11496">
          <cell r="W11496" t="str">
            <v>QSCOR02</v>
          </cell>
          <cell r="AD11496">
            <v>154500</v>
          </cell>
        </row>
        <row r="11497">
          <cell r="W11497" t="str">
            <v>QSCOR02</v>
          </cell>
          <cell r="AD11497">
            <v>154500</v>
          </cell>
        </row>
        <row r="11498">
          <cell r="W11498" t="str">
            <v>QSCOR02</v>
          </cell>
          <cell r="AD11498">
            <v>154500</v>
          </cell>
        </row>
        <row r="11499">
          <cell r="W11499" t="str">
            <v>QSCOR02</v>
          </cell>
          <cell r="AD11499">
            <v>154500</v>
          </cell>
        </row>
        <row r="11500">
          <cell r="W11500" t="str">
            <v>QSCOR02</v>
          </cell>
          <cell r="AD11500">
            <v>154700</v>
          </cell>
        </row>
        <row r="11501">
          <cell r="W11501" t="str">
            <v>QSCOR03</v>
          </cell>
          <cell r="AD11501">
            <v>50000</v>
          </cell>
        </row>
        <row r="11502">
          <cell r="W11502" t="str">
            <v>QSCOR03</v>
          </cell>
          <cell r="AD11502">
            <v>50500</v>
          </cell>
        </row>
        <row r="11503">
          <cell r="W11503" t="str">
            <v>QSCOR03</v>
          </cell>
          <cell r="AD11503">
            <v>50500</v>
          </cell>
        </row>
        <row r="11504">
          <cell r="W11504" t="str">
            <v>QSCOR03</v>
          </cell>
          <cell r="AD11504">
            <v>50500</v>
          </cell>
        </row>
        <row r="11505">
          <cell r="W11505" t="str">
            <v>QSCOR03</v>
          </cell>
          <cell r="AD11505">
            <v>50500</v>
          </cell>
        </row>
        <row r="11506">
          <cell r="W11506" t="str">
            <v>QSCOR03</v>
          </cell>
          <cell r="AD11506">
            <v>50500</v>
          </cell>
        </row>
        <row r="11507">
          <cell r="W11507" t="str">
            <v>QSCOR03</v>
          </cell>
          <cell r="AD11507">
            <v>50500</v>
          </cell>
        </row>
        <row r="11508">
          <cell r="W11508" t="str">
            <v>QSCOR03</v>
          </cell>
          <cell r="AD11508">
            <v>50500</v>
          </cell>
        </row>
        <row r="11509">
          <cell r="W11509" t="str">
            <v>QSCOR03</v>
          </cell>
          <cell r="AD11509">
            <v>50500</v>
          </cell>
        </row>
        <row r="11510">
          <cell r="W11510" t="str">
            <v>QSCOR03</v>
          </cell>
          <cell r="AD11510">
            <v>50500</v>
          </cell>
        </row>
        <row r="11511">
          <cell r="W11511" t="str">
            <v>QSCOR03</v>
          </cell>
          <cell r="AD11511">
            <v>50750</v>
          </cell>
        </row>
        <row r="11512">
          <cell r="W11512" t="str">
            <v>QSCOR03</v>
          </cell>
          <cell r="AD11512">
            <v>51000</v>
          </cell>
        </row>
        <row r="11513">
          <cell r="W11513" t="str">
            <v>QSCOR03</v>
          </cell>
          <cell r="AD11513">
            <v>51000</v>
          </cell>
        </row>
        <row r="11514">
          <cell r="W11514" t="str">
            <v>QSCOR03</v>
          </cell>
          <cell r="AD11514">
            <v>51000</v>
          </cell>
        </row>
        <row r="11515">
          <cell r="W11515" t="str">
            <v>QSCOR03</v>
          </cell>
          <cell r="AD11515">
            <v>51000</v>
          </cell>
        </row>
        <row r="11516">
          <cell r="W11516" t="str">
            <v>QSCOR03</v>
          </cell>
          <cell r="AD11516">
            <v>51000</v>
          </cell>
        </row>
        <row r="11517">
          <cell r="W11517" t="str">
            <v>QSCOR03</v>
          </cell>
          <cell r="AD11517">
            <v>51000</v>
          </cell>
        </row>
        <row r="11518">
          <cell r="W11518" t="str">
            <v>QSCOR03</v>
          </cell>
          <cell r="AD11518">
            <v>51000</v>
          </cell>
        </row>
        <row r="11519">
          <cell r="W11519" t="str">
            <v>QSCOR03</v>
          </cell>
          <cell r="AD11519">
            <v>51000</v>
          </cell>
        </row>
        <row r="11520">
          <cell r="W11520" t="str">
            <v>QSCOR03</v>
          </cell>
          <cell r="AD11520">
            <v>51000</v>
          </cell>
        </row>
        <row r="11521">
          <cell r="W11521" t="str">
            <v>QSCOR03</v>
          </cell>
          <cell r="AD11521">
            <v>51000</v>
          </cell>
        </row>
        <row r="11522">
          <cell r="W11522" t="str">
            <v>QSCOR03</v>
          </cell>
          <cell r="AD11522">
            <v>51000</v>
          </cell>
        </row>
        <row r="11523">
          <cell r="W11523" t="str">
            <v>QSCOR03</v>
          </cell>
          <cell r="AD11523">
            <v>51000</v>
          </cell>
        </row>
        <row r="11524">
          <cell r="W11524" t="str">
            <v>QSCOR03</v>
          </cell>
          <cell r="AD11524">
            <v>51000</v>
          </cell>
        </row>
        <row r="11525">
          <cell r="W11525" t="str">
            <v>QSCOR03</v>
          </cell>
          <cell r="AD11525">
            <v>51000</v>
          </cell>
        </row>
        <row r="11526">
          <cell r="W11526" t="str">
            <v>QSCOR03</v>
          </cell>
          <cell r="AD11526">
            <v>51000</v>
          </cell>
        </row>
        <row r="11527">
          <cell r="W11527" t="str">
            <v>QSCOR03</v>
          </cell>
          <cell r="AD11527">
            <v>51000</v>
          </cell>
        </row>
        <row r="11528">
          <cell r="W11528" t="str">
            <v>QSCOR03</v>
          </cell>
          <cell r="AD11528">
            <v>51000</v>
          </cell>
        </row>
        <row r="11529">
          <cell r="W11529" t="str">
            <v>QSCOR03</v>
          </cell>
          <cell r="AD11529">
            <v>51000</v>
          </cell>
        </row>
        <row r="11530">
          <cell r="W11530" t="str">
            <v>QSCOR03</v>
          </cell>
          <cell r="AD11530">
            <v>51000</v>
          </cell>
        </row>
        <row r="11531">
          <cell r="W11531" t="str">
            <v>QSCOR03</v>
          </cell>
          <cell r="AD11531">
            <v>51000</v>
          </cell>
        </row>
        <row r="11532">
          <cell r="W11532" t="str">
            <v>QSCOR03</v>
          </cell>
          <cell r="AD11532">
            <v>51000</v>
          </cell>
        </row>
        <row r="11533">
          <cell r="W11533" t="str">
            <v>QSCOR03</v>
          </cell>
          <cell r="AD11533">
            <v>51000</v>
          </cell>
        </row>
        <row r="11534">
          <cell r="W11534" t="str">
            <v>QSCOR03</v>
          </cell>
          <cell r="AD11534">
            <v>51000</v>
          </cell>
        </row>
        <row r="11535">
          <cell r="W11535" t="str">
            <v>QSCOR03</v>
          </cell>
          <cell r="AD11535">
            <v>51000</v>
          </cell>
        </row>
        <row r="11536">
          <cell r="W11536" t="str">
            <v>QSCOR03</v>
          </cell>
          <cell r="AD11536">
            <v>51500</v>
          </cell>
        </row>
        <row r="11537">
          <cell r="W11537" t="str">
            <v>QSCOR03</v>
          </cell>
          <cell r="AD11537">
            <v>51500</v>
          </cell>
        </row>
        <row r="11538">
          <cell r="W11538" t="str">
            <v>QSCOR03</v>
          </cell>
          <cell r="AD11538">
            <v>51500</v>
          </cell>
        </row>
        <row r="11539">
          <cell r="W11539" t="str">
            <v>QSCOR03</v>
          </cell>
          <cell r="AD11539">
            <v>51500</v>
          </cell>
        </row>
        <row r="11540">
          <cell r="W11540" t="str">
            <v>QSCOR03</v>
          </cell>
          <cell r="AD11540">
            <v>51500</v>
          </cell>
        </row>
        <row r="11541">
          <cell r="W11541" t="str">
            <v>QSCOR03</v>
          </cell>
          <cell r="AD11541">
            <v>51500</v>
          </cell>
        </row>
        <row r="11542">
          <cell r="W11542" t="str">
            <v>QSCOR03</v>
          </cell>
          <cell r="AD11542">
            <v>51500</v>
          </cell>
        </row>
        <row r="11543">
          <cell r="W11543" t="str">
            <v>QSCOR03</v>
          </cell>
          <cell r="AD11543">
            <v>51500</v>
          </cell>
        </row>
        <row r="11544">
          <cell r="W11544" t="str">
            <v>QSCOR03</v>
          </cell>
          <cell r="AD11544">
            <v>51500</v>
          </cell>
        </row>
        <row r="11545">
          <cell r="W11545" t="str">
            <v>QSCOR03</v>
          </cell>
          <cell r="AD11545">
            <v>51500</v>
          </cell>
        </row>
        <row r="11546">
          <cell r="W11546" t="str">
            <v>QSCOR03</v>
          </cell>
          <cell r="AD11546">
            <v>51500</v>
          </cell>
        </row>
        <row r="11547">
          <cell r="W11547" t="str">
            <v>QSCOR03</v>
          </cell>
          <cell r="AD11547">
            <v>51500</v>
          </cell>
        </row>
        <row r="11548">
          <cell r="W11548" t="str">
            <v>QSCOR03</v>
          </cell>
          <cell r="AD11548">
            <v>51500</v>
          </cell>
        </row>
        <row r="11549">
          <cell r="W11549" t="str">
            <v>QSCOR03</v>
          </cell>
          <cell r="AD11549">
            <v>51550</v>
          </cell>
        </row>
        <row r="11550">
          <cell r="W11550" t="str">
            <v>QSCOR03</v>
          </cell>
          <cell r="AD11550">
            <v>51600</v>
          </cell>
        </row>
        <row r="11551">
          <cell r="W11551" t="str">
            <v>QSCOR03</v>
          </cell>
          <cell r="AD11551">
            <v>51600</v>
          </cell>
        </row>
        <row r="11552">
          <cell r="W11552" t="str">
            <v>QSCOR03</v>
          </cell>
          <cell r="AD11552">
            <v>51600</v>
          </cell>
        </row>
        <row r="11553">
          <cell r="W11553" t="str">
            <v>QSCOR03</v>
          </cell>
          <cell r="AD11553">
            <v>51600</v>
          </cell>
        </row>
        <row r="11554">
          <cell r="W11554" t="str">
            <v>QSCOR03</v>
          </cell>
          <cell r="AD11554">
            <v>51700</v>
          </cell>
        </row>
        <row r="11555">
          <cell r="W11555" t="str">
            <v>QSCOR03</v>
          </cell>
          <cell r="AD11555">
            <v>51750</v>
          </cell>
        </row>
        <row r="11556">
          <cell r="W11556" t="str">
            <v>QSCOR03</v>
          </cell>
          <cell r="AD11556">
            <v>51750</v>
          </cell>
        </row>
        <row r="11557">
          <cell r="W11557" t="str">
            <v>QSCOR03</v>
          </cell>
          <cell r="AD11557">
            <v>51750</v>
          </cell>
        </row>
        <row r="11558">
          <cell r="W11558" t="str">
            <v>QSCOR03</v>
          </cell>
          <cell r="AD11558">
            <v>51750</v>
          </cell>
        </row>
        <row r="11559">
          <cell r="W11559" t="str">
            <v>QSCOR03</v>
          </cell>
          <cell r="AD11559">
            <v>52000</v>
          </cell>
        </row>
        <row r="11560">
          <cell r="W11560" t="str">
            <v>QSCOR03</v>
          </cell>
          <cell r="AD11560">
            <v>52500</v>
          </cell>
        </row>
        <row r="11561">
          <cell r="W11561" t="str">
            <v>QSELA03</v>
          </cell>
          <cell r="AD11561">
            <v>15000</v>
          </cell>
        </row>
        <row r="11562">
          <cell r="W11562" t="str">
            <v>QSELA03</v>
          </cell>
          <cell r="AD11562">
            <v>15000</v>
          </cell>
        </row>
        <row r="11563">
          <cell r="W11563" t="str">
            <v>QSELA03</v>
          </cell>
          <cell r="AD11563">
            <v>15000</v>
          </cell>
        </row>
        <row r="11564">
          <cell r="W11564" t="str">
            <v>QSELA03</v>
          </cell>
          <cell r="AD11564">
            <v>17500</v>
          </cell>
        </row>
        <row r="11565">
          <cell r="W11565" t="str">
            <v>QSEVI02</v>
          </cell>
          <cell r="AD11565">
            <v>27000</v>
          </cell>
        </row>
        <row r="11566">
          <cell r="W11566" t="str">
            <v>QSEVI02</v>
          </cell>
          <cell r="AD11566">
            <v>27000</v>
          </cell>
        </row>
        <row r="11567">
          <cell r="W11567" t="str">
            <v>QSEVI02</v>
          </cell>
          <cell r="AD11567">
            <v>27000</v>
          </cell>
        </row>
        <row r="11568">
          <cell r="W11568" t="str">
            <v>QSEVI02</v>
          </cell>
          <cell r="AD11568">
            <v>27000</v>
          </cell>
        </row>
        <row r="11569">
          <cell r="W11569" t="str">
            <v>QSEVI02</v>
          </cell>
          <cell r="AD11569">
            <v>27000</v>
          </cell>
        </row>
        <row r="11570">
          <cell r="W11570" t="str">
            <v>QSEVI02</v>
          </cell>
          <cell r="AD11570">
            <v>27000</v>
          </cell>
        </row>
        <row r="11571">
          <cell r="W11571" t="str">
            <v>QSEVI02</v>
          </cell>
          <cell r="AD11571">
            <v>27000</v>
          </cell>
        </row>
        <row r="11572">
          <cell r="W11572" t="str">
            <v>QSEVI02</v>
          </cell>
          <cell r="AD11572">
            <v>27000</v>
          </cell>
        </row>
        <row r="11573">
          <cell r="W11573" t="str">
            <v>QSEVI02</v>
          </cell>
          <cell r="AD11573">
            <v>27000</v>
          </cell>
        </row>
        <row r="11574">
          <cell r="W11574" t="str">
            <v>QSEVI02</v>
          </cell>
          <cell r="AD11574">
            <v>27000</v>
          </cell>
        </row>
        <row r="11575">
          <cell r="W11575" t="str">
            <v>QSEVI02</v>
          </cell>
          <cell r="AD11575">
            <v>27000</v>
          </cell>
        </row>
        <row r="11576">
          <cell r="W11576" t="str">
            <v>QSEVI02</v>
          </cell>
          <cell r="AD11576">
            <v>27000</v>
          </cell>
        </row>
        <row r="11577">
          <cell r="W11577" t="str">
            <v>QSEVI02</v>
          </cell>
          <cell r="AD11577">
            <v>27000</v>
          </cell>
        </row>
        <row r="11578">
          <cell r="W11578" t="str">
            <v>QSEVI02</v>
          </cell>
          <cell r="AD11578">
            <v>27000</v>
          </cell>
        </row>
        <row r="11579">
          <cell r="W11579" t="str">
            <v>QSEVI02</v>
          </cell>
          <cell r="AD11579">
            <v>27000</v>
          </cell>
        </row>
        <row r="11580">
          <cell r="W11580" t="str">
            <v>QSEVI02</v>
          </cell>
          <cell r="AD11580">
            <v>27000</v>
          </cell>
        </row>
        <row r="11581">
          <cell r="W11581" t="str">
            <v>QSEVI02</v>
          </cell>
          <cell r="AD11581">
            <v>27000</v>
          </cell>
        </row>
        <row r="11582">
          <cell r="W11582" t="str">
            <v>QSEVI02</v>
          </cell>
          <cell r="AD11582">
            <v>27000</v>
          </cell>
        </row>
        <row r="11583">
          <cell r="W11583" t="str">
            <v>QSEVI02</v>
          </cell>
          <cell r="AD11583">
            <v>27000</v>
          </cell>
        </row>
        <row r="11584">
          <cell r="W11584" t="str">
            <v>QSEVI02</v>
          </cell>
          <cell r="AD11584">
            <v>27000</v>
          </cell>
        </row>
        <row r="11585">
          <cell r="W11585" t="str">
            <v>QSEVI02</v>
          </cell>
          <cell r="AD11585">
            <v>27000</v>
          </cell>
        </row>
        <row r="11586">
          <cell r="W11586" t="str">
            <v>QSEVI02</v>
          </cell>
          <cell r="AD11586">
            <v>27000</v>
          </cell>
        </row>
        <row r="11587">
          <cell r="W11587" t="str">
            <v>QSEVI02</v>
          </cell>
          <cell r="AD11587">
            <v>27000</v>
          </cell>
        </row>
        <row r="11588">
          <cell r="W11588" t="str">
            <v>QSEVI02</v>
          </cell>
          <cell r="AD11588">
            <v>27000</v>
          </cell>
        </row>
        <row r="11589">
          <cell r="W11589" t="str">
            <v>QSEVI02</v>
          </cell>
          <cell r="AD11589">
            <v>27000</v>
          </cell>
        </row>
        <row r="11590">
          <cell r="W11590" t="str">
            <v>QSEVI02</v>
          </cell>
          <cell r="AD11590">
            <v>28000</v>
          </cell>
        </row>
        <row r="11591">
          <cell r="W11591" t="str">
            <v>QSEVI02</v>
          </cell>
          <cell r="AD11591">
            <v>28000</v>
          </cell>
        </row>
        <row r="11592">
          <cell r="W11592" t="str">
            <v>QSG0101</v>
          </cell>
          <cell r="AD11592">
            <v>34500</v>
          </cell>
        </row>
        <row r="11593">
          <cell r="W11593" t="str">
            <v>QSG0502</v>
          </cell>
          <cell r="AD11593">
            <v>10000</v>
          </cell>
        </row>
        <row r="11594">
          <cell r="W11594" t="str">
            <v>QSG0501</v>
          </cell>
          <cell r="AD11594">
            <v>33500</v>
          </cell>
        </row>
        <row r="11595">
          <cell r="W11595" t="str">
            <v>QSG0501</v>
          </cell>
          <cell r="AD11595">
            <v>34500</v>
          </cell>
        </row>
        <row r="11596">
          <cell r="W11596" t="str">
            <v>QSG0501</v>
          </cell>
          <cell r="AD11596">
            <v>34500</v>
          </cell>
        </row>
        <row r="11597">
          <cell r="W11597" t="str">
            <v>QSIKL02</v>
          </cell>
          <cell r="AD11597">
            <v>32500</v>
          </cell>
        </row>
        <row r="11598">
          <cell r="W11598" t="str">
            <v>QSIKL02</v>
          </cell>
          <cell r="AD11598">
            <v>32750</v>
          </cell>
        </row>
        <row r="11599">
          <cell r="W11599" t="str">
            <v>QSIKL02</v>
          </cell>
          <cell r="AD11599">
            <v>34000</v>
          </cell>
        </row>
        <row r="11600">
          <cell r="W11600" t="str">
            <v>QSIKL02</v>
          </cell>
          <cell r="AD11600">
            <v>34500</v>
          </cell>
        </row>
        <row r="11601">
          <cell r="W11601" t="str">
            <v>QSIKL02</v>
          </cell>
          <cell r="AD11601">
            <v>34500</v>
          </cell>
        </row>
        <row r="11602">
          <cell r="W11602" t="str">
            <v>QSIKL02</v>
          </cell>
          <cell r="AD11602">
            <v>34500</v>
          </cell>
        </row>
        <row r="11603">
          <cell r="W11603" t="str">
            <v>QSIKL02</v>
          </cell>
          <cell r="AD11603">
            <v>35000</v>
          </cell>
        </row>
        <row r="11604">
          <cell r="W11604" t="str">
            <v>QSIKL02</v>
          </cell>
          <cell r="AD11604">
            <v>35000</v>
          </cell>
        </row>
        <row r="11605">
          <cell r="W11605" t="str">
            <v>QSIKL02</v>
          </cell>
          <cell r="AD11605">
            <v>35000</v>
          </cell>
        </row>
        <row r="11606">
          <cell r="W11606" t="str">
            <v>QSIKL02</v>
          </cell>
          <cell r="AD11606">
            <v>35000</v>
          </cell>
        </row>
        <row r="11607">
          <cell r="W11607" t="str">
            <v>QSIKL02</v>
          </cell>
          <cell r="AD11607">
            <v>37000</v>
          </cell>
        </row>
        <row r="11608">
          <cell r="W11608" t="str">
            <v>QSIKL02</v>
          </cell>
          <cell r="AD11608">
            <v>37000</v>
          </cell>
        </row>
        <row r="11609">
          <cell r="W11609" t="str">
            <v>QSIKL02</v>
          </cell>
          <cell r="AD11609">
            <v>37000</v>
          </cell>
        </row>
        <row r="11610">
          <cell r="W11610" t="str">
            <v>QSIKL02</v>
          </cell>
          <cell r="AD11610">
            <v>37000</v>
          </cell>
        </row>
        <row r="11611">
          <cell r="W11611" t="str">
            <v>QSIKL02</v>
          </cell>
          <cell r="AD11611">
            <v>37000</v>
          </cell>
        </row>
        <row r="11612">
          <cell r="W11612" t="str">
            <v>QSIKL02</v>
          </cell>
          <cell r="AD11612">
            <v>37000</v>
          </cell>
        </row>
        <row r="11613">
          <cell r="W11613" t="str">
            <v>QSIKL02</v>
          </cell>
          <cell r="AD11613">
            <v>37000</v>
          </cell>
        </row>
        <row r="11614">
          <cell r="W11614" t="str">
            <v>QSIKL02</v>
          </cell>
          <cell r="AD11614">
            <v>38000</v>
          </cell>
        </row>
        <row r="11615">
          <cell r="W11615" t="str">
            <v>QSIKL02</v>
          </cell>
          <cell r="AD11615">
            <v>38000</v>
          </cell>
        </row>
        <row r="11616">
          <cell r="W11616" t="str">
            <v>QSIKL02</v>
          </cell>
          <cell r="AD11616">
            <v>38000</v>
          </cell>
        </row>
        <row r="11617">
          <cell r="W11617" t="str">
            <v>QSIKL02</v>
          </cell>
          <cell r="AD11617">
            <v>38500</v>
          </cell>
        </row>
        <row r="11618">
          <cell r="W11618" t="str">
            <v>QSIKL02</v>
          </cell>
          <cell r="AD11618">
            <v>38500</v>
          </cell>
        </row>
        <row r="11619">
          <cell r="W11619" t="str">
            <v>QSIKL02</v>
          </cell>
          <cell r="AD11619">
            <v>38500</v>
          </cell>
        </row>
        <row r="11620">
          <cell r="W11620" t="str">
            <v>QSIKL02</v>
          </cell>
          <cell r="AD11620">
            <v>38500</v>
          </cell>
        </row>
        <row r="11621">
          <cell r="W11621" t="str">
            <v>QSIKL02</v>
          </cell>
          <cell r="AD11621">
            <v>38500</v>
          </cell>
        </row>
        <row r="11622">
          <cell r="W11622" t="str">
            <v>QSIKL02</v>
          </cell>
          <cell r="AD11622">
            <v>38500</v>
          </cell>
        </row>
        <row r="11623">
          <cell r="W11623" t="str">
            <v>QSIKL02</v>
          </cell>
          <cell r="AD11623">
            <v>38500</v>
          </cell>
        </row>
        <row r="11624">
          <cell r="W11624" t="str">
            <v>QSIKL02</v>
          </cell>
          <cell r="AD11624">
            <v>38500</v>
          </cell>
        </row>
        <row r="11625">
          <cell r="W11625" t="str">
            <v>QSIKL02</v>
          </cell>
          <cell r="AD11625">
            <v>38500</v>
          </cell>
        </row>
        <row r="11626">
          <cell r="W11626" t="str">
            <v>QSIKL02</v>
          </cell>
          <cell r="AD11626">
            <v>38500</v>
          </cell>
        </row>
        <row r="11627">
          <cell r="W11627" t="str">
            <v>QSIKL02</v>
          </cell>
          <cell r="AD11627">
            <v>38500</v>
          </cell>
        </row>
        <row r="11628">
          <cell r="W11628" t="str">
            <v>QSIKL02</v>
          </cell>
          <cell r="AD11628">
            <v>38500</v>
          </cell>
        </row>
        <row r="11629">
          <cell r="W11629" t="str">
            <v>QSIKL02</v>
          </cell>
          <cell r="AD11629">
            <v>38500</v>
          </cell>
        </row>
        <row r="11630">
          <cell r="W11630" t="str">
            <v>QSIKL02</v>
          </cell>
          <cell r="AD11630">
            <v>38500</v>
          </cell>
        </row>
        <row r="11631">
          <cell r="W11631" t="str">
            <v>QSIKL02</v>
          </cell>
          <cell r="AD11631">
            <v>38500</v>
          </cell>
        </row>
        <row r="11632">
          <cell r="W11632" t="str">
            <v>QSIKL02</v>
          </cell>
          <cell r="AD11632">
            <v>38500</v>
          </cell>
        </row>
        <row r="11633">
          <cell r="W11633" t="str">
            <v>QSIKL02</v>
          </cell>
          <cell r="AD11633">
            <v>38500</v>
          </cell>
        </row>
        <row r="11634">
          <cell r="W11634" t="str">
            <v>QSIKL02</v>
          </cell>
          <cell r="AD11634">
            <v>38500</v>
          </cell>
        </row>
        <row r="11635">
          <cell r="W11635" t="str">
            <v>QSIKL02</v>
          </cell>
          <cell r="AD11635">
            <v>38500</v>
          </cell>
        </row>
        <row r="11636">
          <cell r="W11636" t="str">
            <v>QSIKL02</v>
          </cell>
          <cell r="AD11636">
            <v>38500</v>
          </cell>
        </row>
        <row r="11637">
          <cell r="W11637" t="str">
            <v>QSIKL02</v>
          </cell>
          <cell r="AD11637">
            <v>38500</v>
          </cell>
        </row>
        <row r="11638">
          <cell r="W11638" t="str">
            <v>QSIKL02</v>
          </cell>
          <cell r="AD11638">
            <v>38500</v>
          </cell>
        </row>
        <row r="11639">
          <cell r="W11639" t="str">
            <v>QSIKL02</v>
          </cell>
          <cell r="AD11639">
            <v>38500</v>
          </cell>
        </row>
        <row r="11640">
          <cell r="W11640" t="str">
            <v>QSIKL02</v>
          </cell>
          <cell r="AD11640">
            <v>38500</v>
          </cell>
        </row>
        <row r="11641">
          <cell r="W11641" t="str">
            <v>QSIKL02</v>
          </cell>
          <cell r="AD11641">
            <v>38500</v>
          </cell>
        </row>
        <row r="11642">
          <cell r="W11642" t="str">
            <v>QSIKL02</v>
          </cell>
          <cell r="AD11642">
            <v>38500</v>
          </cell>
        </row>
        <row r="11643">
          <cell r="W11643" t="str">
            <v>QSIKL02</v>
          </cell>
          <cell r="AD11643">
            <v>38500</v>
          </cell>
        </row>
        <row r="11644">
          <cell r="W11644" t="str">
            <v>QSIKL02</v>
          </cell>
          <cell r="AD11644">
            <v>38500</v>
          </cell>
        </row>
        <row r="11645">
          <cell r="W11645" t="str">
            <v>QSIKL02</v>
          </cell>
          <cell r="AD11645">
            <v>38500</v>
          </cell>
        </row>
        <row r="11646">
          <cell r="W11646" t="str">
            <v>QSIKL02</v>
          </cell>
          <cell r="AD11646">
            <v>38500</v>
          </cell>
        </row>
        <row r="11647">
          <cell r="W11647" t="str">
            <v>QSIKL02</v>
          </cell>
          <cell r="AD11647">
            <v>38500</v>
          </cell>
        </row>
        <row r="11648">
          <cell r="W11648" t="str">
            <v>QSIKL02</v>
          </cell>
          <cell r="AD11648">
            <v>38500</v>
          </cell>
        </row>
        <row r="11649">
          <cell r="W11649" t="str">
            <v>QSIKL02</v>
          </cell>
          <cell r="AD11649">
            <v>38500</v>
          </cell>
        </row>
        <row r="11650">
          <cell r="W11650" t="str">
            <v>QSIKL02</v>
          </cell>
          <cell r="AD11650">
            <v>38500</v>
          </cell>
        </row>
        <row r="11651">
          <cell r="W11651" t="str">
            <v>QSIKL02</v>
          </cell>
          <cell r="AD11651">
            <v>38500</v>
          </cell>
        </row>
        <row r="11652">
          <cell r="W11652" t="str">
            <v>QSIKL02</v>
          </cell>
          <cell r="AD11652">
            <v>38500</v>
          </cell>
        </row>
        <row r="11653">
          <cell r="W11653" t="str">
            <v>QSIKL02</v>
          </cell>
          <cell r="AD11653">
            <v>38500</v>
          </cell>
        </row>
        <row r="11654">
          <cell r="W11654" t="str">
            <v>QSIKL02</v>
          </cell>
          <cell r="AD11654">
            <v>38500</v>
          </cell>
        </row>
        <row r="11655">
          <cell r="W11655" t="str">
            <v>QSIKL02</v>
          </cell>
          <cell r="AD11655">
            <v>38500</v>
          </cell>
        </row>
        <row r="11656">
          <cell r="W11656" t="str">
            <v>QSIKL02</v>
          </cell>
          <cell r="AD11656">
            <v>38500</v>
          </cell>
        </row>
        <row r="11657">
          <cell r="W11657" t="str">
            <v>QSIKL02</v>
          </cell>
          <cell r="AD11657">
            <v>38500</v>
          </cell>
        </row>
        <row r="11658">
          <cell r="W11658" t="str">
            <v>QSIKL02</v>
          </cell>
          <cell r="AD11658">
            <v>38500</v>
          </cell>
        </row>
        <row r="11659">
          <cell r="W11659" t="str">
            <v>QSIKL02</v>
          </cell>
          <cell r="AD11659">
            <v>38500</v>
          </cell>
        </row>
        <row r="11660">
          <cell r="W11660" t="str">
            <v>QSIKL02</v>
          </cell>
          <cell r="AD11660">
            <v>38500</v>
          </cell>
        </row>
        <row r="11661">
          <cell r="W11661" t="str">
            <v>ASIKL01</v>
          </cell>
          <cell r="AD11661">
            <v>38500</v>
          </cell>
        </row>
        <row r="11662">
          <cell r="W11662" t="str">
            <v>ASIKL01</v>
          </cell>
          <cell r="AD11662">
            <v>38500</v>
          </cell>
        </row>
        <row r="11663">
          <cell r="W11663" t="str">
            <v>QSIKL02</v>
          </cell>
          <cell r="AD11663">
            <v>38500</v>
          </cell>
        </row>
        <row r="11664">
          <cell r="W11664" t="str">
            <v>QSIKL02</v>
          </cell>
          <cell r="AD11664">
            <v>38500</v>
          </cell>
        </row>
        <row r="11665">
          <cell r="W11665" t="str">
            <v>QSIKL02</v>
          </cell>
          <cell r="AD11665">
            <v>38500</v>
          </cell>
        </row>
        <row r="11666">
          <cell r="W11666" t="str">
            <v>QSIKL02</v>
          </cell>
          <cell r="AD11666">
            <v>38500</v>
          </cell>
        </row>
        <row r="11667">
          <cell r="W11667" t="str">
            <v>QSIKL02</v>
          </cell>
          <cell r="AD11667">
            <v>38500</v>
          </cell>
        </row>
        <row r="11668">
          <cell r="W11668" t="str">
            <v>QSIKL02</v>
          </cell>
          <cell r="AD11668">
            <v>38500</v>
          </cell>
        </row>
        <row r="11669">
          <cell r="W11669" t="str">
            <v>QSIKL02</v>
          </cell>
          <cell r="AD11669">
            <v>38500</v>
          </cell>
        </row>
        <row r="11670">
          <cell r="W11670" t="str">
            <v>QSIKL02</v>
          </cell>
          <cell r="AD11670">
            <v>38500</v>
          </cell>
        </row>
        <row r="11671">
          <cell r="W11671" t="str">
            <v>QSIKL02</v>
          </cell>
          <cell r="AD11671">
            <v>38500</v>
          </cell>
        </row>
        <row r="11672">
          <cell r="W11672" t="str">
            <v>QSIKL02</v>
          </cell>
          <cell r="AD11672">
            <v>38500</v>
          </cell>
        </row>
        <row r="11673">
          <cell r="W11673" t="str">
            <v>QSIKL02</v>
          </cell>
          <cell r="AD11673">
            <v>38500</v>
          </cell>
        </row>
        <row r="11674">
          <cell r="W11674" t="str">
            <v>QSIKL02</v>
          </cell>
          <cell r="AD11674">
            <v>38500</v>
          </cell>
        </row>
        <row r="11675">
          <cell r="W11675" t="str">
            <v>QSIKL02</v>
          </cell>
          <cell r="AD11675">
            <v>38500</v>
          </cell>
        </row>
        <row r="11676">
          <cell r="W11676" t="str">
            <v>ASIKL01</v>
          </cell>
          <cell r="AD11676">
            <v>38500</v>
          </cell>
        </row>
        <row r="11677">
          <cell r="W11677" t="str">
            <v>QSIKL02</v>
          </cell>
          <cell r="AD11677">
            <v>38500</v>
          </cell>
        </row>
        <row r="11678">
          <cell r="W11678" t="str">
            <v>QSIKL02</v>
          </cell>
          <cell r="AD11678">
            <v>38500</v>
          </cell>
        </row>
        <row r="11679">
          <cell r="W11679" t="str">
            <v>QSIKL02</v>
          </cell>
          <cell r="AD11679">
            <v>38500</v>
          </cell>
        </row>
        <row r="11680">
          <cell r="W11680" t="str">
            <v>QSIKL02</v>
          </cell>
          <cell r="AD11680">
            <v>38500</v>
          </cell>
        </row>
        <row r="11681">
          <cell r="W11681" t="str">
            <v>QSIKL02</v>
          </cell>
          <cell r="AD11681">
            <v>38500</v>
          </cell>
        </row>
        <row r="11682">
          <cell r="W11682" t="str">
            <v>QSIKL02</v>
          </cell>
          <cell r="AD11682">
            <v>38500</v>
          </cell>
        </row>
        <row r="11683">
          <cell r="W11683" t="str">
            <v>QSIKL02</v>
          </cell>
          <cell r="AD11683">
            <v>38500</v>
          </cell>
        </row>
        <row r="11684">
          <cell r="W11684" t="str">
            <v>QSIKL02</v>
          </cell>
          <cell r="AD11684">
            <v>38500</v>
          </cell>
        </row>
        <row r="11685">
          <cell r="W11685" t="str">
            <v>QSIKL02</v>
          </cell>
          <cell r="AD11685">
            <v>38500</v>
          </cell>
        </row>
        <row r="11686">
          <cell r="W11686" t="str">
            <v>QSIKL02</v>
          </cell>
          <cell r="AD11686">
            <v>38750</v>
          </cell>
        </row>
        <row r="11687">
          <cell r="W11687" t="str">
            <v>QSIKL02</v>
          </cell>
          <cell r="AD11687">
            <v>39000</v>
          </cell>
        </row>
        <row r="11688">
          <cell r="W11688" t="str">
            <v>QSIKL02</v>
          </cell>
          <cell r="AD11688">
            <v>39000</v>
          </cell>
        </row>
        <row r="11689">
          <cell r="W11689" t="str">
            <v>QSIKL02</v>
          </cell>
          <cell r="AD11689">
            <v>39000</v>
          </cell>
        </row>
        <row r="11690">
          <cell r="W11690" t="str">
            <v>QSIKL02</v>
          </cell>
          <cell r="AD11690">
            <v>39000</v>
          </cell>
        </row>
        <row r="11691">
          <cell r="W11691" t="str">
            <v>QSIKL02</v>
          </cell>
          <cell r="AD11691">
            <v>39000</v>
          </cell>
        </row>
        <row r="11692">
          <cell r="W11692" t="str">
            <v>QSIKL02</v>
          </cell>
          <cell r="AD11692">
            <v>39000</v>
          </cell>
        </row>
        <row r="11693">
          <cell r="W11693" t="str">
            <v>QSIKL02</v>
          </cell>
          <cell r="AD11693">
            <v>39500</v>
          </cell>
        </row>
        <row r="11694">
          <cell r="W11694" t="str">
            <v>QSIKL02</v>
          </cell>
          <cell r="AD11694">
            <v>39500</v>
          </cell>
        </row>
        <row r="11695">
          <cell r="W11695" t="str">
            <v>QSIKL02</v>
          </cell>
          <cell r="AD11695">
            <v>39500</v>
          </cell>
        </row>
        <row r="11696">
          <cell r="W11696" t="str">
            <v>QSIKL02</v>
          </cell>
          <cell r="AD11696">
            <v>40000</v>
          </cell>
        </row>
        <row r="11697">
          <cell r="W11697" t="str">
            <v>QSIMX01</v>
          </cell>
          <cell r="AD11697">
            <v>36000</v>
          </cell>
        </row>
        <row r="11698">
          <cell r="W11698" t="str">
            <v>QSIMX01</v>
          </cell>
          <cell r="AD11698">
            <v>36000</v>
          </cell>
        </row>
        <row r="11699">
          <cell r="W11699" t="str">
            <v>QSIMX02</v>
          </cell>
          <cell r="AD11699">
            <v>150000</v>
          </cell>
        </row>
        <row r="11700">
          <cell r="W11700" t="str">
            <v>QSIMX02</v>
          </cell>
          <cell r="AD11700">
            <v>155000</v>
          </cell>
        </row>
        <row r="11701">
          <cell r="W11701" t="str">
            <v>QSINA05</v>
          </cell>
          <cell r="AD11701">
            <v>145000</v>
          </cell>
        </row>
        <row r="11702">
          <cell r="W11702" t="str">
            <v>QSINE02</v>
          </cell>
          <cell r="AD11702">
            <v>127000</v>
          </cell>
        </row>
        <row r="11703">
          <cell r="W11703" t="str">
            <v>QSINE02</v>
          </cell>
          <cell r="AD11703">
            <v>127000</v>
          </cell>
        </row>
        <row r="11704">
          <cell r="W11704" t="str">
            <v>QSINE02</v>
          </cell>
          <cell r="AD11704">
            <v>127000</v>
          </cell>
        </row>
        <row r="11705">
          <cell r="W11705" t="str">
            <v>QSINE02</v>
          </cell>
          <cell r="AD11705">
            <v>130000</v>
          </cell>
        </row>
        <row r="11706">
          <cell r="W11706" t="str">
            <v>QSINE02</v>
          </cell>
          <cell r="AD11706">
            <v>130000</v>
          </cell>
        </row>
        <row r="11707">
          <cell r="W11707" t="str">
            <v>QSINE02</v>
          </cell>
          <cell r="AD11707">
            <v>130000</v>
          </cell>
        </row>
        <row r="11708">
          <cell r="W11708" t="str">
            <v>QSINE02</v>
          </cell>
          <cell r="AD11708">
            <v>130000</v>
          </cell>
        </row>
        <row r="11709">
          <cell r="W11709" t="str">
            <v>QSINE02</v>
          </cell>
          <cell r="AD11709">
            <v>130000</v>
          </cell>
        </row>
        <row r="11710">
          <cell r="W11710" t="str">
            <v>QSINE02</v>
          </cell>
          <cell r="AD11710">
            <v>130000</v>
          </cell>
        </row>
        <row r="11711">
          <cell r="W11711" t="str">
            <v>QSINE02</v>
          </cell>
          <cell r="AD11711">
            <v>130000</v>
          </cell>
        </row>
        <row r="11712">
          <cell r="W11712" t="str">
            <v>QSINE02</v>
          </cell>
          <cell r="AD11712">
            <v>130000</v>
          </cell>
        </row>
        <row r="11713">
          <cell r="W11713" t="str">
            <v>QSINE02</v>
          </cell>
          <cell r="AD11713">
            <v>130000</v>
          </cell>
        </row>
        <row r="11714">
          <cell r="W11714" t="str">
            <v>QSINE01</v>
          </cell>
          <cell r="AD11714">
            <v>42000</v>
          </cell>
        </row>
        <row r="11715">
          <cell r="W11715" t="str">
            <v>QSINE01</v>
          </cell>
          <cell r="AD11715">
            <v>42000</v>
          </cell>
        </row>
        <row r="11716">
          <cell r="W11716" t="str">
            <v>QSINE01</v>
          </cell>
          <cell r="AD11716">
            <v>42000</v>
          </cell>
        </row>
        <row r="11717">
          <cell r="W11717" t="str">
            <v>QSINE01</v>
          </cell>
          <cell r="AD11717">
            <v>43000</v>
          </cell>
        </row>
        <row r="11718">
          <cell r="W11718" t="str">
            <v>QSINE01</v>
          </cell>
          <cell r="AD11718">
            <v>43000</v>
          </cell>
        </row>
        <row r="11719">
          <cell r="W11719" t="str">
            <v>QSINE01</v>
          </cell>
          <cell r="AD11719">
            <v>43000</v>
          </cell>
        </row>
        <row r="11720">
          <cell r="W11720" t="str">
            <v>QSINE01</v>
          </cell>
          <cell r="AD11720">
            <v>43000</v>
          </cell>
        </row>
        <row r="11721">
          <cell r="W11721" t="str">
            <v>QSINE01</v>
          </cell>
          <cell r="AD11721">
            <v>43000</v>
          </cell>
        </row>
        <row r="11722">
          <cell r="W11722" t="str">
            <v>QSINO03</v>
          </cell>
          <cell r="AD11722">
            <v>37000</v>
          </cell>
        </row>
        <row r="11723">
          <cell r="W11723" t="str">
            <v>QSINO01</v>
          </cell>
          <cell r="AD11723">
            <v>108000</v>
          </cell>
        </row>
        <row r="11724">
          <cell r="W11724" t="str">
            <v>QSKIE02</v>
          </cell>
          <cell r="AD11724">
            <v>650000</v>
          </cell>
        </row>
        <row r="11725">
          <cell r="W11725" t="str">
            <v>QSKIE01</v>
          </cell>
          <cell r="AD11725">
            <v>150000</v>
          </cell>
        </row>
        <row r="11726">
          <cell r="W11726" t="str">
            <v>QSKIE01</v>
          </cell>
          <cell r="AD11726">
            <v>175000</v>
          </cell>
        </row>
        <row r="11727">
          <cell r="W11727" t="str">
            <v>QSKIE01</v>
          </cell>
          <cell r="AD11727">
            <v>175000</v>
          </cell>
        </row>
        <row r="11728">
          <cell r="W11728" t="str">
            <v>QSKIE01</v>
          </cell>
          <cell r="AD11728">
            <v>175000</v>
          </cell>
        </row>
        <row r="11729">
          <cell r="W11729" t="str">
            <v>QSKIE01</v>
          </cell>
          <cell r="AD11729">
            <v>175000</v>
          </cell>
        </row>
        <row r="11730">
          <cell r="W11730" t="str">
            <v>QSKIE01</v>
          </cell>
          <cell r="AD11730">
            <v>175000</v>
          </cell>
        </row>
        <row r="11731">
          <cell r="W11731" t="str">
            <v>QSKIE01</v>
          </cell>
          <cell r="AD11731">
            <v>175000</v>
          </cell>
        </row>
        <row r="11732">
          <cell r="W11732" t="str">
            <v>QSKIE01</v>
          </cell>
          <cell r="AD11732">
            <v>175000</v>
          </cell>
        </row>
        <row r="11733">
          <cell r="W11733" t="str">
            <v>QSKIE01</v>
          </cell>
          <cell r="AD11733">
            <v>175000</v>
          </cell>
        </row>
        <row r="11734">
          <cell r="W11734" t="str">
            <v>QSKIE01</v>
          </cell>
          <cell r="AD11734">
            <v>175000</v>
          </cell>
        </row>
        <row r="11735">
          <cell r="W11735" t="str">
            <v>QSKIE01</v>
          </cell>
          <cell r="AD11735">
            <v>175000</v>
          </cell>
        </row>
        <row r="11736">
          <cell r="W11736" t="str">
            <v>QSKIE01</v>
          </cell>
          <cell r="AD11736">
            <v>175000</v>
          </cell>
        </row>
        <row r="11737">
          <cell r="W11737" t="str">
            <v>QSKIE01</v>
          </cell>
          <cell r="AD11737">
            <v>175000</v>
          </cell>
        </row>
        <row r="11738">
          <cell r="W11738" t="str">
            <v>QSKIE01</v>
          </cell>
          <cell r="AD11738">
            <v>175000</v>
          </cell>
        </row>
        <row r="11739">
          <cell r="W11739" t="str">
            <v>QSKIE01</v>
          </cell>
          <cell r="AD11739">
            <v>175000</v>
          </cell>
        </row>
        <row r="11740">
          <cell r="W11740" t="str">
            <v>QSKIE01</v>
          </cell>
          <cell r="AD11740">
            <v>175000</v>
          </cell>
        </row>
        <row r="11741">
          <cell r="W11741" t="str">
            <v>QSKIE01</v>
          </cell>
          <cell r="AD11741">
            <v>175000</v>
          </cell>
        </row>
        <row r="11742">
          <cell r="W11742" t="str">
            <v>QSKIE01</v>
          </cell>
          <cell r="AD11742">
            <v>175000</v>
          </cell>
        </row>
        <row r="11743">
          <cell r="W11743" t="str">
            <v>QSKIE01</v>
          </cell>
          <cell r="AD11743">
            <v>175000</v>
          </cell>
        </row>
        <row r="11744">
          <cell r="W11744" t="str">
            <v>QSKIE01</v>
          </cell>
          <cell r="AD11744">
            <v>175000</v>
          </cell>
        </row>
        <row r="11745">
          <cell r="W11745" t="str">
            <v>QSKIE01</v>
          </cell>
          <cell r="AD11745">
            <v>175000</v>
          </cell>
        </row>
        <row r="11746">
          <cell r="W11746" t="str">
            <v>QSKIE01</v>
          </cell>
          <cell r="AD11746">
            <v>175000</v>
          </cell>
        </row>
        <row r="11747">
          <cell r="W11747" t="str">
            <v>QSKIE01</v>
          </cell>
          <cell r="AD11747">
            <v>175000</v>
          </cell>
        </row>
        <row r="11748">
          <cell r="W11748" t="str">
            <v>QSKIE01</v>
          </cell>
          <cell r="AD11748">
            <v>175000</v>
          </cell>
        </row>
        <row r="11749">
          <cell r="W11749" t="str">
            <v>QSMK26</v>
          </cell>
          <cell r="AD11749">
            <v>38000</v>
          </cell>
        </row>
        <row r="11750">
          <cell r="W11750" t="str">
            <v>QSMK07</v>
          </cell>
          <cell r="AD11750">
            <v>77000</v>
          </cell>
        </row>
        <row r="11751">
          <cell r="W11751" t="str">
            <v>QSMK07</v>
          </cell>
          <cell r="AD11751">
            <v>77000</v>
          </cell>
        </row>
        <row r="11752">
          <cell r="W11752" t="str">
            <v>QSMK07</v>
          </cell>
          <cell r="AD11752">
            <v>77000</v>
          </cell>
        </row>
        <row r="11753">
          <cell r="W11753" t="str">
            <v>QSMK07</v>
          </cell>
          <cell r="AD11753">
            <v>77000</v>
          </cell>
        </row>
        <row r="11754">
          <cell r="W11754" t="str">
            <v>QSMK07</v>
          </cell>
          <cell r="AD11754">
            <v>77000</v>
          </cell>
        </row>
        <row r="11755">
          <cell r="W11755" t="str">
            <v>QSMK07</v>
          </cell>
          <cell r="AD11755">
            <v>80000</v>
          </cell>
        </row>
        <row r="11756">
          <cell r="W11756" t="str">
            <v>QSNAI01</v>
          </cell>
          <cell r="AD11756">
            <v>66000</v>
          </cell>
        </row>
        <row r="11757">
          <cell r="W11757" t="str">
            <v>QSNAI01</v>
          </cell>
          <cell r="AD11757">
            <v>66000</v>
          </cell>
        </row>
        <row r="11758">
          <cell r="W11758" t="str">
            <v>QSNAI01</v>
          </cell>
          <cell r="AD11758">
            <v>66000</v>
          </cell>
        </row>
        <row r="11759">
          <cell r="W11759" t="str">
            <v>QSNAI01</v>
          </cell>
          <cell r="AD11759">
            <v>66000</v>
          </cell>
        </row>
        <row r="11760">
          <cell r="W11760" t="str">
            <v>QSNAI01</v>
          </cell>
          <cell r="AD11760">
            <v>66000</v>
          </cell>
        </row>
        <row r="11761">
          <cell r="W11761" t="str">
            <v>QSNAI01</v>
          </cell>
          <cell r="AD11761">
            <v>66000</v>
          </cell>
        </row>
        <row r="11762">
          <cell r="W11762" t="str">
            <v>QSNAI01</v>
          </cell>
          <cell r="AD11762">
            <v>66000</v>
          </cell>
        </row>
        <row r="11763">
          <cell r="W11763" t="str">
            <v>QSNAI01</v>
          </cell>
          <cell r="AD11763">
            <v>66500</v>
          </cell>
        </row>
        <row r="11764">
          <cell r="W11764" t="str">
            <v>QSNAI01</v>
          </cell>
          <cell r="AD11764">
            <v>66500</v>
          </cell>
        </row>
        <row r="11765">
          <cell r="W11765" t="str">
            <v>QSNAI01</v>
          </cell>
          <cell r="AD11765">
            <v>66500</v>
          </cell>
        </row>
        <row r="11766">
          <cell r="W11766" t="str">
            <v>QSNAI01</v>
          </cell>
          <cell r="AD11766">
            <v>66500</v>
          </cell>
        </row>
        <row r="11767">
          <cell r="W11767" t="str">
            <v>QSOFI01</v>
          </cell>
          <cell r="AD11767">
            <v>18500</v>
          </cell>
        </row>
        <row r="11768">
          <cell r="W11768" t="str">
            <v>ASORT02</v>
          </cell>
          <cell r="AD11768">
            <v>22500</v>
          </cell>
        </row>
        <row r="11769">
          <cell r="W11769" t="str">
            <v>QSORT05</v>
          </cell>
          <cell r="AD11769">
            <v>75000</v>
          </cell>
        </row>
        <row r="11770">
          <cell r="W11770" t="str">
            <v>QSORT05</v>
          </cell>
          <cell r="AD11770">
            <v>75000</v>
          </cell>
        </row>
        <row r="11771">
          <cell r="W11771" t="str">
            <v>QSORT05</v>
          </cell>
          <cell r="AD11771">
            <v>75000</v>
          </cell>
        </row>
        <row r="11772">
          <cell r="W11772" t="str">
            <v>QSORT05</v>
          </cell>
          <cell r="AD11772">
            <v>75000</v>
          </cell>
        </row>
        <row r="11773">
          <cell r="W11773" t="str">
            <v>QSPHI02</v>
          </cell>
          <cell r="AD11773">
            <v>55000</v>
          </cell>
        </row>
        <row r="11774">
          <cell r="W11774" t="str">
            <v>QSPHI02</v>
          </cell>
          <cell r="AD11774">
            <v>55000</v>
          </cell>
        </row>
        <row r="11775">
          <cell r="W11775" t="str">
            <v>ASPHI01</v>
          </cell>
          <cell r="AD11775">
            <v>55000</v>
          </cell>
        </row>
        <row r="11776">
          <cell r="W11776" t="str">
            <v>QSPHI02</v>
          </cell>
          <cell r="AD11776">
            <v>58000</v>
          </cell>
        </row>
        <row r="11777">
          <cell r="W11777" t="str">
            <v>QSPHI01</v>
          </cell>
          <cell r="AD11777">
            <v>55000</v>
          </cell>
        </row>
        <row r="11778">
          <cell r="W11778" t="str">
            <v>QSPHI01</v>
          </cell>
          <cell r="AD11778">
            <v>55000</v>
          </cell>
        </row>
        <row r="11779">
          <cell r="W11779" t="str">
            <v>QSPON03</v>
          </cell>
          <cell r="AD11779">
            <v>78000</v>
          </cell>
        </row>
        <row r="11780">
          <cell r="W11780" t="str">
            <v>QSPON03</v>
          </cell>
          <cell r="AD11780">
            <v>78000</v>
          </cell>
        </row>
        <row r="11781">
          <cell r="W11781" t="str">
            <v>QSPON03</v>
          </cell>
          <cell r="AD11781">
            <v>78000</v>
          </cell>
        </row>
        <row r="11782">
          <cell r="W11782" t="str">
            <v>QSPON03</v>
          </cell>
          <cell r="AD11782">
            <v>78000</v>
          </cell>
        </row>
        <row r="11783">
          <cell r="W11783" t="str">
            <v>QSPON03</v>
          </cell>
          <cell r="AD11783">
            <v>78000</v>
          </cell>
        </row>
        <row r="11784">
          <cell r="W11784" t="str">
            <v>QSPON03</v>
          </cell>
          <cell r="AD11784">
            <v>78000</v>
          </cell>
        </row>
        <row r="11785">
          <cell r="W11785" t="str">
            <v>QSPON03</v>
          </cell>
          <cell r="AD11785">
            <v>78000</v>
          </cell>
        </row>
        <row r="11786">
          <cell r="W11786" t="str">
            <v>QSPON03</v>
          </cell>
          <cell r="AD11786">
            <v>78500</v>
          </cell>
        </row>
        <row r="11787">
          <cell r="W11787" t="str">
            <v>QSPON03</v>
          </cell>
          <cell r="AD11787">
            <v>78500</v>
          </cell>
        </row>
        <row r="11788">
          <cell r="W11788" t="str">
            <v>QSPON03</v>
          </cell>
          <cell r="AD11788">
            <v>78500</v>
          </cell>
        </row>
        <row r="11789">
          <cell r="W11789" t="str">
            <v>QSPON03</v>
          </cell>
          <cell r="AD11789">
            <v>78500</v>
          </cell>
        </row>
        <row r="11790">
          <cell r="W11790" t="str">
            <v>QSPON03</v>
          </cell>
          <cell r="AD11790">
            <v>78500</v>
          </cell>
        </row>
        <row r="11791">
          <cell r="W11791" t="str">
            <v>QSPON03</v>
          </cell>
          <cell r="AD11791">
            <v>81000</v>
          </cell>
        </row>
        <row r="11792">
          <cell r="W11792" t="str">
            <v>QSPON03</v>
          </cell>
          <cell r="AD11792">
            <v>81000</v>
          </cell>
        </row>
        <row r="11793">
          <cell r="W11793" t="str">
            <v>QSPON03</v>
          </cell>
          <cell r="AD11793">
            <v>81000</v>
          </cell>
        </row>
        <row r="11794">
          <cell r="W11794" t="str">
            <v>QSPON03</v>
          </cell>
          <cell r="AD11794">
            <v>81000</v>
          </cell>
        </row>
        <row r="11795">
          <cell r="W11795" t="str">
            <v>QSPON03</v>
          </cell>
          <cell r="AD11795">
            <v>81000</v>
          </cell>
        </row>
        <row r="11796">
          <cell r="W11796" t="str">
            <v>QSPON03</v>
          </cell>
          <cell r="AD11796">
            <v>81000</v>
          </cell>
        </row>
        <row r="11797">
          <cell r="W11797" t="str">
            <v>QSPON03</v>
          </cell>
          <cell r="AD11797">
            <v>81000</v>
          </cell>
        </row>
        <row r="11798">
          <cell r="W11798" t="str">
            <v>QSPON03</v>
          </cell>
          <cell r="AD11798">
            <v>81000</v>
          </cell>
        </row>
        <row r="11799">
          <cell r="W11799" t="str">
            <v>QSPON03</v>
          </cell>
          <cell r="AD11799">
            <v>81000</v>
          </cell>
        </row>
        <row r="11800">
          <cell r="W11800" t="str">
            <v>QSPON03</v>
          </cell>
          <cell r="AD11800">
            <v>81000</v>
          </cell>
        </row>
        <row r="11801">
          <cell r="W11801" t="str">
            <v>QSPON03</v>
          </cell>
          <cell r="AD11801">
            <v>81000</v>
          </cell>
        </row>
        <row r="11802">
          <cell r="W11802" t="str">
            <v>QSPON03</v>
          </cell>
          <cell r="AD11802">
            <v>81000</v>
          </cell>
        </row>
        <row r="11803">
          <cell r="W11803" t="str">
            <v>QSPON03</v>
          </cell>
          <cell r="AD11803">
            <v>81000</v>
          </cell>
        </row>
        <row r="11804">
          <cell r="W11804" t="str">
            <v>QSPON03</v>
          </cell>
          <cell r="AD11804">
            <v>81000</v>
          </cell>
        </row>
        <row r="11805">
          <cell r="W11805" t="str">
            <v>QSPON03</v>
          </cell>
          <cell r="AD11805">
            <v>81000</v>
          </cell>
        </row>
        <row r="11806">
          <cell r="W11806" t="str">
            <v>QSPON03</v>
          </cell>
          <cell r="AD11806">
            <v>81000</v>
          </cell>
        </row>
        <row r="11807">
          <cell r="W11807" t="str">
            <v>QSPON03</v>
          </cell>
          <cell r="AD11807">
            <v>81000</v>
          </cell>
        </row>
        <row r="11808">
          <cell r="W11808" t="str">
            <v>QSPON03</v>
          </cell>
          <cell r="AD11808">
            <v>81000</v>
          </cell>
        </row>
        <row r="11809">
          <cell r="W11809" t="str">
            <v>QSPON03</v>
          </cell>
          <cell r="AD11809">
            <v>81000</v>
          </cell>
        </row>
        <row r="11810">
          <cell r="W11810" t="str">
            <v>QSPON03</v>
          </cell>
          <cell r="AD11810">
            <v>81000</v>
          </cell>
        </row>
        <row r="11811">
          <cell r="W11811" t="str">
            <v>QSPON03</v>
          </cell>
          <cell r="AD11811">
            <v>81000</v>
          </cell>
        </row>
        <row r="11812">
          <cell r="W11812" t="str">
            <v>QSPON03</v>
          </cell>
          <cell r="AD11812">
            <v>81000</v>
          </cell>
        </row>
        <row r="11813">
          <cell r="W11813" t="str">
            <v>QSPON03</v>
          </cell>
          <cell r="AD11813">
            <v>81000</v>
          </cell>
        </row>
        <row r="11814">
          <cell r="W11814" t="str">
            <v>QSPON03</v>
          </cell>
          <cell r="AD11814">
            <v>81000</v>
          </cell>
        </row>
        <row r="11815">
          <cell r="W11815" t="str">
            <v>QSPON03</v>
          </cell>
          <cell r="AD11815">
            <v>81000</v>
          </cell>
        </row>
        <row r="11816">
          <cell r="W11816" t="str">
            <v>QSPON03</v>
          </cell>
          <cell r="AD11816">
            <v>81000</v>
          </cell>
        </row>
        <row r="11817">
          <cell r="W11817" t="str">
            <v>QSPON03</v>
          </cell>
          <cell r="AD11817">
            <v>81000</v>
          </cell>
        </row>
        <row r="11818">
          <cell r="W11818" t="str">
            <v>QSPON03</v>
          </cell>
          <cell r="AD11818">
            <v>81000</v>
          </cell>
        </row>
        <row r="11819">
          <cell r="W11819" t="str">
            <v>QSPON03</v>
          </cell>
          <cell r="AD11819">
            <v>81000</v>
          </cell>
        </row>
        <row r="11820">
          <cell r="W11820" t="str">
            <v>QSPON03</v>
          </cell>
          <cell r="AD11820">
            <v>81000</v>
          </cell>
        </row>
        <row r="11821">
          <cell r="W11821" t="str">
            <v>QSPON03</v>
          </cell>
          <cell r="AD11821">
            <v>81000</v>
          </cell>
        </row>
        <row r="11822">
          <cell r="W11822" t="str">
            <v>QSPON03</v>
          </cell>
          <cell r="AD11822">
            <v>81000</v>
          </cell>
        </row>
        <row r="11823">
          <cell r="W11823" t="str">
            <v>QSPON03</v>
          </cell>
          <cell r="AD11823">
            <v>81000</v>
          </cell>
        </row>
        <row r="11824">
          <cell r="W11824" t="str">
            <v>QSPON03</v>
          </cell>
          <cell r="AD11824">
            <v>81000</v>
          </cell>
        </row>
        <row r="11825">
          <cell r="W11825" t="str">
            <v>QSPON03</v>
          </cell>
          <cell r="AD11825">
            <v>81000</v>
          </cell>
        </row>
        <row r="11826">
          <cell r="W11826" t="str">
            <v>QSPON03</v>
          </cell>
          <cell r="AD11826">
            <v>81000</v>
          </cell>
        </row>
        <row r="11827">
          <cell r="W11827" t="str">
            <v>QSPON03</v>
          </cell>
          <cell r="AD11827">
            <v>81000</v>
          </cell>
        </row>
        <row r="11828">
          <cell r="W11828" t="str">
            <v>QSPON03</v>
          </cell>
          <cell r="AD11828">
            <v>81000</v>
          </cell>
        </row>
        <row r="11829">
          <cell r="W11829" t="str">
            <v>QSPON03</v>
          </cell>
          <cell r="AD11829">
            <v>81000</v>
          </cell>
        </row>
        <row r="11830">
          <cell r="W11830" t="str">
            <v>QSPON03</v>
          </cell>
          <cell r="AD11830">
            <v>81000</v>
          </cell>
        </row>
        <row r="11831">
          <cell r="W11831" t="str">
            <v>QSPON03</v>
          </cell>
          <cell r="AD11831">
            <v>81000</v>
          </cell>
        </row>
        <row r="11832">
          <cell r="W11832" t="str">
            <v>QSPON03</v>
          </cell>
          <cell r="AD11832">
            <v>81000</v>
          </cell>
        </row>
        <row r="11833">
          <cell r="W11833" t="str">
            <v>QSPON03</v>
          </cell>
          <cell r="AD11833">
            <v>81000</v>
          </cell>
        </row>
        <row r="11834">
          <cell r="W11834" t="str">
            <v>QSPON03</v>
          </cell>
          <cell r="AD11834">
            <v>81000</v>
          </cell>
        </row>
        <row r="11835">
          <cell r="W11835" t="str">
            <v>QSPON03</v>
          </cell>
          <cell r="AD11835">
            <v>81000</v>
          </cell>
        </row>
        <row r="11836">
          <cell r="W11836" t="str">
            <v>QSPON03</v>
          </cell>
          <cell r="AD11836">
            <v>81000</v>
          </cell>
        </row>
        <row r="11837">
          <cell r="W11837" t="str">
            <v>QSPON03</v>
          </cell>
          <cell r="AD11837">
            <v>81000</v>
          </cell>
        </row>
        <row r="11838">
          <cell r="W11838" t="str">
            <v>QSPON03</v>
          </cell>
          <cell r="AD11838">
            <v>81000</v>
          </cell>
        </row>
        <row r="11839">
          <cell r="W11839" t="str">
            <v>QSPON03</v>
          </cell>
          <cell r="AD11839">
            <v>81000</v>
          </cell>
        </row>
        <row r="11840">
          <cell r="W11840" t="str">
            <v>QSPON03</v>
          </cell>
          <cell r="AD11840">
            <v>81000</v>
          </cell>
        </row>
        <row r="11841">
          <cell r="W11841" t="str">
            <v>QSPON01</v>
          </cell>
          <cell r="AD11841">
            <v>23500</v>
          </cell>
        </row>
        <row r="11842">
          <cell r="W11842" t="str">
            <v>QSPON01</v>
          </cell>
          <cell r="AD11842">
            <v>23500</v>
          </cell>
        </row>
        <row r="11843">
          <cell r="W11843" t="str">
            <v>QSPON01</v>
          </cell>
          <cell r="AD11843">
            <v>23500</v>
          </cell>
        </row>
        <row r="11844">
          <cell r="W11844" t="str">
            <v>QSPON01</v>
          </cell>
          <cell r="AD11844">
            <v>23500</v>
          </cell>
        </row>
        <row r="11845">
          <cell r="W11845" t="str">
            <v>QSPON01</v>
          </cell>
          <cell r="AD11845">
            <v>23500</v>
          </cell>
        </row>
        <row r="11846">
          <cell r="W11846" t="str">
            <v>QSPON01</v>
          </cell>
          <cell r="AD11846">
            <v>26000</v>
          </cell>
        </row>
        <row r="11847">
          <cell r="W11847" t="str">
            <v>QSPON01</v>
          </cell>
          <cell r="AD11847">
            <v>26500</v>
          </cell>
        </row>
        <row r="11848">
          <cell r="W11848" t="str">
            <v>QSPON01</v>
          </cell>
          <cell r="AD11848">
            <v>26500</v>
          </cell>
        </row>
        <row r="11849">
          <cell r="W11849" t="str">
            <v>QSPON01</v>
          </cell>
          <cell r="AD11849">
            <v>26500</v>
          </cell>
        </row>
        <row r="11850">
          <cell r="W11850" t="str">
            <v>QSPON01</v>
          </cell>
          <cell r="AD11850">
            <v>26500</v>
          </cell>
        </row>
        <row r="11851">
          <cell r="W11851" t="str">
            <v>QSPON01</v>
          </cell>
          <cell r="AD11851">
            <v>26500</v>
          </cell>
        </row>
        <row r="11852">
          <cell r="W11852" t="str">
            <v>QSPON01</v>
          </cell>
          <cell r="AD11852">
            <v>26500</v>
          </cell>
        </row>
        <row r="11853">
          <cell r="W11853" t="str">
            <v>QSPON01</v>
          </cell>
          <cell r="AD11853">
            <v>26500</v>
          </cell>
        </row>
        <row r="11854">
          <cell r="W11854" t="str">
            <v>QSPON01</v>
          </cell>
          <cell r="AD11854">
            <v>26500</v>
          </cell>
        </row>
        <row r="11855">
          <cell r="W11855" t="str">
            <v>QSPON01</v>
          </cell>
          <cell r="AD11855">
            <v>26500</v>
          </cell>
        </row>
        <row r="11856">
          <cell r="W11856" t="str">
            <v>QSPON01</v>
          </cell>
          <cell r="AD11856">
            <v>26500</v>
          </cell>
        </row>
        <row r="11857">
          <cell r="W11857" t="str">
            <v>QSPON01</v>
          </cell>
          <cell r="AD11857">
            <v>26500</v>
          </cell>
        </row>
        <row r="11858">
          <cell r="W11858" t="str">
            <v>QSPON01</v>
          </cell>
          <cell r="AD11858">
            <v>26500</v>
          </cell>
        </row>
        <row r="11859">
          <cell r="W11859" t="str">
            <v>QSPON01</v>
          </cell>
          <cell r="AD11859">
            <v>26500</v>
          </cell>
        </row>
        <row r="11860">
          <cell r="W11860" t="str">
            <v>QSPON01</v>
          </cell>
          <cell r="AD11860">
            <v>26500</v>
          </cell>
        </row>
        <row r="11861">
          <cell r="W11861" t="str">
            <v>QSPON01</v>
          </cell>
          <cell r="AD11861">
            <v>26500</v>
          </cell>
        </row>
        <row r="11862">
          <cell r="W11862" t="str">
            <v>QSPON01</v>
          </cell>
          <cell r="AD11862">
            <v>26500</v>
          </cell>
        </row>
        <row r="11863">
          <cell r="W11863" t="str">
            <v>QSPON02</v>
          </cell>
          <cell r="AD11863">
            <v>45500</v>
          </cell>
        </row>
        <row r="11864">
          <cell r="W11864" t="str">
            <v>QSPON02</v>
          </cell>
          <cell r="AD11864">
            <v>45500</v>
          </cell>
        </row>
        <row r="11865">
          <cell r="W11865" t="str">
            <v>QSPON02</v>
          </cell>
          <cell r="AD11865">
            <v>45500</v>
          </cell>
        </row>
        <row r="11866">
          <cell r="W11866" t="str">
            <v>QSPON02</v>
          </cell>
          <cell r="AD11866">
            <v>45500</v>
          </cell>
        </row>
        <row r="11867">
          <cell r="W11867" t="str">
            <v>QSPON02</v>
          </cell>
          <cell r="AD11867">
            <v>45500</v>
          </cell>
        </row>
        <row r="11868">
          <cell r="W11868" t="str">
            <v>QSPON02</v>
          </cell>
          <cell r="AD11868">
            <v>45500</v>
          </cell>
        </row>
        <row r="11869">
          <cell r="W11869" t="str">
            <v>QSPON02</v>
          </cell>
          <cell r="AD11869">
            <v>45500</v>
          </cell>
        </row>
        <row r="11870">
          <cell r="W11870" t="str">
            <v>QSPON02</v>
          </cell>
          <cell r="AD11870">
            <v>45500</v>
          </cell>
        </row>
        <row r="11871">
          <cell r="W11871" t="str">
            <v>QSPON02</v>
          </cell>
          <cell r="AD11871">
            <v>45500</v>
          </cell>
        </row>
        <row r="11872">
          <cell r="W11872" t="str">
            <v>QSPON02</v>
          </cell>
          <cell r="AD11872">
            <v>45500</v>
          </cell>
        </row>
        <row r="11873">
          <cell r="W11873" t="str">
            <v>QSPON02</v>
          </cell>
          <cell r="AD11873">
            <v>45500</v>
          </cell>
        </row>
        <row r="11874">
          <cell r="W11874" t="str">
            <v>QSPON02</v>
          </cell>
          <cell r="AD11874">
            <v>45500</v>
          </cell>
        </row>
        <row r="11875">
          <cell r="W11875" t="str">
            <v>QSPON02</v>
          </cell>
          <cell r="AD11875">
            <v>45500</v>
          </cell>
        </row>
        <row r="11876">
          <cell r="W11876" t="str">
            <v>QSPON02</v>
          </cell>
          <cell r="AD11876">
            <v>45500</v>
          </cell>
        </row>
        <row r="11877">
          <cell r="W11877" t="str">
            <v>QSPON02</v>
          </cell>
          <cell r="AD11877">
            <v>45500</v>
          </cell>
        </row>
        <row r="11878">
          <cell r="W11878" t="str">
            <v>QSPON02</v>
          </cell>
          <cell r="AD11878">
            <v>45500</v>
          </cell>
        </row>
        <row r="11879">
          <cell r="W11879" t="str">
            <v>QSPON02</v>
          </cell>
          <cell r="AD11879">
            <v>45500</v>
          </cell>
        </row>
        <row r="11880">
          <cell r="W11880" t="str">
            <v>QSPON02</v>
          </cell>
          <cell r="AD11880">
            <v>45500</v>
          </cell>
        </row>
        <row r="11881">
          <cell r="W11881" t="str">
            <v>QSPON02</v>
          </cell>
          <cell r="AD11881">
            <v>45500</v>
          </cell>
        </row>
        <row r="11882">
          <cell r="W11882" t="str">
            <v>QSPON02</v>
          </cell>
          <cell r="AD11882">
            <v>45500</v>
          </cell>
        </row>
        <row r="11883">
          <cell r="W11883" t="str">
            <v>QSPON02</v>
          </cell>
          <cell r="AD11883">
            <v>45500</v>
          </cell>
        </row>
        <row r="11884">
          <cell r="W11884" t="str">
            <v>QSPON02</v>
          </cell>
          <cell r="AD11884">
            <v>45500</v>
          </cell>
        </row>
        <row r="11885">
          <cell r="W11885" t="str">
            <v>QSPON02</v>
          </cell>
          <cell r="AD11885">
            <v>47000</v>
          </cell>
        </row>
        <row r="11886">
          <cell r="W11886" t="str">
            <v>QSPON02</v>
          </cell>
          <cell r="AD11886">
            <v>47500</v>
          </cell>
        </row>
        <row r="11887">
          <cell r="W11887" t="str">
            <v>QSPON02</v>
          </cell>
          <cell r="AD11887">
            <v>47500</v>
          </cell>
        </row>
        <row r="11888">
          <cell r="W11888" t="str">
            <v>QSPON02</v>
          </cell>
          <cell r="AD11888">
            <v>47500</v>
          </cell>
        </row>
        <row r="11889">
          <cell r="W11889" t="str">
            <v>QSPON02</v>
          </cell>
          <cell r="AD11889">
            <v>47500</v>
          </cell>
        </row>
        <row r="11890">
          <cell r="W11890" t="str">
            <v>QSPON02</v>
          </cell>
          <cell r="AD11890">
            <v>47500</v>
          </cell>
        </row>
        <row r="11891">
          <cell r="W11891" t="str">
            <v>QSPON02</v>
          </cell>
          <cell r="AD11891">
            <v>47500</v>
          </cell>
        </row>
        <row r="11892">
          <cell r="W11892" t="str">
            <v>QSPON02</v>
          </cell>
          <cell r="AD11892">
            <v>47500</v>
          </cell>
        </row>
        <row r="11893">
          <cell r="W11893" t="str">
            <v>QSPON02</v>
          </cell>
          <cell r="AD11893">
            <v>47500</v>
          </cell>
        </row>
        <row r="11894">
          <cell r="W11894" t="str">
            <v>QSPON02</v>
          </cell>
          <cell r="AD11894">
            <v>47500</v>
          </cell>
        </row>
        <row r="11895">
          <cell r="W11895" t="str">
            <v>QSPON02</v>
          </cell>
          <cell r="AD11895">
            <v>47500</v>
          </cell>
        </row>
        <row r="11896">
          <cell r="W11896" t="str">
            <v>QSPON02</v>
          </cell>
          <cell r="AD11896">
            <v>47500</v>
          </cell>
        </row>
        <row r="11897">
          <cell r="W11897" t="str">
            <v>QSPON02</v>
          </cell>
          <cell r="AD11897">
            <v>47500</v>
          </cell>
        </row>
        <row r="11898">
          <cell r="W11898" t="str">
            <v>QSPON02</v>
          </cell>
          <cell r="AD11898">
            <v>47500</v>
          </cell>
        </row>
        <row r="11899">
          <cell r="W11899" t="str">
            <v>QSPON02</v>
          </cell>
          <cell r="AD11899">
            <v>47500</v>
          </cell>
        </row>
        <row r="11900">
          <cell r="W11900" t="str">
            <v>QSPON02</v>
          </cell>
          <cell r="AD11900">
            <v>47500</v>
          </cell>
        </row>
        <row r="11901">
          <cell r="W11901" t="str">
            <v>QSPON02</v>
          </cell>
          <cell r="AD11901">
            <v>47500</v>
          </cell>
        </row>
        <row r="11902">
          <cell r="W11902" t="str">
            <v>QSPON02</v>
          </cell>
          <cell r="AD11902">
            <v>47500</v>
          </cell>
        </row>
        <row r="11903">
          <cell r="W11903" t="str">
            <v>QSPON02</v>
          </cell>
          <cell r="AD11903">
            <v>47500</v>
          </cell>
        </row>
        <row r="11904">
          <cell r="W11904" t="str">
            <v>QSPON02</v>
          </cell>
          <cell r="AD11904">
            <v>47500</v>
          </cell>
        </row>
        <row r="11905">
          <cell r="W11905" t="str">
            <v>QSPON02</v>
          </cell>
          <cell r="AD11905">
            <v>47500</v>
          </cell>
        </row>
        <row r="11906">
          <cell r="W11906" t="str">
            <v>QSPON02</v>
          </cell>
          <cell r="AD11906">
            <v>47500</v>
          </cell>
        </row>
        <row r="11907">
          <cell r="W11907" t="str">
            <v>QSPON02</v>
          </cell>
          <cell r="AD11907">
            <v>47500</v>
          </cell>
        </row>
        <row r="11908">
          <cell r="W11908" t="str">
            <v>QSPON02</v>
          </cell>
          <cell r="AD11908">
            <v>47500</v>
          </cell>
        </row>
        <row r="11909">
          <cell r="W11909" t="str">
            <v>QSPON02</v>
          </cell>
          <cell r="AD11909">
            <v>47500</v>
          </cell>
        </row>
        <row r="11910">
          <cell r="W11910" t="str">
            <v>QSPON02</v>
          </cell>
          <cell r="AD11910">
            <v>47500</v>
          </cell>
        </row>
        <row r="11911">
          <cell r="W11911" t="str">
            <v>QSPON02</v>
          </cell>
          <cell r="AD11911">
            <v>47500</v>
          </cell>
        </row>
        <row r="11912">
          <cell r="W11912" t="str">
            <v>QSPON02</v>
          </cell>
          <cell r="AD11912">
            <v>47500</v>
          </cell>
        </row>
        <row r="11913">
          <cell r="W11913" t="str">
            <v>QSPON02</v>
          </cell>
          <cell r="AD11913">
            <v>47500</v>
          </cell>
        </row>
        <row r="11914">
          <cell r="W11914" t="str">
            <v>QSPON02</v>
          </cell>
          <cell r="AD11914">
            <v>47500</v>
          </cell>
        </row>
        <row r="11915">
          <cell r="W11915" t="str">
            <v>QSPON02</v>
          </cell>
          <cell r="AD11915">
            <v>47500</v>
          </cell>
        </row>
        <row r="11916">
          <cell r="W11916" t="str">
            <v>QSPON02</v>
          </cell>
          <cell r="AD11916">
            <v>47500</v>
          </cell>
        </row>
        <row r="11917">
          <cell r="W11917" t="str">
            <v>QSPON02</v>
          </cell>
          <cell r="AD11917">
            <v>47500</v>
          </cell>
        </row>
        <row r="11918">
          <cell r="W11918" t="str">
            <v>QSPON02</v>
          </cell>
          <cell r="AD11918">
            <v>47500</v>
          </cell>
        </row>
        <row r="11919">
          <cell r="W11919" t="str">
            <v>QSPON02</v>
          </cell>
          <cell r="AD11919">
            <v>47500</v>
          </cell>
        </row>
        <row r="11920">
          <cell r="W11920" t="str">
            <v>QSPON02</v>
          </cell>
          <cell r="AD11920">
            <v>47500</v>
          </cell>
        </row>
        <row r="11921">
          <cell r="W11921" t="str">
            <v>QSPON02</v>
          </cell>
          <cell r="AD11921">
            <v>47500</v>
          </cell>
        </row>
        <row r="11922">
          <cell r="W11922" t="str">
            <v>QSPON02</v>
          </cell>
          <cell r="AD11922">
            <v>47500</v>
          </cell>
        </row>
        <row r="11923">
          <cell r="W11923" t="str">
            <v>QSPON02</v>
          </cell>
          <cell r="AD11923">
            <v>47500</v>
          </cell>
        </row>
        <row r="11924">
          <cell r="W11924" t="str">
            <v>QSPON02</v>
          </cell>
          <cell r="AD11924">
            <v>47500</v>
          </cell>
        </row>
        <row r="11925">
          <cell r="W11925" t="str">
            <v>QSPON02</v>
          </cell>
          <cell r="AD11925">
            <v>47500</v>
          </cell>
        </row>
        <row r="11926">
          <cell r="W11926" t="str">
            <v>QSPON02</v>
          </cell>
          <cell r="AD11926">
            <v>47500</v>
          </cell>
        </row>
        <row r="11927">
          <cell r="W11927" t="str">
            <v>QSPON02</v>
          </cell>
          <cell r="AD11927">
            <v>47500</v>
          </cell>
        </row>
        <row r="11928">
          <cell r="W11928" t="str">
            <v>QSPON02</v>
          </cell>
          <cell r="AD11928">
            <v>47500</v>
          </cell>
        </row>
        <row r="11929">
          <cell r="W11929" t="str">
            <v>QSPON02</v>
          </cell>
          <cell r="AD11929">
            <v>47500</v>
          </cell>
        </row>
        <row r="11930">
          <cell r="W11930" t="str">
            <v>QSPON02</v>
          </cell>
          <cell r="AD11930">
            <v>47500</v>
          </cell>
        </row>
        <row r="11931">
          <cell r="W11931" t="str">
            <v>QSPON02</v>
          </cell>
          <cell r="AD11931">
            <v>47500</v>
          </cell>
        </row>
        <row r="11932">
          <cell r="W11932" t="str">
            <v>QSPON02</v>
          </cell>
          <cell r="AD11932">
            <v>47500</v>
          </cell>
        </row>
        <row r="11933">
          <cell r="W11933" t="str">
            <v>QSPON02</v>
          </cell>
          <cell r="AD11933">
            <v>47500</v>
          </cell>
        </row>
        <row r="11934">
          <cell r="W11934" t="str">
            <v>QSPON02</v>
          </cell>
          <cell r="AD11934">
            <v>47500</v>
          </cell>
        </row>
        <row r="11935">
          <cell r="W11935" t="str">
            <v>QSPON02</v>
          </cell>
          <cell r="AD11935">
            <v>47500</v>
          </cell>
        </row>
        <row r="11936">
          <cell r="W11936" t="str">
            <v>QSPON02</v>
          </cell>
          <cell r="AD11936">
            <v>47500</v>
          </cell>
        </row>
        <row r="11937">
          <cell r="W11937" t="str">
            <v>QSPON02</v>
          </cell>
          <cell r="AD11937">
            <v>47500</v>
          </cell>
        </row>
        <row r="11938">
          <cell r="W11938" t="str">
            <v>QSPON02</v>
          </cell>
          <cell r="AD11938">
            <v>47500</v>
          </cell>
        </row>
        <row r="11939">
          <cell r="W11939" t="str">
            <v>QSPON02</v>
          </cell>
          <cell r="AD11939">
            <v>47500</v>
          </cell>
        </row>
        <row r="11940">
          <cell r="W11940" t="str">
            <v>QSPON02</v>
          </cell>
          <cell r="AD11940">
            <v>47500</v>
          </cell>
        </row>
        <row r="11941">
          <cell r="W11941" t="str">
            <v>QSPON02</v>
          </cell>
          <cell r="AD11941">
            <v>47500</v>
          </cell>
        </row>
        <row r="11942">
          <cell r="W11942" t="str">
            <v>QSPON02</v>
          </cell>
          <cell r="AD11942">
            <v>47500</v>
          </cell>
        </row>
        <row r="11943">
          <cell r="W11943" t="str">
            <v>QSPON02</v>
          </cell>
          <cell r="AD11943">
            <v>47500</v>
          </cell>
        </row>
        <row r="11944">
          <cell r="W11944" t="str">
            <v>QSPON02</v>
          </cell>
          <cell r="AD11944">
            <v>47500</v>
          </cell>
        </row>
        <row r="11945">
          <cell r="W11945" t="str">
            <v>QSPON02</v>
          </cell>
          <cell r="AD11945">
            <v>47500</v>
          </cell>
        </row>
        <row r="11946">
          <cell r="W11946" t="str">
            <v>QSPON02</v>
          </cell>
          <cell r="AD11946">
            <v>47500</v>
          </cell>
        </row>
        <row r="11947">
          <cell r="W11947" t="str">
            <v>QSPON08</v>
          </cell>
          <cell r="AD11947">
            <v>31145.450285700001</v>
          </cell>
        </row>
        <row r="11948">
          <cell r="W11948" t="str">
            <v>QSPON08</v>
          </cell>
          <cell r="AD11948">
            <v>52000</v>
          </cell>
        </row>
        <row r="11949">
          <cell r="W11949" t="str">
            <v>QSPON08</v>
          </cell>
          <cell r="AD11949">
            <v>52000</v>
          </cell>
        </row>
        <row r="11950">
          <cell r="W11950" t="str">
            <v>QSPON08</v>
          </cell>
          <cell r="AD11950">
            <v>52000</v>
          </cell>
        </row>
        <row r="11951">
          <cell r="W11951" t="str">
            <v>QSPON08</v>
          </cell>
          <cell r="AD11951">
            <v>52000</v>
          </cell>
        </row>
        <row r="11952">
          <cell r="W11952" t="str">
            <v>QSPON07</v>
          </cell>
          <cell r="AD11952">
            <v>31000</v>
          </cell>
        </row>
        <row r="11953">
          <cell r="W11953" t="str">
            <v>QSPON07</v>
          </cell>
          <cell r="AD11953">
            <v>31000</v>
          </cell>
        </row>
        <row r="11954">
          <cell r="W11954" t="str">
            <v>QSPON07</v>
          </cell>
          <cell r="AD11954">
            <v>31000</v>
          </cell>
        </row>
        <row r="11955">
          <cell r="W11955" t="str">
            <v>QSPON07</v>
          </cell>
          <cell r="AD11955">
            <v>31000</v>
          </cell>
        </row>
        <row r="11956">
          <cell r="W11956" t="str">
            <v>QSPON07</v>
          </cell>
          <cell r="AD11956">
            <v>31000</v>
          </cell>
        </row>
        <row r="11957">
          <cell r="W11957" t="str">
            <v>QSPON07</v>
          </cell>
          <cell r="AD11957">
            <v>31000</v>
          </cell>
        </row>
        <row r="11958">
          <cell r="W11958" t="str">
            <v>QSPON07</v>
          </cell>
          <cell r="AD11958">
            <v>31000</v>
          </cell>
        </row>
        <row r="11959">
          <cell r="W11959" t="str">
            <v>QSPON07</v>
          </cell>
          <cell r="AD11959">
            <v>31500</v>
          </cell>
        </row>
        <row r="11960">
          <cell r="W11960" t="str">
            <v>QSPON07</v>
          </cell>
          <cell r="AD11960">
            <v>31500</v>
          </cell>
        </row>
        <row r="11961">
          <cell r="W11961" t="str">
            <v>QSPON07</v>
          </cell>
          <cell r="AD11961">
            <v>31500</v>
          </cell>
        </row>
        <row r="11962">
          <cell r="W11962" t="str">
            <v>QSPON06</v>
          </cell>
          <cell r="AD11962">
            <v>18500</v>
          </cell>
        </row>
        <row r="11963">
          <cell r="W11963" t="str">
            <v>QSPON06</v>
          </cell>
          <cell r="AD11963">
            <v>18500</v>
          </cell>
        </row>
        <row r="11964">
          <cell r="W11964" t="str">
            <v>QSPON06</v>
          </cell>
          <cell r="AD11964">
            <v>18500</v>
          </cell>
        </row>
        <row r="11965">
          <cell r="W11965" t="str">
            <v>QSPRA24</v>
          </cell>
          <cell r="AD11965">
            <v>59500</v>
          </cell>
        </row>
        <row r="11966">
          <cell r="W11966" t="str">
            <v>QSPRA28</v>
          </cell>
          <cell r="AD11966">
            <v>23454.55</v>
          </cell>
        </row>
        <row r="11967">
          <cell r="W11967" t="str">
            <v>QSPRA28</v>
          </cell>
          <cell r="AD11967">
            <v>23454.550177000001</v>
          </cell>
        </row>
        <row r="11968">
          <cell r="W11968" t="str">
            <v>QSPRA28</v>
          </cell>
          <cell r="AD11968">
            <v>30000</v>
          </cell>
        </row>
        <row r="11969">
          <cell r="W11969" t="str">
            <v>QSPRA28</v>
          </cell>
          <cell r="AD11969">
            <v>32500</v>
          </cell>
        </row>
        <row r="11970">
          <cell r="W11970" t="str">
            <v>QSPRA28</v>
          </cell>
          <cell r="AD11970">
            <v>32500</v>
          </cell>
        </row>
        <row r="11971">
          <cell r="W11971" t="str">
            <v>QSPRA28</v>
          </cell>
          <cell r="AD11971">
            <v>32500</v>
          </cell>
        </row>
        <row r="11972">
          <cell r="W11972" t="str">
            <v>QSPRA28</v>
          </cell>
          <cell r="AD11972">
            <v>32500</v>
          </cell>
        </row>
        <row r="11973">
          <cell r="W11973" t="str">
            <v>QSPRA28</v>
          </cell>
          <cell r="AD11973">
            <v>32500</v>
          </cell>
        </row>
        <row r="11974">
          <cell r="W11974" t="str">
            <v>QSPRA28</v>
          </cell>
          <cell r="AD11974">
            <v>35000</v>
          </cell>
        </row>
        <row r="11975">
          <cell r="W11975" t="str">
            <v>QSPRA28</v>
          </cell>
          <cell r="AD11975">
            <v>35000</v>
          </cell>
        </row>
        <row r="11976">
          <cell r="W11976" t="str">
            <v>QSPRA28</v>
          </cell>
          <cell r="AD11976">
            <v>35000</v>
          </cell>
        </row>
        <row r="11977">
          <cell r="W11977" t="str">
            <v>QSPRA28</v>
          </cell>
          <cell r="AD11977">
            <v>35000</v>
          </cell>
        </row>
        <row r="11978">
          <cell r="W11978" t="str">
            <v>QSPRA28</v>
          </cell>
          <cell r="AD11978">
            <v>35000</v>
          </cell>
        </row>
        <row r="11979">
          <cell r="W11979" t="str">
            <v>QSPRA28</v>
          </cell>
          <cell r="AD11979">
            <v>35000</v>
          </cell>
        </row>
        <row r="11980">
          <cell r="W11980" t="str">
            <v>QSPRA28</v>
          </cell>
          <cell r="AD11980">
            <v>35000</v>
          </cell>
        </row>
        <row r="11981">
          <cell r="W11981" t="str">
            <v>QSPRA28</v>
          </cell>
          <cell r="AD11981">
            <v>35000</v>
          </cell>
        </row>
        <row r="11982">
          <cell r="W11982" t="str">
            <v>QSPRA28</v>
          </cell>
          <cell r="AD11982">
            <v>35000</v>
          </cell>
        </row>
        <row r="11983">
          <cell r="W11983" t="str">
            <v>QSPRA28</v>
          </cell>
          <cell r="AD11983">
            <v>35000</v>
          </cell>
        </row>
        <row r="11984">
          <cell r="W11984" t="str">
            <v>QSPRA28</v>
          </cell>
          <cell r="AD11984">
            <v>35000</v>
          </cell>
        </row>
        <row r="11985">
          <cell r="W11985" t="str">
            <v>QSPRA28</v>
          </cell>
          <cell r="AD11985">
            <v>35000</v>
          </cell>
        </row>
        <row r="11986">
          <cell r="W11986" t="str">
            <v>QSPRA28</v>
          </cell>
          <cell r="AD11986">
            <v>37500</v>
          </cell>
        </row>
        <row r="11987">
          <cell r="W11987" t="str">
            <v>QSPRA28</v>
          </cell>
          <cell r="AD11987">
            <v>37500</v>
          </cell>
        </row>
        <row r="11988">
          <cell r="W11988" t="str">
            <v>QSPRA28</v>
          </cell>
          <cell r="AD11988">
            <v>37500</v>
          </cell>
        </row>
        <row r="11989">
          <cell r="W11989" t="str">
            <v>QSPRA28</v>
          </cell>
          <cell r="AD11989">
            <v>40000</v>
          </cell>
        </row>
        <row r="11990">
          <cell r="W11990" t="str">
            <v>QSPRA28</v>
          </cell>
          <cell r="AD11990">
            <v>40000</v>
          </cell>
        </row>
        <row r="11991">
          <cell r="W11991" t="str">
            <v>QSPRA28</v>
          </cell>
          <cell r="AD11991">
            <v>40000</v>
          </cell>
        </row>
        <row r="11992">
          <cell r="W11992" t="str">
            <v>QSPRA28</v>
          </cell>
          <cell r="AD11992">
            <v>40000</v>
          </cell>
        </row>
        <row r="11993">
          <cell r="W11993" t="str">
            <v>QSPRA28</v>
          </cell>
          <cell r="AD11993">
            <v>40000</v>
          </cell>
        </row>
        <row r="11994">
          <cell r="W11994" t="str">
            <v>QSPRA28</v>
          </cell>
          <cell r="AD11994">
            <v>40000</v>
          </cell>
        </row>
        <row r="11995">
          <cell r="W11995" t="str">
            <v>QSPRA28</v>
          </cell>
          <cell r="AD11995">
            <v>40000</v>
          </cell>
        </row>
        <row r="11996">
          <cell r="W11996" t="str">
            <v>QSPRA28</v>
          </cell>
          <cell r="AD11996">
            <v>40000</v>
          </cell>
        </row>
        <row r="11997">
          <cell r="W11997" t="str">
            <v>QSPRA28</v>
          </cell>
          <cell r="AD11997">
            <v>40000</v>
          </cell>
        </row>
        <row r="11998">
          <cell r="W11998" t="str">
            <v>QSPRA28</v>
          </cell>
          <cell r="AD11998">
            <v>40000</v>
          </cell>
        </row>
        <row r="11999">
          <cell r="W11999" t="str">
            <v>QSPRA28</v>
          </cell>
          <cell r="AD11999">
            <v>45000</v>
          </cell>
        </row>
        <row r="12000">
          <cell r="W12000" t="str">
            <v>QSPRA28</v>
          </cell>
          <cell r="AD12000">
            <v>45000</v>
          </cell>
        </row>
        <row r="12001">
          <cell r="W12001" t="str">
            <v>QSPRA28</v>
          </cell>
          <cell r="AD12001">
            <v>45000</v>
          </cell>
        </row>
        <row r="12002">
          <cell r="W12002" t="str">
            <v>QSPRA28</v>
          </cell>
          <cell r="AD12002">
            <v>45000</v>
          </cell>
        </row>
        <row r="12003">
          <cell r="W12003" t="str">
            <v>QSPRA28</v>
          </cell>
          <cell r="AD12003">
            <v>45000</v>
          </cell>
        </row>
        <row r="12004">
          <cell r="W12004" t="str">
            <v>QSPRA28</v>
          </cell>
          <cell r="AD12004">
            <v>45000</v>
          </cell>
        </row>
        <row r="12005">
          <cell r="W12005" t="str">
            <v>QSPRA28</v>
          </cell>
          <cell r="AD12005">
            <v>45000</v>
          </cell>
        </row>
        <row r="12006">
          <cell r="W12006" t="str">
            <v>QSPRA28</v>
          </cell>
          <cell r="AD12006">
            <v>45000</v>
          </cell>
        </row>
        <row r="12007">
          <cell r="W12007" t="str">
            <v>QSPRA28</v>
          </cell>
          <cell r="AD12007">
            <v>45000</v>
          </cell>
        </row>
        <row r="12008">
          <cell r="W12008" t="str">
            <v>QSPRA28</v>
          </cell>
          <cell r="AD12008">
            <v>45000</v>
          </cell>
        </row>
        <row r="12009">
          <cell r="W12009" t="str">
            <v>QSPRA28</v>
          </cell>
          <cell r="AD12009">
            <v>45000</v>
          </cell>
        </row>
        <row r="12010">
          <cell r="W12010" t="str">
            <v>QSPRA28</v>
          </cell>
          <cell r="AD12010">
            <v>45000</v>
          </cell>
        </row>
        <row r="12011">
          <cell r="W12011" t="str">
            <v>QSPRA28</v>
          </cell>
          <cell r="AD12011">
            <v>45000</v>
          </cell>
        </row>
        <row r="12012">
          <cell r="W12012" t="str">
            <v>QSPRA28</v>
          </cell>
          <cell r="AD12012">
            <v>45000</v>
          </cell>
        </row>
        <row r="12013">
          <cell r="W12013" t="str">
            <v>QSPRA28</v>
          </cell>
          <cell r="AD12013">
            <v>45000</v>
          </cell>
        </row>
        <row r="12014">
          <cell r="W12014" t="str">
            <v>QSPRA28</v>
          </cell>
          <cell r="AD12014">
            <v>45000</v>
          </cell>
        </row>
        <row r="12015">
          <cell r="W12015" t="str">
            <v>QSPRA28</v>
          </cell>
          <cell r="AD12015">
            <v>45000</v>
          </cell>
        </row>
        <row r="12016">
          <cell r="W12016" t="str">
            <v>QSPRA28</v>
          </cell>
          <cell r="AD12016">
            <v>45000</v>
          </cell>
        </row>
        <row r="12017">
          <cell r="W12017" t="str">
            <v>QSPRA28</v>
          </cell>
          <cell r="AD12017">
            <v>45000</v>
          </cell>
        </row>
        <row r="12018">
          <cell r="W12018" t="str">
            <v>QSPRA28</v>
          </cell>
          <cell r="AD12018">
            <v>45000</v>
          </cell>
        </row>
        <row r="12019">
          <cell r="W12019" t="str">
            <v>QSPRA28</v>
          </cell>
          <cell r="AD12019">
            <v>45000</v>
          </cell>
        </row>
        <row r="12020">
          <cell r="W12020" t="str">
            <v>QSPRA28</v>
          </cell>
          <cell r="AD12020">
            <v>45000</v>
          </cell>
        </row>
        <row r="12021">
          <cell r="W12021" t="str">
            <v>QSPRA28</v>
          </cell>
          <cell r="AD12021">
            <v>45000</v>
          </cell>
        </row>
        <row r="12022">
          <cell r="W12022" t="str">
            <v>QSPRA28</v>
          </cell>
          <cell r="AD12022">
            <v>45000</v>
          </cell>
        </row>
        <row r="12023">
          <cell r="W12023" t="str">
            <v>QSPRA28</v>
          </cell>
          <cell r="AD12023">
            <v>45000</v>
          </cell>
        </row>
        <row r="12024">
          <cell r="W12024" t="str">
            <v>QSPRA28</v>
          </cell>
          <cell r="AD12024">
            <v>45000</v>
          </cell>
        </row>
        <row r="12025">
          <cell r="W12025" t="str">
            <v>QSPRA28</v>
          </cell>
          <cell r="AD12025">
            <v>50000</v>
          </cell>
        </row>
        <row r="12026">
          <cell r="W12026" t="str">
            <v>QSPRA28</v>
          </cell>
          <cell r="AD12026">
            <v>50000</v>
          </cell>
        </row>
        <row r="12027">
          <cell r="W12027" t="str">
            <v>QSPRA28</v>
          </cell>
          <cell r="AD12027">
            <v>50000</v>
          </cell>
        </row>
        <row r="12028">
          <cell r="W12028" t="str">
            <v>QSPRA30</v>
          </cell>
          <cell r="AD12028">
            <v>86363.64</v>
          </cell>
        </row>
        <row r="12029">
          <cell r="W12029" t="str">
            <v>QSPRA31</v>
          </cell>
          <cell r="AD12029">
            <v>95454.55</v>
          </cell>
        </row>
        <row r="12030">
          <cell r="W12030" t="str">
            <v>QSPRA11</v>
          </cell>
          <cell r="AD12030">
            <v>313636.36</v>
          </cell>
        </row>
        <row r="12031">
          <cell r="W12031" t="str">
            <v>QSPRA11</v>
          </cell>
          <cell r="AD12031">
            <v>345115</v>
          </cell>
        </row>
        <row r="12032">
          <cell r="W12032" t="str">
            <v>QSPRA11</v>
          </cell>
          <cell r="AD12032">
            <v>345200</v>
          </cell>
        </row>
        <row r="12033">
          <cell r="W12033" t="str">
            <v>QSPRA11</v>
          </cell>
          <cell r="AD12033">
            <v>345200</v>
          </cell>
        </row>
        <row r="12034">
          <cell r="W12034" t="str">
            <v>QSPRA11</v>
          </cell>
          <cell r="AD12034">
            <v>345200</v>
          </cell>
        </row>
        <row r="12035">
          <cell r="W12035" t="str">
            <v>QSPRA11</v>
          </cell>
          <cell r="AD12035">
            <v>345200</v>
          </cell>
        </row>
        <row r="12036">
          <cell r="W12036" t="str">
            <v>QSPRA11</v>
          </cell>
          <cell r="AD12036">
            <v>345200</v>
          </cell>
        </row>
        <row r="12037">
          <cell r="W12037" t="str">
            <v>QSPRA11</v>
          </cell>
          <cell r="AD12037">
            <v>345200</v>
          </cell>
        </row>
        <row r="12038">
          <cell r="W12038" t="str">
            <v>QSPRA11</v>
          </cell>
          <cell r="AD12038">
            <v>390000</v>
          </cell>
        </row>
        <row r="12039">
          <cell r="W12039" t="str">
            <v>QSPRA11</v>
          </cell>
          <cell r="AD12039">
            <v>400000</v>
          </cell>
        </row>
        <row r="12040">
          <cell r="W12040" t="str">
            <v>QSPRA11</v>
          </cell>
          <cell r="AD12040">
            <v>400000</v>
          </cell>
        </row>
        <row r="12041">
          <cell r="W12041" t="str">
            <v>QSPRA11</v>
          </cell>
          <cell r="AD12041">
            <v>400000</v>
          </cell>
        </row>
        <row r="12042">
          <cell r="W12042" t="str">
            <v>QSPRA11</v>
          </cell>
          <cell r="AD12042">
            <v>410000</v>
          </cell>
        </row>
        <row r="12043">
          <cell r="W12043" t="str">
            <v>QSPRA11</v>
          </cell>
          <cell r="AD12043">
            <v>425000</v>
          </cell>
        </row>
        <row r="12044">
          <cell r="W12044" t="str">
            <v>QSPRA11</v>
          </cell>
          <cell r="AD12044">
            <v>425000</v>
          </cell>
        </row>
        <row r="12045">
          <cell r="W12045" t="str">
            <v>QSPRA11</v>
          </cell>
          <cell r="AD12045">
            <v>425000</v>
          </cell>
        </row>
        <row r="12046">
          <cell r="W12046" t="str">
            <v>QSPRA11</v>
          </cell>
          <cell r="AD12046">
            <v>425000</v>
          </cell>
        </row>
        <row r="12047">
          <cell r="W12047" t="str">
            <v>QSPRA11</v>
          </cell>
          <cell r="AD12047">
            <v>425000</v>
          </cell>
        </row>
        <row r="12048">
          <cell r="W12048" t="str">
            <v>QSPRA11</v>
          </cell>
          <cell r="AD12048">
            <v>425000</v>
          </cell>
        </row>
        <row r="12049">
          <cell r="W12049" t="str">
            <v>QSPRA11</v>
          </cell>
          <cell r="AD12049">
            <v>425000</v>
          </cell>
        </row>
        <row r="12050">
          <cell r="W12050" t="str">
            <v>QSPRA11</v>
          </cell>
          <cell r="AD12050">
            <v>425000</v>
          </cell>
        </row>
        <row r="12051">
          <cell r="W12051" t="str">
            <v>QSPRA11</v>
          </cell>
          <cell r="AD12051">
            <v>430000</v>
          </cell>
        </row>
        <row r="12052">
          <cell r="W12052" t="str">
            <v>QSPRA11</v>
          </cell>
          <cell r="AD12052">
            <v>435000</v>
          </cell>
        </row>
        <row r="12053">
          <cell r="W12053" t="str">
            <v>QSPRA11</v>
          </cell>
          <cell r="AD12053">
            <v>450000</v>
          </cell>
        </row>
        <row r="12054">
          <cell r="W12054" t="str">
            <v>QSPRA11</v>
          </cell>
          <cell r="AD12054">
            <v>450000</v>
          </cell>
        </row>
        <row r="12055">
          <cell r="W12055" t="str">
            <v>QSPRA11</v>
          </cell>
          <cell r="AD12055">
            <v>450000</v>
          </cell>
        </row>
        <row r="12056">
          <cell r="W12056" t="str">
            <v>QSPRA11</v>
          </cell>
          <cell r="AD12056">
            <v>450000</v>
          </cell>
        </row>
        <row r="12057">
          <cell r="W12057" t="str">
            <v>QSPRA11</v>
          </cell>
          <cell r="AD12057">
            <v>450000</v>
          </cell>
        </row>
        <row r="12058">
          <cell r="W12058" t="str">
            <v>QSPRA11</v>
          </cell>
          <cell r="AD12058">
            <v>450000</v>
          </cell>
        </row>
        <row r="12059">
          <cell r="W12059" t="str">
            <v>QSPRA11</v>
          </cell>
          <cell r="AD12059">
            <v>450000</v>
          </cell>
        </row>
        <row r="12060">
          <cell r="W12060" t="str">
            <v>QSPRA11</v>
          </cell>
          <cell r="AD12060">
            <v>450000</v>
          </cell>
        </row>
        <row r="12061">
          <cell r="W12061" t="str">
            <v>QSPRA11</v>
          </cell>
          <cell r="AD12061">
            <v>450000</v>
          </cell>
        </row>
        <row r="12062">
          <cell r="W12062" t="str">
            <v>QSPRA20</v>
          </cell>
          <cell r="AD12062">
            <v>290000</v>
          </cell>
        </row>
        <row r="12063">
          <cell r="W12063" t="str">
            <v>QSPRA20</v>
          </cell>
          <cell r="AD12063">
            <v>290000</v>
          </cell>
        </row>
        <row r="12064">
          <cell r="W12064" t="str">
            <v>QSPRA20</v>
          </cell>
          <cell r="AD12064">
            <v>290000</v>
          </cell>
        </row>
        <row r="12065">
          <cell r="W12065" t="str">
            <v>QSPRA20</v>
          </cell>
          <cell r="AD12065">
            <v>450000</v>
          </cell>
        </row>
        <row r="12066">
          <cell r="W12066" t="str">
            <v>QSPRA20</v>
          </cell>
          <cell r="AD12066">
            <v>450000</v>
          </cell>
        </row>
        <row r="12067">
          <cell r="W12067" t="str">
            <v>QSPRA20</v>
          </cell>
          <cell r="AD12067">
            <v>450000</v>
          </cell>
        </row>
        <row r="12068">
          <cell r="W12068" t="str">
            <v>QSPRA20</v>
          </cell>
          <cell r="AD12068">
            <v>450000</v>
          </cell>
        </row>
        <row r="12069">
          <cell r="W12069" t="str">
            <v>QSPRA20</v>
          </cell>
          <cell r="AD12069">
            <v>450000</v>
          </cell>
        </row>
        <row r="12070">
          <cell r="W12070" t="str">
            <v>QSPRA20</v>
          </cell>
          <cell r="AD12070">
            <v>450000</v>
          </cell>
        </row>
        <row r="12071">
          <cell r="W12071" t="str">
            <v>QSPRA20</v>
          </cell>
          <cell r="AD12071">
            <v>450000</v>
          </cell>
        </row>
        <row r="12072">
          <cell r="W12072" t="str">
            <v>QSPRA20</v>
          </cell>
          <cell r="AD12072">
            <v>450000</v>
          </cell>
        </row>
        <row r="12073">
          <cell r="W12073" t="str">
            <v>QSPRA20</v>
          </cell>
          <cell r="AD12073">
            <v>450000</v>
          </cell>
        </row>
        <row r="12074">
          <cell r="W12074" t="str">
            <v>QSPRA20</v>
          </cell>
          <cell r="AD12074">
            <v>450000</v>
          </cell>
        </row>
        <row r="12075">
          <cell r="W12075" t="str">
            <v>QSPRA20</v>
          </cell>
          <cell r="AD12075">
            <v>450000</v>
          </cell>
        </row>
        <row r="12076">
          <cell r="W12076" t="str">
            <v>QSPRA20</v>
          </cell>
          <cell r="AD12076">
            <v>450000</v>
          </cell>
        </row>
        <row r="12077">
          <cell r="W12077" t="str">
            <v>QSPRA25</v>
          </cell>
          <cell r="AD12077">
            <v>309090.90908999997</v>
          </cell>
        </row>
        <row r="12078">
          <cell r="W12078" t="str">
            <v>QSPRA25</v>
          </cell>
          <cell r="AD12078">
            <v>340000</v>
          </cell>
        </row>
        <row r="12079">
          <cell r="W12079" t="str">
            <v>QSPRA25</v>
          </cell>
          <cell r="AD12079">
            <v>400000</v>
          </cell>
        </row>
        <row r="12080">
          <cell r="W12080" t="str">
            <v>QSPRA25</v>
          </cell>
          <cell r="AD12080">
            <v>400000</v>
          </cell>
        </row>
        <row r="12081">
          <cell r="W12081" t="str">
            <v>QSPRA25</v>
          </cell>
          <cell r="AD12081">
            <v>420000</v>
          </cell>
        </row>
        <row r="12082">
          <cell r="W12082" t="str">
            <v>QSPRA25</v>
          </cell>
          <cell r="AD12082">
            <v>425000</v>
          </cell>
        </row>
        <row r="12083">
          <cell r="W12083" t="str">
            <v>QSPRA25</v>
          </cell>
          <cell r="AD12083">
            <v>425000</v>
          </cell>
        </row>
        <row r="12084">
          <cell r="W12084" t="str">
            <v>QSPRA25</v>
          </cell>
          <cell r="AD12084">
            <v>425000</v>
          </cell>
        </row>
        <row r="12085">
          <cell r="W12085" t="str">
            <v>QSPRA25</v>
          </cell>
          <cell r="AD12085">
            <v>425000</v>
          </cell>
        </row>
        <row r="12086">
          <cell r="W12086" t="str">
            <v>QSPRA25</v>
          </cell>
          <cell r="AD12086">
            <v>425000</v>
          </cell>
        </row>
        <row r="12087">
          <cell r="W12087" t="str">
            <v>QSPRA25</v>
          </cell>
          <cell r="AD12087">
            <v>425000</v>
          </cell>
        </row>
        <row r="12088">
          <cell r="W12088" t="str">
            <v>QSPRA25</v>
          </cell>
          <cell r="AD12088">
            <v>425000</v>
          </cell>
        </row>
        <row r="12089">
          <cell r="W12089" t="str">
            <v>QSPRA25</v>
          </cell>
          <cell r="AD12089">
            <v>425000</v>
          </cell>
        </row>
        <row r="12090">
          <cell r="W12090" t="str">
            <v>QSPRA25</v>
          </cell>
          <cell r="AD12090">
            <v>425000</v>
          </cell>
        </row>
        <row r="12091">
          <cell r="W12091" t="str">
            <v>QSPRA25</v>
          </cell>
          <cell r="AD12091">
            <v>440000</v>
          </cell>
        </row>
        <row r="12092">
          <cell r="W12092" t="str">
            <v>QSPRA25</v>
          </cell>
          <cell r="AD12092">
            <v>450000</v>
          </cell>
        </row>
        <row r="12093">
          <cell r="W12093" t="str">
            <v>QSPRA01</v>
          </cell>
          <cell r="AD12093">
            <v>340000</v>
          </cell>
        </row>
        <row r="12094">
          <cell r="W12094" t="str">
            <v>QSPRA01</v>
          </cell>
          <cell r="AD12094">
            <v>425000</v>
          </cell>
        </row>
        <row r="12095">
          <cell r="W12095" t="str">
            <v>QSPRA01</v>
          </cell>
          <cell r="AD12095">
            <v>425000</v>
          </cell>
        </row>
        <row r="12096">
          <cell r="W12096" t="str">
            <v>QSPRA01</v>
          </cell>
          <cell r="AD12096">
            <v>425000</v>
          </cell>
        </row>
        <row r="12097">
          <cell r="W12097" t="str">
            <v>QSPRA13</v>
          </cell>
          <cell r="AD12097">
            <v>359090.92</v>
          </cell>
        </row>
        <row r="12098">
          <cell r="W12098" t="str">
            <v>QSPRA13</v>
          </cell>
          <cell r="AD12098">
            <v>395000</v>
          </cell>
        </row>
        <row r="12099">
          <cell r="W12099" t="str">
            <v>QSPRA13</v>
          </cell>
          <cell r="AD12099">
            <v>450000</v>
          </cell>
        </row>
        <row r="12100">
          <cell r="W12100" t="str">
            <v>QSPRA13</v>
          </cell>
          <cell r="AD12100">
            <v>470000</v>
          </cell>
        </row>
        <row r="12101">
          <cell r="W12101" t="str">
            <v>QSPRA13</v>
          </cell>
          <cell r="AD12101">
            <v>470000</v>
          </cell>
        </row>
        <row r="12102">
          <cell r="W12102" t="str">
            <v>QSPRA13</v>
          </cell>
          <cell r="AD12102">
            <v>475000</v>
          </cell>
        </row>
        <row r="12103">
          <cell r="W12103" t="str">
            <v>QSPRA13</v>
          </cell>
          <cell r="AD12103">
            <v>490000</v>
          </cell>
        </row>
        <row r="12104">
          <cell r="W12104" t="str">
            <v>QSPRA13</v>
          </cell>
          <cell r="AD12104">
            <v>500000</v>
          </cell>
        </row>
        <row r="12105">
          <cell r="W12105" t="str">
            <v>QSPRA13</v>
          </cell>
          <cell r="AD12105">
            <v>550000</v>
          </cell>
        </row>
        <row r="12106">
          <cell r="W12106" t="str">
            <v>QSPRA13</v>
          </cell>
          <cell r="AD12106">
            <v>550000</v>
          </cell>
        </row>
        <row r="12107">
          <cell r="W12107" t="str">
            <v>QSPRA13</v>
          </cell>
          <cell r="AD12107">
            <v>550000</v>
          </cell>
        </row>
        <row r="12108">
          <cell r="W12108" t="str">
            <v>QSPRA32</v>
          </cell>
          <cell r="AD12108">
            <v>25000</v>
          </cell>
        </row>
        <row r="12109">
          <cell r="W12109" t="str">
            <v>QSPRA32</v>
          </cell>
          <cell r="AD12109">
            <v>29000</v>
          </cell>
        </row>
        <row r="12110">
          <cell r="W12110" t="str">
            <v>QSPRA32</v>
          </cell>
          <cell r="AD12110">
            <v>29000</v>
          </cell>
        </row>
        <row r="12111">
          <cell r="W12111" t="str">
            <v>QSPRA32</v>
          </cell>
          <cell r="AD12111">
            <v>30000</v>
          </cell>
        </row>
        <row r="12112">
          <cell r="W12112" t="str">
            <v>QSPRA32</v>
          </cell>
          <cell r="AD12112">
            <v>30000</v>
          </cell>
        </row>
        <row r="12113">
          <cell r="W12113" t="str">
            <v>QSPRA26</v>
          </cell>
          <cell r="AD12113">
            <v>110000</v>
          </cell>
        </row>
        <row r="12114">
          <cell r="W12114" t="str">
            <v>QSPRA26</v>
          </cell>
          <cell r="AD12114">
            <v>110000</v>
          </cell>
        </row>
        <row r="12115">
          <cell r="W12115" t="str">
            <v>QSPRA26</v>
          </cell>
          <cell r="AD12115">
            <v>115000</v>
          </cell>
        </row>
        <row r="12116">
          <cell r="W12116" t="str">
            <v>QSPRA26</v>
          </cell>
          <cell r="AD12116">
            <v>115000</v>
          </cell>
        </row>
        <row r="12117">
          <cell r="W12117" t="str">
            <v>QSPRA26</v>
          </cell>
          <cell r="AD12117">
            <v>115000</v>
          </cell>
        </row>
        <row r="12118">
          <cell r="W12118" t="str">
            <v>QSPRA26</v>
          </cell>
          <cell r="AD12118">
            <v>115000</v>
          </cell>
        </row>
        <row r="12119">
          <cell r="W12119" t="str">
            <v>QSPRA26</v>
          </cell>
          <cell r="AD12119">
            <v>115000</v>
          </cell>
        </row>
        <row r="12120">
          <cell r="W12120" t="str">
            <v>QSPRA26</v>
          </cell>
          <cell r="AD12120">
            <v>115000</v>
          </cell>
        </row>
        <row r="12121">
          <cell r="W12121" t="str">
            <v>QSPRA26</v>
          </cell>
          <cell r="AD12121">
            <v>120000</v>
          </cell>
        </row>
        <row r="12122">
          <cell r="W12122" t="str">
            <v>QSPRA26</v>
          </cell>
          <cell r="AD12122">
            <v>120000</v>
          </cell>
        </row>
        <row r="12123">
          <cell r="W12123" t="str">
            <v>QSPRA26</v>
          </cell>
          <cell r="AD12123">
            <v>120000</v>
          </cell>
        </row>
        <row r="12124">
          <cell r="W12124" t="str">
            <v>QSPRA26</v>
          </cell>
          <cell r="AD12124">
            <v>120000</v>
          </cell>
        </row>
        <row r="12125">
          <cell r="W12125" t="str">
            <v>QSPRA26</v>
          </cell>
          <cell r="AD12125">
            <v>120000</v>
          </cell>
        </row>
        <row r="12126">
          <cell r="W12126" t="str">
            <v>QSPRA26</v>
          </cell>
          <cell r="AD12126">
            <v>120000</v>
          </cell>
        </row>
        <row r="12127">
          <cell r="W12127" t="str">
            <v>QSPRA26</v>
          </cell>
          <cell r="AD12127">
            <v>120000</v>
          </cell>
        </row>
        <row r="12128">
          <cell r="W12128" t="str">
            <v>QSPRA26</v>
          </cell>
          <cell r="AD12128">
            <v>120000</v>
          </cell>
        </row>
        <row r="12129">
          <cell r="W12129" t="str">
            <v>QSPRA26</v>
          </cell>
          <cell r="AD12129">
            <v>120000</v>
          </cell>
        </row>
        <row r="12130">
          <cell r="W12130" t="str">
            <v>QSPRA26</v>
          </cell>
          <cell r="AD12130">
            <v>120000</v>
          </cell>
        </row>
        <row r="12131">
          <cell r="W12131" t="str">
            <v>QSPRA26</v>
          </cell>
          <cell r="AD12131">
            <v>120000</v>
          </cell>
        </row>
        <row r="12132">
          <cell r="W12132" t="str">
            <v>QSPRA26</v>
          </cell>
          <cell r="AD12132">
            <v>120000</v>
          </cell>
        </row>
        <row r="12133">
          <cell r="W12133" t="str">
            <v>QSPRA26</v>
          </cell>
          <cell r="AD12133">
            <v>120000</v>
          </cell>
        </row>
        <row r="12134">
          <cell r="W12134" t="str">
            <v>QSPRA26</v>
          </cell>
          <cell r="AD12134">
            <v>120000</v>
          </cell>
        </row>
        <row r="12135">
          <cell r="W12135" t="str">
            <v>QSPRA26</v>
          </cell>
          <cell r="AD12135">
            <v>120000</v>
          </cell>
        </row>
        <row r="12136">
          <cell r="W12136" t="str">
            <v>QSPRA26</v>
          </cell>
          <cell r="AD12136">
            <v>120000</v>
          </cell>
        </row>
        <row r="12137">
          <cell r="W12137" t="str">
            <v>QSPRA26</v>
          </cell>
          <cell r="AD12137">
            <v>120000</v>
          </cell>
        </row>
        <row r="12138">
          <cell r="W12138" t="str">
            <v>QSPRA26</v>
          </cell>
          <cell r="AD12138">
            <v>120000</v>
          </cell>
        </row>
        <row r="12139">
          <cell r="W12139" t="str">
            <v>QSPRA26</v>
          </cell>
          <cell r="AD12139">
            <v>120000</v>
          </cell>
        </row>
        <row r="12140">
          <cell r="W12140" t="str">
            <v>QSPRA26</v>
          </cell>
          <cell r="AD12140">
            <v>120000</v>
          </cell>
        </row>
        <row r="12141">
          <cell r="W12141" t="str">
            <v>QSPRA26</v>
          </cell>
          <cell r="AD12141">
            <v>120000</v>
          </cell>
        </row>
        <row r="12142">
          <cell r="W12142" t="str">
            <v>QSPRA26</v>
          </cell>
          <cell r="AD12142">
            <v>120000</v>
          </cell>
        </row>
        <row r="12143">
          <cell r="W12143" t="str">
            <v>QSPRA26</v>
          </cell>
          <cell r="AD12143">
            <v>120000</v>
          </cell>
        </row>
        <row r="12144">
          <cell r="W12144" t="str">
            <v>QSPRA26</v>
          </cell>
          <cell r="AD12144">
            <v>120000</v>
          </cell>
        </row>
        <row r="12145">
          <cell r="W12145" t="str">
            <v>QSPRA26</v>
          </cell>
          <cell r="AD12145">
            <v>120000</v>
          </cell>
        </row>
        <row r="12146">
          <cell r="W12146" t="str">
            <v>QSPRA26</v>
          </cell>
          <cell r="AD12146">
            <v>120000</v>
          </cell>
        </row>
        <row r="12147">
          <cell r="W12147" t="str">
            <v>QSPRA26</v>
          </cell>
          <cell r="AD12147">
            <v>120000</v>
          </cell>
        </row>
        <row r="12148">
          <cell r="W12148" t="str">
            <v>QSPRA26</v>
          </cell>
          <cell r="AD12148">
            <v>120000</v>
          </cell>
        </row>
        <row r="12149">
          <cell r="W12149" t="str">
            <v>QSPRA26</v>
          </cell>
          <cell r="AD12149">
            <v>120000</v>
          </cell>
        </row>
        <row r="12150">
          <cell r="W12150" t="str">
            <v>QSPRA26</v>
          </cell>
          <cell r="AD12150">
            <v>120000</v>
          </cell>
        </row>
        <row r="12151">
          <cell r="W12151" t="str">
            <v>QSPRA26</v>
          </cell>
          <cell r="AD12151">
            <v>120000</v>
          </cell>
        </row>
        <row r="12152">
          <cell r="W12152" t="str">
            <v>QSPRA26</v>
          </cell>
          <cell r="AD12152">
            <v>120000</v>
          </cell>
        </row>
        <row r="12153">
          <cell r="W12153" t="str">
            <v>QSPRA26</v>
          </cell>
          <cell r="AD12153">
            <v>120000</v>
          </cell>
        </row>
        <row r="12154">
          <cell r="W12154" t="str">
            <v>QSPRA26</v>
          </cell>
          <cell r="AD12154">
            <v>120000</v>
          </cell>
        </row>
        <row r="12155">
          <cell r="W12155" t="str">
            <v>QSPRA26</v>
          </cell>
          <cell r="AD12155">
            <v>120000</v>
          </cell>
        </row>
        <row r="12156">
          <cell r="W12156" t="str">
            <v>QSPRA26</v>
          </cell>
          <cell r="AD12156">
            <v>120000</v>
          </cell>
        </row>
        <row r="12157">
          <cell r="W12157" t="str">
            <v>QSPRA26</v>
          </cell>
          <cell r="AD12157">
            <v>125000</v>
          </cell>
        </row>
        <row r="12158">
          <cell r="W12158" t="str">
            <v>QSPRA26</v>
          </cell>
          <cell r="AD12158">
            <v>125000</v>
          </cell>
        </row>
        <row r="12159">
          <cell r="W12159" t="str">
            <v>QSPRA26</v>
          </cell>
          <cell r="AD12159">
            <v>130000</v>
          </cell>
        </row>
        <row r="12160">
          <cell r="W12160" t="str">
            <v>QSPRA26</v>
          </cell>
          <cell r="AD12160">
            <v>130000</v>
          </cell>
        </row>
        <row r="12161">
          <cell r="W12161" t="str">
            <v>QSPRA26</v>
          </cell>
          <cell r="AD12161">
            <v>130000</v>
          </cell>
        </row>
        <row r="12162">
          <cell r="W12162" t="str">
            <v>QSPRA26</v>
          </cell>
          <cell r="AD12162">
            <v>130000</v>
          </cell>
        </row>
        <row r="12163">
          <cell r="W12163" t="str">
            <v>QSPRA26</v>
          </cell>
          <cell r="AD12163">
            <v>130000</v>
          </cell>
        </row>
        <row r="12164">
          <cell r="W12164" t="str">
            <v>QSPRA27</v>
          </cell>
          <cell r="AD12164">
            <v>130000</v>
          </cell>
        </row>
        <row r="12165">
          <cell r="W12165" t="str">
            <v>QSPRA27</v>
          </cell>
          <cell r="AD12165">
            <v>135000</v>
          </cell>
        </row>
        <row r="12166">
          <cell r="W12166" t="str">
            <v>QSPRA27</v>
          </cell>
          <cell r="AD12166">
            <v>140000</v>
          </cell>
        </row>
        <row r="12167">
          <cell r="W12167" t="str">
            <v>QSPRA27</v>
          </cell>
          <cell r="AD12167">
            <v>140000</v>
          </cell>
        </row>
        <row r="12168">
          <cell r="W12168" t="str">
            <v>QSPRA27</v>
          </cell>
          <cell r="AD12168">
            <v>140000</v>
          </cell>
        </row>
        <row r="12169">
          <cell r="W12169" t="str">
            <v>QSPRA27</v>
          </cell>
          <cell r="AD12169">
            <v>140000</v>
          </cell>
        </row>
        <row r="12170">
          <cell r="W12170" t="str">
            <v>QSPRA27</v>
          </cell>
          <cell r="AD12170">
            <v>140000</v>
          </cell>
        </row>
        <row r="12171">
          <cell r="W12171" t="str">
            <v>QSPRA27</v>
          </cell>
          <cell r="AD12171">
            <v>140000</v>
          </cell>
        </row>
        <row r="12172">
          <cell r="W12172" t="str">
            <v>QSPRA27</v>
          </cell>
          <cell r="AD12172">
            <v>140000</v>
          </cell>
        </row>
        <row r="12173">
          <cell r="W12173" t="str">
            <v>QSPRA27</v>
          </cell>
          <cell r="AD12173">
            <v>140000</v>
          </cell>
        </row>
        <row r="12174">
          <cell r="W12174" t="str">
            <v>QSPRA27</v>
          </cell>
          <cell r="AD12174">
            <v>140000</v>
          </cell>
        </row>
        <row r="12175">
          <cell r="W12175" t="str">
            <v>QSPRA27</v>
          </cell>
          <cell r="AD12175">
            <v>140000</v>
          </cell>
        </row>
        <row r="12176">
          <cell r="W12176" t="str">
            <v>QSPRA27</v>
          </cell>
          <cell r="AD12176">
            <v>140000</v>
          </cell>
        </row>
        <row r="12177">
          <cell r="W12177" t="str">
            <v>QSPRA27</v>
          </cell>
          <cell r="AD12177">
            <v>140000</v>
          </cell>
        </row>
        <row r="12178">
          <cell r="W12178" t="str">
            <v>QSPRA27</v>
          </cell>
          <cell r="AD12178">
            <v>140000</v>
          </cell>
        </row>
        <row r="12179">
          <cell r="W12179" t="str">
            <v>QSPRA27</v>
          </cell>
          <cell r="AD12179">
            <v>140000</v>
          </cell>
        </row>
        <row r="12180">
          <cell r="W12180" t="str">
            <v>QSPRA27</v>
          </cell>
          <cell r="AD12180">
            <v>140000</v>
          </cell>
        </row>
        <row r="12181">
          <cell r="W12181" t="str">
            <v>QSPRA27</v>
          </cell>
          <cell r="AD12181">
            <v>140000</v>
          </cell>
        </row>
        <row r="12182">
          <cell r="W12182" t="str">
            <v>QSPRA27</v>
          </cell>
          <cell r="AD12182">
            <v>140000</v>
          </cell>
        </row>
        <row r="12183">
          <cell r="W12183" t="str">
            <v>QSPRA27</v>
          </cell>
          <cell r="AD12183">
            <v>140000</v>
          </cell>
        </row>
        <row r="12184">
          <cell r="W12184" t="str">
            <v>QSPRA27</v>
          </cell>
          <cell r="AD12184">
            <v>140000</v>
          </cell>
        </row>
        <row r="12185">
          <cell r="W12185" t="str">
            <v>QSPRA27</v>
          </cell>
          <cell r="AD12185">
            <v>140000</v>
          </cell>
        </row>
        <row r="12186">
          <cell r="W12186" t="str">
            <v>QSPRA27</v>
          </cell>
          <cell r="AD12186">
            <v>140000</v>
          </cell>
        </row>
        <row r="12187">
          <cell r="W12187" t="str">
            <v>QSPRA27</v>
          </cell>
          <cell r="AD12187">
            <v>145000</v>
          </cell>
        </row>
        <row r="12188">
          <cell r="W12188" t="str">
            <v>QSPRA27</v>
          </cell>
          <cell r="AD12188">
            <v>150000</v>
          </cell>
        </row>
        <row r="12189">
          <cell r="W12189" t="str">
            <v>QSPRA27</v>
          </cell>
          <cell r="AD12189">
            <v>150000</v>
          </cell>
        </row>
        <row r="12190">
          <cell r="W12190" t="str">
            <v>QSPRA27</v>
          </cell>
          <cell r="AD12190">
            <v>150000</v>
          </cell>
        </row>
        <row r="12191">
          <cell r="W12191" t="str">
            <v>QSPRA29</v>
          </cell>
          <cell r="AD12191">
            <v>350000</v>
          </cell>
        </row>
        <row r="12192">
          <cell r="W12192" t="str">
            <v>QSPRA29</v>
          </cell>
          <cell r="AD12192">
            <v>470000</v>
          </cell>
        </row>
        <row r="12193">
          <cell r="W12193" t="str">
            <v>QSPRA29</v>
          </cell>
          <cell r="AD12193">
            <v>470000</v>
          </cell>
        </row>
        <row r="12194">
          <cell r="W12194" t="str">
            <v>QSPRA29</v>
          </cell>
          <cell r="AD12194">
            <v>490000</v>
          </cell>
        </row>
        <row r="12195">
          <cell r="W12195" t="str">
            <v>QSPRA29</v>
          </cell>
          <cell r="AD12195">
            <v>490000</v>
          </cell>
        </row>
        <row r="12196">
          <cell r="W12196" t="str">
            <v>QSPRA29</v>
          </cell>
          <cell r="AD12196">
            <v>500000</v>
          </cell>
        </row>
        <row r="12197">
          <cell r="W12197" t="str">
            <v>QSPRA29</v>
          </cell>
          <cell r="AD12197">
            <v>500000</v>
          </cell>
        </row>
        <row r="12198">
          <cell r="W12198" t="str">
            <v>QSPRA29</v>
          </cell>
          <cell r="AD12198">
            <v>500000</v>
          </cell>
        </row>
        <row r="12199">
          <cell r="W12199" t="str">
            <v>QSPRA29</v>
          </cell>
          <cell r="AD12199">
            <v>500000</v>
          </cell>
        </row>
        <row r="12200">
          <cell r="W12200" t="str">
            <v>QSPRA29</v>
          </cell>
          <cell r="AD12200">
            <v>500000</v>
          </cell>
        </row>
        <row r="12201">
          <cell r="W12201" t="str">
            <v>QSPRA29</v>
          </cell>
          <cell r="AD12201">
            <v>525000</v>
          </cell>
        </row>
        <row r="12202">
          <cell r="W12202" t="str">
            <v>QSPRA29</v>
          </cell>
          <cell r="AD12202">
            <v>550000</v>
          </cell>
        </row>
        <row r="12203">
          <cell r="W12203" t="str">
            <v>QSPRA29</v>
          </cell>
          <cell r="AD12203">
            <v>550000</v>
          </cell>
        </row>
        <row r="12204">
          <cell r="W12204" t="str">
            <v>QSPRA29</v>
          </cell>
          <cell r="AD12204">
            <v>550000</v>
          </cell>
        </row>
        <row r="12205">
          <cell r="W12205" t="str">
            <v>QSPRA29</v>
          </cell>
          <cell r="AD12205">
            <v>550000</v>
          </cell>
        </row>
        <row r="12206">
          <cell r="W12206" t="str">
            <v>QSPRA29</v>
          </cell>
          <cell r="AD12206">
            <v>550000</v>
          </cell>
        </row>
        <row r="12207">
          <cell r="W12207" t="str">
            <v>QSPRA29</v>
          </cell>
          <cell r="AD12207">
            <v>550000</v>
          </cell>
        </row>
        <row r="12208">
          <cell r="W12208" t="str">
            <v>QSPRA29</v>
          </cell>
          <cell r="AD12208">
            <v>550000</v>
          </cell>
        </row>
        <row r="12209">
          <cell r="W12209" t="str">
            <v>QSPRA02</v>
          </cell>
          <cell r="AD12209">
            <v>23000</v>
          </cell>
        </row>
        <row r="12210">
          <cell r="W12210" t="str">
            <v>QSPRA02</v>
          </cell>
          <cell r="AD12210">
            <v>33500</v>
          </cell>
        </row>
        <row r="12211">
          <cell r="W12211" t="str">
            <v>QSPRA02</v>
          </cell>
          <cell r="AD12211">
            <v>35000</v>
          </cell>
        </row>
        <row r="12212">
          <cell r="W12212" t="str">
            <v>QSPRA02</v>
          </cell>
          <cell r="AD12212">
            <v>35000</v>
          </cell>
        </row>
        <row r="12213">
          <cell r="W12213" t="str">
            <v>QSPRA02</v>
          </cell>
          <cell r="AD12213">
            <v>35000</v>
          </cell>
        </row>
        <row r="12214">
          <cell r="W12214" t="str">
            <v>QSPRA02</v>
          </cell>
          <cell r="AD12214">
            <v>35000</v>
          </cell>
        </row>
        <row r="12215">
          <cell r="W12215" t="str">
            <v>QSPRA02</v>
          </cell>
          <cell r="AD12215">
            <v>35000</v>
          </cell>
        </row>
        <row r="12216">
          <cell r="W12216" t="str">
            <v>QSPRA02</v>
          </cell>
          <cell r="AD12216">
            <v>35000</v>
          </cell>
        </row>
        <row r="12217">
          <cell r="W12217" t="str">
            <v>QSPRA02</v>
          </cell>
          <cell r="AD12217">
            <v>35000</v>
          </cell>
        </row>
        <row r="12218">
          <cell r="W12218" t="str">
            <v>QSPRA02</v>
          </cell>
          <cell r="AD12218">
            <v>35000</v>
          </cell>
        </row>
        <row r="12219">
          <cell r="W12219" t="str">
            <v>QSPRA02</v>
          </cell>
          <cell r="AD12219">
            <v>35000</v>
          </cell>
        </row>
        <row r="12220">
          <cell r="W12220" t="str">
            <v>QSPRA02</v>
          </cell>
          <cell r="AD12220">
            <v>35000</v>
          </cell>
        </row>
        <row r="12221">
          <cell r="W12221" t="str">
            <v>QSPRA02</v>
          </cell>
          <cell r="AD12221">
            <v>35000</v>
          </cell>
        </row>
        <row r="12222">
          <cell r="W12222" t="str">
            <v>QSPRA02</v>
          </cell>
          <cell r="AD12222">
            <v>37500</v>
          </cell>
        </row>
        <row r="12223">
          <cell r="W12223" t="str">
            <v>QSPRA02</v>
          </cell>
          <cell r="AD12223">
            <v>40000</v>
          </cell>
        </row>
        <row r="12224">
          <cell r="W12224" t="str">
            <v>QSPRA02</v>
          </cell>
          <cell r="AD12224">
            <v>40000</v>
          </cell>
        </row>
        <row r="12225">
          <cell r="W12225" t="str">
            <v>QSPRA12</v>
          </cell>
          <cell r="AD12225">
            <v>220000</v>
          </cell>
        </row>
        <row r="12226">
          <cell r="W12226" t="str">
            <v>QSPRA12</v>
          </cell>
          <cell r="AD12226">
            <v>350000</v>
          </cell>
        </row>
        <row r="12227">
          <cell r="W12227" t="str">
            <v>ASPUY04</v>
          </cell>
          <cell r="AD12227">
            <v>18000</v>
          </cell>
        </row>
        <row r="12228">
          <cell r="W12228" t="str">
            <v>ASPUY04</v>
          </cell>
          <cell r="AD12228">
            <v>18000</v>
          </cell>
        </row>
        <row r="12229">
          <cell r="W12229" t="str">
            <v>QSTAR01</v>
          </cell>
          <cell r="AD12229">
            <v>690000</v>
          </cell>
        </row>
        <row r="12230">
          <cell r="W12230" t="str">
            <v>QSTAR02</v>
          </cell>
          <cell r="AD12230">
            <v>38500</v>
          </cell>
        </row>
        <row r="12231">
          <cell r="W12231" t="str">
            <v>QSTAR02</v>
          </cell>
          <cell r="AD12231">
            <v>38500</v>
          </cell>
        </row>
        <row r="12232">
          <cell r="W12232" t="str">
            <v>QSTAR02</v>
          </cell>
          <cell r="AD12232">
            <v>38500</v>
          </cell>
        </row>
        <row r="12233">
          <cell r="W12233" t="str">
            <v>QSTAR02</v>
          </cell>
          <cell r="AD12233">
            <v>38500</v>
          </cell>
        </row>
        <row r="12234">
          <cell r="W12234" t="str">
            <v>QSTAR02</v>
          </cell>
          <cell r="AD12234">
            <v>38500</v>
          </cell>
        </row>
        <row r="12235">
          <cell r="W12235" t="str">
            <v>QSTAR02</v>
          </cell>
          <cell r="AD12235">
            <v>38500</v>
          </cell>
        </row>
        <row r="12236">
          <cell r="W12236" t="str">
            <v>QSTAR05</v>
          </cell>
          <cell r="AD12236">
            <v>177500</v>
          </cell>
        </row>
        <row r="12237">
          <cell r="W12237" t="str">
            <v>QSTAR05</v>
          </cell>
          <cell r="AD12237">
            <v>182500</v>
          </cell>
        </row>
        <row r="12238">
          <cell r="W12238" t="str">
            <v>QSTAR05</v>
          </cell>
          <cell r="AD12238">
            <v>182500</v>
          </cell>
        </row>
        <row r="12239">
          <cell r="W12239" t="str">
            <v>QSTAR05</v>
          </cell>
          <cell r="AD12239">
            <v>182500</v>
          </cell>
        </row>
        <row r="12240">
          <cell r="W12240" t="str">
            <v>QSTAR07</v>
          </cell>
          <cell r="AD12240">
            <v>45000</v>
          </cell>
        </row>
        <row r="12241">
          <cell r="W12241" t="str">
            <v>QSTAR06</v>
          </cell>
          <cell r="AD12241">
            <v>25000</v>
          </cell>
        </row>
        <row r="12242">
          <cell r="W12242" t="str">
            <v>QSTAR06</v>
          </cell>
          <cell r="AD12242">
            <v>25000</v>
          </cell>
        </row>
        <row r="12243">
          <cell r="W12243" t="str">
            <v>ASTAR04</v>
          </cell>
          <cell r="AD12243">
            <v>25000</v>
          </cell>
        </row>
        <row r="12244">
          <cell r="W12244" t="str">
            <v>QSUPE07</v>
          </cell>
          <cell r="AD12244">
            <v>140000</v>
          </cell>
        </row>
        <row r="12245">
          <cell r="W12245" t="str">
            <v>ASURF01</v>
          </cell>
          <cell r="AD12245">
            <v>1</v>
          </cell>
        </row>
        <row r="12246">
          <cell r="W12246" t="str">
            <v>ATALI15</v>
          </cell>
          <cell r="AD12246">
            <v>225000</v>
          </cell>
        </row>
        <row r="12247">
          <cell r="W12247" t="str">
            <v>ATALI15</v>
          </cell>
          <cell r="AD12247">
            <v>225000</v>
          </cell>
        </row>
        <row r="12248">
          <cell r="W12248" t="str">
            <v>ATALI15</v>
          </cell>
          <cell r="AD12248">
            <v>240000</v>
          </cell>
        </row>
        <row r="12249">
          <cell r="W12249" t="str">
            <v>ATALI15</v>
          </cell>
          <cell r="AD12249">
            <v>240000</v>
          </cell>
        </row>
        <row r="12250">
          <cell r="W12250" t="str">
            <v>ATALI15</v>
          </cell>
          <cell r="AD12250">
            <v>240000</v>
          </cell>
        </row>
        <row r="12251">
          <cell r="W12251" t="str">
            <v>ATALI15</v>
          </cell>
          <cell r="AD12251">
            <v>240000</v>
          </cell>
        </row>
        <row r="12252">
          <cell r="W12252" t="str">
            <v>ATALI15</v>
          </cell>
          <cell r="AD12252">
            <v>240000</v>
          </cell>
        </row>
        <row r="12253">
          <cell r="W12253" t="str">
            <v>ATALI15</v>
          </cell>
          <cell r="AD12253">
            <v>255000</v>
          </cell>
        </row>
        <row r="12254">
          <cell r="W12254" t="str">
            <v>ATALI15</v>
          </cell>
          <cell r="AD12254">
            <v>255000</v>
          </cell>
        </row>
        <row r="12255">
          <cell r="W12255" t="str">
            <v>QTALI03</v>
          </cell>
          <cell r="AD12255">
            <v>315000</v>
          </cell>
        </row>
        <row r="12256">
          <cell r="W12256" t="str">
            <v>QTALI03</v>
          </cell>
          <cell r="AD12256">
            <v>315000</v>
          </cell>
        </row>
        <row r="12257">
          <cell r="W12257" t="str">
            <v>QTALI03</v>
          </cell>
          <cell r="AD12257">
            <v>315000</v>
          </cell>
        </row>
        <row r="12258">
          <cell r="W12258" t="str">
            <v>QTALI03</v>
          </cell>
          <cell r="AD12258">
            <v>315000</v>
          </cell>
        </row>
        <row r="12259">
          <cell r="W12259" t="str">
            <v>QTALI03</v>
          </cell>
          <cell r="AD12259">
            <v>315000</v>
          </cell>
        </row>
        <row r="12260">
          <cell r="W12260" t="str">
            <v>QTALI03</v>
          </cell>
          <cell r="AD12260">
            <v>315000</v>
          </cell>
        </row>
        <row r="12261">
          <cell r="W12261" t="str">
            <v>QTALI03</v>
          </cell>
          <cell r="AD12261">
            <v>325000</v>
          </cell>
        </row>
        <row r="12262">
          <cell r="W12262" t="str">
            <v>QTANG01</v>
          </cell>
          <cell r="AD12262">
            <v>338125</v>
          </cell>
        </row>
        <row r="12263">
          <cell r="W12263" t="str">
            <v>QTANG01</v>
          </cell>
          <cell r="AD12263">
            <v>338125</v>
          </cell>
        </row>
        <row r="12264">
          <cell r="W12264" t="str">
            <v>QTANG01</v>
          </cell>
          <cell r="AD12264">
            <v>338125</v>
          </cell>
        </row>
        <row r="12265">
          <cell r="W12265" t="str">
            <v>QTANG01</v>
          </cell>
          <cell r="AD12265">
            <v>338125</v>
          </cell>
        </row>
        <row r="12266">
          <cell r="W12266" t="str">
            <v>QTANG01</v>
          </cell>
          <cell r="AD12266">
            <v>338130</v>
          </cell>
        </row>
        <row r="12267">
          <cell r="W12267" t="str">
            <v>QTANG01</v>
          </cell>
          <cell r="AD12267">
            <v>338130</v>
          </cell>
        </row>
        <row r="12268">
          <cell r="W12268" t="str">
            <v>QTANG01</v>
          </cell>
          <cell r="AD12268">
            <v>350000</v>
          </cell>
        </row>
        <row r="12269">
          <cell r="W12269" t="str">
            <v>QTANG01</v>
          </cell>
          <cell r="AD12269">
            <v>375000</v>
          </cell>
        </row>
        <row r="12270">
          <cell r="W12270" t="str">
            <v>QTANG01</v>
          </cell>
          <cell r="AD12270">
            <v>375000</v>
          </cell>
        </row>
        <row r="12271">
          <cell r="W12271" t="str">
            <v>QTANG01</v>
          </cell>
          <cell r="AD12271">
            <v>375000</v>
          </cell>
        </row>
        <row r="12272">
          <cell r="W12272" t="str">
            <v>QTANG01</v>
          </cell>
          <cell r="AD12272">
            <v>385000</v>
          </cell>
        </row>
        <row r="12273">
          <cell r="W12273" t="str">
            <v>QTANG01</v>
          </cell>
          <cell r="AD12273">
            <v>385000</v>
          </cell>
        </row>
        <row r="12274">
          <cell r="W12274" t="str">
            <v>QTANG01</v>
          </cell>
          <cell r="AD12274">
            <v>385000</v>
          </cell>
        </row>
        <row r="12275">
          <cell r="W12275" t="str">
            <v>QTANG01</v>
          </cell>
          <cell r="AD12275">
            <v>385000</v>
          </cell>
        </row>
        <row r="12276">
          <cell r="W12276" t="str">
            <v>QTANG01</v>
          </cell>
          <cell r="AD12276">
            <v>423500</v>
          </cell>
        </row>
        <row r="12277">
          <cell r="W12277" t="str">
            <v>QTANG01</v>
          </cell>
          <cell r="AD12277">
            <v>423500</v>
          </cell>
        </row>
        <row r="12278">
          <cell r="W12278" t="str">
            <v>QTANG01</v>
          </cell>
          <cell r="AD12278">
            <v>423500</v>
          </cell>
        </row>
        <row r="12279">
          <cell r="W12279" t="str">
            <v>QTANG01</v>
          </cell>
          <cell r="AD12279">
            <v>423500</v>
          </cell>
        </row>
        <row r="12280">
          <cell r="W12280" t="str">
            <v>QTANG01</v>
          </cell>
          <cell r="AD12280">
            <v>423500</v>
          </cell>
        </row>
        <row r="12281">
          <cell r="W12281" t="str">
            <v>QTANG40</v>
          </cell>
          <cell r="AD12281">
            <v>300393.74</v>
          </cell>
        </row>
        <row r="12282">
          <cell r="W12282" t="str">
            <v>QTANG40</v>
          </cell>
          <cell r="AD12282">
            <v>330430</v>
          </cell>
        </row>
        <row r="12283">
          <cell r="W12283" t="str">
            <v>QTANG40</v>
          </cell>
          <cell r="AD12283">
            <v>330430</v>
          </cell>
        </row>
        <row r="12284">
          <cell r="W12284" t="str">
            <v>QTANG40</v>
          </cell>
          <cell r="AD12284">
            <v>330430</v>
          </cell>
        </row>
        <row r="12285">
          <cell r="W12285" t="str">
            <v>QTANG40</v>
          </cell>
          <cell r="AD12285">
            <v>330430</v>
          </cell>
        </row>
        <row r="12286">
          <cell r="W12286" t="str">
            <v>QTANG40</v>
          </cell>
          <cell r="AD12286">
            <v>330430</v>
          </cell>
        </row>
        <row r="12287">
          <cell r="W12287" t="str">
            <v>QTANG40</v>
          </cell>
          <cell r="AD12287">
            <v>330500</v>
          </cell>
        </row>
        <row r="12288">
          <cell r="W12288" t="str">
            <v>QTANG40</v>
          </cell>
          <cell r="AD12288">
            <v>330500</v>
          </cell>
        </row>
        <row r="12289">
          <cell r="W12289" t="str">
            <v>QTANG40</v>
          </cell>
          <cell r="AD12289">
            <v>400000</v>
          </cell>
        </row>
        <row r="12290">
          <cell r="W12290" t="str">
            <v>QTANG40</v>
          </cell>
          <cell r="AD12290">
            <v>400000</v>
          </cell>
        </row>
        <row r="12291">
          <cell r="W12291" t="str">
            <v>QTANG40</v>
          </cell>
          <cell r="AD12291">
            <v>410000</v>
          </cell>
        </row>
        <row r="12292">
          <cell r="W12292" t="str">
            <v>QTANG40</v>
          </cell>
          <cell r="AD12292">
            <v>410000</v>
          </cell>
        </row>
        <row r="12293">
          <cell r="W12293" t="str">
            <v>QTANG40</v>
          </cell>
          <cell r="AD12293">
            <v>415000</v>
          </cell>
        </row>
        <row r="12294">
          <cell r="W12294" t="str">
            <v>QTANG40</v>
          </cell>
          <cell r="AD12294">
            <v>415000</v>
          </cell>
        </row>
        <row r="12295">
          <cell r="W12295" t="str">
            <v>QTANG40</v>
          </cell>
          <cell r="AD12295">
            <v>420000</v>
          </cell>
        </row>
        <row r="12296">
          <cell r="W12296" t="str">
            <v>QTANG40</v>
          </cell>
          <cell r="AD12296">
            <v>420000</v>
          </cell>
        </row>
        <row r="12297">
          <cell r="W12297" t="str">
            <v>QTANG40</v>
          </cell>
          <cell r="AD12297">
            <v>420000</v>
          </cell>
        </row>
        <row r="12298">
          <cell r="W12298" t="str">
            <v>QTANG40</v>
          </cell>
          <cell r="AD12298">
            <v>420000</v>
          </cell>
        </row>
        <row r="12299">
          <cell r="W12299" t="str">
            <v>QTANG40</v>
          </cell>
          <cell r="AD12299">
            <v>420000</v>
          </cell>
        </row>
        <row r="12300">
          <cell r="W12300" t="str">
            <v>QTANG40</v>
          </cell>
          <cell r="AD12300">
            <v>420000</v>
          </cell>
        </row>
        <row r="12301">
          <cell r="W12301" t="str">
            <v>QTANG40</v>
          </cell>
          <cell r="AD12301">
            <v>420000</v>
          </cell>
        </row>
        <row r="12302">
          <cell r="W12302" t="str">
            <v>QTANG40</v>
          </cell>
          <cell r="AD12302">
            <v>420000</v>
          </cell>
        </row>
        <row r="12303">
          <cell r="W12303" t="str">
            <v>QTANG40</v>
          </cell>
          <cell r="AD12303">
            <v>425000</v>
          </cell>
        </row>
        <row r="12304">
          <cell r="W12304" t="str">
            <v>QTANG40</v>
          </cell>
          <cell r="AD12304">
            <v>425000</v>
          </cell>
        </row>
        <row r="12305">
          <cell r="W12305" t="str">
            <v>QTANG40</v>
          </cell>
          <cell r="AD12305">
            <v>425000</v>
          </cell>
        </row>
        <row r="12306">
          <cell r="W12306" t="str">
            <v>QTANG40</v>
          </cell>
          <cell r="AD12306">
            <v>425000</v>
          </cell>
        </row>
        <row r="12307">
          <cell r="W12307" t="str">
            <v>QTANG40</v>
          </cell>
          <cell r="AD12307">
            <v>425000</v>
          </cell>
        </row>
        <row r="12308">
          <cell r="W12308" t="str">
            <v>QTANG40</v>
          </cell>
          <cell r="AD12308">
            <v>425000</v>
          </cell>
        </row>
        <row r="12309">
          <cell r="W12309" t="str">
            <v>QTANG40</v>
          </cell>
          <cell r="AD12309">
            <v>425000</v>
          </cell>
        </row>
        <row r="12310">
          <cell r="W12310" t="str">
            <v>QTANG40</v>
          </cell>
          <cell r="AD12310">
            <v>425000</v>
          </cell>
        </row>
        <row r="12311">
          <cell r="W12311" t="str">
            <v>QTANG40</v>
          </cell>
          <cell r="AD12311">
            <v>425000</v>
          </cell>
        </row>
        <row r="12312">
          <cell r="W12312" t="str">
            <v>QTANG40</v>
          </cell>
          <cell r="AD12312">
            <v>425000</v>
          </cell>
        </row>
        <row r="12313">
          <cell r="W12313" t="str">
            <v>QTANG40</v>
          </cell>
          <cell r="AD12313">
            <v>425000</v>
          </cell>
        </row>
        <row r="12314">
          <cell r="W12314" t="str">
            <v>QTANG40</v>
          </cell>
          <cell r="AD12314">
            <v>425000</v>
          </cell>
        </row>
        <row r="12315">
          <cell r="W12315" t="str">
            <v>QTANG40</v>
          </cell>
          <cell r="AD12315">
            <v>425000</v>
          </cell>
        </row>
        <row r="12316">
          <cell r="W12316" t="str">
            <v>QTANG40</v>
          </cell>
          <cell r="AD12316">
            <v>425000</v>
          </cell>
        </row>
        <row r="12317">
          <cell r="W12317" t="str">
            <v>QTANG40</v>
          </cell>
          <cell r="AD12317">
            <v>425000</v>
          </cell>
        </row>
        <row r="12318">
          <cell r="W12318" t="str">
            <v>QTANG40</v>
          </cell>
          <cell r="AD12318">
            <v>425000</v>
          </cell>
        </row>
        <row r="12319">
          <cell r="W12319" t="str">
            <v>QTANG40</v>
          </cell>
          <cell r="AD12319">
            <v>425000</v>
          </cell>
        </row>
        <row r="12320">
          <cell r="W12320" t="str">
            <v>QTANG40</v>
          </cell>
          <cell r="AD12320">
            <v>425000</v>
          </cell>
        </row>
        <row r="12321">
          <cell r="W12321" t="str">
            <v>QTANG40</v>
          </cell>
          <cell r="AD12321">
            <v>425000</v>
          </cell>
        </row>
        <row r="12322">
          <cell r="W12322" t="str">
            <v>QTANG40</v>
          </cell>
          <cell r="AD12322">
            <v>425000</v>
          </cell>
        </row>
        <row r="12323">
          <cell r="W12323" t="str">
            <v>QTANG40</v>
          </cell>
          <cell r="AD12323">
            <v>430000</v>
          </cell>
        </row>
        <row r="12324">
          <cell r="W12324" t="str">
            <v>QTANG40</v>
          </cell>
          <cell r="AD12324">
            <v>430000</v>
          </cell>
        </row>
        <row r="12325">
          <cell r="W12325" t="str">
            <v>QTANG40</v>
          </cell>
          <cell r="AD12325">
            <v>435000</v>
          </cell>
        </row>
        <row r="12326">
          <cell r="W12326" t="str">
            <v>QTANG40</v>
          </cell>
          <cell r="AD12326">
            <v>435000</v>
          </cell>
        </row>
        <row r="12327">
          <cell r="W12327" t="str">
            <v>QTANG40</v>
          </cell>
          <cell r="AD12327">
            <v>435000</v>
          </cell>
        </row>
        <row r="12328">
          <cell r="W12328" t="str">
            <v>QTANG40</v>
          </cell>
          <cell r="AD12328">
            <v>440000</v>
          </cell>
        </row>
        <row r="12329">
          <cell r="W12329" t="str">
            <v>QTANG40</v>
          </cell>
          <cell r="AD12329">
            <v>440000</v>
          </cell>
        </row>
        <row r="12330">
          <cell r="W12330" t="str">
            <v>QTANG40</v>
          </cell>
          <cell r="AD12330">
            <v>440000</v>
          </cell>
        </row>
        <row r="12331">
          <cell r="W12331" t="str">
            <v>QTANG40</v>
          </cell>
          <cell r="AD12331">
            <v>440000</v>
          </cell>
        </row>
        <row r="12332">
          <cell r="W12332" t="str">
            <v>QTANG40</v>
          </cell>
          <cell r="AD12332">
            <v>440000</v>
          </cell>
        </row>
        <row r="12333">
          <cell r="W12333" t="str">
            <v>QTANG40</v>
          </cell>
          <cell r="AD12333">
            <v>440000</v>
          </cell>
        </row>
        <row r="12334">
          <cell r="W12334" t="str">
            <v>QTANG40</v>
          </cell>
          <cell r="AD12334">
            <v>445000</v>
          </cell>
        </row>
        <row r="12335">
          <cell r="W12335" t="str">
            <v>QTANG40</v>
          </cell>
          <cell r="AD12335">
            <v>450000</v>
          </cell>
        </row>
        <row r="12336">
          <cell r="W12336" t="str">
            <v>QTANG40</v>
          </cell>
          <cell r="AD12336">
            <v>450000</v>
          </cell>
        </row>
        <row r="12337">
          <cell r="W12337" t="str">
            <v>QTANG40</v>
          </cell>
          <cell r="AD12337">
            <v>450000</v>
          </cell>
        </row>
        <row r="12338">
          <cell r="W12338" t="str">
            <v>QTANG40</v>
          </cell>
          <cell r="AD12338">
            <v>450000</v>
          </cell>
        </row>
        <row r="12339">
          <cell r="W12339" t="str">
            <v>QTANG40</v>
          </cell>
          <cell r="AD12339">
            <v>450000</v>
          </cell>
        </row>
        <row r="12340">
          <cell r="W12340" t="str">
            <v>QTANG40</v>
          </cell>
          <cell r="AD12340">
            <v>450000</v>
          </cell>
        </row>
        <row r="12341">
          <cell r="W12341" t="str">
            <v>QTANG40</v>
          </cell>
          <cell r="AD12341">
            <v>450000</v>
          </cell>
        </row>
        <row r="12342">
          <cell r="W12342" t="str">
            <v>QTANG40</v>
          </cell>
          <cell r="AD12342">
            <v>450000</v>
          </cell>
        </row>
        <row r="12343">
          <cell r="W12343" t="str">
            <v>QTANG40</v>
          </cell>
          <cell r="AD12343">
            <v>450000</v>
          </cell>
        </row>
        <row r="12344">
          <cell r="W12344" t="str">
            <v>QTANG40</v>
          </cell>
          <cell r="AD12344">
            <v>450000</v>
          </cell>
        </row>
        <row r="12345">
          <cell r="W12345" t="str">
            <v>QTANG40</v>
          </cell>
          <cell r="AD12345">
            <v>450000</v>
          </cell>
        </row>
        <row r="12346">
          <cell r="W12346" t="str">
            <v>QTANG40</v>
          </cell>
          <cell r="AD12346">
            <v>450000</v>
          </cell>
        </row>
        <row r="12347">
          <cell r="W12347" t="str">
            <v>QTANG40</v>
          </cell>
          <cell r="AD12347">
            <v>450000</v>
          </cell>
        </row>
        <row r="12348">
          <cell r="W12348" t="str">
            <v>QTANG40</v>
          </cell>
          <cell r="AD12348">
            <v>450000</v>
          </cell>
        </row>
        <row r="12349">
          <cell r="W12349" t="str">
            <v>QTANG40</v>
          </cell>
          <cell r="AD12349">
            <v>450000</v>
          </cell>
        </row>
        <row r="12350">
          <cell r="W12350" t="str">
            <v>QTANG40</v>
          </cell>
          <cell r="AD12350">
            <v>450000</v>
          </cell>
        </row>
        <row r="12351">
          <cell r="W12351" t="str">
            <v>QTANG40</v>
          </cell>
          <cell r="AD12351">
            <v>450000</v>
          </cell>
        </row>
        <row r="12352">
          <cell r="W12352" t="str">
            <v>QTANG40</v>
          </cell>
          <cell r="AD12352">
            <v>450000</v>
          </cell>
        </row>
        <row r="12353">
          <cell r="W12353" t="str">
            <v>QTANG40</v>
          </cell>
          <cell r="AD12353">
            <v>450000</v>
          </cell>
        </row>
        <row r="12354">
          <cell r="W12354" t="str">
            <v>QTANG40</v>
          </cell>
          <cell r="AD12354">
            <v>450000</v>
          </cell>
        </row>
        <row r="12355">
          <cell r="W12355" t="str">
            <v>QTANG40</v>
          </cell>
          <cell r="AD12355">
            <v>450000</v>
          </cell>
        </row>
        <row r="12356">
          <cell r="W12356" t="str">
            <v>QTANG40</v>
          </cell>
          <cell r="AD12356">
            <v>450000</v>
          </cell>
        </row>
        <row r="12357">
          <cell r="W12357" t="str">
            <v>QTANG40</v>
          </cell>
          <cell r="AD12357">
            <v>475000</v>
          </cell>
        </row>
        <row r="12358">
          <cell r="W12358" t="str">
            <v>QTANG40</v>
          </cell>
          <cell r="AD12358">
            <v>500000</v>
          </cell>
        </row>
        <row r="12359">
          <cell r="W12359" t="str">
            <v>QTANG40</v>
          </cell>
          <cell r="AD12359">
            <v>135000</v>
          </cell>
        </row>
        <row r="12360">
          <cell r="W12360" t="str">
            <v>QTANG03</v>
          </cell>
          <cell r="AD12360">
            <v>365000</v>
          </cell>
        </row>
        <row r="12361">
          <cell r="W12361" t="str">
            <v>QTANG03</v>
          </cell>
          <cell r="AD12361">
            <v>365000</v>
          </cell>
        </row>
        <row r="12362">
          <cell r="W12362" t="str">
            <v>QTANG03</v>
          </cell>
          <cell r="AD12362">
            <v>400000</v>
          </cell>
        </row>
        <row r="12363">
          <cell r="W12363" t="str">
            <v>ATANG08</v>
          </cell>
          <cell r="AD12363">
            <v>385000</v>
          </cell>
        </row>
        <row r="12364">
          <cell r="W12364" t="str">
            <v>ATANG08</v>
          </cell>
          <cell r="AD12364">
            <v>387500</v>
          </cell>
        </row>
        <row r="12365">
          <cell r="W12365" t="str">
            <v>ATANG08</v>
          </cell>
          <cell r="AD12365">
            <v>387500</v>
          </cell>
        </row>
        <row r="12366">
          <cell r="W12366" t="str">
            <v>ATANG08</v>
          </cell>
          <cell r="AD12366">
            <v>387500</v>
          </cell>
        </row>
        <row r="12367">
          <cell r="W12367" t="str">
            <v>ATANG08</v>
          </cell>
          <cell r="AD12367">
            <v>387500</v>
          </cell>
        </row>
        <row r="12368">
          <cell r="W12368" t="str">
            <v>ATANG08</v>
          </cell>
          <cell r="AD12368">
            <v>387500</v>
          </cell>
        </row>
        <row r="12369">
          <cell r="W12369" t="str">
            <v>ATANG08</v>
          </cell>
          <cell r="AD12369">
            <v>387500</v>
          </cell>
        </row>
        <row r="12370">
          <cell r="W12370" t="str">
            <v>ATANG08</v>
          </cell>
          <cell r="AD12370">
            <v>387500</v>
          </cell>
        </row>
        <row r="12371">
          <cell r="W12371" t="str">
            <v>ATANG08</v>
          </cell>
          <cell r="AD12371">
            <v>387500</v>
          </cell>
        </row>
        <row r="12372">
          <cell r="W12372" t="str">
            <v>ATANG08</v>
          </cell>
          <cell r="AD12372">
            <v>387500</v>
          </cell>
        </row>
        <row r="12373">
          <cell r="W12373" t="str">
            <v>ATANG08</v>
          </cell>
          <cell r="AD12373">
            <v>387500</v>
          </cell>
        </row>
        <row r="12374">
          <cell r="W12374" t="str">
            <v>ATANG08</v>
          </cell>
          <cell r="AD12374">
            <v>387500</v>
          </cell>
        </row>
        <row r="12375">
          <cell r="W12375" t="str">
            <v>ATANG08</v>
          </cell>
          <cell r="AD12375">
            <v>387500</v>
          </cell>
        </row>
        <row r="12376">
          <cell r="W12376" t="str">
            <v>ATANG08</v>
          </cell>
          <cell r="AD12376">
            <v>387500</v>
          </cell>
        </row>
        <row r="12377">
          <cell r="W12377" t="str">
            <v>ATANG08</v>
          </cell>
          <cell r="AD12377">
            <v>387500</v>
          </cell>
        </row>
        <row r="12378">
          <cell r="W12378" t="str">
            <v>ATANG08</v>
          </cell>
          <cell r="AD12378">
            <v>390000</v>
          </cell>
        </row>
        <row r="12379">
          <cell r="W12379" t="str">
            <v>ATANG08</v>
          </cell>
          <cell r="AD12379">
            <v>390000</v>
          </cell>
        </row>
        <row r="12380">
          <cell r="W12380" t="str">
            <v>ATANG08</v>
          </cell>
          <cell r="AD12380">
            <v>395000</v>
          </cell>
        </row>
        <row r="12381">
          <cell r="W12381" t="str">
            <v>QTANG41</v>
          </cell>
          <cell r="AD12381">
            <v>600000</v>
          </cell>
        </row>
        <row r="12382">
          <cell r="W12382" t="str">
            <v>QTANG41</v>
          </cell>
          <cell r="AD12382">
            <v>300000</v>
          </cell>
        </row>
        <row r="12383">
          <cell r="W12383" t="str">
            <v>QTANG05</v>
          </cell>
          <cell r="AD12383">
            <v>400000</v>
          </cell>
        </row>
        <row r="12384">
          <cell r="W12384" t="str">
            <v>ATANG52</v>
          </cell>
          <cell r="AD12384">
            <v>1</v>
          </cell>
        </row>
        <row r="12385">
          <cell r="W12385" t="str">
            <v>QTANG32</v>
          </cell>
          <cell r="AD12385">
            <v>476460</v>
          </cell>
        </row>
        <row r="12386">
          <cell r="W12386" t="str">
            <v>QTANG32</v>
          </cell>
          <cell r="AD12386">
            <v>542460</v>
          </cell>
        </row>
        <row r="12387">
          <cell r="W12387" t="str">
            <v>QTANG32</v>
          </cell>
          <cell r="AD12387">
            <v>542460</v>
          </cell>
        </row>
        <row r="12388">
          <cell r="W12388" t="str">
            <v>QTANG32</v>
          </cell>
          <cell r="AD12388">
            <v>542460</v>
          </cell>
        </row>
        <row r="12389">
          <cell r="W12389" t="str">
            <v>QTANG32</v>
          </cell>
          <cell r="AD12389">
            <v>542500</v>
          </cell>
        </row>
        <row r="12390">
          <cell r="W12390" t="str">
            <v>QTANG32</v>
          </cell>
          <cell r="AD12390">
            <v>585000</v>
          </cell>
        </row>
        <row r="12391">
          <cell r="W12391" t="str">
            <v>QTANG32</v>
          </cell>
          <cell r="AD12391">
            <v>585000</v>
          </cell>
        </row>
        <row r="12392">
          <cell r="W12392" t="str">
            <v>QTANG32</v>
          </cell>
          <cell r="AD12392">
            <v>585000</v>
          </cell>
        </row>
        <row r="12393">
          <cell r="W12393" t="str">
            <v>QTANG32</v>
          </cell>
          <cell r="AD12393">
            <v>585000</v>
          </cell>
        </row>
        <row r="12394">
          <cell r="W12394" t="str">
            <v>QTANG32</v>
          </cell>
          <cell r="AD12394">
            <v>585000</v>
          </cell>
        </row>
        <row r="12395">
          <cell r="W12395" t="str">
            <v>QTANG32</v>
          </cell>
          <cell r="AD12395">
            <v>585000</v>
          </cell>
        </row>
        <row r="12396">
          <cell r="W12396" t="str">
            <v>QTANG32</v>
          </cell>
          <cell r="AD12396">
            <v>585000</v>
          </cell>
        </row>
        <row r="12397">
          <cell r="W12397" t="str">
            <v>QTANG32</v>
          </cell>
          <cell r="AD12397">
            <v>585000</v>
          </cell>
        </row>
        <row r="12398">
          <cell r="W12398" t="str">
            <v>QTANG32</v>
          </cell>
          <cell r="AD12398">
            <v>585000</v>
          </cell>
        </row>
        <row r="12399">
          <cell r="W12399" t="str">
            <v>QTANG34</v>
          </cell>
          <cell r="AD12399">
            <v>640000</v>
          </cell>
        </row>
        <row r="12400">
          <cell r="W12400" t="str">
            <v>QTANG34</v>
          </cell>
          <cell r="AD12400">
            <v>670000</v>
          </cell>
        </row>
        <row r="12401">
          <cell r="W12401" t="str">
            <v>ATANG14</v>
          </cell>
          <cell r="AD12401">
            <v>1025000</v>
          </cell>
        </row>
        <row r="12402">
          <cell r="W12402" t="str">
            <v>ATANG14</v>
          </cell>
          <cell r="AD12402">
            <v>1100000</v>
          </cell>
        </row>
        <row r="12403">
          <cell r="W12403" t="str">
            <v>ATANG47</v>
          </cell>
          <cell r="AD12403">
            <v>1025000</v>
          </cell>
        </row>
        <row r="12404">
          <cell r="W12404" t="str">
            <v>QTANG12</v>
          </cell>
          <cell r="AD12404">
            <v>32500</v>
          </cell>
        </row>
        <row r="12405">
          <cell r="W12405" t="str">
            <v>QTANG12</v>
          </cell>
          <cell r="AD12405">
            <v>32500</v>
          </cell>
        </row>
        <row r="12406">
          <cell r="W12406" t="str">
            <v>QTANG12</v>
          </cell>
          <cell r="AD12406">
            <v>32500</v>
          </cell>
        </row>
        <row r="12407">
          <cell r="W12407" t="str">
            <v>QTANG12</v>
          </cell>
          <cell r="AD12407">
            <v>35000</v>
          </cell>
        </row>
        <row r="12408">
          <cell r="W12408" t="str">
            <v>QTANG12</v>
          </cell>
          <cell r="AD12408">
            <v>35000</v>
          </cell>
        </row>
        <row r="12409">
          <cell r="W12409" t="str">
            <v>QTANG12</v>
          </cell>
          <cell r="AD12409">
            <v>37500</v>
          </cell>
        </row>
        <row r="12410">
          <cell r="W12410" t="str">
            <v>QTANG12</v>
          </cell>
          <cell r="AD12410">
            <v>40000</v>
          </cell>
        </row>
        <row r="12411">
          <cell r="W12411" t="str">
            <v>QTANG12</v>
          </cell>
          <cell r="AD12411">
            <v>40000</v>
          </cell>
        </row>
        <row r="12412">
          <cell r="W12412" t="str">
            <v>QTANG12</v>
          </cell>
          <cell r="AD12412">
            <v>40000</v>
          </cell>
        </row>
        <row r="12413">
          <cell r="W12413" t="str">
            <v>QTANG12</v>
          </cell>
          <cell r="AD12413">
            <v>50000</v>
          </cell>
        </row>
        <row r="12414">
          <cell r="W12414" t="str">
            <v>QTANG12</v>
          </cell>
          <cell r="AD12414">
            <v>55000</v>
          </cell>
        </row>
        <row r="12415">
          <cell r="W12415" t="str">
            <v>QTANG12</v>
          </cell>
          <cell r="AD12415">
            <v>55000</v>
          </cell>
        </row>
        <row r="12416">
          <cell r="W12416" t="str">
            <v>QTANG08</v>
          </cell>
          <cell r="AD12416">
            <v>97000</v>
          </cell>
        </row>
        <row r="12417">
          <cell r="W12417" t="str">
            <v>QTANG08</v>
          </cell>
          <cell r="AD12417">
            <v>100000</v>
          </cell>
        </row>
        <row r="12418">
          <cell r="W12418" t="str">
            <v>QTANG08</v>
          </cell>
          <cell r="AD12418">
            <v>105000</v>
          </cell>
        </row>
        <row r="12419">
          <cell r="W12419" t="str">
            <v>QTANG08</v>
          </cell>
          <cell r="AD12419">
            <v>105000</v>
          </cell>
        </row>
        <row r="12420">
          <cell r="W12420" t="str">
            <v>QTANG08</v>
          </cell>
          <cell r="AD12420">
            <v>107000</v>
          </cell>
        </row>
        <row r="12421">
          <cell r="W12421" t="str">
            <v>QTANG08</v>
          </cell>
          <cell r="AD12421">
            <v>107000</v>
          </cell>
        </row>
        <row r="12422">
          <cell r="W12422" t="str">
            <v>QTANG08</v>
          </cell>
          <cell r="AD12422">
            <v>115000</v>
          </cell>
        </row>
        <row r="12423">
          <cell r="W12423" t="str">
            <v>QTANG08</v>
          </cell>
          <cell r="AD12423">
            <v>120000</v>
          </cell>
        </row>
        <row r="12424">
          <cell r="W12424" t="str">
            <v>QTANG08</v>
          </cell>
          <cell r="AD12424">
            <v>120000</v>
          </cell>
        </row>
        <row r="12425">
          <cell r="W12425" t="str">
            <v>QTANG08</v>
          </cell>
          <cell r="AD12425">
            <v>120000</v>
          </cell>
        </row>
        <row r="12426">
          <cell r="W12426" t="str">
            <v>QTANG08</v>
          </cell>
          <cell r="AD12426">
            <v>120000</v>
          </cell>
        </row>
        <row r="12427">
          <cell r="W12427" t="str">
            <v>QTANG08</v>
          </cell>
          <cell r="AD12427">
            <v>120000</v>
          </cell>
        </row>
        <row r="12428">
          <cell r="W12428" t="str">
            <v>QTANG08</v>
          </cell>
          <cell r="AD12428">
            <v>120000</v>
          </cell>
        </row>
        <row r="12429">
          <cell r="W12429" t="str">
            <v>QTANG08</v>
          </cell>
          <cell r="AD12429">
            <v>120000</v>
          </cell>
        </row>
        <row r="12430">
          <cell r="W12430" t="str">
            <v>QTANG08</v>
          </cell>
          <cell r="AD12430">
            <v>120000</v>
          </cell>
        </row>
        <row r="12431">
          <cell r="W12431" t="str">
            <v>QTANG08</v>
          </cell>
          <cell r="AD12431">
            <v>120000</v>
          </cell>
        </row>
        <row r="12432">
          <cell r="W12432" t="str">
            <v>QTANG08</v>
          </cell>
          <cell r="AD12432">
            <v>120000</v>
          </cell>
        </row>
        <row r="12433">
          <cell r="W12433" t="str">
            <v>QTANG08</v>
          </cell>
          <cell r="AD12433">
            <v>120000</v>
          </cell>
        </row>
        <row r="12434">
          <cell r="W12434" t="str">
            <v>QTANG08</v>
          </cell>
          <cell r="AD12434">
            <v>120000</v>
          </cell>
        </row>
        <row r="12435">
          <cell r="W12435" t="str">
            <v>QTANG08</v>
          </cell>
          <cell r="AD12435">
            <v>120000</v>
          </cell>
        </row>
        <row r="12436">
          <cell r="W12436" t="str">
            <v>QTANG08</v>
          </cell>
          <cell r="AD12436">
            <v>120000</v>
          </cell>
        </row>
        <row r="12437">
          <cell r="W12437" t="str">
            <v>QTANG08</v>
          </cell>
          <cell r="AD12437">
            <v>120000</v>
          </cell>
        </row>
        <row r="12438">
          <cell r="W12438" t="str">
            <v>QTANG08</v>
          </cell>
          <cell r="AD12438">
            <v>120000</v>
          </cell>
        </row>
        <row r="12439">
          <cell r="W12439" t="str">
            <v>QTANG08</v>
          </cell>
          <cell r="AD12439">
            <v>120000</v>
          </cell>
        </row>
        <row r="12440">
          <cell r="W12440" t="str">
            <v>QTANG08</v>
          </cell>
          <cell r="AD12440">
            <v>120000</v>
          </cell>
        </row>
        <row r="12441">
          <cell r="W12441" t="str">
            <v>QTANG08</v>
          </cell>
          <cell r="AD12441">
            <v>120000</v>
          </cell>
        </row>
        <row r="12442">
          <cell r="W12442" t="str">
            <v>QTANG08</v>
          </cell>
          <cell r="AD12442">
            <v>120000</v>
          </cell>
        </row>
        <row r="12443">
          <cell r="W12443" t="str">
            <v>QTANG08</v>
          </cell>
          <cell r="AD12443">
            <v>120000</v>
          </cell>
        </row>
        <row r="12444">
          <cell r="W12444" t="str">
            <v>QTANG08</v>
          </cell>
          <cell r="AD12444">
            <v>120000</v>
          </cell>
        </row>
        <row r="12445">
          <cell r="W12445" t="str">
            <v>QTANG08</v>
          </cell>
          <cell r="AD12445">
            <v>120000</v>
          </cell>
        </row>
        <row r="12446">
          <cell r="W12446" t="str">
            <v>QTANG08</v>
          </cell>
          <cell r="AD12446">
            <v>120000</v>
          </cell>
        </row>
        <row r="12447">
          <cell r="W12447" t="str">
            <v>QTANG08</v>
          </cell>
          <cell r="AD12447">
            <v>120000</v>
          </cell>
        </row>
        <row r="12448">
          <cell r="W12448" t="str">
            <v>QTANG08</v>
          </cell>
          <cell r="AD12448">
            <v>120000</v>
          </cell>
        </row>
        <row r="12449">
          <cell r="W12449" t="str">
            <v>QTANG08</v>
          </cell>
          <cell r="AD12449">
            <v>120000</v>
          </cell>
        </row>
        <row r="12450">
          <cell r="W12450" t="str">
            <v>QTANG08</v>
          </cell>
          <cell r="AD12450">
            <v>120000</v>
          </cell>
        </row>
        <row r="12451">
          <cell r="W12451" t="str">
            <v>QTANG08</v>
          </cell>
          <cell r="AD12451">
            <v>120000</v>
          </cell>
        </row>
        <row r="12452">
          <cell r="W12452" t="str">
            <v>QTANG08</v>
          </cell>
          <cell r="AD12452">
            <v>120000</v>
          </cell>
        </row>
        <row r="12453">
          <cell r="W12453" t="str">
            <v>QTANG08</v>
          </cell>
          <cell r="AD12453">
            <v>120000</v>
          </cell>
        </row>
        <row r="12454">
          <cell r="W12454" t="str">
            <v>QTANG08</v>
          </cell>
          <cell r="AD12454">
            <v>120000</v>
          </cell>
        </row>
        <row r="12455">
          <cell r="W12455" t="str">
            <v>QTANG08</v>
          </cell>
          <cell r="AD12455">
            <v>130000</v>
          </cell>
        </row>
        <row r="12456">
          <cell r="W12456" t="str">
            <v>QTANG08</v>
          </cell>
          <cell r="AD12456">
            <v>130000</v>
          </cell>
        </row>
        <row r="12457">
          <cell r="W12457" t="str">
            <v>QTARG01</v>
          </cell>
          <cell r="AD12457">
            <v>75000</v>
          </cell>
        </row>
        <row r="12458">
          <cell r="W12458" t="str">
            <v>QTARG01</v>
          </cell>
          <cell r="AD12458">
            <v>75000</v>
          </cell>
        </row>
        <row r="12459">
          <cell r="W12459" t="str">
            <v>QTARG01</v>
          </cell>
          <cell r="AD12459">
            <v>75000</v>
          </cell>
        </row>
        <row r="12460">
          <cell r="W12460" t="str">
            <v>QTARG01</v>
          </cell>
          <cell r="AD12460">
            <v>75000</v>
          </cell>
        </row>
        <row r="12461">
          <cell r="W12461" t="str">
            <v>QTARG01</v>
          </cell>
          <cell r="AD12461">
            <v>75000</v>
          </cell>
        </row>
        <row r="12462">
          <cell r="W12462" t="str">
            <v>QTARG01</v>
          </cell>
          <cell r="AD12462">
            <v>75000</v>
          </cell>
        </row>
        <row r="12463">
          <cell r="W12463" t="str">
            <v>QTARG01</v>
          </cell>
          <cell r="AD12463">
            <v>75000</v>
          </cell>
        </row>
        <row r="12464">
          <cell r="W12464" t="str">
            <v>QTARG01</v>
          </cell>
          <cell r="AD12464">
            <v>75000</v>
          </cell>
        </row>
        <row r="12465">
          <cell r="W12465" t="str">
            <v>QTARG01</v>
          </cell>
          <cell r="AD12465">
            <v>75000</v>
          </cell>
        </row>
        <row r="12466">
          <cell r="W12466" t="str">
            <v>QTARG01</v>
          </cell>
          <cell r="AD12466">
            <v>75000</v>
          </cell>
        </row>
        <row r="12467">
          <cell r="W12467" t="str">
            <v>QTARG01</v>
          </cell>
          <cell r="AD12467">
            <v>75000</v>
          </cell>
        </row>
        <row r="12468">
          <cell r="W12468" t="str">
            <v>QTARG01</v>
          </cell>
          <cell r="AD12468">
            <v>75000</v>
          </cell>
        </row>
        <row r="12469">
          <cell r="W12469" t="str">
            <v>QTARG01</v>
          </cell>
          <cell r="AD12469">
            <v>80000</v>
          </cell>
        </row>
        <row r="12470">
          <cell r="W12470" t="str">
            <v>QTERM01</v>
          </cell>
          <cell r="AD12470">
            <v>27500</v>
          </cell>
        </row>
        <row r="12471">
          <cell r="W12471" t="str">
            <v>QTERM01</v>
          </cell>
          <cell r="AD12471">
            <v>27500</v>
          </cell>
        </row>
        <row r="12472">
          <cell r="W12472" t="str">
            <v>QTERM01</v>
          </cell>
          <cell r="AD12472">
            <v>27500</v>
          </cell>
        </row>
        <row r="12473">
          <cell r="W12473" t="str">
            <v>QTERM01</v>
          </cell>
          <cell r="AD12473">
            <v>28500</v>
          </cell>
        </row>
        <row r="12474">
          <cell r="W12474" t="str">
            <v>QTERM01</v>
          </cell>
          <cell r="AD12474">
            <v>28500</v>
          </cell>
        </row>
        <row r="12475">
          <cell r="W12475" t="str">
            <v>QTERM01</v>
          </cell>
          <cell r="AD12475">
            <v>28500</v>
          </cell>
        </row>
        <row r="12476">
          <cell r="W12476" t="str">
            <v>QTERM01</v>
          </cell>
          <cell r="AD12476">
            <v>29000</v>
          </cell>
        </row>
        <row r="12477">
          <cell r="W12477" t="str">
            <v>QTERM01</v>
          </cell>
          <cell r="AD12477">
            <v>29000</v>
          </cell>
        </row>
        <row r="12478">
          <cell r="W12478" t="str">
            <v>QTERM01</v>
          </cell>
          <cell r="AD12478">
            <v>29000</v>
          </cell>
        </row>
        <row r="12479">
          <cell r="W12479" t="str">
            <v>QTERM02</v>
          </cell>
          <cell r="AD12479">
            <v>7000</v>
          </cell>
        </row>
        <row r="12480">
          <cell r="W12480" t="str">
            <v>QTERM02</v>
          </cell>
          <cell r="AD12480">
            <v>7250</v>
          </cell>
        </row>
        <row r="12481">
          <cell r="W12481" t="str">
            <v>QTERM02</v>
          </cell>
          <cell r="AD12481">
            <v>7250</v>
          </cell>
        </row>
        <row r="12482">
          <cell r="W12482" t="str">
            <v>QTERM02</v>
          </cell>
          <cell r="AD12482">
            <v>7250</v>
          </cell>
        </row>
        <row r="12483">
          <cell r="W12483" t="str">
            <v>QTERM02</v>
          </cell>
          <cell r="AD12483">
            <v>8500</v>
          </cell>
        </row>
        <row r="12484">
          <cell r="W12484" t="str">
            <v>QTERM02</v>
          </cell>
          <cell r="AD12484">
            <v>8500</v>
          </cell>
        </row>
        <row r="12485">
          <cell r="W12485" t="str">
            <v>QTERM02</v>
          </cell>
          <cell r="AD12485">
            <v>8500</v>
          </cell>
        </row>
        <row r="12486">
          <cell r="W12486" t="str">
            <v>QTERM02</v>
          </cell>
          <cell r="AD12486">
            <v>8750</v>
          </cell>
        </row>
        <row r="12487">
          <cell r="W12487" t="str">
            <v>QTERM02</v>
          </cell>
          <cell r="AD12487">
            <v>8750</v>
          </cell>
        </row>
        <row r="12488">
          <cell r="W12488" t="str">
            <v>QTERM02</v>
          </cell>
          <cell r="AD12488">
            <v>9000</v>
          </cell>
        </row>
        <row r="12489">
          <cell r="W12489" t="str">
            <v>QTERM02</v>
          </cell>
          <cell r="AD12489">
            <v>9000</v>
          </cell>
        </row>
        <row r="12490">
          <cell r="W12490" t="str">
            <v>QTERO02</v>
          </cell>
          <cell r="AD12490">
            <v>13500</v>
          </cell>
        </row>
        <row r="12491">
          <cell r="W12491" t="str">
            <v>QTERO02</v>
          </cell>
          <cell r="AD12491">
            <v>15000</v>
          </cell>
        </row>
        <row r="12492">
          <cell r="W12492" t="str">
            <v>QTERO02</v>
          </cell>
          <cell r="AD12492">
            <v>15000</v>
          </cell>
        </row>
        <row r="12493">
          <cell r="W12493" t="str">
            <v>QTERO02</v>
          </cell>
          <cell r="AD12493">
            <v>15000</v>
          </cell>
        </row>
        <row r="12494">
          <cell r="W12494" t="str">
            <v>QTERO02</v>
          </cell>
          <cell r="AD12494">
            <v>15000</v>
          </cell>
        </row>
        <row r="12495">
          <cell r="W12495" t="str">
            <v>QTERO02</v>
          </cell>
          <cell r="AD12495">
            <v>15000</v>
          </cell>
        </row>
        <row r="12496">
          <cell r="W12496" t="str">
            <v>QTERO02</v>
          </cell>
          <cell r="AD12496">
            <v>15000</v>
          </cell>
        </row>
        <row r="12497">
          <cell r="W12497" t="str">
            <v>QTERO02</v>
          </cell>
          <cell r="AD12497">
            <v>18000</v>
          </cell>
        </row>
        <row r="12498">
          <cell r="W12498" t="str">
            <v>QTERO03</v>
          </cell>
          <cell r="AD12498">
            <v>9500</v>
          </cell>
        </row>
        <row r="12499">
          <cell r="W12499" t="str">
            <v>QTERO03</v>
          </cell>
          <cell r="AD12499">
            <v>9500</v>
          </cell>
        </row>
        <row r="12500">
          <cell r="W12500" t="str">
            <v>QTERO03</v>
          </cell>
          <cell r="AD12500">
            <v>9500</v>
          </cell>
        </row>
        <row r="12501">
          <cell r="W12501" t="str">
            <v>QTERO03</v>
          </cell>
          <cell r="AD12501">
            <v>9500</v>
          </cell>
        </row>
        <row r="12502">
          <cell r="W12502" t="str">
            <v>QTERO03</v>
          </cell>
          <cell r="AD12502">
            <v>9500</v>
          </cell>
        </row>
        <row r="12503">
          <cell r="W12503" t="str">
            <v>QTERO03</v>
          </cell>
          <cell r="AD12503">
            <v>10000</v>
          </cell>
        </row>
        <row r="12504">
          <cell r="W12504" t="str">
            <v>QTERO03</v>
          </cell>
          <cell r="AD12504">
            <v>10000</v>
          </cell>
        </row>
        <row r="12505">
          <cell r="W12505" t="str">
            <v>QTERO03</v>
          </cell>
          <cell r="AD12505">
            <v>10000</v>
          </cell>
        </row>
        <row r="12506">
          <cell r="W12506" t="str">
            <v>QTERO03</v>
          </cell>
          <cell r="AD12506">
            <v>10000</v>
          </cell>
        </row>
        <row r="12507">
          <cell r="W12507" t="str">
            <v>QTERO05</v>
          </cell>
          <cell r="AD12507">
            <v>13500</v>
          </cell>
        </row>
        <row r="12508">
          <cell r="W12508" t="str">
            <v>QTERO05</v>
          </cell>
          <cell r="AD12508">
            <v>13500</v>
          </cell>
        </row>
        <row r="12509">
          <cell r="W12509" t="str">
            <v>QTERO05</v>
          </cell>
          <cell r="AD12509">
            <v>13500</v>
          </cell>
        </row>
        <row r="12510">
          <cell r="W12510" t="str">
            <v>QTERO05</v>
          </cell>
          <cell r="AD12510">
            <v>14000</v>
          </cell>
        </row>
        <row r="12511">
          <cell r="W12511" t="str">
            <v>QTERO05</v>
          </cell>
          <cell r="AD12511">
            <v>14000</v>
          </cell>
        </row>
        <row r="12512">
          <cell r="W12512" t="str">
            <v>QTERO05</v>
          </cell>
          <cell r="AD12512">
            <v>14000</v>
          </cell>
        </row>
        <row r="12513">
          <cell r="W12513" t="str">
            <v>QTERO05</v>
          </cell>
          <cell r="AD12513">
            <v>14000</v>
          </cell>
        </row>
        <row r="12514">
          <cell r="W12514" t="str">
            <v>QTERO05</v>
          </cell>
          <cell r="AD12514">
            <v>14000</v>
          </cell>
        </row>
        <row r="12515">
          <cell r="W12515" t="str">
            <v>QTERO05</v>
          </cell>
          <cell r="AD12515">
            <v>14000</v>
          </cell>
        </row>
        <row r="12516">
          <cell r="W12516" t="str">
            <v>QTERO05</v>
          </cell>
          <cell r="AD12516">
            <v>14000</v>
          </cell>
        </row>
        <row r="12517">
          <cell r="W12517" t="str">
            <v>QTERO05</v>
          </cell>
          <cell r="AD12517">
            <v>14500</v>
          </cell>
        </row>
        <row r="12518">
          <cell r="W12518" t="str">
            <v>QTERO05</v>
          </cell>
          <cell r="AD12518">
            <v>14500</v>
          </cell>
        </row>
        <row r="12519">
          <cell r="W12519" t="str">
            <v>QTERO05</v>
          </cell>
          <cell r="AD12519">
            <v>14500</v>
          </cell>
        </row>
        <row r="12520">
          <cell r="W12520" t="str">
            <v>QTERO05</v>
          </cell>
          <cell r="AD12520">
            <v>15500</v>
          </cell>
        </row>
        <row r="12521">
          <cell r="W12521" t="str">
            <v>QTERO05</v>
          </cell>
          <cell r="AD12521">
            <v>15500</v>
          </cell>
        </row>
        <row r="12522">
          <cell r="W12522" t="str">
            <v>QTHRO02</v>
          </cell>
          <cell r="AD12522">
            <v>85750</v>
          </cell>
        </row>
        <row r="12523">
          <cell r="W12523" t="str">
            <v>QTHRO02</v>
          </cell>
          <cell r="AD12523">
            <v>85750</v>
          </cell>
        </row>
        <row r="12524">
          <cell r="W12524" t="str">
            <v>QTHRO02</v>
          </cell>
          <cell r="AD12524">
            <v>85750</v>
          </cell>
        </row>
        <row r="12525">
          <cell r="W12525" t="str">
            <v>QTHRO02</v>
          </cell>
          <cell r="AD12525">
            <v>85750</v>
          </cell>
        </row>
        <row r="12526">
          <cell r="W12526" t="str">
            <v>QTHRO02</v>
          </cell>
          <cell r="AD12526">
            <v>85750</v>
          </cell>
        </row>
        <row r="12527">
          <cell r="W12527" t="str">
            <v>QTHRO02</v>
          </cell>
          <cell r="AD12527">
            <v>85750</v>
          </cell>
        </row>
        <row r="12528">
          <cell r="W12528" t="str">
            <v>QTHRO02</v>
          </cell>
          <cell r="AD12528">
            <v>85750</v>
          </cell>
        </row>
        <row r="12529">
          <cell r="W12529" t="str">
            <v>QTHRO02</v>
          </cell>
          <cell r="AD12529">
            <v>85750</v>
          </cell>
        </row>
        <row r="12530">
          <cell r="W12530" t="str">
            <v>QTHRO02</v>
          </cell>
          <cell r="AD12530">
            <v>85750</v>
          </cell>
        </row>
        <row r="12531">
          <cell r="W12531" t="str">
            <v>QTHRO02</v>
          </cell>
          <cell r="AD12531">
            <v>85750</v>
          </cell>
        </row>
        <row r="12532">
          <cell r="W12532" t="str">
            <v>QTHRO02</v>
          </cell>
          <cell r="AD12532">
            <v>85750</v>
          </cell>
        </row>
        <row r="12533">
          <cell r="W12533" t="str">
            <v>QTHRO02</v>
          </cell>
          <cell r="AD12533">
            <v>85750</v>
          </cell>
        </row>
        <row r="12534">
          <cell r="W12534" t="str">
            <v>QTHRO02</v>
          </cell>
          <cell r="AD12534">
            <v>85750</v>
          </cell>
        </row>
        <row r="12535">
          <cell r="W12535" t="str">
            <v>QTHRO02</v>
          </cell>
          <cell r="AD12535">
            <v>85750</v>
          </cell>
        </row>
        <row r="12536">
          <cell r="W12536" t="str">
            <v>QTHRO02</v>
          </cell>
          <cell r="AD12536">
            <v>85750</v>
          </cell>
        </row>
        <row r="12537">
          <cell r="W12537" t="str">
            <v>QTHRO02</v>
          </cell>
          <cell r="AD12537">
            <v>85750</v>
          </cell>
        </row>
        <row r="12538">
          <cell r="W12538" t="str">
            <v>QTHRO03</v>
          </cell>
          <cell r="AD12538">
            <v>169500</v>
          </cell>
        </row>
        <row r="12539">
          <cell r="W12539" t="str">
            <v>QTHRO03</v>
          </cell>
          <cell r="AD12539">
            <v>169500</v>
          </cell>
        </row>
        <row r="12540">
          <cell r="W12540" t="str">
            <v>QTHRO03</v>
          </cell>
          <cell r="AD12540">
            <v>169500</v>
          </cell>
        </row>
        <row r="12541">
          <cell r="W12541" t="str">
            <v>QTHRO03</v>
          </cell>
          <cell r="AD12541">
            <v>169500</v>
          </cell>
        </row>
        <row r="12542">
          <cell r="W12542" t="str">
            <v>QTHRO03</v>
          </cell>
          <cell r="AD12542">
            <v>169500</v>
          </cell>
        </row>
        <row r="12543">
          <cell r="W12543" t="str">
            <v>QTHRO03</v>
          </cell>
          <cell r="AD12543">
            <v>169500</v>
          </cell>
        </row>
        <row r="12544">
          <cell r="W12544" t="str">
            <v>QTHRO03</v>
          </cell>
          <cell r="AD12544">
            <v>169500</v>
          </cell>
        </row>
        <row r="12545">
          <cell r="W12545" t="str">
            <v>QTHRO03</v>
          </cell>
          <cell r="AD12545">
            <v>169500</v>
          </cell>
        </row>
        <row r="12546">
          <cell r="W12546" t="str">
            <v>QTHRO03</v>
          </cell>
          <cell r="AD12546">
            <v>169500</v>
          </cell>
        </row>
        <row r="12547">
          <cell r="W12547" t="str">
            <v>QTHRO04</v>
          </cell>
          <cell r="AD12547">
            <v>35000</v>
          </cell>
        </row>
        <row r="12548">
          <cell r="W12548" t="str">
            <v>QTHRO04</v>
          </cell>
          <cell r="AD12548">
            <v>38500</v>
          </cell>
        </row>
        <row r="12549">
          <cell r="W12549" t="str">
            <v>QTHRO04</v>
          </cell>
          <cell r="AD12549">
            <v>38750</v>
          </cell>
        </row>
        <row r="12550">
          <cell r="W12550" t="str">
            <v>QTHRO04</v>
          </cell>
          <cell r="AD12550">
            <v>39500</v>
          </cell>
        </row>
        <row r="12551">
          <cell r="W12551" t="str">
            <v>QTIEZ01</v>
          </cell>
          <cell r="AD12551">
            <v>68500</v>
          </cell>
        </row>
        <row r="12552">
          <cell r="W12552" t="str">
            <v>QTIEZ01</v>
          </cell>
          <cell r="AD12552">
            <v>71500</v>
          </cell>
        </row>
        <row r="12553">
          <cell r="W12553" t="str">
            <v>QTIGO01</v>
          </cell>
          <cell r="AD12553">
            <v>15500</v>
          </cell>
        </row>
        <row r="12554">
          <cell r="W12554" t="str">
            <v>QTIGO01</v>
          </cell>
          <cell r="AD12554">
            <v>15500</v>
          </cell>
        </row>
        <row r="12555">
          <cell r="W12555" t="str">
            <v>QTIGO01</v>
          </cell>
          <cell r="AD12555">
            <v>15500</v>
          </cell>
        </row>
        <row r="12556">
          <cell r="W12556" t="str">
            <v>QTIGO01</v>
          </cell>
          <cell r="AD12556">
            <v>15500</v>
          </cell>
        </row>
        <row r="12557">
          <cell r="W12557" t="str">
            <v>QTIGO01</v>
          </cell>
          <cell r="AD12557">
            <v>15500</v>
          </cell>
        </row>
        <row r="12558">
          <cell r="W12558" t="str">
            <v>QTIGO01</v>
          </cell>
          <cell r="AD12558">
            <v>16000</v>
          </cell>
        </row>
        <row r="12559">
          <cell r="W12559" t="str">
            <v>QTIGO01</v>
          </cell>
          <cell r="AD12559">
            <v>16000</v>
          </cell>
        </row>
        <row r="12560">
          <cell r="W12560" t="str">
            <v>QTIGO01</v>
          </cell>
          <cell r="AD12560">
            <v>16000</v>
          </cell>
        </row>
        <row r="12561">
          <cell r="W12561" t="str">
            <v>QTIGO01</v>
          </cell>
          <cell r="AD12561">
            <v>16500</v>
          </cell>
        </row>
        <row r="12562">
          <cell r="W12562" t="str">
            <v>QTIGO01</v>
          </cell>
          <cell r="AD12562">
            <v>16500</v>
          </cell>
        </row>
        <row r="12563">
          <cell r="W12563" t="str">
            <v>QTIGO01</v>
          </cell>
          <cell r="AD12563">
            <v>16500</v>
          </cell>
        </row>
        <row r="12564">
          <cell r="W12564" t="str">
            <v>QTIGO01</v>
          </cell>
          <cell r="AD12564">
            <v>16500</v>
          </cell>
        </row>
        <row r="12565">
          <cell r="W12565" t="str">
            <v>QTIGO01</v>
          </cell>
          <cell r="AD12565">
            <v>17000</v>
          </cell>
        </row>
        <row r="12566">
          <cell r="W12566" t="str">
            <v>QTIGO01</v>
          </cell>
          <cell r="AD12566">
            <v>17500</v>
          </cell>
        </row>
        <row r="12567">
          <cell r="W12567" t="str">
            <v>QTIMU13</v>
          </cell>
          <cell r="AD12567">
            <v>50000</v>
          </cell>
        </row>
        <row r="12568">
          <cell r="W12568" t="str">
            <v>QTIMU13</v>
          </cell>
          <cell r="AD12568">
            <v>50000</v>
          </cell>
        </row>
        <row r="12569">
          <cell r="W12569" t="str">
            <v>QTIMU13</v>
          </cell>
          <cell r="AD12569">
            <v>50000</v>
          </cell>
        </row>
        <row r="12570">
          <cell r="W12570" t="str">
            <v>QTIMU13</v>
          </cell>
          <cell r="AD12570">
            <v>50000</v>
          </cell>
        </row>
        <row r="12571">
          <cell r="W12571" t="str">
            <v>QTIMU13</v>
          </cell>
          <cell r="AD12571">
            <v>50000</v>
          </cell>
        </row>
        <row r="12572">
          <cell r="W12572" t="str">
            <v>QTIMU13</v>
          </cell>
          <cell r="AD12572">
            <v>50000</v>
          </cell>
        </row>
        <row r="12573">
          <cell r="W12573" t="str">
            <v>QTIMU13</v>
          </cell>
          <cell r="AD12573">
            <v>50000</v>
          </cell>
        </row>
        <row r="12574">
          <cell r="W12574" t="str">
            <v>QTIMU18</v>
          </cell>
          <cell r="AD12574">
            <v>26500</v>
          </cell>
        </row>
        <row r="12575">
          <cell r="W12575" t="str">
            <v>QTIMU18</v>
          </cell>
          <cell r="AD12575">
            <v>26500</v>
          </cell>
        </row>
        <row r="12576">
          <cell r="W12576" t="str">
            <v>QTIMU18</v>
          </cell>
          <cell r="AD12576">
            <v>26500</v>
          </cell>
        </row>
        <row r="12577">
          <cell r="W12577" t="str">
            <v>QTIMU18</v>
          </cell>
          <cell r="AD12577">
            <v>30000</v>
          </cell>
        </row>
        <row r="12578">
          <cell r="W12578" t="str">
            <v>QTIMU18</v>
          </cell>
          <cell r="AD12578">
            <v>30000</v>
          </cell>
        </row>
        <row r="12579">
          <cell r="W12579" t="str">
            <v>QTIMU27</v>
          </cell>
          <cell r="AD12579">
            <v>42000</v>
          </cell>
        </row>
        <row r="12580">
          <cell r="W12580" t="str">
            <v>QTIMU27</v>
          </cell>
          <cell r="AD12580">
            <v>42000</v>
          </cell>
        </row>
        <row r="12581">
          <cell r="W12581" t="str">
            <v>QTIMU24</v>
          </cell>
          <cell r="AD12581">
            <v>52000</v>
          </cell>
        </row>
        <row r="12582">
          <cell r="W12582" t="str">
            <v>QTIMU24</v>
          </cell>
          <cell r="AD12582">
            <v>53000</v>
          </cell>
        </row>
        <row r="12583">
          <cell r="W12583" t="str">
            <v>QTIMU04</v>
          </cell>
          <cell r="AD12583">
            <v>34500</v>
          </cell>
        </row>
        <row r="12584">
          <cell r="W12584" t="str">
            <v>QTIMU04</v>
          </cell>
          <cell r="AD12584">
            <v>34500</v>
          </cell>
        </row>
        <row r="12585">
          <cell r="W12585" t="str">
            <v>QTIMU04</v>
          </cell>
          <cell r="AD12585">
            <v>35000</v>
          </cell>
        </row>
        <row r="12586">
          <cell r="W12586" t="str">
            <v>QTIMU04</v>
          </cell>
          <cell r="AD12586">
            <v>35000</v>
          </cell>
        </row>
        <row r="12587">
          <cell r="W12587" t="str">
            <v>QTIMU04</v>
          </cell>
          <cell r="AD12587">
            <v>35000</v>
          </cell>
        </row>
        <row r="12588">
          <cell r="W12588" t="str">
            <v>QTIMU04</v>
          </cell>
          <cell r="AD12588">
            <v>35000</v>
          </cell>
        </row>
        <row r="12589">
          <cell r="W12589" t="str">
            <v>QTIMU04</v>
          </cell>
          <cell r="AD12589">
            <v>35000</v>
          </cell>
        </row>
        <row r="12590">
          <cell r="W12590" t="str">
            <v>QTIMU04</v>
          </cell>
          <cell r="AD12590">
            <v>35000</v>
          </cell>
        </row>
        <row r="12591">
          <cell r="W12591" t="str">
            <v>QTIMU04</v>
          </cell>
          <cell r="AD12591">
            <v>35000</v>
          </cell>
        </row>
        <row r="12592">
          <cell r="W12592" t="str">
            <v>QTIMU04</v>
          </cell>
          <cell r="AD12592">
            <v>35000</v>
          </cell>
        </row>
        <row r="12593">
          <cell r="W12593" t="str">
            <v>QTIMU04</v>
          </cell>
          <cell r="AD12593">
            <v>35000</v>
          </cell>
        </row>
        <row r="12594">
          <cell r="W12594" t="str">
            <v>QTIMU04</v>
          </cell>
          <cell r="AD12594">
            <v>35000</v>
          </cell>
        </row>
        <row r="12595">
          <cell r="W12595" t="str">
            <v>QTIMU04</v>
          </cell>
          <cell r="AD12595">
            <v>35000</v>
          </cell>
        </row>
        <row r="12596">
          <cell r="W12596" t="str">
            <v>QTIMU04</v>
          </cell>
          <cell r="AD12596">
            <v>35000</v>
          </cell>
        </row>
        <row r="12597">
          <cell r="W12597" t="str">
            <v>QTIMU04</v>
          </cell>
          <cell r="AD12597">
            <v>35000</v>
          </cell>
        </row>
        <row r="12598">
          <cell r="W12598" t="str">
            <v>QTIMU04</v>
          </cell>
          <cell r="AD12598">
            <v>35000</v>
          </cell>
        </row>
        <row r="12599">
          <cell r="W12599" t="str">
            <v>QTIMU04</v>
          </cell>
          <cell r="AD12599">
            <v>35000</v>
          </cell>
        </row>
        <row r="12600">
          <cell r="W12600" t="str">
            <v>QTIMU04</v>
          </cell>
          <cell r="AD12600">
            <v>35000</v>
          </cell>
        </row>
        <row r="12601">
          <cell r="W12601" t="str">
            <v>QTIMU04</v>
          </cell>
          <cell r="AD12601">
            <v>35000</v>
          </cell>
        </row>
        <row r="12602">
          <cell r="W12602" t="str">
            <v>QTIMU04</v>
          </cell>
          <cell r="AD12602">
            <v>35000</v>
          </cell>
        </row>
        <row r="12603">
          <cell r="W12603" t="str">
            <v>QTIMU04</v>
          </cell>
          <cell r="AD12603">
            <v>35000</v>
          </cell>
        </row>
        <row r="12604">
          <cell r="W12604" t="str">
            <v>QTIMU04</v>
          </cell>
          <cell r="AD12604">
            <v>35000</v>
          </cell>
        </row>
        <row r="12605">
          <cell r="W12605" t="str">
            <v>QTIMU04</v>
          </cell>
          <cell r="AD12605">
            <v>35000</v>
          </cell>
        </row>
        <row r="12606">
          <cell r="W12606" t="str">
            <v>QTIMU04</v>
          </cell>
          <cell r="AD12606">
            <v>35000</v>
          </cell>
        </row>
        <row r="12607">
          <cell r="W12607" t="str">
            <v>QTIMU04</v>
          </cell>
          <cell r="AD12607">
            <v>35000</v>
          </cell>
        </row>
        <row r="12608">
          <cell r="W12608" t="str">
            <v>QTIMU04</v>
          </cell>
          <cell r="AD12608">
            <v>35000</v>
          </cell>
        </row>
        <row r="12609">
          <cell r="W12609" t="str">
            <v>QTIMU04</v>
          </cell>
          <cell r="AD12609">
            <v>35000</v>
          </cell>
        </row>
        <row r="12610">
          <cell r="W12610" t="str">
            <v>QTIMU04</v>
          </cell>
          <cell r="AD12610">
            <v>35000</v>
          </cell>
        </row>
        <row r="12611">
          <cell r="W12611" t="str">
            <v>QTIMU04</v>
          </cell>
          <cell r="AD12611">
            <v>35000</v>
          </cell>
        </row>
        <row r="12612">
          <cell r="W12612" t="str">
            <v>QTIMU04</v>
          </cell>
          <cell r="AD12612">
            <v>35000</v>
          </cell>
        </row>
        <row r="12613">
          <cell r="W12613" t="str">
            <v>QTIMU04</v>
          </cell>
          <cell r="AD12613">
            <v>35000</v>
          </cell>
        </row>
        <row r="12614">
          <cell r="W12614" t="str">
            <v>QTIMU04</v>
          </cell>
          <cell r="AD12614">
            <v>35000</v>
          </cell>
        </row>
        <row r="12615">
          <cell r="W12615" t="str">
            <v>QTIMU04</v>
          </cell>
          <cell r="AD12615">
            <v>35000</v>
          </cell>
        </row>
        <row r="12616">
          <cell r="W12616" t="str">
            <v>QTIMU04</v>
          </cell>
          <cell r="AD12616">
            <v>35000</v>
          </cell>
        </row>
        <row r="12617">
          <cell r="W12617" t="str">
            <v>QTIMU04</v>
          </cell>
          <cell r="AD12617">
            <v>35000</v>
          </cell>
        </row>
        <row r="12618">
          <cell r="W12618" t="str">
            <v>QTIMU04</v>
          </cell>
          <cell r="AD12618">
            <v>35000</v>
          </cell>
        </row>
        <row r="12619">
          <cell r="W12619" t="str">
            <v>QTIMU04</v>
          </cell>
          <cell r="AD12619">
            <v>35000</v>
          </cell>
        </row>
        <row r="12620">
          <cell r="W12620" t="str">
            <v>QTIMU04</v>
          </cell>
          <cell r="AD12620">
            <v>35000</v>
          </cell>
        </row>
        <row r="12621">
          <cell r="W12621" t="str">
            <v>QTIMU04</v>
          </cell>
          <cell r="AD12621">
            <v>35000</v>
          </cell>
        </row>
        <row r="12622">
          <cell r="W12622" t="str">
            <v>QTIMU04</v>
          </cell>
          <cell r="AD12622">
            <v>35000</v>
          </cell>
        </row>
        <row r="12623">
          <cell r="W12623" t="str">
            <v>QTIMU04</v>
          </cell>
          <cell r="AD12623">
            <v>35000</v>
          </cell>
        </row>
        <row r="12624">
          <cell r="W12624" t="str">
            <v>QTIMU04</v>
          </cell>
          <cell r="AD12624">
            <v>35000</v>
          </cell>
        </row>
        <row r="12625">
          <cell r="W12625" t="str">
            <v>QTIMU04</v>
          </cell>
          <cell r="AD12625">
            <v>35000</v>
          </cell>
        </row>
        <row r="12626">
          <cell r="W12626" t="str">
            <v>QTIMU04</v>
          </cell>
          <cell r="AD12626">
            <v>35000</v>
          </cell>
        </row>
        <row r="12627">
          <cell r="W12627" t="str">
            <v>QTIMU04</v>
          </cell>
          <cell r="AD12627">
            <v>35000</v>
          </cell>
        </row>
        <row r="12628">
          <cell r="W12628" t="str">
            <v>QTIMU04</v>
          </cell>
          <cell r="AD12628">
            <v>35000</v>
          </cell>
        </row>
        <row r="12629">
          <cell r="W12629" t="str">
            <v>QTIMU04</v>
          </cell>
          <cell r="AD12629">
            <v>35000</v>
          </cell>
        </row>
        <row r="12630">
          <cell r="W12630" t="str">
            <v>QTIMU04</v>
          </cell>
          <cell r="AD12630">
            <v>35000</v>
          </cell>
        </row>
        <row r="12631">
          <cell r="W12631" t="str">
            <v>QTIMU04</v>
          </cell>
          <cell r="AD12631">
            <v>35000</v>
          </cell>
        </row>
        <row r="12632">
          <cell r="W12632" t="str">
            <v>QTIMU04</v>
          </cell>
          <cell r="AD12632">
            <v>35000</v>
          </cell>
        </row>
        <row r="12633">
          <cell r="W12633" t="str">
            <v>QTIMU04</v>
          </cell>
          <cell r="AD12633">
            <v>35000</v>
          </cell>
        </row>
        <row r="12634">
          <cell r="W12634" t="str">
            <v>QTIMU04</v>
          </cell>
          <cell r="AD12634">
            <v>35000</v>
          </cell>
        </row>
        <row r="12635">
          <cell r="W12635" t="str">
            <v>QTIMU04</v>
          </cell>
          <cell r="AD12635">
            <v>35000</v>
          </cell>
        </row>
        <row r="12636">
          <cell r="W12636" t="str">
            <v>QTIMU04</v>
          </cell>
          <cell r="AD12636">
            <v>35000</v>
          </cell>
        </row>
        <row r="12637">
          <cell r="W12637" t="str">
            <v>QTIMU04</v>
          </cell>
          <cell r="AD12637">
            <v>35000</v>
          </cell>
        </row>
        <row r="12638">
          <cell r="W12638" t="str">
            <v>QTIMU04</v>
          </cell>
          <cell r="AD12638">
            <v>35000</v>
          </cell>
        </row>
        <row r="12639">
          <cell r="W12639" t="str">
            <v>QTIMU04</v>
          </cell>
          <cell r="AD12639">
            <v>35000</v>
          </cell>
        </row>
        <row r="12640">
          <cell r="W12640" t="str">
            <v>QTIMU04</v>
          </cell>
          <cell r="AD12640">
            <v>35000</v>
          </cell>
        </row>
        <row r="12641">
          <cell r="W12641" t="str">
            <v>QTIMU04</v>
          </cell>
          <cell r="AD12641">
            <v>35000</v>
          </cell>
        </row>
        <row r="12642">
          <cell r="W12642" t="str">
            <v>QTIMU04</v>
          </cell>
          <cell r="AD12642">
            <v>35000</v>
          </cell>
        </row>
        <row r="12643">
          <cell r="W12643" t="str">
            <v>QTIMU04</v>
          </cell>
          <cell r="AD12643">
            <v>35000</v>
          </cell>
        </row>
        <row r="12644">
          <cell r="W12644" t="str">
            <v>QTIMU04</v>
          </cell>
          <cell r="AD12644">
            <v>35000</v>
          </cell>
        </row>
        <row r="12645">
          <cell r="W12645" t="str">
            <v>QTIMU04</v>
          </cell>
          <cell r="AD12645">
            <v>35000</v>
          </cell>
        </row>
        <row r="12646">
          <cell r="W12646" t="str">
            <v>QTIMU04</v>
          </cell>
          <cell r="AD12646">
            <v>35000</v>
          </cell>
        </row>
        <row r="12647">
          <cell r="W12647" t="str">
            <v>QTIMU04</v>
          </cell>
          <cell r="AD12647">
            <v>35000</v>
          </cell>
        </row>
        <row r="12648">
          <cell r="W12648" t="str">
            <v>QTIMU04</v>
          </cell>
          <cell r="AD12648">
            <v>35000</v>
          </cell>
        </row>
        <row r="12649">
          <cell r="W12649" t="str">
            <v>QTIMU04</v>
          </cell>
          <cell r="AD12649">
            <v>35000</v>
          </cell>
        </row>
        <row r="12650">
          <cell r="W12650" t="str">
            <v>QTIMU04</v>
          </cell>
          <cell r="AD12650">
            <v>35000</v>
          </cell>
        </row>
        <row r="12651">
          <cell r="W12651" t="str">
            <v>QTIMU04</v>
          </cell>
          <cell r="AD12651">
            <v>35000</v>
          </cell>
        </row>
        <row r="12652">
          <cell r="W12652" t="str">
            <v>QTIMU04</v>
          </cell>
          <cell r="AD12652">
            <v>35000</v>
          </cell>
        </row>
        <row r="12653">
          <cell r="W12653" t="str">
            <v>QTIMU04</v>
          </cell>
          <cell r="AD12653">
            <v>35000</v>
          </cell>
        </row>
        <row r="12654">
          <cell r="W12654" t="str">
            <v>QTIMU04</v>
          </cell>
          <cell r="AD12654">
            <v>35000</v>
          </cell>
        </row>
        <row r="12655">
          <cell r="W12655" t="str">
            <v>QTIMU04</v>
          </cell>
          <cell r="AD12655">
            <v>35000</v>
          </cell>
        </row>
        <row r="12656">
          <cell r="W12656" t="str">
            <v>QTIMU04</v>
          </cell>
          <cell r="AD12656">
            <v>35000</v>
          </cell>
        </row>
        <row r="12657">
          <cell r="W12657" t="str">
            <v>QTIMU04</v>
          </cell>
          <cell r="AD12657">
            <v>35000</v>
          </cell>
        </row>
        <row r="12658">
          <cell r="W12658" t="str">
            <v>QTIMU04</v>
          </cell>
          <cell r="AD12658">
            <v>35000</v>
          </cell>
        </row>
        <row r="12659">
          <cell r="W12659" t="str">
            <v>QTIMU04</v>
          </cell>
          <cell r="AD12659">
            <v>35000</v>
          </cell>
        </row>
        <row r="12660">
          <cell r="W12660" t="str">
            <v>QTIMU04</v>
          </cell>
          <cell r="AD12660">
            <v>35000</v>
          </cell>
        </row>
        <row r="12661">
          <cell r="W12661" t="str">
            <v>QTIMU04</v>
          </cell>
          <cell r="AD12661">
            <v>35000</v>
          </cell>
        </row>
        <row r="12662">
          <cell r="W12662" t="str">
            <v>QTIMU04</v>
          </cell>
          <cell r="AD12662">
            <v>35000</v>
          </cell>
        </row>
        <row r="12663">
          <cell r="W12663" t="str">
            <v>QTIMU04</v>
          </cell>
          <cell r="AD12663">
            <v>35000</v>
          </cell>
        </row>
        <row r="12664">
          <cell r="W12664" t="str">
            <v>QTIMU04</v>
          </cell>
          <cell r="AD12664">
            <v>35000</v>
          </cell>
        </row>
        <row r="12665">
          <cell r="W12665" t="str">
            <v>QTIMU04</v>
          </cell>
          <cell r="AD12665">
            <v>35000</v>
          </cell>
        </row>
        <row r="12666">
          <cell r="W12666" t="str">
            <v>QTIMU04</v>
          </cell>
          <cell r="AD12666">
            <v>35000</v>
          </cell>
        </row>
        <row r="12667">
          <cell r="W12667" t="str">
            <v>QTIMU04</v>
          </cell>
          <cell r="AD12667">
            <v>35000</v>
          </cell>
        </row>
        <row r="12668">
          <cell r="W12668" t="str">
            <v>QTIMU04</v>
          </cell>
          <cell r="AD12668">
            <v>35000</v>
          </cell>
        </row>
        <row r="12669">
          <cell r="W12669" t="str">
            <v>QTIMU04</v>
          </cell>
          <cell r="AD12669">
            <v>35000</v>
          </cell>
        </row>
        <row r="12670">
          <cell r="W12670" t="str">
            <v>QTIMU04</v>
          </cell>
          <cell r="AD12670">
            <v>35000</v>
          </cell>
        </row>
        <row r="12671">
          <cell r="W12671" t="str">
            <v>QTIMU04</v>
          </cell>
          <cell r="AD12671">
            <v>35000</v>
          </cell>
        </row>
        <row r="12672">
          <cell r="W12672" t="str">
            <v>ATIMU03</v>
          </cell>
          <cell r="AD12672">
            <v>35000</v>
          </cell>
        </row>
        <row r="12673">
          <cell r="W12673" t="str">
            <v>ATIMU03</v>
          </cell>
          <cell r="AD12673">
            <v>35000</v>
          </cell>
        </row>
        <row r="12674">
          <cell r="W12674" t="str">
            <v>QTIMU04</v>
          </cell>
          <cell r="AD12674">
            <v>35000</v>
          </cell>
        </row>
        <row r="12675">
          <cell r="W12675" t="str">
            <v>QTIMU04</v>
          </cell>
          <cell r="AD12675">
            <v>35000</v>
          </cell>
        </row>
        <row r="12676">
          <cell r="W12676" t="str">
            <v>QTIMU04</v>
          </cell>
          <cell r="AD12676">
            <v>35000</v>
          </cell>
        </row>
        <row r="12677">
          <cell r="W12677" t="str">
            <v>QTIMU04</v>
          </cell>
          <cell r="AD12677">
            <v>35000</v>
          </cell>
        </row>
        <row r="12678">
          <cell r="W12678" t="str">
            <v>QTIMU04</v>
          </cell>
          <cell r="AD12678">
            <v>35000</v>
          </cell>
        </row>
        <row r="12679">
          <cell r="W12679" t="str">
            <v>QTIMU04</v>
          </cell>
          <cell r="AD12679">
            <v>35000</v>
          </cell>
        </row>
        <row r="12680">
          <cell r="W12680" t="str">
            <v>QTIMU04</v>
          </cell>
          <cell r="AD12680">
            <v>35000</v>
          </cell>
        </row>
        <row r="12681">
          <cell r="W12681" t="str">
            <v>QTIMU04</v>
          </cell>
          <cell r="AD12681">
            <v>35000</v>
          </cell>
        </row>
        <row r="12682">
          <cell r="W12682" t="str">
            <v>QTIMU04</v>
          </cell>
          <cell r="AD12682">
            <v>35000</v>
          </cell>
        </row>
        <row r="12683">
          <cell r="W12683" t="str">
            <v>QTIMU04</v>
          </cell>
          <cell r="AD12683">
            <v>35000</v>
          </cell>
        </row>
        <row r="12684">
          <cell r="W12684" t="str">
            <v>QTIMU04</v>
          </cell>
          <cell r="AD12684">
            <v>35000</v>
          </cell>
        </row>
        <row r="12685">
          <cell r="W12685" t="str">
            <v>QTIMU04</v>
          </cell>
          <cell r="AD12685">
            <v>35000</v>
          </cell>
        </row>
        <row r="12686">
          <cell r="W12686" t="str">
            <v>QTIMU04</v>
          </cell>
          <cell r="AD12686">
            <v>35000</v>
          </cell>
        </row>
        <row r="12687">
          <cell r="W12687" t="str">
            <v>QTIMU04</v>
          </cell>
          <cell r="AD12687">
            <v>35000</v>
          </cell>
        </row>
        <row r="12688">
          <cell r="W12688" t="str">
            <v>QTIMU04</v>
          </cell>
          <cell r="AD12688">
            <v>35000</v>
          </cell>
        </row>
        <row r="12689">
          <cell r="W12689" t="str">
            <v>QTIMU04</v>
          </cell>
          <cell r="AD12689">
            <v>35000</v>
          </cell>
        </row>
        <row r="12690">
          <cell r="W12690" t="str">
            <v>QTIMU04</v>
          </cell>
          <cell r="AD12690">
            <v>35000</v>
          </cell>
        </row>
        <row r="12691">
          <cell r="W12691" t="str">
            <v>ATIMU03</v>
          </cell>
          <cell r="AD12691">
            <v>35000</v>
          </cell>
        </row>
        <row r="12692">
          <cell r="W12692" t="str">
            <v>ATIMU03</v>
          </cell>
          <cell r="AD12692">
            <v>35000</v>
          </cell>
        </row>
        <row r="12693">
          <cell r="W12693" t="str">
            <v>ATIMU03</v>
          </cell>
          <cell r="AD12693">
            <v>35000</v>
          </cell>
        </row>
        <row r="12694">
          <cell r="W12694" t="str">
            <v>ATIMU03</v>
          </cell>
          <cell r="AD12694">
            <v>35000</v>
          </cell>
        </row>
        <row r="12695">
          <cell r="W12695" t="str">
            <v>ATIMU03</v>
          </cell>
          <cell r="AD12695">
            <v>35000</v>
          </cell>
        </row>
        <row r="12696">
          <cell r="W12696" t="str">
            <v>ATIMU03</v>
          </cell>
          <cell r="AD12696">
            <v>35000</v>
          </cell>
        </row>
        <row r="12697">
          <cell r="W12697" t="str">
            <v>ATIMU03</v>
          </cell>
          <cell r="AD12697">
            <v>35000</v>
          </cell>
        </row>
        <row r="12698">
          <cell r="W12698" t="str">
            <v>ATIMU03</v>
          </cell>
          <cell r="AD12698">
            <v>35000</v>
          </cell>
        </row>
        <row r="12699">
          <cell r="W12699" t="str">
            <v>ATIMU03</v>
          </cell>
          <cell r="AD12699">
            <v>35000</v>
          </cell>
        </row>
        <row r="12700">
          <cell r="W12700" t="str">
            <v>ATIMU03</v>
          </cell>
          <cell r="AD12700">
            <v>35000</v>
          </cell>
        </row>
        <row r="12701">
          <cell r="W12701" t="str">
            <v>QTIMU04</v>
          </cell>
          <cell r="AD12701">
            <v>35000</v>
          </cell>
        </row>
        <row r="12702">
          <cell r="W12702" t="str">
            <v>QTIMU04</v>
          </cell>
          <cell r="AD12702">
            <v>35000</v>
          </cell>
        </row>
        <row r="12703">
          <cell r="W12703" t="str">
            <v>ATIMU03</v>
          </cell>
          <cell r="AD12703">
            <v>35000</v>
          </cell>
        </row>
        <row r="12704">
          <cell r="W12704" t="str">
            <v>ATIMU03</v>
          </cell>
          <cell r="AD12704">
            <v>35000</v>
          </cell>
        </row>
        <row r="12705">
          <cell r="W12705" t="str">
            <v>ATIMU03</v>
          </cell>
          <cell r="AD12705">
            <v>35000</v>
          </cell>
        </row>
        <row r="12706">
          <cell r="W12706" t="str">
            <v>ATIMU03</v>
          </cell>
          <cell r="AD12706">
            <v>35000</v>
          </cell>
        </row>
        <row r="12707">
          <cell r="W12707" t="str">
            <v>ATIMU03</v>
          </cell>
          <cell r="AD12707">
            <v>35000</v>
          </cell>
        </row>
        <row r="12708">
          <cell r="W12708" t="str">
            <v>ATIMU03</v>
          </cell>
          <cell r="AD12708">
            <v>35000</v>
          </cell>
        </row>
        <row r="12709">
          <cell r="W12709" t="str">
            <v>ATIMU03</v>
          </cell>
          <cell r="AD12709">
            <v>35000</v>
          </cell>
        </row>
        <row r="12710">
          <cell r="W12710" t="str">
            <v>ATIMU03</v>
          </cell>
          <cell r="AD12710">
            <v>35000</v>
          </cell>
        </row>
        <row r="12711">
          <cell r="W12711" t="str">
            <v>ATIMU03</v>
          </cell>
          <cell r="AD12711">
            <v>35000</v>
          </cell>
        </row>
        <row r="12712">
          <cell r="W12712" t="str">
            <v>ATIMU03</v>
          </cell>
          <cell r="AD12712">
            <v>35000</v>
          </cell>
        </row>
        <row r="12713">
          <cell r="W12713" t="str">
            <v>ATIMU03</v>
          </cell>
          <cell r="AD12713">
            <v>35000</v>
          </cell>
        </row>
        <row r="12714">
          <cell r="W12714" t="str">
            <v>ATIMU03</v>
          </cell>
          <cell r="AD12714">
            <v>35000</v>
          </cell>
        </row>
        <row r="12715">
          <cell r="W12715" t="str">
            <v>ATIMU03</v>
          </cell>
          <cell r="AD12715">
            <v>35000</v>
          </cell>
        </row>
        <row r="12716">
          <cell r="W12716" t="str">
            <v>QTIMU04</v>
          </cell>
          <cell r="AD12716">
            <v>35000</v>
          </cell>
        </row>
        <row r="12717">
          <cell r="W12717" t="str">
            <v>QTIMU04</v>
          </cell>
          <cell r="AD12717">
            <v>35000</v>
          </cell>
        </row>
        <row r="12718">
          <cell r="W12718" t="str">
            <v>ATIMU03</v>
          </cell>
          <cell r="AD12718">
            <v>35000</v>
          </cell>
        </row>
        <row r="12719">
          <cell r="W12719" t="str">
            <v>ATIMU03</v>
          </cell>
          <cell r="AD12719">
            <v>35000</v>
          </cell>
        </row>
        <row r="12720">
          <cell r="W12720" t="str">
            <v>ATIMU03</v>
          </cell>
          <cell r="AD12720">
            <v>35000</v>
          </cell>
        </row>
        <row r="12721">
          <cell r="W12721" t="str">
            <v>ATIMU03</v>
          </cell>
          <cell r="AD12721">
            <v>35000</v>
          </cell>
        </row>
        <row r="12722">
          <cell r="W12722" t="str">
            <v>ATIMU03</v>
          </cell>
          <cell r="AD12722">
            <v>35000</v>
          </cell>
        </row>
        <row r="12723">
          <cell r="W12723" t="str">
            <v>ATIMU03</v>
          </cell>
          <cell r="AD12723">
            <v>35000</v>
          </cell>
        </row>
        <row r="12724">
          <cell r="W12724" t="str">
            <v>ATIMU03</v>
          </cell>
          <cell r="AD12724">
            <v>35000</v>
          </cell>
        </row>
        <row r="12725">
          <cell r="W12725" t="str">
            <v>ATIMU03</v>
          </cell>
          <cell r="AD12725">
            <v>35000</v>
          </cell>
        </row>
        <row r="12726">
          <cell r="W12726" t="str">
            <v>ATIMU03</v>
          </cell>
          <cell r="AD12726">
            <v>35000</v>
          </cell>
        </row>
        <row r="12727">
          <cell r="W12727" t="str">
            <v>ATIMU03</v>
          </cell>
          <cell r="AD12727">
            <v>35000</v>
          </cell>
        </row>
        <row r="12728">
          <cell r="W12728" t="str">
            <v>ATIMU03</v>
          </cell>
          <cell r="AD12728">
            <v>35000</v>
          </cell>
        </row>
        <row r="12729">
          <cell r="W12729" t="str">
            <v>ATIMU03</v>
          </cell>
          <cell r="AD12729">
            <v>35000</v>
          </cell>
        </row>
        <row r="12730">
          <cell r="W12730" t="str">
            <v>QTIMU04</v>
          </cell>
          <cell r="AD12730">
            <v>35000</v>
          </cell>
        </row>
        <row r="12731">
          <cell r="W12731" t="str">
            <v>QTIMU04</v>
          </cell>
          <cell r="AD12731">
            <v>35000</v>
          </cell>
        </row>
        <row r="12732">
          <cell r="W12732" t="str">
            <v>QTIMU04</v>
          </cell>
          <cell r="AD12732">
            <v>35000</v>
          </cell>
        </row>
        <row r="12733">
          <cell r="W12733" t="str">
            <v>QTIMU04</v>
          </cell>
          <cell r="AD12733">
            <v>35000</v>
          </cell>
        </row>
        <row r="12734">
          <cell r="W12734" t="str">
            <v>QTIMU04</v>
          </cell>
          <cell r="AD12734">
            <v>35000</v>
          </cell>
        </row>
        <row r="12735">
          <cell r="W12735" t="str">
            <v>QTIMU04</v>
          </cell>
          <cell r="AD12735">
            <v>35000</v>
          </cell>
        </row>
        <row r="12736">
          <cell r="W12736" t="str">
            <v>QTIMU04</v>
          </cell>
          <cell r="AD12736">
            <v>35000</v>
          </cell>
        </row>
        <row r="12737">
          <cell r="W12737" t="str">
            <v>QTIMU04</v>
          </cell>
          <cell r="AD12737">
            <v>35000</v>
          </cell>
        </row>
        <row r="12738">
          <cell r="W12738" t="str">
            <v>QTIMU04</v>
          </cell>
          <cell r="AD12738">
            <v>35000</v>
          </cell>
        </row>
        <row r="12739">
          <cell r="W12739" t="str">
            <v>QTIMU04</v>
          </cell>
          <cell r="AD12739">
            <v>35000</v>
          </cell>
        </row>
        <row r="12740">
          <cell r="W12740" t="str">
            <v>QTIMU04</v>
          </cell>
          <cell r="AD12740">
            <v>35000</v>
          </cell>
        </row>
        <row r="12741">
          <cell r="W12741" t="str">
            <v>QTIMU04</v>
          </cell>
          <cell r="AD12741">
            <v>35000</v>
          </cell>
        </row>
        <row r="12742">
          <cell r="W12742" t="str">
            <v>ATIMU03</v>
          </cell>
          <cell r="AD12742">
            <v>36000</v>
          </cell>
        </row>
        <row r="12743">
          <cell r="W12743" t="str">
            <v>QTIMU06</v>
          </cell>
          <cell r="AD12743">
            <v>15000</v>
          </cell>
        </row>
        <row r="12744">
          <cell r="W12744" t="str">
            <v>QTIMU06</v>
          </cell>
          <cell r="AD12744">
            <v>15000</v>
          </cell>
        </row>
        <row r="12745">
          <cell r="W12745" t="str">
            <v>QTIMU06</v>
          </cell>
          <cell r="AD12745">
            <v>15000</v>
          </cell>
        </row>
        <row r="12746">
          <cell r="W12746" t="str">
            <v>QTIMU06</v>
          </cell>
          <cell r="AD12746">
            <v>15000</v>
          </cell>
        </row>
        <row r="12747">
          <cell r="W12747" t="str">
            <v>QTIMU06</v>
          </cell>
          <cell r="AD12747">
            <v>15000</v>
          </cell>
        </row>
        <row r="12748">
          <cell r="W12748" t="str">
            <v>QTIMU06</v>
          </cell>
          <cell r="AD12748">
            <v>15000</v>
          </cell>
        </row>
        <row r="12749">
          <cell r="W12749" t="str">
            <v>QTIMU06</v>
          </cell>
          <cell r="AD12749">
            <v>15500</v>
          </cell>
        </row>
        <row r="12750">
          <cell r="W12750" t="str">
            <v>QTIMU06</v>
          </cell>
          <cell r="AD12750">
            <v>15500</v>
          </cell>
        </row>
        <row r="12751">
          <cell r="W12751" t="str">
            <v>QTIMU06</v>
          </cell>
          <cell r="AD12751">
            <v>16000</v>
          </cell>
        </row>
        <row r="12752">
          <cell r="W12752" t="str">
            <v>QTIMU06</v>
          </cell>
          <cell r="AD12752">
            <v>17000</v>
          </cell>
        </row>
        <row r="12753">
          <cell r="W12753" t="str">
            <v>QTIMU06</v>
          </cell>
          <cell r="AD12753">
            <v>17000</v>
          </cell>
        </row>
        <row r="12754">
          <cell r="W12754" t="str">
            <v>QTIMU06</v>
          </cell>
          <cell r="AD12754">
            <v>17000</v>
          </cell>
        </row>
        <row r="12755">
          <cell r="W12755" t="str">
            <v>QTIMU06</v>
          </cell>
          <cell r="AD12755">
            <v>17000</v>
          </cell>
        </row>
        <row r="12756">
          <cell r="W12756" t="str">
            <v>QTIMU06</v>
          </cell>
          <cell r="AD12756">
            <v>17000</v>
          </cell>
        </row>
        <row r="12757">
          <cell r="W12757" t="str">
            <v>QTIMU06</v>
          </cell>
          <cell r="AD12757">
            <v>17000</v>
          </cell>
        </row>
        <row r="12758">
          <cell r="W12758" t="str">
            <v>QTIMU06</v>
          </cell>
          <cell r="AD12758">
            <v>17000</v>
          </cell>
        </row>
        <row r="12759">
          <cell r="W12759" t="str">
            <v>QTIMU06</v>
          </cell>
          <cell r="AD12759">
            <v>17000</v>
          </cell>
        </row>
        <row r="12760">
          <cell r="W12760" t="str">
            <v>QTIMU06</v>
          </cell>
          <cell r="AD12760">
            <v>17000</v>
          </cell>
        </row>
        <row r="12761">
          <cell r="W12761" t="str">
            <v>QTIMU06</v>
          </cell>
          <cell r="AD12761">
            <v>17000</v>
          </cell>
        </row>
        <row r="12762">
          <cell r="W12762" t="str">
            <v>QTIMU06</v>
          </cell>
          <cell r="AD12762">
            <v>17000</v>
          </cell>
        </row>
        <row r="12763">
          <cell r="W12763" t="str">
            <v>QTIMU06</v>
          </cell>
          <cell r="AD12763">
            <v>17000</v>
          </cell>
        </row>
        <row r="12764">
          <cell r="W12764" t="str">
            <v>QTIMU06</v>
          </cell>
          <cell r="AD12764">
            <v>17000</v>
          </cell>
        </row>
        <row r="12765">
          <cell r="W12765" t="str">
            <v>QTIMU06</v>
          </cell>
          <cell r="AD12765">
            <v>17000</v>
          </cell>
        </row>
        <row r="12766">
          <cell r="W12766" t="str">
            <v>QTIMU06</v>
          </cell>
          <cell r="AD12766">
            <v>17000</v>
          </cell>
        </row>
        <row r="12767">
          <cell r="W12767" t="str">
            <v>QTIMU06</v>
          </cell>
          <cell r="AD12767">
            <v>17000</v>
          </cell>
        </row>
        <row r="12768">
          <cell r="W12768" t="str">
            <v>QTIMU06</v>
          </cell>
          <cell r="AD12768">
            <v>17000</v>
          </cell>
        </row>
        <row r="12769">
          <cell r="W12769" t="str">
            <v>QTIMU06</v>
          </cell>
          <cell r="AD12769">
            <v>17000</v>
          </cell>
        </row>
        <row r="12770">
          <cell r="W12770" t="str">
            <v>QTIMU06</v>
          </cell>
          <cell r="AD12770">
            <v>17000</v>
          </cell>
        </row>
        <row r="12771">
          <cell r="W12771" t="str">
            <v>QTOMA21</v>
          </cell>
          <cell r="AD12771">
            <v>70000</v>
          </cell>
        </row>
        <row r="12772">
          <cell r="W12772" t="str">
            <v>QTOMA21</v>
          </cell>
          <cell r="AD12772">
            <v>70000</v>
          </cell>
        </row>
        <row r="12773">
          <cell r="W12773" t="str">
            <v>QTOMA21</v>
          </cell>
          <cell r="AD12773">
            <v>75000</v>
          </cell>
        </row>
        <row r="12774">
          <cell r="W12774" t="str">
            <v>QTOMA02</v>
          </cell>
          <cell r="AD12774">
            <v>16000</v>
          </cell>
        </row>
        <row r="12775">
          <cell r="W12775" t="str">
            <v>QTOMA02</v>
          </cell>
          <cell r="AD12775">
            <v>16500</v>
          </cell>
        </row>
        <row r="12776">
          <cell r="W12776" t="str">
            <v>QTOMA02</v>
          </cell>
          <cell r="AD12776">
            <v>17000</v>
          </cell>
        </row>
        <row r="12777">
          <cell r="W12777" t="str">
            <v>QTOMA02</v>
          </cell>
          <cell r="AD12777">
            <v>17000</v>
          </cell>
        </row>
        <row r="12778">
          <cell r="W12778" t="str">
            <v>QTOMA02</v>
          </cell>
          <cell r="AD12778">
            <v>17000</v>
          </cell>
        </row>
        <row r="12779">
          <cell r="W12779" t="str">
            <v>QTOMA02</v>
          </cell>
          <cell r="AD12779">
            <v>17000</v>
          </cell>
        </row>
        <row r="12780">
          <cell r="W12780" t="str">
            <v>QTOMA02</v>
          </cell>
          <cell r="AD12780">
            <v>17000</v>
          </cell>
        </row>
        <row r="12781">
          <cell r="W12781" t="str">
            <v>QTOMA02</v>
          </cell>
          <cell r="AD12781">
            <v>17000</v>
          </cell>
        </row>
        <row r="12782">
          <cell r="W12782" t="str">
            <v>QTOMA02</v>
          </cell>
          <cell r="AD12782">
            <v>17000</v>
          </cell>
        </row>
        <row r="12783">
          <cell r="W12783" t="str">
            <v>QTOMA02</v>
          </cell>
          <cell r="AD12783">
            <v>17000</v>
          </cell>
        </row>
        <row r="12784">
          <cell r="W12784" t="str">
            <v>QTOMA02</v>
          </cell>
          <cell r="AD12784">
            <v>17000</v>
          </cell>
        </row>
        <row r="12785">
          <cell r="W12785" t="str">
            <v>QTOMA02</v>
          </cell>
          <cell r="AD12785">
            <v>17500</v>
          </cell>
        </row>
        <row r="12786">
          <cell r="W12786" t="str">
            <v>QTOMA02</v>
          </cell>
          <cell r="AD12786">
            <v>17500</v>
          </cell>
        </row>
        <row r="12787">
          <cell r="W12787" t="str">
            <v>QTOPI01</v>
          </cell>
          <cell r="AD12787">
            <v>20000</v>
          </cell>
        </row>
        <row r="12788">
          <cell r="W12788" t="str">
            <v>QTOPI01</v>
          </cell>
          <cell r="AD12788">
            <v>20000</v>
          </cell>
        </row>
        <row r="12789">
          <cell r="W12789" t="str">
            <v>QTOPI01</v>
          </cell>
          <cell r="AD12789">
            <v>20000</v>
          </cell>
        </row>
        <row r="12790">
          <cell r="W12790" t="str">
            <v>QTOPI01</v>
          </cell>
          <cell r="AD12790">
            <v>20000</v>
          </cell>
        </row>
        <row r="12791">
          <cell r="W12791" t="str">
            <v>QTOPI01</v>
          </cell>
          <cell r="AD12791">
            <v>20000</v>
          </cell>
        </row>
        <row r="12792">
          <cell r="W12792" t="str">
            <v>QTOPI01</v>
          </cell>
          <cell r="AD12792">
            <v>20000</v>
          </cell>
        </row>
        <row r="12793">
          <cell r="W12793" t="str">
            <v>QTOPI01</v>
          </cell>
          <cell r="AD12793">
            <v>20000</v>
          </cell>
        </row>
        <row r="12794">
          <cell r="W12794" t="str">
            <v>QTOPI01</v>
          </cell>
          <cell r="AD12794">
            <v>20000</v>
          </cell>
        </row>
        <row r="12795">
          <cell r="W12795" t="str">
            <v>QTOPI01</v>
          </cell>
          <cell r="AD12795">
            <v>20000</v>
          </cell>
        </row>
        <row r="12796">
          <cell r="W12796" t="str">
            <v>ATOPS10</v>
          </cell>
          <cell r="AD12796">
            <v>4750</v>
          </cell>
        </row>
        <row r="12797">
          <cell r="W12797" t="str">
            <v>ATOPS10</v>
          </cell>
          <cell r="AD12797">
            <v>5000</v>
          </cell>
        </row>
        <row r="12798">
          <cell r="W12798" t="str">
            <v>ATOPS10</v>
          </cell>
          <cell r="AD12798">
            <v>5000</v>
          </cell>
        </row>
        <row r="12799">
          <cell r="W12799" t="str">
            <v>ATOPS10</v>
          </cell>
          <cell r="AD12799">
            <v>5000</v>
          </cell>
        </row>
        <row r="12800">
          <cell r="W12800" t="str">
            <v>ATOPS02</v>
          </cell>
          <cell r="AD12800">
            <v>18500</v>
          </cell>
        </row>
        <row r="12801">
          <cell r="W12801" t="str">
            <v>ATOPS02</v>
          </cell>
          <cell r="AD12801">
            <v>20000</v>
          </cell>
        </row>
        <row r="12802">
          <cell r="W12802" t="str">
            <v>ATOPS02</v>
          </cell>
          <cell r="AD12802">
            <v>20000</v>
          </cell>
        </row>
        <row r="12803">
          <cell r="W12803" t="str">
            <v>ATOPS02</v>
          </cell>
          <cell r="AD12803">
            <v>20000</v>
          </cell>
        </row>
        <row r="12804">
          <cell r="W12804" t="str">
            <v>ATOPS02</v>
          </cell>
          <cell r="AD12804">
            <v>20000</v>
          </cell>
        </row>
        <row r="12805">
          <cell r="W12805" t="str">
            <v>ATOPS02</v>
          </cell>
          <cell r="AD12805">
            <v>20000</v>
          </cell>
        </row>
        <row r="12806">
          <cell r="W12806" t="str">
            <v>ATOPS02</v>
          </cell>
          <cell r="AD12806">
            <v>20000</v>
          </cell>
        </row>
        <row r="12807">
          <cell r="W12807" t="str">
            <v>ATOPS11</v>
          </cell>
          <cell r="AD12807">
            <v>4750</v>
          </cell>
        </row>
        <row r="12808">
          <cell r="W12808" t="str">
            <v>ATOPS11</v>
          </cell>
          <cell r="AD12808">
            <v>4750</v>
          </cell>
        </row>
        <row r="12809">
          <cell r="W12809" t="str">
            <v>ATOPS11</v>
          </cell>
          <cell r="AD12809">
            <v>5000</v>
          </cell>
        </row>
        <row r="12810">
          <cell r="W12810" t="str">
            <v>ATOPS11</v>
          </cell>
          <cell r="AD12810">
            <v>5000</v>
          </cell>
        </row>
        <row r="12811">
          <cell r="W12811" t="str">
            <v>ATOPS11</v>
          </cell>
          <cell r="AD12811">
            <v>5000</v>
          </cell>
        </row>
        <row r="12812">
          <cell r="W12812" t="str">
            <v>ATOPS11</v>
          </cell>
          <cell r="AD12812">
            <v>5000</v>
          </cell>
        </row>
        <row r="12813">
          <cell r="W12813" t="str">
            <v>ATOPS11</v>
          </cell>
          <cell r="AD12813">
            <v>5000</v>
          </cell>
        </row>
        <row r="12814">
          <cell r="W12814" t="str">
            <v>ATOPS11</v>
          </cell>
          <cell r="AD12814">
            <v>5000</v>
          </cell>
        </row>
        <row r="12815">
          <cell r="W12815" t="str">
            <v>ATOPS11</v>
          </cell>
          <cell r="AD12815">
            <v>5000</v>
          </cell>
        </row>
        <row r="12816">
          <cell r="W12816" t="str">
            <v>ATOPS11</v>
          </cell>
          <cell r="AD12816">
            <v>5000</v>
          </cell>
        </row>
        <row r="12817">
          <cell r="W12817" t="str">
            <v>ATOPS04</v>
          </cell>
          <cell r="AD12817">
            <v>18500</v>
          </cell>
        </row>
        <row r="12818">
          <cell r="W12818" t="str">
            <v>ATOPS04</v>
          </cell>
          <cell r="AD12818">
            <v>18500</v>
          </cell>
        </row>
        <row r="12819">
          <cell r="W12819" t="str">
            <v>ATOPS04</v>
          </cell>
          <cell r="AD12819">
            <v>20000</v>
          </cell>
        </row>
        <row r="12820">
          <cell r="W12820" t="str">
            <v>ATOPS04</v>
          </cell>
          <cell r="AD12820">
            <v>20000</v>
          </cell>
        </row>
        <row r="12821">
          <cell r="W12821" t="str">
            <v>ATOPS04</v>
          </cell>
          <cell r="AD12821">
            <v>20000</v>
          </cell>
        </row>
        <row r="12822">
          <cell r="W12822" t="str">
            <v>ATOPS04</v>
          </cell>
          <cell r="AD12822">
            <v>20000</v>
          </cell>
        </row>
        <row r="12823">
          <cell r="W12823" t="str">
            <v>ATOPS04</v>
          </cell>
          <cell r="AD12823">
            <v>20000</v>
          </cell>
        </row>
        <row r="12824">
          <cell r="W12824" t="str">
            <v>ATOPS04</v>
          </cell>
          <cell r="AD12824">
            <v>20000</v>
          </cell>
        </row>
        <row r="12825">
          <cell r="W12825" t="str">
            <v>ATOPS04</v>
          </cell>
          <cell r="AD12825">
            <v>20000</v>
          </cell>
        </row>
        <row r="12826">
          <cell r="W12826" t="str">
            <v>ATOPS04</v>
          </cell>
          <cell r="AD12826">
            <v>20000</v>
          </cell>
        </row>
        <row r="12827">
          <cell r="W12827" t="str">
            <v>ATOPS04</v>
          </cell>
          <cell r="AD12827">
            <v>20000</v>
          </cell>
        </row>
        <row r="12828">
          <cell r="W12828" t="str">
            <v>ATOPS04</v>
          </cell>
          <cell r="AD12828">
            <v>20000</v>
          </cell>
        </row>
        <row r="12829">
          <cell r="W12829" t="str">
            <v>ATOPS04</v>
          </cell>
          <cell r="AD12829">
            <v>20000</v>
          </cell>
        </row>
        <row r="12830">
          <cell r="W12830" t="str">
            <v>ATOPS04</v>
          </cell>
          <cell r="AD12830">
            <v>20000</v>
          </cell>
        </row>
        <row r="12831">
          <cell r="W12831" t="str">
            <v>ATOPS04</v>
          </cell>
          <cell r="AD12831">
            <v>20000</v>
          </cell>
        </row>
        <row r="12832">
          <cell r="W12832" t="str">
            <v>ATOPS04</v>
          </cell>
          <cell r="AD12832">
            <v>20000</v>
          </cell>
        </row>
        <row r="12833">
          <cell r="W12833" t="str">
            <v>QTOPS01</v>
          </cell>
          <cell r="AD12833">
            <v>17000</v>
          </cell>
        </row>
        <row r="12834">
          <cell r="W12834" t="str">
            <v>QTOPS02</v>
          </cell>
          <cell r="AD12834">
            <v>79500</v>
          </cell>
        </row>
        <row r="12835">
          <cell r="W12835" t="str">
            <v>QTOPS02</v>
          </cell>
          <cell r="AD12835">
            <v>79500</v>
          </cell>
        </row>
        <row r="12836">
          <cell r="W12836" t="str">
            <v>QTOPS02</v>
          </cell>
          <cell r="AD12836">
            <v>79500</v>
          </cell>
        </row>
        <row r="12837">
          <cell r="W12837" t="str">
            <v>QTOPS02</v>
          </cell>
          <cell r="AD12837">
            <v>79500</v>
          </cell>
        </row>
        <row r="12838">
          <cell r="W12838" t="str">
            <v>QTOPS02</v>
          </cell>
          <cell r="AD12838">
            <v>79500</v>
          </cell>
        </row>
        <row r="12839">
          <cell r="W12839" t="str">
            <v>QTOPS02</v>
          </cell>
          <cell r="AD12839">
            <v>79500</v>
          </cell>
        </row>
        <row r="12840">
          <cell r="W12840" t="str">
            <v>QTOPS02</v>
          </cell>
          <cell r="AD12840">
            <v>79500</v>
          </cell>
        </row>
        <row r="12841">
          <cell r="W12841" t="str">
            <v>QTOPS02</v>
          </cell>
          <cell r="AD12841">
            <v>79500</v>
          </cell>
        </row>
        <row r="12842">
          <cell r="W12842" t="str">
            <v>QTOPS02</v>
          </cell>
          <cell r="AD12842">
            <v>79500</v>
          </cell>
        </row>
        <row r="12843">
          <cell r="W12843" t="str">
            <v>QTOPS02</v>
          </cell>
          <cell r="AD12843">
            <v>79500</v>
          </cell>
        </row>
        <row r="12844">
          <cell r="W12844" t="str">
            <v>QTOPS02</v>
          </cell>
          <cell r="AD12844">
            <v>79500</v>
          </cell>
        </row>
        <row r="12845">
          <cell r="W12845" t="str">
            <v>QTOPS02</v>
          </cell>
          <cell r="AD12845">
            <v>79500</v>
          </cell>
        </row>
        <row r="12846">
          <cell r="W12846" t="str">
            <v>QTOPS02</v>
          </cell>
          <cell r="AD12846">
            <v>79500</v>
          </cell>
        </row>
        <row r="12847">
          <cell r="W12847" t="str">
            <v>QTOPS02</v>
          </cell>
          <cell r="AD12847">
            <v>79500</v>
          </cell>
        </row>
        <row r="12848">
          <cell r="W12848" t="str">
            <v>QTOPS02</v>
          </cell>
          <cell r="AD12848">
            <v>79500</v>
          </cell>
        </row>
        <row r="12849">
          <cell r="W12849" t="str">
            <v>QTOPS02</v>
          </cell>
          <cell r="AD12849">
            <v>79500</v>
          </cell>
        </row>
        <row r="12850">
          <cell r="W12850" t="str">
            <v>QTOPS02</v>
          </cell>
          <cell r="AD12850">
            <v>79500</v>
          </cell>
        </row>
        <row r="12851">
          <cell r="W12851" t="str">
            <v>QTOPS02</v>
          </cell>
          <cell r="AD12851">
            <v>79500</v>
          </cell>
        </row>
        <row r="12852">
          <cell r="W12852" t="str">
            <v>QTOPS02</v>
          </cell>
          <cell r="AD12852">
            <v>79500</v>
          </cell>
        </row>
        <row r="12853">
          <cell r="W12853" t="str">
            <v>QTOPS02</v>
          </cell>
          <cell r="AD12853">
            <v>79500</v>
          </cell>
        </row>
        <row r="12854">
          <cell r="W12854" t="str">
            <v>QTOPS02</v>
          </cell>
          <cell r="AD12854">
            <v>79500</v>
          </cell>
        </row>
        <row r="12855">
          <cell r="W12855" t="str">
            <v>QTRIG01</v>
          </cell>
          <cell r="AD12855">
            <v>189000</v>
          </cell>
        </row>
        <row r="12856">
          <cell r="W12856" t="str">
            <v>QTRIG01</v>
          </cell>
          <cell r="AD12856">
            <v>192000</v>
          </cell>
        </row>
        <row r="12857">
          <cell r="W12857" t="str">
            <v>QTRIG01</v>
          </cell>
          <cell r="AD12857">
            <v>192000</v>
          </cell>
        </row>
        <row r="12858">
          <cell r="W12858" t="str">
            <v>QTRIG01</v>
          </cell>
          <cell r="AD12858">
            <v>192000</v>
          </cell>
        </row>
        <row r="12859">
          <cell r="W12859" t="str">
            <v>QTRIG01</v>
          </cell>
          <cell r="AD12859">
            <v>193500</v>
          </cell>
        </row>
        <row r="12860">
          <cell r="W12860" t="str">
            <v>QTRIG01</v>
          </cell>
          <cell r="AD12860">
            <v>193500</v>
          </cell>
        </row>
        <row r="12861">
          <cell r="W12861" t="str">
            <v>QTRIG01</v>
          </cell>
          <cell r="AD12861">
            <v>193500</v>
          </cell>
        </row>
        <row r="12862">
          <cell r="W12862" t="str">
            <v>QTRIG01</v>
          </cell>
          <cell r="AD12862">
            <v>193500</v>
          </cell>
        </row>
        <row r="12863">
          <cell r="W12863" t="str">
            <v>QTRIG01</v>
          </cell>
          <cell r="AD12863">
            <v>193500</v>
          </cell>
        </row>
        <row r="12864">
          <cell r="W12864" t="str">
            <v>QTRIG01</v>
          </cell>
          <cell r="AD12864">
            <v>193500</v>
          </cell>
        </row>
        <row r="12865">
          <cell r="W12865" t="str">
            <v>QTRIG01</v>
          </cell>
          <cell r="AD12865">
            <v>193500</v>
          </cell>
        </row>
        <row r="12866">
          <cell r="W12866" t="str">
            <v>QTRIG01</v>
          </cell>
          <cell r="AD12866">
            <v>193500</v>
          </cell>
        </row>
        <row r="12867">
          <cell r="W12867" t="str">
            <v>QTRIG02</v>
          </cell>
          <cell r="AD12867">
            <v>99000</v>
          </cell>
        </row>
        <row r="12868">
          <cell r="W12868" t="str">
            <v>QTRIG02</v>
          </cell>
          <cell r="AD12868">
            <v>100500</v>
          </cell>
        </row>
        <row r="12869">
          <cell r="W12869" t="str">
            <v>QTRIG02</v>
          </cell>
          <cell r="AD12869">
            <v>101000</v>
          </cell>
        </row>
        <row r="12870">
          <cell r="W12870" t="str">
            <v>QTRIG02</v>
          </cell>
          <cell r="AD12870">
            <v>101000</v>
          </cell>
        </row>
        <row r="12871">
          <cell r="W12871" t="str">
            <v>QTRIG02</v>
          </cell>
          <cell r="AD12871">
            <v>101000</v>
          </cell>
        </row>
        <row r="12872">
          <cell r="W12872" t="str">
            <v>QTRIG02</v>
          </cell>
          <cell r="AD12872">
            <v>101000</v>
          </cell>
        </row>
        <row r="12873">
          <cell r="W12873" t="str">
            <v>QTRIG02</v>
          </cell>
          <cell r="AD12873">
            <v>101000</v>
          </cell>
        </row>
        <row r="12874">
          <cell r="W12874" t="str">
            <v>QTRIG02</v>
          </cell>
          <cell r="AD12874">
            <v>101000</v>
          </cell>
        </row>
        <row r="12875">
          <cell r="W12875" t="str">
            <v>QTRIG02</v>
          </cell>
          <cell r="AD12875">
            <v>101000</v>
          </cell>
        </row>
        <row r="12876">
          <cell r="W12876" t="str">
            <v>QTRIS01</v>
          </cell>
          <cell r="AD12876">
            <v>34500</v>
          </cell>
        </row>
        <row r="12877">
          <cell r="W12877" t="str">
            <v>QTRIS01</v>
          </cell>
          <cell r="AD12877">
            <v>35000</v>
          </cell>
        </row>
        <row r="12878">
          <cell r="W12878" t="str">
            <v>QTRIS01</v>
          </cell>
          <cell r="AD12878">
            <v>35000</v>
          </cell>
        </row>
        <row r="12879">
          <cell r="W12879" t="str">
            <v>QTRIS01</v>
          </cell>
          <cell r="AD12879">
            <v>35000</v>
          </cell>
        </row>
        <row r="12880">
          <cell r="W12880" t="str">
            <v>QTRIS01</v>
          </cell>
          <cell r="AD12880">
            <v>35000</v>
          </cell>
        </row>
        <row r="12881">
          <cell r="W12881" t="str">
            <v>QTRIS01</v>
          </cell>
          <cell r="AD12881">
            <v>35000</v>
          </cell>
        </row>
        <row r="12882">
          <cell r="W12882" t="str">
            <v>QTRIS01</v>
          </cell>
          <cell r="AD12882">
            <v>35000</v>
          </cell>
        </row>
        <row r="12883">
          <cell r="W12883" t="str">
            <v>QTRIS01</v>
          </cell>
          <cell r="AD12883">
            <v>35000</v>
          </cell>
        </row>
        <row r="12884">
          <cell r="W12884" t="str">
            <v>QTRIS01</v>
          </cell>
          <cell r="AD12884">
            <v>35000</v>
          </cell>
        </row>
        <row r="12885">
          <cell r="W12885" t="str">
            <v>QTRIS01</v>
          </cell>
          <cell r="AD12885">
            <v>35000</v>
          </cell>
        </row>
        <row r="12886">
          <cell r="W12886" t="str">
            <v>QTRIS01</v>
          </cell>
          <cell r="AD12886">
            <v>35000</v>
          </cell>
        </row>
        <row r="12887">
          <cell r="W12887" t="str">
            <v>QTRIS01</v>
          </cell>
          <cell r="AD12887">
            <v>35000</v>
          </cell>
        </row>
        <row r="12888">
          <cell r="W12888" t="str">
            <v>QTRIS01</v>
          </cell>
          <cell r="AD12888">
            <v>35000</v>
          </cell>
        </row>
        <row r="12889">
          <cell r="W12889" t="str">
            <v>QTRIS01</v>
          </cell>
          <cell r="AD12889">
            <v>35000</v>
          </cell>
        </row>
        <row r="12890">
          <cell r="W12890" t="str">
            <v>QTRIS01</v>
          </cell>
          <cell r="AD12890">
            <v>35000</v>
          </cell>
        </row>
        <row r="12891">
          <cell r="W12891" t="str">
            <v>QTRIS01</v>
          </cell>
          <cell r="AD12891">
            <v>35500</v>
          </cell>
        </row>
        <row r="12892">
          <cell r="W12892" t="str">
            <v>QTRIS01</v>
          </cell>
          <cell r="AD12892">
            <v>35500</v>
          </cell>
        </row>
        <row r="12893">
          <cell r="W12893" t="str">
            <v>QTRIS01</v>
          </cell>
          <cell r="AD12893">
            <v>35500</v>
          </cell>
        </row>
        <row r="12894">
          <cell r="W12894" t="str">
            <v>QTRIS01</v>
          </cell>
          <cell r="AD12894">
            <v>35500</v>
          </cell>
        </row>
        <row r="12895">
          <cell r="W12895" t="str">
            <v>QTRIS01</v>
          </cell>
          <cell r="AD12895">
            <v>35500</v>
          </cell>
        </row>
        <row r="12896">
          <cell r="W12896" t="str">
            <v>QTRIS01</v>
          </cell>
          <cell r="AD12896">
            <v>35500</v>
          </cell>
        </row>
        <row r="12897">
          <cell r="W12897" t="str">
            <v>QTRIS01</v>
          </cell>
          <cell r="AD12897">
            <v>35500</v>
          </cell>
        </row>
        <row r="12898">
          <cell r="W12898" t="str">
            <v>QTRIS01</v>
          </cell>
          <cell r="AD12898">
            <v>35500</v>
          </cell>
        </row>
        <row r="12899">
          <cell r="W12899" t="str">
            <v>QTRIS01</v>
          </cell>
          <cell r="AD12899">
            <v>35500</v>
          </cell>
        </row>
        <row r="12900">
          <cell r="W12900" t="str">
            <v>QTRIS01</v>
          </cell>
          <cell r="AD12900">
            <v>36000</v>
          </cell>
        </row>
        <row r="12901">
          <cell r="W12901" t="str">
            <v>QTRIS01</v>
          </cell>
          <cell r="AD12901">
            <v>36000</v>
          </cell>
        </row>
        <row r="12902">
          <cell r="W12902" t="str">
            <v>QTRIS01</v>
          </cell>
          <cell r="AD12902">
            <v>36000</v>
          </cell>
        </row>
        <row r="12903">
          <cell r="W12903" t="str">
            <v>QTRIS01</v>
          </cell>
          <cell r="AD12903">
            <v>36000</v>
          </cell>
        </row>
        <row r="12904">
          <cell r="W12904" t="str">
            <v>QTRIS01</v>
          </cell>
          <cell r="AD12904">
            <v>36000</v>
          </cell>
        </row>
        <row r="12905">
          <cell r="W12905" t="str">
            <v>QTRIS01</v>
          </cell>
          <cell r="AD12905">
            <v>36000</v>
          </cell>
        </row>
        <row r="12906">
          <cell r="W12906" t="str">
            <v>ATRIS01</v>
          </cell>
          <cell r="AD12906">
            <v>40000</v>
          </cell>
        </row>
        <row r="12907">
          <cell r="W12907" t="str">
            <v>QTRIV02</v>
          </cell>
          <cell r="AD12907">
            <v>68500</v>
          </cell>
        </row>
        <row r="12908">
          <cell r="W12908" t="str">
            <v>QTRIV02</v>
          </cell>
          <cell r="AD12908">
            <v>68500</v>
          </cell>
        </row>
        <row r="12909">
          <cell r="W12909" t="str">
            <v>QTSP 03</v>
          </cell>
          <cell r="AD12909">
            <v>235000</v>
          </cell>
        </row>
        <row r="12910">
          <cell r="W12910" t="str">
            <v>QTUNT03</v>
          </cell>
          <cell r="AD12910">
            <v>45000</v>
          </cell>
        </row>
        <row r="12911">
          <cell r="W12911" t="str">
            <v>QTUNT03</v>
          </cell>
          <cell r="AD12911">
            <v>45000</v>
          </cell>
        </row>
        <row r="12912">
          <cell r="W12912" t="str">
            <v>QTUNT03</v>
          </cell>
          <cell r="AD12912">
            <v>45000</v>
          </cell>
        </row>
        <row r="12913">
          <cell r="W12913" t="str">
            <v>QTUNT03</v>
          </cell>
          <cell r="AD12913">
            <v>45000</v>
          </cell>
        </row>
        <row r="12914">
          <cell r="W12914" t="str">
            <v>QTUNT03</v>
          </cell>
          <cell r="AD12914">
            <v>45000</v>
          </cell>
        </row>
        <row r="12915">
          <cell r="W12915" t="str">
            <v>QTUNT03</v>
          </cell>
          <cell r="AD12915">
            <v>45000</v>
          </cell>
        </row>
        <row r="12916">
          <cell r="W12916" t="str">
            <v>QTUNT03</v>
          </cell>
          <cell r="AD12916">
            <v>45000</v>
          </cell>
        </row>
        <row r="12917">
          <cell r="W12917" t="str">
            <v>QTUNT03</v>
          </cell>
          <cell r="AD12917">
            <v>45000</v>
          </cell>
        </row>
        <row r="12918">
          <cell r="W12918" t="str">
            <v>QTUNT03</v>
          </cell>
          <cell r="AD12918">
            <v>45000</v>
          </cell>
        </row>
        <row r="12919">
          <cell r="W12919" t="str">
            <v>ATUNT01</v>
          </cell>
          <cell r="AD12919">
            <v>45000</v>
          </cell>
        </row>
        <row r="12920">
          <cell r="W12920" t="str">
            <v>QTUNT03</v>
          </cell>
          <cell r="AD12920">
            <v>45000</v>
          </cell>
        </row>
        <row r="12921">
          <cell r="W12921" t="str">
            <v>QTUNT03</v>
          </cell>
          <cell r="AD12921">
            <v>46000</v>
          </cell>
        </row>
        <row r="12922">
          <cell r="W12922" t="str">
            <v>QTUNT03</v>
          </cell>
          <cell r="AD12922">
            <v>46000</v>
          </cell>
        </row>
        <row r="12923">
          <cell r="W12923" t="str">
            <v>QTUNT03</v>
          </cell>
          <cell r="AD12923">
            <v>46000</v>
          </cell>
        </row>
        <row r="12924">
          <cell r="W12924" t="str">
            <v>QTUNT03</v>
          </cell>
          <cell r="AD12924">
            <v>46000</v>
          </cell>
        </row>
        <row r="12925">
          <cell r="W12925" t="str">
            <v>QTUNT03</v>
          </cell>
          <cell r="AD12925">
            <v>46000</v>
          </cell>
        </row>
        <row r="12926">
          <cell r="W12926" t="str">
            <v>QTUNT03</v>
          </cell>
          <cell r="AD12926">
            <v>46000</v>
          </cell>
        </row>
        <row r="12927">
          <cell r="W12927" t="str">
            <v>QTUNT03</v>
          </cell>
          <cell r="AD12927">
            <v>47000</v>
          </cell>
        </row>
        <row r="12928">
          <cell r="W12928" t="str">
            <v>QTUNT03</v>
          </cell>
          <cell r="AD12928">
            <v>47000</v>
          </cell>
        </row>
        <row r="12929">
          <cell r="W12929" t="str">
            <v>QTUNT03</v>
          </cell>
          <cell r="AD12929">
            <v>47000</v>
          </cell>
        </row>
        <row r="12930">
          <cell r="W12930" t="str">
            <v>QTUNT03</v>
          </cell>
          <cell r="AD12930">
            <v>47000</v>
          </cell>
        </row>
        <row r="12931">
          <cell r="W12931" t="str">
            <v>QTUNT03</v>
          </cell>
          <cell r="AD12931">
            <v>47000</v>
          </cell>
        </row>
        <row r="12932">
          <cell r="W12932" t="str">
            <v>QTUNT03</v>
          </cell>
          <cell r="AD12932">
            <v>47000</v>
          </cell>
        </row>
        <row r="12933">
          <cell r="W12933" t="str">
            <v>QTUNT03</v>
          </cell>
          <cell r="AD12933">
            <v>47000</v>
          </cell>
        </row>
        <row r="12934">
          <cell r="W12934" t="str">
            <v>QTUNT03</v>
          </cell>
          <cell r="AD12934">
            <v>47000</v>
          </cell>
        </row>
        <row r="12935">
          <cell r="W12935" t="str">
            <v>QTUNT05</v>
          </cell>
          <cell r="AD12935">
            <v>23500</v>
          </cell>
        </row>
        <row r="12936">
          <cell r="W12936" t="str">
            <v>AURAN01</v>
          </cell>
          <cell r="AD12936">
            <v>1</v>
          </cell>
        </row>
        <row r="12937">
          <cell r="W12937" t="str">
            <v>AVPRO01</v>
          </cell>
          <cell r="AD12937">
            <v>1</v>
          </cell>
        </row>
        <row r="12938">
          <cell r="W12938" t="str">
            <v>AVPRO02</v>
          </cell>
          <cell r="AD12938">
            <v>1</v>
          </cell>
        </row>
        <row r="12939">
          <cell r="W12939" t="str">
            <v>QVALE01</v>
          </cell>
          <cell r="AD12939">
            <v>54000</v>
          </cell>
        </row>
        <row r="12940">
          <cell r="W12940" t="str">
            <v>QVALE01</v>
          </cell>
          <cell r="AD12940">
            <v>54000</v>
          </cell>
        </row>
        <row r="12941">
          <cell r="W12941" t="str">
            <v>QVALE01</v>
          </cell>
          <cell r="AD12941">
            <v>54000</v>
          </cell>
        </row>
        <row r="12942">
          <cell r="W12942" t="str">
            <v>QVALE01</v>
          </cell>
          <cell r="AD12942">
            <v>54000</v>
          </cell>
        </row>
        <row r="12943">
          <cell r="W12943" t="str">
            <v>QVALE01</v>
          </cell>
          <cell r="AD12943">
            <v>54000</v>
          </cell>
        </row>
        <row r="12944">
          <cell r="W12944" t="str">
            <v>QVAYE01</v>
          </cell>
          <cell r="AD12944">
            <v>210000</v>
          </cell>
        </row>
        <row r="12945">
          <cell r="W12945" t="str">
            <v>QVAYE01</v>
          </cell>
          <cell r="AD12945">
            <v>210000</v>
          </cell>
        </row>
        <row r="12946">
          <cell r="W12946" t="str">
            <v>QVAYE01</v>
          </cell>
          <cell r="AD12946">
            <v>210000</v>
          </cell>
        </row>
        <row r="12947">
          <cell r="W12947" t="str">
            <v>QVAYE01</v>
          </cell>
          <cell r="AD12947">
            <v>210000</v>
          </cell>
        </row>
        <row r="12948">
          <cell r="W12948" t="str">
            <v>QVAYE01</v>
          </cell>
          <cell r="AD12948">
            <v>210000</v>
          </cell>
        </row>
        <row r="12949">
          <cell r="W12949" t="str">
            <v>QVAYE01</v>
          </cell>
          <cell r="AD12949">
            <v>210000</v>
          </cell>
        </row>
        <row r="12950">
          <cell r="W12950" t="str">
            <v>QVAYE01</v>
          </cell>
          <cell r="AD12950">
            <v>210000</v>
          </cell>
        </row>
        <row r="12951">
          <cell r="W12951" t="str">
            <v>QVAYE01</v>
          </cell>
          <cell r="AD12951">
            <v>210000</v>
          </cell>
        </row>
        <row r="12952">
          <cell r="W12952" t="str">
            <v>QVAYE01</v>
          </cell>
          <cell r="AD12952">
            <v>220000</v>
          </cell>
        </row>
        <row r="12953">
          <cell r="W12953" t="str">
            <v>QVAYE01</v>
          </cell>
          <cell r="AD12953">
            <v>220000</v>
          </cell>
        </row>
        <row r="12954">
          <cell r="W12954" t="str">
            <v>QVAYE01</v>
          </cell>
          <cell r="AD12954">
            <v>220000</v>
          </cell>
        </row>
        <row r="12955">
          <cell r="W12955" t="str">
            <v>QVAYE01</v>
          </cell>
          <cell r="AD12955">
            <v>220000</v>
          </cell>
        </row>
        <row r="12956">
          <cell r="W12956" t="str">
            <v>QVAYE01</v>
          </cell>
          <cell r="AD12956">
            <v>220000</v>
          </cell>
        </row>
        <row r="12957">
          <cell r="W12957" t="str">
            <v>QVAYE01</v>
          </cell>
          <cell r="AD12957">
            <v>220000</v>
          </cell>
        </row>
        <row r="12958">
          <cell r="W12958" t="str">
            <v>QVAYE01</v>
          </cell>
          <cell r="AD12958">
            <v>220000</v>
          </cell>
        </row>
        <row r="12959">
          <cell r="W12959" t="str">
            <v>QVAYE01</v>
          </cell>
          <cell r="AD12959">
            <v>220000</v>
          </cell>
        </row>
        <row r="12960">
          <cell r="W12960" t="str">
            <v>QVAYE01</v>
          </cell>
          <cell r="AD12960">
            <v>220000</v>
          </cell>
        </row>
        <row r="12961">
          <cell r="W12961" t="str">
            <v>QVAYE01</v>
          </cell>
          <cell r="AD12961">
            <v>220000</v>
          </cell>
        </row>
        <row r="12962">
          <cell r="W12962" t="str">
            <v>QVIAR01</v>
          </cell>
          <cell r="AD12962">
            <v>135000</v>
          </cell>
        </row>
        <row r="12963">
          <cell r="W12963" t="str">
            <v>QVIAR01</v>
          </cell>
          <cell r="AD12963">
            <v>135000</v>
          </cell>
        </row>
        <row r="12964">
          <cell r="W12964" t="str">
            <v>QVIAR01</v>
          </cell>
          <cell r="AD12964">
            <v>135000</v>
          </cell>
        </row>
        <row r="12965">
          <cell r="W12965" t="str">
            <v>QVIAR01</v>
          </cell>
          <cell r="AD12965">
            <v>137500</v>
          </cell>
        </row>
        <row r="12966">
          <cell r="W12966" t="str">
            <v>QVIAR01</v>
          </cell>
          <cell r="AD12966">
            <v>137500</v>
          </cell>
        </row>
        <row r="12967">
          <cell r="W12967" t="str">
            <v>QVIRT01</v>
          </cell>
          <cell r="AD12967">
            <v>19850</v>
          </cell>
        </row>
        <row r="12968">
          <cell r="W12968" t="str">
            <v>QVIRT01</v>
          </cell>
          <cell r="AD12968">
            <v>19900</v>
          </cell>
        </row>
        <row r="12969">
          <cell r="W12969" t="str">
            <v>QVIRT01</v>
          </cell>
          <cell r="AD12969">
            <v>20000</v>
          </cell>
        </row>
        <row r="12970">
          <cell r="W12970" t="str">
            <v>QVIRT01</v>
          </cell>
          <cell r="AD12970">
            <v>20000</v>
          </cell>
        </row>
        <row r="12971">
          <cell r="W12971" t="str">
            <v>QVIRT01</v>
          </cell>
          <cell r="AD12971">
            <v>20000</v>
          </cell>
        </row>
        <row r="12972">
          <cell r="W12972" t="str">
            <v>QVIRT01</v>
          </cell>
          <cell r="AD12972">
            <v>20000</v>
          </cell>
        </row>
        <row r="12973">
          <cell r="W12973" t="str">
            <v>QVIRT01</v>
          </cell>
          <cell r="AD12973">
            <v>20000</v>
          </cell>
        </row>
        <row r="12974">
          <cell r="W12974" t="str">
            <v>QVIRT01</v>
          </cell>
          <cell r="AD12974">
            <v>20000</v>
          </cell>
        </row>
        <row r="12975">
          <cell r="W12975" t="str">
            <v>QVIRT01</v>
          </cell>
          <cell r="AD12975">
            <v>20000</v>
          </cell>
        </row>
        <row r="12976">
          <cell r="W12976" t="str">
            <v>QVIRT01</v>
          </cell>
          <cell r="AD12976">
            <v>20000</v>
          </cell>
        </row>
        <row r="12977">
          <cell r="W12977" t="str">
            <v>QVIRT01</v>
          </cell>
          <cell r="AD12977">
            <v>20000</v>
          </cell>
        </row>
        <row r="12978">
          <cell r="W12978" t="str">
            <v>QVIRT01</v>
          </cell>
          <cell r="AD12978">
            <v>20000</v>
          </cell>
        </row>
        <row r="12979">
          <cell r="W12979" t="str">
            <v>QVIRT01</v>
          </cell>
          <cell r="AD12979">
            <v>20000</v>
          </cell>
        </row>
        <row r="12980">
          <cell r="W12980" t="str">
            <v>QVIRT01</v>
          </cell>
          <cell r="AD12980">
            <v>20000</v>
          </cell>
        </row>
        <row r="12981">
          <cell r="W12981" t="str">
            <v>QVIRT01</v>
          </cell>
          <cell r="AD12981">
            <v>20000</v>
          </cell>
        </row>
        <row r="12982">
          <cell r="W12982" t="str">
            <v>QVIRT01</v>
          </cell>
          <cell r="AD12982">
            <v>20000</v>
          </cell>
        </row>
        <row r="12983">
          <cell r="W12983" t="str">
            <v>QVIRT01</v>
          </cell>
          <cell r="AD12983">
            <v>20000</v>
          </cell>
        </row>
        <row r="12984">
          <cell r="W12984" t="str">
            <v>QVIRT01</v>
          </cell>
          <cell r="AD12984">
            <v>20050</v>
          </cell>
        </row>
        <row r="12985">
          <cell r="W12985" t="str">
            <v>QVIRT01</v>
          </cell>
          <cell r="AD12985">
            <v>20050</v>
          </cell>
        </row>
        <row r="12986">
          <cell r="W12986" t="str">
            <v>QVIRT01</v>
          </cell>
          <cell r="AD12986">
            <v>20050</v>
          </cell>
        </row>
        <row r="12987">
          <cell r="W12987" t="str">
            <v>QVIRT01</v>
          </cell>
          <cell r="AD12987">
            <v>20050</v>
          </cell>
        </row>
        <row r="12988">
          <cell r="W12988" t="str">
            <v>QVIRT01</v>
          </cell>
          <cell r="AD12988">
            <v>20050</v>
          </cell>
        </row>
        <row r="12989">
          <cell r="W12989" t="str">
            <v>QVIRT01</v>
          </cell>
          <cell r="AD12989">
            <v>20100</v>
          </cell>
        </row>
        <row r="12990">
          <cell r="W12990" t="str">
            <v>QVIRT01</v>
          </cell>
          <cell r="AD12990">
            <v>20250</v>
          </cell>
        </row>
        <row r="12991">
          <cell r="W12991" t="str">
            <v>QVIRT01</v>
          </cell>
          <cell r="AD12991">
            <v>20250</v>
          </cell>
        </row>
        <row r="12992">
          <cell r="W12992" t="str">
            <v>QVIRT01</v>
          </cell>
          <cell r="AD12992">
            <v>20250</v>
          </cell>
        </row>
        <row r="12993">
          <cell r="W12993" t="str">
            <v>QVIRT01</v>
          </cell>
          <cell r="AD12993">
            <v>20500</v>
          </cell>
        </row>
        <row r="12994">
          <cell r="W12994" t="str">
            <v>QVIRT01</v>
          </cell>
          <cell r="AD12994">
            <v>20500</v>
          </cell>
        </row>
        <row r="12995">
          <cell r="W12995" t="str">
            <v>QVIRT01</v>
          </cell>
          <cell r="AD12995">
            <v>20500</v>
          </cell>
        </row>
        <row r="12996">
          <cell r="W12996" t="str">
            <v>QVIRT01</v>
          </cell>
          <cell r="AD12996">
            <v>20500</v>
          </cell>
        </row>
        <row r="12997">
          <cell r="W12997" t="str">
            <v>QVIRT01</v>
          </cell>
          <cell r="AD12997">
            <v>20500</v>
          </cell>
        </row>
        <row r="12998">
          <cell r="W12998" t="str">
            <v>QVIRT01</v>
          </cell>
          <cell r="AD12998">
            <v>21000</v>
          </cell>
        </row>
        <row r="12999">
          <cell r="W12999" t="str">
            <v>QVIRT01</v>
          </cell>
          <cell r="AD12999">
            <v>21500</v>
          </cell>
        </row>
        <row r="13000">
          <cell r="W13000" t="str">
            <v>QVIRT02</v>
          </cell>
          <cell r="AD13000">
            <v>92500</v>
          </cell>
        </row>
        <row r="13001">
          <cell r="W13001" t="str">
            <v>QVIRT02</v>
          </cell>
          <cell r="AD13001">
            <v>93000</v>
          </cell>
        </row>
        <row r="13002">
          <cell r="W13002" t="str">
            <v>QVIRT02</v>
          </cell>
          <cell r="AD13002">
            <v>93750</v>
          </cell>
        </row>
        <row r="13003">
          <cell r="W13003" t="str">
            <v>QVIRT02</v>
          </cell>
          <cell r="AD13003">
            <v>93750</v>
          </cell>
        </row>
        <row r="13004">
          <cell r="W13004" t="str">
            <v>QVIRT02</v>
          </cell>
          <cell r="AD13004">
            <v>93750</v>
          </cell>
        </row>
        <row r="13005">
          <cell r="W13005" t="str">
            <v>QVIRT02</v>
          </cell>
          <cell r="AD13005">
            <v>93750</v>
          </cell>
        </row>
        <row r="13006">
          <cell r="W13006" t="str">
            <v>QVIRT02</v>
          </cell>
          <cell r="AD13006">
            <v>93750</v>
          </cell>
        </row>
        <row r="13007">
          <cell r="W13007" t="str">
            <v>QVIRT02</v>
          </cell>
          <cell r="AD13007">
            <v>93750</v>
          </cell>
        </row>
        <row r="13008">
          <cell r="W13008" t="str">
            <v>QVIRT02</v>
          </cell>
          <cell r="AD13008">
            <v>93750</v>
          </cell>
        </row>
        <row r="13009">
          <cell r="W13009" t="str">
            <v>QVIRT02</v>
          </cell>
          <cell r="AD13009">
            <v>94000</v>
          </cell>
        </row>
        <row r="13010">
          <cell r="W13010" t="str">
            <v>QVIRT02</v>
          </cell>
          <cell r="AD13010">
            <v>94000</v>
          </cell>
        </row>
        <row r="13011">
          <cell r="W13011" t="str">
            <v>QVIRT02</v>
          </cell>
          <cell r="AD13011">
            <v>94500</v>
          </cell>
        </row>
        <row r="13012">
          <cell r="W13012" t="str">
            <v>QVIRT02</v>
          </cell>
          <cell r="AD13012">
            <v>94500</v>
          </cell>
        </row>
        <row r="13013">
          <cell r="W13013" t="str">
            <v>QVIRT02</v>
          </cell>
          <cell r="AD13013">
            <v>94500</v>
          </cell>
        </row>
        <row r="13014">
          <cell r="W13014" t="str">
            <v>QVIRT02</v>
          </cell>
          <cell r="AD13014">
            <v>94500</v>
          </cell>
        </row>
        <row r="13015">
          <cell r="W13015" t="str">
            <v>QVIRT02</v>
          </cell>
          <cell r="AD13015">
            <v>94500</v>
          </cell>
        </row>
        <row r="13016">
          <cell r="W13016" t="str">
            <v>QVIRT02</v>
          </cell>
          <cell r="AD13016">
            <v>94500</v>
          </cell>
        </row>
        <row r="13017">
          <cell r="W13017" t="str">
            <v>QVIRT02</v>
          </cell>
          <cell r="AD13017">
            <v>94500</v>
          </cell>
        </row>
        <row r="13018">
          <cell r="W13018" t="str">
            <v>QVIRT02</v>
          </cell>
          <cell r="AD13018">
            <v>94500</v>
          </cell>
        </row>
        <row r="13019">
          <cell r="W13019" t="str">
            <v>QVIRT02</v>
          </cell>
          <cell r="AD13019">
            <v>94500</v>
          </cell>
        </row>
        <row r="13020">
          <cell r="W13020" t="str">
            <v>QVIRT02</v>
          </cell>
          <cell r="AD13020">
            <v>94500</v>
          </cell>
        </row>
        <row r="13021">
          <cell r="W13021" t="str">
            <v>QVIRT02</v>
          </cell>
          <cell r="AD13021">
            <v>94500</v>
          </cell>
        </row>
        <row r="13022">
          <cell r="W13022" t="str">
            <v>AVIRT02</v>
          </cell>
          <cell r="AD13022">
            <v>94500</v>
          </cell>
        </row>
        <row r="13023">
          <cell r="W13023" t="str">
            <v>QVIRT02</v>
          </cell>
          <cell r="AD13023">
            <v>94500</v>
          </cell>
        </row>
        <row r="13024">
          <cell r="W13024" t="str">
            <v>QVIRT02</v>
          </cell>
          <cell r="AD13024">
            <v>94500</v>
          </cell>
        </row>
        <row r="13025">
          <cell r="W13025" t="str">
            <v>QVIRT02</v>
          </cell>
          <cell r="AD13025">
            <v>94500</v>
          </cell>
        </row>
        <row r="13026">
          <cell r="W13026" t="str">
            <v>QVIRT02</v>
          </cell>
          <cell r="AD13026">
            <v>94500</v>
          </cell>
        </row>
        <row r="13027">
          <cell r="W13027" t="str">
            <v>QVIRT02</v>
          </cell>
          <cell r="AD13027">
            <v>95000</v>
          </cell>
        </row>
        <row r="13028">
          <cell r="W13028" t="str">
            <v>QVIRT02</v>
          </cell>
          <cell r="AD13028">
            <v>97000</v>
          </cell>
        </row>
        <row r="13029">
          <cell r="W13029" t="str">
            <v>QVIRT02</v>
          </cell>
          <cell r="AD13029">
            <v>100500</v>
          </cell>
        </row>
        <row r="13030">
          <cell r="W13030" t="str">
            <v>QVIRT03</v>
          </cell>
          <cell r="AD13030">
            <v>180000</v>
          </cell>
        </row>
        <row r="13031">
          <cell r="W13031" t="str">
            <v>QVIRT03</v>
          </cell>
          <cell r="AD13031">
            <v>181600</v>
          </cell>
        </row>
        <row r="13032">
          <cell r="W13032" t="str">
            <v>QVIRT03</v>
          </cell>
          <cell r="AD13032">
            <v>181750</v>
          </cell>
        </row>
        <row r="13033">
          <cell r="W13033" t="str">
            <v>QVIRT03</v>
          </cell>
          <cell r="AD13033">
            <v>182000</v>
          </cell>
        </row>
        <row r="13034">
          <cell r="W13034" t="str">
            <v>QVIRT03</v>
          </cell>
          <cell r="AD13034">
            <v>182000</v>
          </cell>
        </row>
        <row r="13035">
          <cell r="W13035" t="str">
            <v>QVIRT03</v>
          </cell>
          <cell r="AD13035">
            <v>182000</v>
          </cell>
        </row>
        <row r="13036">
          <cell r="W13036" t="str">
            <v>QVIRT03</v>
          </cell>
          <cell r="AD13036">
            <v>183200</v>
          </cell>
        </row>
        <row r="13037">
          <cell r="W13037" t="str">
            <v>QVIRT03</v>
          </cell>
          <cell r="AD13037">
            <v>183250</v>
          </cell>
        </row>
        <row r="13038">
          <cell r="W13038" t="str">
            <v>QVIRT03</v>
          </cell>
          <cell r="AD13038">
            <v>183250</v>
          </cell>
        </row>
        <row r="13039">
          <cell r="W13039" t="str">
            <v>QVIRT03</v>
          </cell>
          <cell r="AD13039">
            <v>183500</v>
          </cell>
        </row>
        <row r="13040">
          <cell r="W13040" t="str">
            <v>QVIRT03</v>
          </cell>
          <cell r="AD13040">
            <v>183500</v>
          </cell>
        </row>
        <row r="13041">
          <cell r="W13041" t="str">
            <v>QVIRT03</v>
          </cell>
          <cell r="AD13041">
            <v>183500</v>
          </cell>
        </row>
        <row r="13042">
          <cell r="W13042" t="str">
            <v>QVIRT03</v>
          </cell>
          <cell r="AD13042">
            <v>183500</v>
          </cell>
        </row>
        <row r="13043">
          <cell r="W13043" t="str">
            <v>QVIRT03</v>
          </cell>
          <cell r="AD13043">
            <v>183500</v>
          </cell>
        </row>
        <row r="13044">
          <cell r="W13044" t="str">
            <v>QVIRT03</v>
          </cell>
          <cell r="AD13044">
            <v>183500</v>
          </cell>
        </row>
        <row r="13045">
          <cell r="W13045" t="str">
            <v>QVIRT03</v>
          </cell>
          <cell r="AD13045">
            <v>184000</v>
          </cell>
        </row>
        <row r="13046">
          <cell r="W13046" t="str">
            <v>QVIRT03</v>
          </cell>
          <cell r="AD13046">
            <v>184000</v>
          </cell>
        </row>
        <row r="13047">
          <cell r="W13047" t="str">
            <v>QVIRT03</v>
          </cell>
          <cell r="AD13047">
            <v>184000</v>
          </cell>
        </row>
        <row r="13048">
          <cell r="W13048" t="str">
            <v>QVIRT03</v>
          </cell>
          <cell r="AD13048">
            <v>184000</v>
          </cell>
        </row>
        <row r="13049">
          <cell r="W13049" t="str">
            <v>QVIRT03</v>
          </cell>
          <cell r="AD13049">
            <v>184000</v>
          </cell>
        </row>
        <row r="13050">
          <cell r="W13050" t="str">
            <v>QVIRT03</v>
          </cell>
          <cell r="AD13050">
            <v>184000</v>
          </cell>
        </row>
        <row r="13051">
          <cell r="W13051" t="str">
            <v>QVIRT03</v>
          </cell>
          <cell r="AD13051">
            <v>184500</v>
          </cell>
        </row>
        <row r="13052">
          <cell r="W13052" t="str">
            <v>QVIRT03</v>
          </cell>
          <cell r="AD13052">
            <v>185000</v>
          </cell>
        </row>
        <row r="13053">
          <cell r="W13053" t="str">
            <v>QVIRT03</v>
          </cell>
          <cell r="AD13053">
            <v>194500</v>
          </cell>
        </row>
        <row r="13054">
          <cell r="W13054" t="str">
            <v>QVIRT03</v>
          </cell>
          <cell r="AD13054">
            <v>194500</v>
          </cell>
        </row>
        <row r="13055">
          <cell r="W13055" t="str">
            <v>QVIRT03</v>
          </cell>
          <cell r="AD13055">
            <v>194500</v>
          </cell>
        </row>
        <row r="13056">
          <cell r="W13056" t="str">
            <v>QVIRT03</v>
          </cell>
          <cell r="AD13056">
            <v>200000</v>
          </cell>
        </row>
        <row r="13057">
          <cell r="W13057" t="str">
            <v>QVIRT03</v>
          </cell>
          <cell r="AD13057">
            <v>200000</v>
          </cell>
        </row>
        <row r="13058">
          <cell r="W13058" t="str">
            <v>QVIRT03</v>
          </cell>
          <cell r="AD13058">
            <v>200000</v>
          </cell>
        </row>
        <row r="13059">
          <cell r="W13059" t="str">
            <v>AVIST01</v>
          </cell>
          <cell r="AD13059">
            <v>60000</v>
          </cell>
        </row>
        <row r="13060">
          <cell r="W13060" t="str">
            <v>QVIST01</v>
          </cell>
          <cell r="AD13060">
            <v>60000</v>
          </cell>
        </row>
        <row r="13061">
          <cell r="W13061" t="str">
            <v>QVIST01</v>
          </cell>
          <cell r="AD13061">
            <v>60000</v>
          </cell>
        </row>
        <row r="13062">
          <cell r="W13062" t="str">
            <v>QVIST01</v>
          </cell>
          <cell r="AD13062">
            <v>61000</v>
          </cell>
        </row>
        <row r="13063">
          <cell r="W13063" t="str">
            <v>QVIST01</v>
          </cell>
          <cell r="AD13063">
            <v>61000</v>
          </cell>
        </row>
        <row r="13064">
          <cell r="W13064" t="str">
            <v>QVIST01</v>
          </cell>
          <cell r="AD13064">
            <v>61000</v>
          </cell>
        </row>
        <row r="13065">
          <cell r="W13065" t="str">
            <v>QVIST01</v>
          </cell>
          <cell r="AD13065">
            <v>61000</v>
          </cell>
        </row>
        <row r="13066">
          <cell r="W13066" t="str">
            <v>QVIST02</v>
          </cell>
          <cell r="AD13066">
            <v>27500</v>
          </cell>
        </row>
        <row r="13067">
          <cell r="W13067" t="str">
            <v>QVIST02</v>
          </cell>
          <cell r="AD13067">
            <v>33000</v>
          </cell>
        </row>
        <row r="13068">
          <cell r="W13068" t="str">
            <v>QVIST02</v>
          </cell>
          <cell r="AD13068">
            <v>33000</v>
          </cell>
        </row>
        <row r="13069">
          <cell r="W13069" t="str">
            <v>QVIST02</v>
          </cell>
          <cell r="AD13069">
            <v>33000</v>
          </cell>
        </row>
        <row r="13070">
          <cell r="W13070" t="str">
            <v>QVIST03</v>
          </cell>
          <cell r="AD13070">
            <v>16000</v>
          </cell>
        </row>
        <row r="13071">
          <cell r="W13071" t="str">
            <v>QVIST03</v>
          </cell>
          <cell r="AD13071">
            <v>16000</v>
          </cell>
        </row>
        <row r="13072">
          <cell r="W13072" t="str">
            <v>QVIST03</v>
          </cell>
          <cell r="AD13072">
            <v>17000</v>
          </cell>
        </row>
        <row r="13073">
          <cell r="W13073" t="str">
            <v>QWALA02</v>
          </cell>
          <cell r="AD13073">
            <v>54000</v>
          </cell>
        </row>
        <row r="13074">
          <cell r="W13074" t="str">
            <v>QWALA02</v>
          </cell>
          <cell r="AD13074">
            <v>54000</v>
          </cell>
        </row>
        <row r="13075">
          <cell r="W13075" t="str">
            <v>QWALA02</v>
          </cell>
          <cell r="AD13075">
            <v>54000</v>
          </cell>
        </row>
        <row r="13076">
          <cell r="W13076" t="str">
            <v>QWALA02</v>
          </cell>
          <cell r="AD13076">
            <v>54000</v>
          </cell>
        </row>
        <row r="13077">
          <cell r="W13077" t="str">
            <v>QWALA02</v>
          </cell>
          <cell r="AD13077">
            <v>54000</v>
          </cell>
        </row>
        <row r="13078">
          <cell r="W13078" t="str">
            <v>QWALA02</v>
          </cell>
          <cell r="AD13078">
            <v>54000</v>
          </cell>
        </row>
        <row r="13079">
          <cell r="W13079" t="str">
            <v>QWALA02</v>
          </cell>
          <cell r="AD13079">
            <v>54000</v>
          </cell>
        </row>
        <row r="13080">
          <cell r="W13080" t="str">
            <v>QWALA02</v>
          </cell>
          <cell r="AD13080">
            <v>54000</v>
          </cell>
        </row>
        <row r="13081">
          <cell r="W13081" t="str">
            <v>QWALA02</v>
          </cell>
          <cell r="AD13081">
            <v>54000</v>
          </cell>
        </row>
        <row r="13082">
          <cell r="W13082" t="str">
            <v>QWALA02</v>
          </cell>
          <cell r="AD13082">
            <v>54000</v>
          </cell>
        </row>
        <row r="13083">
          <cell r="W13083" t="str">
            <v>QWALA02</v>
          </cell>
          <cell r="AD13083">
            <v>54000</v>
          </cell>
        </row>
        <row r="13084">
          <cell r="W13084" t="str">
            <v>QWALA02</v>
          </cell>
          <cell r="AD13084">
            <v>54000</v>
          </cell>
        </row>
        <row r="13085">
          <cell r="W13085" t="str">
            <v>QWALA02</v>
          </cell>
          <cell r="AD13085">
            <v>54000</v>
          </cell>
        </row>
        <row r="13086">
          <cell r="W13086" t="str">
            <v>QWALA02</v>
          </cell>
          <cell r="AD13086">
            <v>54000</v>
          </cell>
        </row>
        <row r="13087">
          <cell r="W13087" t="str">
            <v>QWALA02</v>
          </cell>
          <cell r="AD13087">
            <v>54000</v>
          </cell>
        </row>
        <row r="13088">
          <cell r="W13088" t="str">
            <v>QWALA02</v>
          </cell>
          <cell r="AD13088">
            <v>54000</v>
          </cell>
        </row>
        <row r="13089">
          <cell r="W13089" t="str">
            <v>QWALA02</v>
          </cell>
          <cell r="AD13089">
            <v>54000</v>
          </cell>
        </row>
        <row r="13090">
          <cell r="W13090" t="str">
            <v>QWALA02</v>
          </cell>
          <cell r="AD13090">
            <v>54000</v>
          </cell>
        </row>
        <row r="13091">
          <cell r="W13091" t="str">
            <v>QWALA02</v>
          </cell>
          <cell r="AD13091">
            <v>54000</v>
          </cell>
        </row>
        <row r="13092">
          <cell r="W13092" t="str">
            <v>QWALA02</v>
          </cell>
          <cell r="AD13092">
            <v>54000</v>
          </cell>
        </row>
        <row r="13093">
          <cell r="W13093" t="str">
            <v>QWALA02</v>
          </cell>
          <cell r="AD13093">
            <v>54000</v>
          </cell>
        </row>
        <row r="13094">
          <cell r="W13094" t="str">
            <v>QWALA02</v>
          </cell>
          <cell r="AD13094">
            <v>54000</v>
          </cell>
        </row>
        <row r="13095">
          <cell r="W13095" t="str">
            <v>AWALA01</v>
          </cell>
          <cell r="AD13095">
            <v>54000</v>
          </cell>
        </row>
        <row r="13096">
          <cell r="W13096" t="str">
            <v>QWALA02</v>
          </cell>
          <cell r="AD13096">
            <v>54000</v>
          </cell>
        </row>
        <row r="13097">
          <cell r="W13097" t="str">
            <v>QWALA02</v>
          </cell>
          <cell r="AD13097">
            <v>54000</v>
          </cell>
        </row>
        <row r="13098">
          <cell r="W13098" t="str">
            <v>QWALA03</v>
          </cell>
          <cell r="AD13098">
            <v>23500</v>
          </cell>
        </row>
        <row r="13099">
          <cell r="W13099" t="str">
            <v>QWALA03</v>
          </cell>
          <cell r="AD13099">
            <v>23500</v>
          </cell>
        </row>
        <row r="13100">
          <cell r="W13100" t="str">
            <v>QWALA03</v>
          </cell>
          <cell r="AD13100">
            <v>23500</v>
          </cell>
        </row>
        <row r="13101">
          <cell r="W13101" t="str">
            <v>QWALA03</v>
          </cell>
          <cell r="AD13101">
            <v>23500</v>
          </cell>
        </row>
        <row r="13102">
          <cell r="W13102" t="str">
            <v>QWALA03</v>
          </cell>
          <cell r="AD13102">
            <v>23500</v>
          </cell>
        </row>
        <row r="13103">
          <cell r="W13103" t="str">
            <v>QWELL01</v>
          </cell>
          <cell r="AD13103">
            <v>45000</v>
          </cell>
        </row>
        <row r="13104">
          <cell r="W13104" t="str">
            <v>QWELL01</v>
          </cell>
          <cell r="AD13104">
            <v>45000</v>
          </cell>
        </row>
        <row r="13105">
          <cell r="W13105" t="str">
            <v>QWELL01</v>
          </cell>
          <cell r="AD13105">
            <v>45000</v>
          </cell>
        </row>
        <row r="13106">
          <cell r="W13106" t="str">
            <v>QWELL01</v>
          </cell>
          <cell r="AD13106">
            <v>45000</v>
          </cell>
        </row>
        <row r="13107">
          <cell r="W13107" t="str">
            <v>QWELL01</v>
          </cell>
          <cell r="AD13107">
            <v>45000</v>
          </cell>
        </row>
        <row r="13108">
          <cell r="W13108" t="str">
            <v>QWELL01</v>
          </cell>
          <cell r="AD13108">
            <v>45000</v>
          </cell>
        </row>
        <row r="13109">
          <cell r="W13109" t="str">
            <v>QWELL01</v>
          </cell>
          <cell r="AD13109">
            <v>45000</v>
          </cell>
        </row>
        <row r="13110">
          <cell r="W13110" t="str">
            <v>QWELL01</v>
          </cell>
          <cell r="AD13110">
            <v>45000</v>
          </cell>
        </row>
        <row r="13111">
          <cell r="W13111" t="str">
            <v>QWELL01</v>
          </cell>
          <cell r="AD13111">
            <v>45000</v>
          </cell>
        </row>
        <row r="13112">
          <cell r="W13112" t="str">
            <v>QWEND01</v>
          </cell>
          <cell r="AD13112">
            <v>88000</v>
          </cell>
        </row>
        <row r="13113">
          <cell r="W13113" t="str">
            <v>QWEND01</v>
          </cell>
          <cell r="AD13113">
            <v>88000</v>
          </cell>
        </row>
        <row r="13114">
          <cell r="W13114" t="str">
            <v>QWEND01</v>
          </cell>
          <cell r="AD13114">
            <v>88000</v>
          </cell>
        </row>
        <row r="13115">
          <cell r="W13115" t="str">
            <v>QWEND01</v>
          </cell>
          <cell r="AD13115">
            <v>88000</v>
          </cell>
        </row>
        <row r="13116">
          <cell r="W13116" t="str">
            <v>QWEND01</v>
          </cell>
          <cell r="AD13116">
            <v>88000</v>
          </cell>
        </row>
        <row r="13117">
          <cell r="W13117" t="str">
            <v>QWEND01</v>
          </cell>
          <cell r="AD13117">
            <v>88000</v>
          </cell>
        </row>
        <row r="13118">
          <cell r="W13118" t="str">
            <v>QWEND01</v>
          </cell>
          <cell r="AD13118">
            <v>88000</v>
          </cell>
        </row>
        <row r="13119">
          <cell r="W13119" t="str">
            <v>QWEND01</v>
          </cell>
          <cell r="AD13119">
            <v>88000</v>
          </cell>
        </row>
        <row r="13120">
          <cell r="W13120" t="str">
            <v>QWEND01</v>
          </cell>
          <cell r="AD13120">
            <v>88000</v>
          </cell>
        </row>
        <row r="13121">
          <cell r="W13121" t="str">
            <v>QWEND01</v>
          </cell>
          <cell r="AD13121">
            <v>88000</v>
          </cell>
        </row>
        <row r="13122">
          <cell r="W13122" t="str">
            <v>QWEND01</v>
          </cell>
          <cell r="AD13122">
            <v>88000</v>
          </cell>
        </row>
        <row r="13123">
          <cell r="W13123" t="str">
            <v>QWEND01</v>
          </cell>
          <cell r="AD13123">
            <v>90000</v>
          </cell>
        </row>
        <row r="13124">
          <cell r="W13124" t="str">
            <v>QWEND01</v>
          </cell>
          <cell r="AD13124">
            <v>90000</v>
          </cell>
        </row>
        <row r="13125">
          <cell r="W13125" t="str">
            <v>QWEND01</v>
          </cell>
          <cell r="AD13125">
            <v>91000</v>
          </cell>
        </row>
        <row r="13126">
          <cell r="W13126" t="str">
            <v>QWEND01</v>
          </cell>
          <cell r="AD13126">
            <v>91000</v>
          </cell>
        </row>
        <row r="13127">
          <cell r="W13127" t="str">
            <v>QWEND01</v>
          </cell>
          <cell r="AD13127">
            <v>92500</v>
          </cell>
        </row>
        <row r="13128">
          <cell r="W13128" t="str">
            <v>QWEND01</v>
          </cell>
          <cell r="AD13128">
            <v>92500</v>
          </cell>
        </row>
        <row r="13129">
          <cell r="W13129" t="str">
            <v>QWEND01</v>
          </cell>
          <cell r="AD13129">
            <v>92500</v>
          </cell>
        </row>
        <row r="13130">
          <cell r="W13130" t="str">
            <v>QWEND01</v>
          </cell>
          <cell r="AD13130">
            <v>95000</v>
          </cell>
        </row>
        <row r="13131">
          <cell r="W13131" t="str">
            <v>QWIN01</v>
          </cell>
          <cell r="AD13131">
            <v>4500</v>
          </cell>
        </row>
        <row r="13132">
          <cell r="W13132" t="str">
            <v>QWIN01</v>
          </cell>
          <cell r="AD13132">
            <v>4500</v>
          </cell>
        </row>
        <row r="13133">
          <cell r="W13133" t="str">
            <v>QWIN01</v>
          </cell>
          <cell r="AD13133">
            <v>4500</v>
          </cell>
        </row>
        <row r="13134">
          <cell r="W13134" t="str">
            <v>QWIN01</v>
          </cell>
          <cell r="AD13134">
            <v>4500</v>
          </cell>
        </row>
        <row r="13135">
          <cell r="W13135" t="str">
            <v>QWIN01</v>
          </cell>
          <cell r="AD13135">
            <v>4500</v>
          </cell>
        </row>
        <row r="13136">
          <cell r="W13136" t="str">
            <v>QWIN01</v>
          </cell>
          <cell r="AD13136">
            <v>4500</v>
          </cell>
        </row>
        <row r="13137">
          <cell r="W13137" t="str">
            <v>QWIN01</v>
          </cell>
          <cell r="AD13137">
            <v>4500</v>
          </cell>
        </row>
        <row r="13138">
          <cell r="W13138" t="str">
            <v>QWIND03</v>
          </cell>
          <cell r="AD13138">
            <v>61000</v>
          </cell>
        </row>
        <row r="13139">
          <cell r="W13139" t="str">
            <v>QWIND03</v>
          </cell>
          <cell r="AD13139">
            <v>62000</v>
          </cell>
        </row>
        <row r="13140">
          <cell r="W13140" t="str">
            <v>QWIND03</v>
          </cell>
          <cell r="AD13140">
            <v>63000</v>
          </cell>
        </row>
        <row r="13141">
          <cell r="W13141" t="str">
            <v>QWIND03</v>
          </cell>
          <cell r="AD13141">
            <v>63000</v>
          </cell>
        </row>
        <row r="13142">
          <cell r="W13142" t="str">
            <v>QWIND05</v>
          </cell>
          <cell r="AD13142">
            <v>20000</v>
          </cell>
        </row>
        <row r="13143">
          <cell r="W13143" t="str">
            <v>QWIND05</v>
          </cell>
          <cell r="AD13143">
            <v>20000</v>
          </cell>
        </row>
        <row r="13144">
          <cell r="W13144" t="str">
            <v>QWIND05</v>
          </cell>
          <cell r="AD13144">
            <v>21000</v>
          </cell>
        </row>
        <row r="13145">
          <cell r="W13145" t="str">
            <v>QWIND05</v>
          </cell>
          <cell r="AD13145">
            <v>21000</v>
          </cell>
        </row>
        <row r="13146">
          <cell r="W13146" t="str">
            <v>QWIND05</v>
          </cell>
          <cell r="AD13146">
            <v>21000</v>
          </cell>
        </row>
        <row r="13147">
          <cell r="W13147" t="str">
            <v>QWIND05</v>
          </cell>
          <cell r="AD13147">
            <v>22000</v>
          </cell>
        </row>
        <row r="13148">
          <cell r="W13148" t="str">
            <v>QWIND05</v>
          </cell>
          <cell r="AD13148">
            <v>22000</v>
          </cell>
        </row>
        <row r="13149">
          <cell r="W13149" t="str">
            <v>QXSILL01</v>
          </cell>
          <cell r="AD13149">
            <v>86000</v>
          </cell>
        </row>
        <row r="13150">
          <cell r="W13150" t="str">
            <v>QXSILL01</v>
          </cell>
          <cell r="AD13150">
            <v>86000</v>
          </cell>
        </row>
        <row r="13151">
          <cell r="W13151" t="str">
            <v>QXSILL01</v>
          </cell>
          <cell r="AD13151">
            <v>89000</v>
          </cell>
        </row>
        <row r="13152">
          <cell r="W13152" t="str">
            <v>QX-ZO01</v>
          </cell>
          <cell r="AD13152">
            <v>36300</v>
          </cell>
        </row>
        <row r="13153">
          <cell r="W13153" t="str">
            <v>QX-ZO01</v>
          </cell>
          <cell r="AD13153">
            <v>36300</v>
          </cell>
        </row>
        <row r="13154">
          <cell r="W13154" t="str">
            <v>QX-ZO01</v>
          </cell>
          <cell r="AD13154">
            <v>37500</v>
          </cell>
        </row>
        <row r="13155">
          <cell r="W13155" t="str">
            <v>QX-ZO01</v>
          </cell>
          <cell r="AD13155">
            <v>40000</v>
          </cell>
        </row>
        <row r="13156">
          <cell r="W13156" t="str">
            <v>QYOUS01</v>
          </cell>
          <cell r="AD13156">
            <v>22500</v>
          </cell>
        </row>
        <row r="13157">
          <cell r="W13157" t="str">
            <v>QYOUS01</v>
          </cell>
          <cell r="AD13157">
            <v>22500</v>
          </cell>
        </row>
        <row r="13158">
          <cell r="W13158" t="str">
            <v>QYOUS01</v>
          </cell>
          <cell r="AD13158">
            <v>22500</v>
          </cell>
        </row>
        <row r="13159">
          <cell r="W13159" t="str">
            <v>QYOUS01</v>
          </cell>
          <cell r="AD13159">
            <v>22500</v>
          </cell>
        </row>
        <row r="13160">
          <cell r="W13160" t="str">
            <v>QYOUS01</v>
          </cell>
          <cell r="AD13160">
            <v>22500</v>
          </cell>
        </row>
        <row r="13161">
          <cell r="W13161" t="str">
            <v>QYOUS01</v>
          </cell>
          <cell r="AD13161">
            <v>22500</v>
          </cell>
        </row>
        <row r="13162">
          <cell r="W13162" t="str">
            <v>QYOUS01</v>
          </cell>
          <cell r="AD13162">
            <v>22500</v>
          </cell>
        </row>
        <row r="13163">
          <cell r="W13163" t="str">
            <v>QYOUS01</v>
          </cell>
          <cell r="AD13163">
            <v>22500</v>
          </cell>
        </row>
        <row r="13164">
          <cell r="W13164" t="str">
            <v>QYOUS01</v>
          </cell>
          <cell r="AD13164">
            <v>22500</v>
          </cell>
        </row>
        <row r="13165">
          <cell r="W13165" t="str">
            <v>QYOUS01</v>
          </cell>
          <cell r="AD13165">
            <v>22500</v>
          </cell>
        </row>
        <row r="13166">
          <cell r="W13166" t="str">
            <v>QYOUS01</v>
          </cell>
          <cell r="AD13166">
            <v>22500</v>
          </cell>
        </row>
        <row r="13167">
          <cell r="W13167" t="str">
            <v>QYOUS01</v>
          </cell>
          <cell r="AD13167">
            <v>22500</v>
          </cell>
        </row>
        <row r="13168">
          <cell r="W13168" t="str">
            <v>QZACA01</v>
          </cell>
          <cell r="AD13168">
            <v>145000</v>
          </cell>
        </row>
        <row r="13169">
          <cell r="W13169" t="str">
            <v>QZACA01</v>
          </cell>
          <cell r="AD13169">
            <v>150000</v>
          </cell>
        </row>
        <row r="13170">
          <cell r="W13170" t="str">
            <v>QZACA01</v>
          </cell>
          <cell r="AD13170">
            <v>150000</v>
          </cell>
        </row>
        <row r="13171">
          <cell r="W13171" t="str">
            <v>QZACA01</v>
          </cell>
          <cell r="AD13171">
            <v>150000</v>
          </cell>
        </row>
        <row r="13172">
          <cell r="W13172" t="str">
            <v>QZACA01</v>
          </cell>
          <cell r="AD13172">
            <v>150000</v>
          </cell>
        </row>
        <row r="13173">
          <cell r="W13173" t="str">
            <v>QZACA01</v>
          </cell>
          <cell r="AD13173">
            <v>155000</v>
          </cell>
        </row>
        <row r="13174">
          <cell r="W13174" t="str">
            <v>QZACA01</v>
          </cell>
          <cell r="AD13174">
            <v>155000</v>
          </cell>
        </row>
        <row r="13175">
          <cell r="W13175" t="str">
            <v>QZACA01</v>
          </cell>
          <cell r="AD13175">
            <v>155000</v>
          </cell>
        </row>
        <row r="13176">
          <cell r="W13176" t="str">
            <v>QZACA01</v>
          </cell>
          <cell r="AD13176">
            <v>155000</v>
          </cell>
        </row>
        <row r="13177">
          <cell r="W13177" t="str">
            <v>QZACA01</v>
          </cell>
          <cell r="AD13177">
            <v>155000</v>
          </cell>
        </row>
        <row r="13178">
          <cell r="W13178" t="str">
            <v>QZACA01</v>
          </cell>
          <cell r="AD13178">
            <v>155000</v>
          </cell>
        </row>
        <row r="13179">
          <cell r="W13179" t="str">
            <v>QZACA01</v>
          </cell>
          <cell r="AD13179">
            <v>155000</v>
          </cell>
        </row>
        <row r="13180">
          <cell r="W13180" t="str">
            <v>QZACA01</v>
          </cell>
          <cell r="AD13180">
            <v>155000</v>
          </cell>
        </row>
        <row r="13181">
          <cell r="W13181" t="str">
            <v>QZACA01</v>
          </cell>
          <cell r="AD13181">
            <v>155000</v>
          </cell>
        </row>
        <row r="13182">
          <cell r="W13182" t="str">
            <v>QZACA01</v>
          </cell>
          <cell r="AD13182">
            <v>155000</v>
          </cell>
        </row>
        <row r="13183">
          <cell r="W13183" t="str">
            <v>QZACA01</v>
          </cell>
          <cell r="AD13183">
            <v>155000</v>
          </cell>
        </row>
        <row r="13184">
          <cell r="W13184" t="str">
            <v>QZACA01</v>
          </cell>
          <cell r="AD13184">
            <v>155000</v>
          </cell>
        </row>
        <row r="13185">
          <cell r="W13185" t="str">
            <v>QZACA01</v>
          </cell>
          <cell r="AD13185">
            <v>155000</v>
          </cell>
        </row>
        <row r="13186">
          <cell r="W13186" t="str">
            <v>QZACA01</v>
          </cell>
          <cell r="AD13186">
            <v>155000</v>
          </cell>
        </row>
        <row r="13187">
          <cell r="W13187" t="str">
            <v>QZACA01</v>
          </cell>
          <cell r="AD13187">
            <v>155000</v>
          </cell>
        </row>
        <row r="13188">
          <cell r="W13188" t="str">
            <v>QZACA01</v>
          </cell>
          <cell r="AD13188">
            <v>155000</v>
          </cell>
        </row>
        <row r="13189">
          <cell r="W13189" t="str">
            <v>QZACA01</v>
          </cell>
          <cell r="AD13189">
            <v>155000</v>
          </cell>
        </row>
        <row r="13190">
          <cell r="W13190" t="str">
            <v>QZACA01</v>
          </cell>
          <cell r="AD13190">
            <v>155000</v>
          </cell>
        </row>
        <row r="13191">
          <cell r="W13191" t="str">
            <v>QZACA01</v>
          </cell>
          <cell r="AD13191">
            <v>155000</v>
          </cell>
        </row>
        <row r="13192">
          <cell r="W13192" t="str">
            <v>QZACA01</v>
          </cell>
          <cell r="AD13192">
            <v>155000</v>
          </cell>
        </row>
        <row r="13193">
          <cell r="W13193" t="str">
            <v>QZACA01</v>
          </cell>
          <cell r="AD13193">
            <v>155000</v>
          </cell>
        </row>
        <row r="13194">
          <cell r="W13194" t="str">
            <v>QZACA01</v>
          </cell>
          <cell r="AD13194">
            <v>155000</v>
          </cell>
        </row>
        <row r="13195">
          <cell r="W13195" t="str">
            <v>QZACA01</v>
          </cell>
          <cell r="AD13195">
            <v>155000</v>
          </cell>
        </row>
        <row r="13196">
          <cell r="W13196" t="str">
            <v>QZACA01</v>
          </cell>
          <cell r="AD13196">
            <v>155000</v>
          </cell>
        </row>
        <row r="13197">
          <cell r="W13197" t="str">
            <v>QZACA01</v>
          </cell>
          <cell r="AD13197">
            <v>155000</v>
          </cell>
        </row>
        <row r="13198">
          <cell r="W13198" t="str">
            <v>QZACA01</v>
          </cell>
          <cell r="AD13198">
            <v>155000</v>
          </cell>
        </row>
        <row r="13199">
          <cell r="W13199" t="str">
            <v>QZACA01</v>
          </cell>
          <cell r="AD13199">
            <v>155000</v>
          </cell>
        </row>
        <row r="13200">
          <cell r="W13200" t="str">
            <v>QZACA01</v>
          </cell>
          <cell r="AD13200">
            <v>155000</v>
          </cell>
        </row>
        <row r="13201">
          <cell r="W13201" t="str">
            <v>QZACA01</v>
          </cell>
          <cell r="AD13201">
            <v>175000</v>
          </cell>
        </row>
        <row r="13202">
          <cell r="W13202" t="str">
            <v>QZATA01</v>
          </cell>
          <cell r="AD13202">
            <v>197500</v>
          </cell>
        </row>
        <row r="13203">
          <cell r="W13203" t="str">
            <v>QZATA01</v>
          </cell>
          <cell r="AD13203">
            <v>200000</v>
          </cell>
        </row>
        <row r="13204">
          <cell r="W13204" t="str">
            <v>QZATA01</v>
          </cell>
          <cell r="AD13204">
            <v>200000</v>
          </cell>
        </row>
        <row r="13205">
          <cell r="W13205" t="str">
            <v>QZATA01</v>
          </cell>
          <cell r="AD13205">
            <v>200000</v>
          </cell>
        </row>
        <row r="13206">
          <cell r="W13206" t="str">
            <v>QZATA01</v>
          </cell>
          <cell r="AD13206">
            <v>200000</v>
          </cell>
        </row>
        <row r="13207">
          <cell r="W13207" t="str">
            <v>QZATA01</v>
          </cell>
          <cell r="AD13207">
            <v>200000</v>
          </cell>
        </row>
        <row r="13208">
          <cell r="W13208" t="str">
            <v>QZATA01</v>
          </cell>
          <cell r="AD13208">
            <v>200000</v>
          </cell>
        </row>
        <row r="13209">
          <cell r="W13209" t="str">
            <v>QZATA01</v>
          </cell>
          <cell r="AD13209">
            <v>205000</v>
          </cell>
        </row>
        <row r="13210">
          <cell r="W13210" t="str">
            <v>QZATA01</v>
          </cell>
          <cell r="AD13210">
            <v>210000</v>
          </cell>
        </row>
        <row r="13211">
          <cell r="W13211" t="str">
            <v>QZATA01</v>
          </cell>
          <cell r="AD13211">
            <v>210000</v>
          </cell>
        </row>
        <row r="13212">
          <cell r="W13212" t="str">
            <v>QZATA01</v>
          </cell>
          <cell r="AD13212">
            <v>210000</v>
          </cell>
        </row>
        <row r="13213">
          <cell r="W13213" t="str">
            <v>QZATA01</v>
          </cell>
          <cell r="AD13213">
            <v>210000</v>
          </cell>
        </row>
        <row r="13214">
          <cell r="W13214" t="str">
            <v>QZATA01</v>
          </cell>
          <cell r="AD13214">
            <v>212500</v>
          </cell>
        </row>
        <row r="13215">
          <cell r="W13215" t="str">
            <v>QZATA01</v>
          </cell>
          <cell r="AD13215">
            <v>212500</v>
          </cell>
        </row>
        <row r="13216">
          <cell r="W13216" t="str">
            <v>QZATA01</v>
          </cell>
          <cell r="AD13216">
            <v>212500</v>
          </cell>
        </row>
        <row r="13217">
          <cell r="W13217" t="str">
            <v>QZATA01</v>
          </cell>
          <cell r="AD13217">
            <v>212500</v>
          </cell>
        </row>
        <row r="13218">
          <cell r="W13218" t="str">
            <v>QZATA01</v>
          </cell>
          <cell r="AD13218">
            <v>212500</v>
          </cell>
        </row>
        <row r="13219">
          <cell r="W13219" t="str">
            <v>QZATA01</v>
          </cell>
          <cell r="AD13219">
            <v>212500</v>
          </cell>
        </row>
        <row r="13220">
          <cell r="W13220" t="str">
            <v>QZATA01</v>
          </cell>
          <cell r="AD13220">
            <v>212500</v>
          </cell>
        </row>
        <row r="13221">
          <cell r="W13221" t="str">
            <v>QZATA01</v>
          </cell>
          <cell r="AD13221">
            <v>212500</v>
          </cell>
        </row>
        <row r="13222">
          <cell r="W13222" t="str">
            <v>QZATA01</v>
          </cell>
          <cell r="AD13222">
            <v>212500</v>
          </cell>
        </row>
        <row r="13223">
          <cell r="W13223" t="str">
            <v>QZATA01</v>
          </cell>
          <cell r="AD13223">
            <v>212500</v>
          </cell>
        </row>
        <row r="13224">
          <cell r="W13224" t="str">
            <v>QZATA01</v>
          </cell>
          <cell r="AD13224">
            <v>225000</v>
          </cell>
        </row>
        <row r="13225">
          <cell r="W13225" t="str">
            <v>QZATA01</v>
          </cell>
          <cell r="AD13225">
            <v>225000</v>
          </cell>
        </row>
        <row r="13226">
          <cell r="W13226" t="str">
            <v>QZATA01</v>
          </cell>
          <cell r="AD13226">
            <v>225000</v>
          </cell>
        </row>
        <row r="13227">
          <cell r="W13227" t="str">
            <v>QZATA01</v>
          </cell>
          <cell r="AD13227">
            <v>225000</v>
          </cell>
        </row>
        <row r="13228">
          <cell r="W13228" t="str">
            <v>QZATA01</v>
          </cell>
          <cell r="AD13228">
            <v>225000</v>
          </cell>
        </row>
        <row r="13229">
          <cell r="W13229" t="str">
            <v>QZATA01</v>
          </cell>
          <cell r="AD13229">
            <v>225000</v>
          </cell>
        </row>
        <row r="13230">
          <cell r="W13230" t="str">
            <v>QZATA01</v>
          </cell>
          <cell r="AD13230">
            <v>225000</v>
          </cell>
        </row>
        <row r="13231">
          <cell r="W13231" t="str">
            <v>QZATA01</v>
          </cell>
          <cell r="AD13231">
            <v>225000</v>
          </cell>
        </row>
        <row r="13232">
          <cell r="W13232" t="str">
            <v>QZEPH01</v>
          </cell>
          <cell r="AD13232">
            <v>42500</v>
          </cell>
        </row>
        <row r="13233">
          <cell r="W13233" t="str">
            <v>QZEPH01</v>
          </cell>
          <cell r="AD13233">
            <v>42500</v>
          </cell>
        </row>
        <row r="13234">
          <cell r="W13234" t="str">
            <v>QZEPH01</v>
          </cell>
          <cell r="AD13234">
            <v>43000</v>
          </cell>
        </row>
        <row r="13235">
          <cell r="W13235" t="str">
            <v>QZEPH01</v>
          </cell>
          <cell r="AD13235">
            <v>45000</v>
          </cell>
        </row>
        <row r="13236">
          <cell r="W13236" t="str">
            <v>QZEPH01</v>
          </cell>
          <cell r="AD13236">
            <v>45000</v>
          </cell>
        </row>
        <row r="13237">
          <cell r="W13237" t="str">
            <v>QZEPH01</v>
          </cell>
          <cell r="AD13237">
            <v>45000</v>
          </cell>
        </row>
        <row r="13238">
          <cell r="W13238" t="str">
            <v>QZEPH01</v>
          </cell>
          <cell r="AD13238">
            <v>45000</v>
          </cell>
        </row>
        <row r="13239">
          <cell r="W13239" t="str">
            <v>QZEPH01</v>
          </cell>
          <cell r="AD13239">
            <v>45000</v>
          </cell>
        </row>
        <row r="13240">
          <cell r="W13240" t="str">
            <v>QZEPH01</v>
          </cell>
          <cell r="AD13240">
            <v>45000</v>
          </cell>
        </row>
        <row r="13241">
          <cell r="W13241" t="str">
            <v>QZEPH01</v>
          </cell>
          <cell r="AD13241">
            <v>45000</v>
          </cell>
        </row>
        <row r="13242">
          <cell r="W13242" t="str">
            <v>QZEPH01</v>
          </cell>
          <cell r="AD13242">
            <v>45650</v>
          </cell>
        </row>
        <row r="13243">
          <cell r="W13243" t="str">
            <v>QZEPH01</v>
          </cell>
          <cell r="AD13243">
            <v>45650</v>
          </cell>
        </row>
        <row r="13244">
          <cell r="W13244" t="str">
            <v>QZEPH01</v>
          </cell>
          <cell r="AD13244">
            <v>47500</v>
          </cell>
        </row>
        <row r="13245">
          <cell r="W13245" t="str">
            <v>QZINC01</v>
          </cell>
          <cell r="AD13245">
            <v>4750</v>
          </cell>
        </row>
        <row r="13246">
          <cell r="W13246" t="str">
            <v>QZINC01</v>
          </cell>
          <cell r="AD13246">
            <v>5000</v>
          </cell>
        </row>
        <row r="13247">
          <cell r="W13247" t="str">
            <v>QZINC01</v>
          </cell>
          <cell r="AD13247">
            <v>5000</v>
          </cell>
        </row>
        <row r="13248">
          <cell r="W13248" t="str">
            <v>QZINC01</v>
          </cell>
          <cell r="AD13248">
            <v>5000</v>
          </cell>
        </row>
        <row r="13249">
          <cell r="W13249" t="str">
            <v>QZINC01</v>
          </cell>
          <cell r="AD13249">
            <v>5000</v>
          </cell>
        </row>
        <row r="13250">
          <cell r="W13250" t="str">
            <v>QZINC01</v>
          </cell>
          <cell r="AD13250">
            <v>5000</v>
          </cell>
        </row>
        <row r="13251">
          <cell r="W13251" t="str">
            <v>QZINC01</v>
          </cell>
          <cell r="AD13251">
            <v>5000</v>
          </cell>
        </row>
        <row r="13252">
          <cell r="W13252" t="str">
            <v>QZINC01</v>
          </cell>
          <cell r="AD13252">
            <v>5000</v>
          </cell>
        </row>
        <row r="13253">
          <cell r="W13253" t="str">
            <v>QZINC01</v>
          </cell>
          <cell r="AD13253">
            <v>5000</v>
          </cell>
        </row>
        <row r="13254">
          <cell r="W13254" t="str">
            <v>QZINC01</v>
          </cell>
          <cell r="AD13254">
            <v>5000</v>
          </cell>
        </row>
        <row r="13255">
          <cell r="W13255" t="str">
            <v>QZINC01</v>
          </cell>
          <cell r="AD13255">
            <v>5000</v>
          </cell>
        </row>
        <row r="13256">
          <cell r="W13256" t="str">
            <v>QZINC01</v>
          </cell>
          <cell r="AD13256">
            <v>5000</v>
          </cell>
        </row>
        <row r="13257">
          <cell r="W13257" t="str">
            <v>AZINC01</v>
          </cell>
          <cell r="AD13257">
            <v>5000</v>
          </cell>
        </row>
        <row r="13258">
          <cell r="W13258" t="str">
            <v>QZINC01</v>
          </cell>
          <cell r="AD13258">
            <v>5000</v>
          </cell>
        </row>
        <row r="13259">
          <cell r="W13259" t="str">
            <v>QZINC01</v>
          </cell>
          <cell r="AD13259">
            <v>5000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620"/>
      <sheetName val="CUST2020"/>
      <sheetName val="CUST2019"/>
      <sheetName val="CUST2018"/>
      <sheetName val="BARANG"/>
      <sheetName val="PENJTAX"/>
      <sheetName val="kartu"/>
      <sheetName val="Terposting"/>
      <sheetName val="CEK Harga"/>
      <sheetName val="TBL HRG"/>
      <sheetName val="zahir vs excel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W2" t="str">
            <v>QABAC01</v>
          </cell>
          <cell r="AD2">
            <v>200000</v>
          </cell>
        </row>
        <row r="3">
          <cell r="W3" t="str">
            <v>QABAC01</v>
          </cell>
          <cell r="AD3">
            <v>200000</v>
          </cell>
        </row>
        <row r="4">
          <cell r="W4" t="str">
            <v>QABAC01</v>
          </cell>
          <cell r="AD4">
            <v>200000</v>
          </cell>
        </row>
        <row r="5">
          <cell r="W5" t="str">
            <v>QABAC01</v>
          </cell>
          <cell r="AD5">
            <v>200000</v>
          </cell>
        </row>
        <row r="6">
          <cell r="W6" t="str">
            <v>QABAC01</v>
          </cell>
          <cell r="AD6">
            <v>200000</v>
          </cell>
        </row>
        <row r="7">
          <cell r="W7" t="str">
            <v>QABAC01</v>
          </cell>
          <cell r="AD7">
            <v>200000</v>
          </cell>
        </row>
        <row r="8">
          <cell r="W8" t="str">
            <v>QABAC01</v>
          </cell>
          <cell r="AD8">
            <v>200000</v>
          </cell>
        </row>
        <row r="9">
          <cell r="W9" t="str">
            <v>QABAC01</v>
          </cell>
          <cell r="AD9">
            <v>200000</v>
          </cell>
        </row>
        <row r="10">
          <cell r="W10" t="str">
            <v>QABAC01</v>
          </cell>
          <cell r="AD10">
            <v>200000</v>
          </cell>
        </row>
        <row r="11">
          <cell r="W11" t="str">
            <v>QABAC01</v>
          </cell>
          <cell r="AD11">
            <v>200000</v>
          </cell>
        </row>
        <row r="12">
          <cell r="W12" t="str">
            <v>QABAC01</v>
          </cell>
          <cell r="AD12">
            <v>200000</v>
          </cell>
        </row>
        <row r="13">
          <cell r="W13" t="str">
            <v>QABAC01</v>
          </cell>
          <cell r="AD13">
            <v>200000</v>
          </cell>
        </row>
        <row r="14">
          <cell r="W14" t="str">
            <v>QABAC01</v>
          </cell>
          <cell r="AD14">
            <v>200000</v>
          </cell>
        </row>
        <row r="15">
          <cell r="W15" t="str">
            <v>QABAC01</v>
          </cell>
          <cell r="AD15">
            <v>200000</v>
          </cell>
        </row>
        <row r="16">
          <cell r="W16" t="str">
            <v>QABAC01</v>
          </cell>
          <cell r="AD16">
            <v>200000</v>
          </cell>
        </row>
        <row r="17">
          <cell r="W17" t="str">
            <v>QABAC01</v>
          </cell>
          <cell r="AD17">
            <v>200000</v>
          </cell>
        </row>
        <row r="18">
          <cell r="W18" t="str">
            <v>QABAC01</v>
          </cell>
          <cell r="AD18">
            <v>200000</v>
          </cell>
        </row>
        <row r="19">
          <cell r="W19" t="str">
            <v>QABAC01</v>
          </cell>
          <cell r="AD19">
            <v>200000</v>
          </cell>
        </row>
        <row r="20">
          <cell r="W20" t="str">
            <v>QABAC01</v>
          </cell>
          <cell r="AD20">
            <v>200000</v>
          </cell>
        </row>
        <row r="21">
          <cell r="W21" t="str">
            <v>QABAC01</v>
          </cell>
          <cell r="AD21">
            <v>202000</v>
          </cell>
        </row>
        <row r="22">
          <cell r="W22" t="str">
            <v>QABAC01</v>
          </cell>
          <cell r="AD22">
            <v>205000</v>
          </cell>
        </row>
        <row r="23">
          <cell r="W23" t="str">
            <v>QABAC01</v>
          </cell>
          <cell r="AD23">
            <v>205000</v>
          </cell>
        </row>
        <row r="24">
          <cell r="W24" t="str">
            <v>QABAC01</v>
          </cell>
          <cell r="AD24">
            <v>205000</v>
          </cell>
        </row>
        <row r="25">
          <cell r="W25" t="str">
            <v>QABAC01</v>
          </cell>
          <cell r="AD25">
            <v>205000</v>
          </cell>
        </row>
        <row r="26">
          <cell r="W26" t="str">
            <v>QABAC01</v>
          </cell>
          <cell r="AD26">
            <v>205000</v>
          </cell>
        </row>
        <row r="27">
          <cell r="W27" t="str">
            <v>QABAC01</v>
          </cell>
          <cell r="AD27">
            <v>205000</v>
          </cell>
        </row>
        <row r="28">
          <cell r="W28" t="str">
            <v>QABAC01</v>
          </cell>
          <cell r="AD28">
            <v>207500</v>
          </cell>
        </row>
        <row r="29">
          <cell r="W29" t="str">
            <v>QABAC01</v>
          </cell>
          <cell r="AD29">
            <v>210000</v>
          </cell>
        </row>
        <row r="30">
          <cell r="W30" t="str">
            <v>QABAC01</v>
          </cell>
          <cell r="AD30">
            <v>210000</v>
          </cell>
        </row>
        <row r="31">
          <cell r="W31" t="str">
            <v>QABAC01</v>
          </cell>
          <cell r="AD31">
            <v>210000</v>
          </cell>
        </row>
        <row r="32">
          <cell r="W32" t="str">
            <v>QABAC01</v>
          </cell>
          <cell r="AD32">
            <v>210000</v>
          </cell>
        </row>
        <row r="33">
          <cell r="W33" t="str">
            <v>QABAC01</v>
          </cell>
          <cell r="AD33">
            <v>215000</v>
          </cell>
        </row>
        <row r="34">
          <cell r="W34" t="str">
            <v>QABAC01</v>
          </cell>
          <cell r="AD34">
            <v>215000</v>
          </cell>
        </row>
        <row r="35">
          <cell r="W35" t="str">
            <v>QABAC01</v>
          </cell>
          <cell r="AD35">
            <v>215000</v>
          </cell>
        </row>
        <row r="36">
          <cell r="W36" t="str">
            <v>QABAC01</v>
          </cell>
          <cell r="AD36">
            <v>215000</v>
          </cell>
        </row>
        <row r="37">
          <cell r="W37" t="str">
            <v>QABAC01</v>
          </cell>
          <cell r="AD37">
            <v>215000</v>
          </cell>
        </row>
        <row r="38">
          <cell r="W38" t="str">
            <v>QABAC01</v>
          </cell>
          <cell r="AD38">
            <v>215000</v>
          </cell>
        </row>
        <row r="39">
          <cell r="W39" t="str">
            <v>QABAC01</v>
          </cell>
          <cell r="AD39">
            <v>215000</v>
          </cell>
        </row>
        <row r="40">
          <cell r="W40" t="str">
            <v>QABAC01</v>
          </cell>
          <cell r="AD40">
            <v>215000</v>
          </cell>
        </row>
        <row r="41">
          <cell r="W41" t="str">
            <v>QABAC01</v>
          </cell>
          <cell r="AD41">
            <v>215000</v>
          </cell>
        </row>
        <row r="42">
          <cell r="W42" t="str">
            <v>QABAC01</v>
          </cell>
          <cell r="AD42">
            <v>215000</v>
          </cell>
        </row>
        <row r="43">
          <cell r="W43" t="str">
            <v>QABAC01</v>
          </cell>
          <cell r="AD43">
            <v>220000</v>
          </cell>
        </row>
        <row r="44">
          <cell r="W44" t="str">
            <v>QABAC01</v>
          </cell>
          <cell r="AD44">
            <v>225000</v>
          </cell>
        </row>
        <row r="45">
          <cell r="W45" t="str">
            <v>QABAC01</v>
          </cell>
          <cell r="AD45">
            <v>225000</v>
          </cell>
        </row>
        <row r="46">
          <cell r="W46" t="str">
            <v>QABAC01</v>
          </cell>
          <cell r="AD46">
            <v>225000</v>
          </cell>
        </row>
        <row r="47">
          <cell r="W47" t="str">
            <v>QABAC01</v>
          </cell>
          <cell r="AD47">
            <v>225000</v>
          </cell>
        </row>
        <row r="48">
          <cell r="W48" t="str">
            <v>QABAC01</v>
          </cell>
          <cell r="AD48">
            <v>225000</v>
          </cell>
        </row>
        <row r="49">
          <cell r="W49" t="str">
            <v>QABAC01</v>
          </cell>
          <cell r="AD49">
            <v>225000</v>
          </cell>
        </row>
        <row r="50">
          <cell r="W50" t="str">
            <v>QABAC03</v>
          </cell>
          <cell r="AD50">
            <v>100000</v>
          </cell>
        </row>
        <row r="51">
          <cell r="W51" t="str">
            <v>QABAC03</v>
          </cell>
          <cell r="AD51">
            <v>100000</v>
          </cell>
        </row>
        <row r="52">
          <cell r="W52" t="str">
            <v>QABAC03</v>
          </cell>
          <cell r="AD52">
            <v>100000</v>
          </cell>
        </row>
        <row r="53">
          <cell r="W53" t="str">
            <v>QABAC03</v>
          </cell>
          <cell r="AD53">
            <v>100000</v>
          </cell>
        </row>
        <row r="54">
          <cell r="W54" t="str">
            <v>QABAC03</v>
          </cell>
          <cell r="AD54">
            <v>100000</v>
          </cell>
        </row>
        <row r="55">
          <cell r="W55" t="str">
            <v>QABAC03</v>
          </cell>
          <cell r="AD55">
            <v>102500</v>
          </cell>
        </row>
        <row r="56">
          <cell r="W56" t="str">
            <v>QABAC03</v>
          </cell>
          <cell r="AD56">
            <v>102500</v>
          </cell>
        </row>
        <row r="57">
          <cell r="W57" t="str">
            <v>QABAC03</v>
          </cell>
          <cell r="AD57">
            <v>105000</v>
          </cell>
        </row>
        <row r="58">
          <cell r="W58" t="str">
            <v>QABAC03</v>
          </cell>
          <cell r="AD58">
            <v>105000</v>
          </cell>
        </row>
        <row r="59">
          <cell r="W59" t="str">
            <v>QABAC03</v>
          </cell>
          <cell r="AD59">
            <v>105000</v>
          </cell>
        </row>
        <row r="60">
          <cell r="W60" t="str">
            <v>QABAC03</v>
          </cell>
          <cell r="AD60">
            <v>105000</v>
          </cell>
        </row>
        <row r="61">
          <cell r="W61" t="str">
            <v>QABAC03</v>
          </cell>
          <cell r="AD61">
            <v>105000</v>
          </cell>
        </row>
        <row r="62">
          <cell r="W62" t="str">
            <v>QABAC03</v>
          </cell>
          <cell r="AD62">
            <v>105000</v>
          </cell>
        </row>
        <row r="63">
          <cell r="W63" t="str">
            <v>QABAC03</v>
          </cell>
          <cell r="AD63">
            <v>105000</v>
          </cell>
        </row>
        <row r="64">
          <cell r="W64" t="str">
            <v>QABAC03</v>
          </cell>
          <cell r="AD64">
            <v>110000</v>
          </cell>
        </row>
        <row r="65">
          <cell r="W65" t="str">
            <v>QABAC03</v>
          </cell>
          <cell r="AD65">
            <v>110000</v>
          </cell>
        </row>
        <row r="66">
          <cell r="W66" t="str">
            <v>QABAC03</v>
          </cell>
          <cell r="AD66">
            <v>110000</v>
          </cell>
        </row>
        <row r="67">
          <cell r="W67" t="str">
            <v>QABAC03</v>
          </cell>
          <cell r="AD67">
            <v>110000</v>
          </cell>
        </row>
        <row r="68">
          <cell r="W68" t="str">
            <v>QABAC03</v>
          </cell>
          <cell r="AD68">
            <v>110000</v>
          </cell>
        </row>
        <row r="69">
          <cell r="W69" t="str">
            <v>QABAC03</v>
          </cell>
          <cell r="AD69">
            <v>110000</v>
          </cell>
        </row>
        <row r="70">
          <cell r="W70" t="str">
            <v>QABAC03</v>
          </cell>
          <cell r="AD70">
            <v>110000</v>
          </cell>
        </row>
        <row r="71">
          <cell r="W71" t="str">
            <v>QABAC03</v>
          </cell>
          <cell r="AD71">
            <v>110000</v>
          </cell>
        </row>
        <row r="72">
          <cell r="W72" t="str">
            <v>QABAC03</v>
          </cell>
          <cell r="AD72">
            <v>110000</v>
          </cell>
        </row>
        <row r="73">
          <cell r="W73" t="str">
            <v>QABAC03</v>
          </cell>
          <cell r="AD73">
            <v>112500</v>
          </cell>
        </row>
        <row r="74">
          <cell r="W74" t="str">
            <v>QABAC03</v>
          </cell>
          <cell r="AD74">
            <v>115000</v>
          </cell>
        </row>
        <row r="75">
          <cell r="W75" t="str">
            <v>QABAC03</v>
          </cell>
          <cell r="AD75">
            <v>115000</v>
          </cell>
        </row>
        <row r="76">
          <cell r="W76" t="str">
            <v>QABAC03</v>
          </cell>
          <cell r="AD76">
            <v>115000</v>
          </cell>
        </row>
        <row r="77">
          <cell r="W77" t="str">
            <v>QABAC03</v>
          </cell>
          <cell r="AD77">
            <v>115000</v>
          </cell>
        </row>
        <row r="78">
          <cell r="W78" t="str">
            <v>QABAC03</v>
          </cell>
          <cell r="AD78">
            <v>115000</v>
          </cell>
        </row>
        <row r="79">
          <cell r="W79" t="str">
            <v>QABAC03</v>
          </cell>
          <cell r="AD79">
            <v>115000</v>
          </cell>
        </row>
        <row r="80">
          <cell r="W80" t="str">
            <v>QABAC03</v>
          </cell>
          <cell r="AD80">
            <v>117000</v>
          </cell>
        </row>
        <row r="81">
          <cell r="W81" t="str">
            <v>QABAC04</v>
          </cell>
          <cell r="AD81">
            <v>55000</v>
          </cell>
        </row>
        <row r="82">
          <cell r="W82" t="str">
            <v>QABAC04</v>
          </cell>
          <cell r="AD82">
            <v>56000</v>
          </cell>
        </row>
        <row r="83">
          <cell r="W83" t="str">
            <v>QABAC04</v>
          </cell>
          <cell r="AD83">
            <v>56000</v>
          </cell>
        </row>
        <row r="84">
          <cell r="W84" t="str">
            <v>QABAC04</v>
          </cell>
          <cell r="AD84">
            <v>56000</v>
          </cell>
        </row>
        <row r="85">
          <cell r="W85" t="str">
            <v>QABAC04</v>
          </cell>
          <cell r="AD85">
            <v>56000</v>
          </cell>
        </row>
        <row r="86">
          <cell r="W86" t="str">
            <v>QABAC04</v>
          </cell>
          <cell r="AD86">
            <v>57000</v>
          </cell>
        </row>
        <row r="87">
          <cell r="W87" t="str">
            <v>QABAC04</v>
          </cell>
          <cell r="AD87">
            <v>57000</v>
          </cell>
        </row>
        <row r="88">
          <cell r="W88" t="str">
            <v>QABAC04</v>
          </cell>
          <cell r="AD88">
            <v>57000</v>
          </cell>
        </row>
        <row r="89">
          <cell r="W89" t="str">
            <v>QABAC04</v>
          </cell>
          <cell r="AD89">
            <v>57000</v>
          </cell>
        </row>
        <row r="90">
          <cell r="W90" t="str">
            <v>QABAC04</v>
          </cell>
          <cell r="AD90">
            <v>57500</v>
          </cell>
        </row>
        <row r="91">
          <cell r="W91" t="str">
            <v>QABAC04</v>
          </cell>
          <cell r="AD91">
            <v>57500</v>
          </cell>
        </row>
        <row r="92">
          <cell r="W92" t="str">
            <v>QABAC04</v>
          </cell>
          <cell r="AD92">
            <v>57500</v>
          </cell>
        </row>
        <row r="93">
          <cell r="W93" t="str">
            <v>QABAC04</v>
          </cell>
          <cell r="AD93">
            <v>58000</v>
          </cell>
        </row>
        <row r="94">
          <cell r="W94" t="str">
            <v>QABAC04</v>
          </cell>
          <cell r="AD94">
            <v>58000</v>
          </cell>
        </row>
        <row r="95">
          <cell r="W95" t="str">
            <v>QABAC04</v>
          </cell>
          <cell r="AD95">
            <v>59000</v>
          </cell>
        </row>
        <row r="96">
          <cell r="W96" t="str">
            <v>QABAC04</v>
          </cell>
          <cell r="AD96">
            <v>59000</v>
          </cell>
        </row>
        <row r="97">
          <cell r="W97" t="str">
            <v>QABAC04</v>
          </cell>
          <cell r="AD97">
            <v>59000</v>
          </cell>
        </row>
        <row r="98">
          <cell r="W98" t="str">
            <v>QABAC04</v>
          </cell>
          <cell r="AD98">
            <v>60000</v>
          </cell>
        </row>
        <row r="99">
          <cell r="W99" t="str">
            <v>QABAC04</v>
          </cell>
          <cell r="AD99">
            <v>60000</v>
          </cell>
        </row>
        <row r="100">
          <cell r="W100" t="str">
            <v>QABAC04</v>
          </cell>
          <cell r="AD100">
            <v>60000</v>
          </cell>
        </row>
        <row r="101">
          <cell r="W101" t="str">
            <v>QABAC04</v>
          </cell>
          <cell r="AD101">
            <v>60000</v>
          </cell>
        </row>
        <row r="102">
          <cell r="W102" t="str">
            <v>QABAC04</v>
          </cell>
          <cell r="AD102">
            <v>60000</v>
          </cell>
        </row>
        <row r="103">
          <cell r="W103" t="str">
            <v>QABAC04</v>
          </cell>
          <cell r="AD103">
            <v>60000</v>
          </cell>
        </row>
        <row r="104">
          <cell r="W104" t="str">
            <v>QABAC04</v>
          </cell>
          <cell r="AD104">
            <v>60000</v>
          </cell>
        </row>
        <row r="105">
          <cell r="W105" t="str">
            <v>QABAC04</v>
          </cell>
          <cell r="AD105">
            <v>60000</v>
          </cell>
        </row>
        <row r="106">
          <cell r="W106" t="str">
            <v>QABAC04</v>
          </cell>
          <cell r="AD106">
            <v>60000</v>
          </cell>
        </row>
        <row r="107">
          <cell r="W107" t="str">
            <v>QABAC04</v>
          </cell>
          <cell r="AD107">
            <v>60000</v>
          </cell>
        </row>
        <row r="108">
          <cell r="W108" t="str">
            <v>QABAC04</v>
          </cell>
          <cell r="AD108">
            <v>60000</v>
          </cell>
        </row>
        <row r="109">
          <cell r="W109" t="str">
            <v>QABAC04</v>
          </cell>
          <cell r="AD109">
            <v>60000</v>
          </cell>
        </row>
        <row r="110">
          <cell r="W110" t="str">
            <v>QABAC04</v>
          </cell>
          <cell r="AD110">
            <v>60000</v>
          </cell>
        </row>
        <row r="111">
          <cell r="W111" t="str">
            <v>QABAC04</v>
          </cell>
          <cell r="AD111">
            <v>60000</v>
          </cell>
        </row>
        <row r="112">
          <cell r="W112" t="str">
            <v>QABAC04</v>
          </cell>
          <cell r="AD112">
            <v>60000</v>
          </cell>
        </row>
        <row r="113">
          <cell r="W113" t="str">
            <v>QABAC04</v>
          </cell>
          <cell r="AD113">
            <v>60000</v>
          </cell>
        </row>
        <row r="114">
          <cell r="W114" t="str">
            <v>QABAC04</v>
          </cell>
          <cell r="AD114">
            <v>60000</v>
          </cell>
        </row>
        <row r="115">
          <cell r="W115" t="str">
            <v>QABAC04</v>
          </cell>
          <cell r="AD115">
            <v>61000</v>
          </cell>
        </row>
        <row r="116">
          <cell r="W116" t="str">
            <v>QABAC04</v>
          </cell>
          <cell r="AD116">
            <v>65000</v>
          </cell>
        </row>
        <row r="117">
          <cell r="W117" t="str">
            <v>QABAC04</v>
          </cell>
          <cell r="AD117">
            <v>65000</v>
          </cell>
        </row>
        <row r="118">
          <cell r="W118" t="str">
            <v>QABAC04</v>
          </cell>
          <cell r="AD118">
            <v>65000</v>
          </cell>
        </row>
        <row r="119">
          <cell r="W119" t="str">
            <v>QABAC04</v>
          </cell>
          <cell r="AD119">
            <v>65000</v>
          </cell>
        </row>
        <row r="120">
          <cell r="W120" t="str">
            <v>QABAC07</v>
          </cell>
          <cell r="AD120">
            <v>25000</v>
          </cell>
        </row>
        <row r="121">
          <cell r="W121" t="str">
            <v>QABAC07</v>
          </cell>
          <cell r="AD121">
            <v>26000</v>
          </cell>
        </row>
        <row r="122">
          <cell r="W122" t="str">
            <v>QABAC07</v>
          </cell>
          <cell r="AD122">
            <v>26500</v>
          </cell>
        </row>
        <row r="123">
          <cell r="W123" t="str">
            <v>QABAC07</v>
          </cell>
          <cell r="AD123">
            <v>27000</v>
          </cell>
        </row>
        <row r="124">
          <cell r="W124" t="str">
            <v>QABAC07</v>
          </cell>
          <cell r="AD124">
            <v>27000</v>
          </cell>
        </row>
        <row r="125">
          <cell r="W125" t="str">
            <v>QABAC07</v>
          </cell>
          <cell r="AD125">
            <v>28000</v>
          </cell>
        </row>
        <row r="126">
          <cell r="W126" t="str">
            <v>QABAC07</v>
          </cell>
          <cell r="AD126">
            <v>28000</v>
          </cell>
        </row>
        <row r="127">
          <cell r="W127" t="str">
            <v>QABAC07</v>
          </cell>
          <cell r="AD127">
            <v>28000</v>
          </cell>
        </row>
        <row r="128">
          <cell r="W128" t="str">
            <v>QABAC07</v>
          </cell>
          <cell r="AD128">
            <v>28250</v>
          </cell>
        </row>
        <row r="129">
          <cell r="W129" t="str">
            <v>QABAC07</v>
          </cell>
          <cell r="AD129">
            <v>28250</v>
          </cell>
        </row>
        <row r="130">
          <cell r="W130" t="str">
            <v>QABAC07</v>
          </cell>
          <cell r="AD130">
            <v>28500</v>
          </cell>
        </row>
        <row r="131">
          <cell r="W131" t="str">
            <v>QABAC07</v>
          </cell>
          <cell r="AD131">
            <v>28500</v>
          </cell>
        </row>
        <row r="132">
          <cell r="W132" t="str">
            <v>QABAC07</v>
          </cell>
          <cell r="AD132">
            <v>28500</v>
          </cell>
        </row>
        <row r="133">
          <cell r="W133" t="str">
            <v>QABAC07</v>
          </cell>
          <cell r="AD133">
            <v>29000</v>
          </cell>
        </row>
        <row r="134">
          <cell r="W134" t="str">
            <v>QABAC07</v>
          </cell>
          <cell r="AD134">
            <v>29000</v>
          </cell>
        </row>
        <row r="135">
          <cell r="W135" t="str">
            <v>QABAC07</v>
          </cell>
          <cell r="AD135">
            <v>29000</v>
          </cell>
        </row>
        <row r="136">
          <cell r="W136" t="str">
            <v>QABAC07</v>
          </cell>
          <cell r="AD136">
            <v>29500</v>
          </cell>
        </row>
        <row r="137">
          <cell r="W137" t="str">
            <v>QABAC07</v>
          </cell>
          <cell r="AD137">
            <v>29500</v>
          </cell>
        </row>
        <row r="138">
          <cell r="W138" t="str">
            <v>QABAC07</v>
          </cell>
          <cell r="AD138">
            <v>30000</v>
          </cell>
        </row>
        <row r="139">
          <cell r="W139" t="str">
            <v>QABAC07</v>
          </cell>
          <cell r="AD139">
            <v>30000</v>
          </cell>
        </row>
        <row r="140">
          <cell r="W140" t="str">
            <v>QABAC07</v>
          </cell>
          <cell r="AD140">
            <v>30000</v>
          </cell>
        </row>
        <row r="141">
          <cell r="W141" t="str">
            <v>QABAC07</v>
          </cell>
          <cell r="AD141">
            <v>30000</v>
          </cell>
        </row>
        <row r="142">
          <cell r="W142" t="str">
            <v>QABAC07</v>
          </cell>
          <cell r="AD142">
            <v>30000</v>
          </cell>
        </row>
        <row r="143">
          <cell r="W143" t="str">
            <v>QABAC07</v>
          </cell>
          <cell r="AD143">
            <v>30000</v>
          </cell>
        </row>
        <row r="144">
          <cell r="W144" t="str">
            <v>QABAC07</v>
          </cell>
          <cell r="AD144">
            <v>30000</v>
          </cell>
        </row>
        <row r="145">
          <cell r="W145" t="str">
            <v>QABAC07</v>
          </cell>
          <cell r="AD145">
            <v>30000</v>
          </cell>
        </row>
        <row r="146">
          <cell r="W146" t="str">
            <v>QABAC07</v>
          </cell>
          <cell r="AD146">
            <v>30000</v>
          </cell>
        </row>
        <row r="147">
          <cell r="W147" t="str">
            <v>QABAD02</v>
          </cell>
          <cell r="AD147">
            <v>6800</v>
          </cell>
        </row>
        <row r="148">
          <cell r="W148" t="str">
            <v>QABAD02</v>
          </cell>
          <cell r="AD148">
            <v>6800</v>
          </cell>
        </row>
        <row r="149">
          <cell r="W149" t="str">
            <v>QABAD02</v>
          </cell>
          <cell r="AD149">
            <v>6800</v>
          </cell>
        </row>
        <row r="150">
          <cell r="W150" t="str">
            <v>QABAD02</v>
          </cell>
          <cell r="AD150">
            <v>6800</v>
          </cell>
        </row>
        <row r="151">
          <cell r="W151" t="str">
            <v>QABAD02</v>
          </cell>
          <cell r="AD151">
            <v>6800</v>
          </cell>
        </row>
        <row r="152">
          <cell r="W152" t="str">
            <v>QABAD02</v>
          </cell>
          <cell r="AD152">
            <v>7500</v>
          </cell>
        </row>
        <row r="153">
          <cell r="W153" t="str">
            <v>QABAD02</v>
          </cell>
          <cell r="AD153">
            <v>7500</v>
          </cell>
        </row>
        <row r="154">
          <cell r="W154" t="str">
            <v>QABAD02</v>
          </cell>
          <cell r="AD154">
            <v>7500</v>
          </cell>
        </row>
        <row r="155">
          <cell r="W155" t="str">
            <v>QABAD02</v>
          </cell>
          <cell r="AD155">
            <v>7500</v>
          </cell>
        </row>
        <row r="156">
          <cell r="W156" t="str">
            <v>QABAD01</v>
          </cell>
          <cell r="AD156">
            <v>22000</v>
          </cell>
        </row>
        <row r="157">
          <cell r="W157" t="str">
            <v>QABAD01</v>
          </cell>
          <cell r="AD157">
            <v>22000</v>
          </cell>
        </row>
        <row r="158">
          <cell r="W158" t="str">
            <v>QABAD01</v>
          </cell>
          <cell r="AD158">
            <v>22000</v>
          </cell>
        </row>
        <row r="159">
          <cell r="W159" t="str">
            <v>QABAD01</v>
          </cell>
          <cell r="AD159">
            <v>23500</v>
          </cell>
        </row>
        <row r="160">
          <cell r="W160" t="str">
            <v>QABAD01</v>
          </cell>
          <cell r="AD160">
            <v>24000</v>
          </cell>
        </row>
        <row r="161">
          <cell r="W161" t="str">
            <v>QABAD01</v>
          </cell>
          <cell r="AD161">
            <v>24000</v>
          </cell>
        </row>
        <row r="162">
          <cell r="W162" t="str">
            <v>QABAD01</v>
          </cell>
          <cell r="AD162">
            <v>27000</v>
          </cell>
        </row>
        <row r="163">
          <cell r="W163" t="str">
            <v>QABAS02</v>
          </cell>
          <cell r="AD163">
            <v>140000</v>
          </cell>
        </row>
        <row r="164">
          <cell r="W164" t="str">
            <v>QABAS02</v>
          </cell>
          <cell r="AD164">
            <v>140000</v>
          </cell>
        </row>
        <row r="165">
          <cell r="W165" t="str">
            <v>QABEN01</v>
          </cell>
          <cell r="AD165">
            <v>64500</v>
          </cell>
        </row>
        <row r="166">
          <cell r="W166" t="str">
            <v>QABEN01</v>
          </cell>
          <cell r="AD166">
            <v>65000</v>
          </cell>
        </row>
        <row r="167">
          <cell r="W167" t="str">
            <v>QABEN01</v>
          </cell>
          <cell r="AD167">
            <v>66000</v>
          </cell>
        </row>
        <row r="168">
          <cell r="W168" t="str">
            <v>QABEN01</v>
          </cell>
          <cell r="AD168">
            <v>68000</v>
          </cell>
        </row>
        <row r="169">
          <cell r="W169" t="str">
            <v>QABEN01</v>
          </cell>
          <cell r="AD169">
            <v>68500</v>
          </cell>
        </row>
        <row r="170">
          <cell r="W170" t="str">
            <v>QABEN01</v>
          </cell>
          <cell r="AD170">
            <v>70000</v>
          </cell>
        </row>
        <row r="171">
          <cell r="W171" t="str">
            <v>QABEN01</v>
          </cell>
          <cell r="AD171">
            <v>70000</v>
          </cell>
        </row>
        <row r="172">
          <cell r="W172" t="str">
            <v>QABEN01</v>
          </cell>
          <cell r="AD172">
            <v>70000</v>
          </cell>
        </row>
        <row r="173">
          <cell r="W173" t="str">
            <v>QABEN01</v>
          </cell>
          <cell r="AD173">
            <v>70000</v>
          </cell>
        </row>
        <row r="174">
          <cell r="W174" t="str">
            <v>QABEN01</v>
          </cell>
          <cell r="AD174">
            <v>70000</v>
          </cell>
        </row>
        <row r="175">
          <cell r="W175" t="str">
            <v>QABEN01</v>
          </cell>
          <cell r="AD175">
            <v>70000</v>
          </cell>
        </row>
        <row r="176">
          <cell r="W176" t="str">
            <v>QABEN01</v>
          </cell>
          <cell r="AD176">
            <v>70000</v>
          </cell>
        </row>
        <row r="177">
          <cell r="W177" t="str">
            <v>QABEN01</v>
          </cell>
          <cell r="AD177">
            <v>70000</v>
          </cell>
        </row>
        <row r="178">
          <cell r="W178" t="str">
            <v>QABEN01</v>
          </cell>
          <cell r="AD178">
            <v>70000</v>
          </cell>
        </row>
        <row r="179">
          <cell r="W179" t="str">
            <v>QABEN01</v>
          </cell>
          <cell r="AD179">
            <v>70000</v>
          </cell>
        </row>
        <row r="180">
          <cell r="W180" t="str">
            <v>QABEN01</v>
          </cell>
          <cell r="AD180">
            <v>70000</v>
          </cell>
        </row>
        <row r="181">
          <cell r="W181" t="str">
            <v>QABEN01</v>
          </cell>
          <cell r="AD181">
            <v>70000</v>
          </cell>
        </row>
        <row r="182">
          <cell r="W182" t="str">
            <v>QABEN01</v>
          </cell>
          <cell r="AD182">
            <v>70000</v>
          </cell>
        </row>
        <row r="183">
          <cell r="W183" t="str">
            <v>QABEN01</v>
          </cell>
          <cell r="AD183">
            <v>70000</v>
          </cell>
        </row>
        <row r="184">
          <cell r="W184" t="str">
            <v>QABEN01</v>
          </cell>
          <cell r="AD184">
            <v>70000</v>
          </cell>
        </row>
        <row r="185">
          <cell r="W185" t="str">
            <v>QABEN01</v>
          </cell>
          <cell r="AD185">
            <v>70000</v>
          </cell>
        </row>
        <row r="186">
          <cell r="W186" t="str">
            <v>QABEN01</v>
          </cell>
          <cell r="AD186">
            <v>70000</v>
          </cell>
        </row>
        <row r="187">
          <cell r="W187" t="str">
            <v>QABEN01</v>
          </cell>
          <cell r="AD187">
            <v>70000</v>
          </cell>
        </row>
        <row r="188">
          <cell r="W188" t="str">
            <v>QABEN01</v>
          </cell>
          <cell r="AD188">
            <v>70000</v>
          </cell>
        </row>
        <row r="189">
          <cell r="W189" t="str">
            <v>QABEN01</v>
          </cell>
          <cell r="AD189">
            <v>70000</v>
          </cell>
        </row>
        <row r="190">
          <cell r="W190" t="str">
            <v>QABEN01</v>
          </cell>
          <cell r="AD190">
            <v>70000</v>
          </cell>
        </row>
        <row r="191">
          <cell r="W191" t="str">
            <v>QABEN01</v>
          </cell>
          <cell r="AD191">
            <v>70000</v>
          </cell>
        </row>
        <row r="192">
          <cell r="W192" t="str">
            <v>QABEN01</v>
          </cell>
          <cell r="AD192">
            <v>70000</v>
          </cell>
        </row>
        <row r="193">
          <cell r="W193" t="str">
            <v>QABEN01</v>
          </cell>
          <cell r="AD193">
            <v>70000</v>
          </cell>
        </row>
        <row r="194">
          <cell r="W194" t="str">
            <v>QABEN01</v>
          </cell>
          <cell r="AD194">
            <v>70000</v>
          </cell>
        </row>
        <row r="195">
          <cell r="W195" t="str">
            <v>QABEN01</v>
          </cell>
          <cell r="AD195">
            <v>75000</v>
          </cell>
        </row>
        <row r="196">
          <cell r="W196" t="str">
            <v>QABEN02</v>
          </cell>
          <cell r="AD196">
            <v>133000</v>
          </cell>
        </row>
        <row r="197">
          <cell r="W197" t="str">
            <v>QABEN02</v>
          </cell>
          <cell r="AD197">
            <v>133000</v>
          </cell>
        </row>
        <row r="198">
          <cell r="W198" t="str">
            <v>QABEN02</v>
          </cell>
          <cell r="AD198">
            <v>133200</v>
          </cell>
        </row>
        <row r="199">
          <cell r="W199" t="str">
            <v>QABEN02</v>
          </cell>
          <cell r="AD199">
            <v>133500</v>
          </cell>
        </row>
        <row r="200">
          <cell r="W200" t="str">
            <v>QABEN02</v>
          </cell>
          <cell r="AD200">
            <v>133500</v>
          </cell>
        </row>
        <row r="201">
          <cell r="W201" t="str">
            <v>QABEN02</v>
          </cell>
          <cell r="AD201">
            <v>137000</v>
          </cell>
        </row>
        <row r="202">
          <cell r="W202" t="str">
            <v>QABEN02</v>
          </cell>
          <cell r="AD202">
            <v>137500</v>
          </cell>
        </row>
        <row r="203">
          <cell r="W203" t="str">
            <v>QABEN02</v>
          </cell>
          <cell r="AD203">
            <v>140000</v>
          </cell>
        </row>
        <row r="204">
          <cell r="W204" t="str">
            <v>QABEN02</v>
          </cell>
          <cell r="AD204">
            <v>140000</v>
          </cell>
        </row>
        <row r="205">
          <cell r="W205" t="str">
            <v>QABEN02</v>
          </cell>
          <cell r="AD205">
            <v>140000</v>
          </cell>
        </row>
        <row r="206">
          <cell r="W206" t="str">
            <v>QABEN02</v>
          </cell>
          <cell r="AD206">
            <v>140000</v>
          </cell>
        </row>
        <row r="207">
          <cell r="W207" t="str">
            <v>QABEN02</v>
          </cell>
          <cell r="AD207">
            <v>140000</v>
          </cell>
        </row>
        <row r="208">
          <cell r="W208" t="str">
            <v>QABEN02</v>
          </cell>
          <cell r="AD208">
            <v>146000</v>
          </cell>
        </row>
        <row r="209">
          <cell r="W209" t="str">
            <v>QABEN02</v>
          </cell>
          <cell r="AD209">
            <v>146000</v>
          </cell>
        </row>
        <row r="210">
          <cell r="W210" t="str">
            <v>QABEN02</v>
          </cell>
          <cell r="AD210">
            <v>146000</v>
          </cell>
        </row>
        <row r="211">
          <cell r="W211" t="str">
            <v>QABEN02</v>
          </cell>
          <cell r="AD211">
            <v>146000</v>
          </cell>
        </row>
        <row r="212">
          <cell r="W212" t="str">
            <v>QABEN02</v>
          </cell>
          <cell r="AD212">
            <v>146000</v>
          </cell>
        </row>
        <row r="213">
          <cell r="W213" t="str">
            <v>QABEN02</v>
          </cell>
          <cell r="AD213">
            <v>146000</v>
          </cell>
        </row>
        <row r="214">
          <cell r="W214" t="str">
            <v>QABEN02</v>
          </cell>
          <cell r="AD214">
            <v>146000</v>
          </cell>
        </row>
        <row r="215">
          <cell r="W215" t="str">
            <v>QABEN02</v>
          </cell>
          <cell r="AD215">
            <v>146000</v>
          </cell>
        </row>
        <row r="216">
          <cell r="W216" t="str">
            <v>QABEN02</v>
          </cell>
          <cell r="AD216">
            <v>146000</v>
          </cell>
        </row>
        <row r="217">
          <cell r="W217" t="str">
            <v>QABEN02</v>
          </cell>
          <cell r="AD217">
            <v>146000</v>
          </cell>
        </row>
        <row r="218">
          <cell r="W218" t="str">
            <v>QABEN02</v>
          </cell>
          <cell r="AD218">
            <v>146000</v>
          </cell>
        </row>
        <row r="219">
          <cell r="W219" t="str">
            <v>QABEN02</v>
          </cell>
          <cell r="AD219">
            <v>146000</v>
          </cell>
        </row>
        <row r="220">
          <cell r="W220" t="str">
            <v>QABEN02</v>
          </cell>
          <cell r="AD220">
            <v>146000</v>
          </cell>
        </row>
        <row r="221">
          <cell r="W221" t="str">
            <v>QABEN02</v>
          </cell>
          <cell r="AD221">
            <v>146000</v>
          </cell>
        </row>
        <row r="222">
          <cell r="W222" t="str">
            <v>QABEN02</v>
          </cell>
          <cell r="AD222">
            <v>146000</v>
          </cell>
        </row>
        <row r="223">
          <cell r="W223" t="str">
            <v>QABEN02</v>
          </cell>
          <cell r="AD223">
            <v>146000</v>
          </cell>
        </row>
        <row r="224">
          <cell r="W224" t="str">
            <v>QABEN02</v>
          </cell>
          <cell r="AD224">
            <v>146000</v>
          </cell>
        </row>
        <row r="225">
          <cell r="W225" t="str">
            <v>QABEN02</v>
          </cell>
          <cell r="AD225">
            <v>146000</v>
          </cell>
        </row>
        <row r="226">
          <cell r="W226" t="str">
            <v>QABEN02</v>
          </cell>
          <cell r="AD226">
            <v>146000</v>
          </cell>
        </row>
        <row r="227">
          <cell r="W227" t="str">
            <v>QABEN02</v>
          </cell>
          <cell r="AD227">
            <v>146000</v>
          </cell>
        </row>
        <row r="228">
          <cell r="W228" t="str">
            <v>QABEN02</v>
          </cell>
          <cell r="AD228">
            <v>146000</v>
          </cell>
        </row>
        <row r="229">
          <cell r="W229" t="str">
            <v>QABEN02</v>
          </cell>
          <cell r="AD229">
            <v>146000</v>
          </cell>
        </row>
        <row r="230">
          <cell r="W230" t="str">
            <v>QABOJ02</v>
          </cell>
          <cell r="AD230">
            <v>25500</v>
          </cell>
        </row>
        <row r="231">
          <cell r="W231" t="str">
            <v>QABOJ02</v>
          </cell>
          <cell r="AD231">
            <v>26000</v>
          </cell>
        </row>
        <row r="232">
          <cell r="W232" t="str">
            <v>QABOJ02</v>
          </cell>
          <cell r="AD232">
            <v>26500</v>
          </cell>
        </row>
        <row r="233">
          <cell r="W233" t="str">
            <v>QABOJ02</v>
          </cell>
          <cell r="AD233">
            <v>26500</v>
          </cell>
        </row>
        <row r="234">
          <cell r="W234" t="str">
            <v>QABOJ02</v>
          </cell>
          <cell r="AD234">
            <v>26500</v>
          </cell>
        </row>
        <row r="235">
          <cell r="W235" t="str">
            <v>QABOJ02</v>
          </cell>
          <cell r="AD235">
            <v>26500</v>
          </cell>
        </row>
        <row r="236">
          <cell r="W236" t="str">
            <v>QABOJ02</v>
          </cell>
          <cell r="AD236">
            <v>26500</v>
          </cell>
        </row>
        <row r="237">
          <cell r="W237" t="str">
            <v>QABOJ02</v>
          </cell>
          <cell r="AD237">
            <v>26500</v>
          </cell>
        </row>
        <row r="238">
          <cell r="W238" t="str">
            <v>QABOJ02</v>
          </cell>
          <cell r="AD238">
            <v>26500</v>
          </cell>
        </row>
        <row r="239">
          <cell r="W239" t="str">
            <v>QABOJ02</v>
          </cell>
          <cell r="AD239">
            <v>26500</v>
          </cell>
        </row>
        <row r="240">
          <cell r="W240" t="str">
            <v>QABOJ02</v>
          </cell>
          <cell r="AD240">
            <v>26500</v>
          </cell>
        </row>
        <row r="241">
          <cell r="W241" t="str">
            <v>QABOJ02</v>
          </cell>
          <cell r="AD241">
            <v>26500</v>
          </cell>
        </row>
        <row r="242">
          <cell r="W242" t="str">
            <v>QABOJ02</v>
          </cell>
          <cell r="AD242">
            <v>26500</v>
          </cell>
        </row>
        <row r="243">
          <cell r="W243" t="str">
            <v>QABOJ02</v>
          </cell>
          <cell r="AD243">
            <v>26500</v>
          </cell>
        </row>
        <row r="244">
          <cell r="W244" t="str">
            <v>QABOJ02</v>
          </cell>
          <cell r="AD244">
            <v>26500</v>
          </cell>
        </row>
        <row r="245">
          <cell r="W245" t="str">
            <v>QABOJ02</v>
          </cell>
          <cell r="AD245">
            <v>26500</v>
          </cell>
        </row>
        <row r="246">
          <cell r="W246" t="str">
            <v>QABOJ02</v>
          </cell>
          <cell r="AD246">
            <v>26500</v>
          </cell>
        </row>
        <row r="247">
          <cell r="W247" t="str">
            <v>QABOJ02</v>
          </cell>
          <cell r="AD247">
            <v>26500</v>
          </cell>
        </row>
        <row r="248">
          <cell r="W248" t="str">
            <v>QABOJ02</v>
          </cell>
          <cell r="AD248">
            <v>26500</v>
          </cell>
        </row>
        <row r="249">
          <cell r="W249" t="str">
            <v>QABOJ02</v>
          </cell>
          <cell r="AD249">
            <v>26500</v>
          </cell>
        </row>
        <row r="250">
          <cell r="W250" t="str">
            <v>QABOJ02</v>
          </cell>
          <cell r="AD250">
            <v>26500</v>
          </cell>
        </row>
        <row r="251">
          <cell r="W251" t="str">
            <v>QABOJ02</v>
          </cell>
          <cell r="AD251">
            <v>27000</v>
          </cell>
        </row>
        <row r="252">
          <cell r="W252" t="str">
            <v>QABOJ02</v>
          </cell>
          <cell r="AD252">
            <v>27000</v>
          </cell>
        </row>
        <row r="253">
          <cell r="W253" t="str">
            <v>QABOJ02</v>
          </cell>
          <cell r="AD253">
            <v>27000</v>
          </cell>
        </row>
        <row r="254">
          <cell r="W254" t="str">
            <v>QABOJ02</v>
          </cell>
          <cell r="AD254">
            <v>27000</v>
          </cell>
        </row>
        <row r="255">
          <cell r="W255" t="str">
            <v>QABOJ02</v>
          </cell>
          <cell r="AD255">
            <v>27500</v>
          </cell>
        </row>
        <row r="256">
          <cell r="W256" t="str">
            <v>QABOJ02</v>
          </cell>
          <cell r="AD256">
            <v>27500</v>
          </cell>
        </row>
        <row r="257">
          <cell r="W257" t="str">
            <v>QABOJ02</v>
          </cell>
          <cell r="AD257">
            <v>27500</v>
          </cell>
        </row>
        <row r="258">
          <cell r="W258" t="str">
            <v>QABOJ02</v>
          </cell>
          <cell r="AD258">
            <v>27500</v>
          </cell>
        </row>
        <row r="259">
          <cell r="W259" t="str">
            <v>QABOJ02</v>
          </cell>
          <cell r="AD259">
            <v>27500</v>
          </cell>
        </row>
        <row r="260">
          <cell r="W260" t="str">
            <v>QABOJ02</v>
          </cell>
          <cell r="AD260">
            <v>27500</v>
          </cell>
        </row>
        <row r="261">
          <cell r="W261" t="str">
            <v>QABOJ02</v>
          </cell>
          <cell r="AD261">
            <v>27500</v>
          </cell>
        </row>
        <row r="262">
          <cell r="W262" t="str">
            <v>QABOJ02</v>
          </cell>
          <cell r="AD262">
            <v>27500</v>
          </cell>
        </row>
        <row r="263">
          <cell r="W263" t="str">
            <v>QABOJ02</v>
          </cell>
          <cell r="AD263">
            <v>27500</v>
          </cell>
        </row>
        <row r="264">
          <cell r="W264" t="str">
            <v>QABOJ02</v>
          </cell>
          <cell r="AD264">
            <v>27500</v>
          </cell>
        </row>
        <row r="265">
          <cell r="W265" t="str">
            <v>QABOJ02</v>
          </cell>
          <cell r="AD265">
            <v>27500</v>
          </cell>
        </row>
        <row r="266">
          <cell r="W266" t="str">
            <v>QABOJ02</v>
          </cell>
          <cell r="AD266">
            <v>27500</v>
          </cell>
        </row>
        <row r="267">
          <cell r="W267" t="str">
            <v>QABOJ02</v>
          </cell>
          <cell r="AD267">
            <v>27500</v>
          </cell>
        </row>
        <row r="268">
          <cell r="W268" t="str">
            <v>QABOJ02</v>
          </cell>
          <cell r="AD268">
            <v>27500</v>
          </cell>
        </row>
        <row r="269">
          <cell r="W269" t="str">
            <v>QABOJ02</v>
          </cell>
          <cell r="AD269">
            <v>27500</v>
          </cell>
        </row>
        <row r="270">
          <cell r="W270" t="str">
            <v>QABOJ02</v>
          </cell>
          <cell r="AD270">
            <v>27500</v>
          </cell>
        </row>
        <row r="271">
          <cell r="W271" t="str">
            <v>QABOJ02</v>
          </cell>
          <cell r="AD271">
            <v>27500</v>
          </cell>
        </row>
        <row r="272">
          <cell r="W272" t="str">
            <v>AABOJ02</v>
          </cell>
          <cell r="AD272">
            <v>27500</v>
          </cell>
        </row>
        <row r="273">
          <cell r="W273" t="str">
            <v>QABOJ02</v>
          </cell>
          <cell r="AD273">
            <v>27500</v>
          </cell>
        </row>
        <row r="274">
          <cell r="W274" t="str">
            <v>QABOJ02</v>
          </cell>
          <cell r="AD274">
            <v>27500</v>
          </cell>
        </row>
        <row r="275">
          <cell r="W275" t="str">
            <v>QABOJ02</v>
          </cell>
          <cell r="AD275">
            <v>27500</v>
          </cell>
        </row>
        <row r="276">
          <cell r="W276" t="str">
            <v>QABOJ02</v>
          </cell>
          <cell r="AD276">
            <v>27500</v>
          </cell>
        </row>
        <row r="277">
          <cell r="W277" t="str">
            <v>AABOJ02</v>
          </cell>
          <cell r="AD277">
            <v>27500</v>
          </cell>
        </row>
        <row r="278">
          <cell r="W278" t="str">
            <v>QABOJ02</v>
          </cell>
          <cell r="AD278">
            <v>27500</v>
          </cell>
        </row>
        <row r="279">
          <cell r="W279" t="str">
            <v>QABOJ02</v>
          </cell>
          <cell r="AD279">
            <v>27500</v>
          </cell>
        </row>
        <row r="280">
          <cell r="W280" t="str">
            <v>QABOJ01</v>
          </cell>
          <cell r="AD280">
            <v>50000</v>
          </cell>
        </row>
        <row r="281">
          <cell r="W281" t="str">
            <v>QABOJ01</v>
          </cell>
          <cell r="AD281">
            <v>50000</v>
          </cell>
        </row>
        <row r="282">
          <cell r="W282" t="str">
            <v>QABOJ01</v>
          </cell>
          <cell r="AD282">
            <v>50000</v>
          </cell>
        </row>
        <row r="283">
          <cell r="W283" t="str">
            <v>QABOJ01</v>
          </cell>
          <cell r="AD283">
            <v>50000</v>
          </cell>
        </row>
        <row r="284">
          <cell r="W284" t="str">
            <v>QABOJ01</v>
          </cell>
          <cell r="AD284">
            <v>50000</v>
          </cell>
        </row>
        <row r="285">
          <cell r="W285" t="str">
            <v>QABOJ01</v>
          </cell>
          <cell r="AD285">
            <v>50000</v>
          </cell>
        </row>
        <row r="286">
          <cell r="W286" t="str">
            <v>QABOJ01</v>
          </cell>
          <cell r="AD286">
            <v>50000</v>
          </cell>
        </row>
        <row r="287">
          <cell r="W287" t="str">
            <v>QABOJ01</v>
          </cell>
          <cell r="AD287">
            <v>51000</v>
          </cell>
        </row>
        <row r="288">
          <cell r="W288" t="str">
            <v>QABOJ01</v>
          </cell>
          <cell r="AD288">
            <v>51000</v>
          </cell>
        </row>
        <row r="289">
          <cell r="W289" t="str">
            <v>QABOJ01</v>
          </cell>
          <cell r="AD289">
            <v>51000</v>
          </cell>
        </row>
        <row r="290">
          <cell r="W290" t="str">
            <v>QABOJ01</v>
          </cell>
          <cell r="AD290">
            <v>51000</v>
          </cell>
        </row>
        <row r="291">
          <cell r="W291" t="str">
            <v>QABOJ01</v>
          </cell>
          <cell r="AD291">
            <v>51000</v>
          </cell>
        </row>
        <row r="292">
          <cell r="W292" t="str">
            <v>QABOJ01</v>
          </cell>
          <cell r="AD292">
            <v>51500</v>
          </cell>
        </row>
        <row r="293">
          <cell r="W293" t="str">
            <v>QABOJ01</v>
          </cell>
          <cell r="AD293">
            <v>51500</v>
          </cell>
        </row>
        <row r="294">
          <cell r="W294" t="str">
            <v>QABOJ01</v>
          </cell>
          <cell r="AD294">
            <v>51500</v>
          </cell>
        </row>
        <row r="295">
          <cell r="W295" t="str">
            <v>QABOJ01</v>
          </cell>
          <cell r="AD295">
            <v>51500</v>
          </cell>
        </row>
        <row r="296">
          <cell r="W296" t="str">
            <v>QABOJ01</v>
          </cell>
          <cell r="AD296">
            <v>51500</v>
          </cell>
        </row>
        <row r="297">
          <cell r="W297" t="str">
            <v>QABOJ01</v>
          </cell>
          <cell r="AD297">
            <v>51500</v>
          </cell>
        </row>
        <row r="298">
          <cell r="W298" t="str">
            <v>QABOJ01</v>
          </cell>
          <cell r="AD298">
            <v>51500</v>
          </cell>
        </row>
        <row r="299">
          <cell r="W299" t="str">
            <v>QABOJ01</v>
          </cell>
          <cell r="AD299">
            <v>51500</v>
          </cell>
        </row>
        <row r="300">
          <cell r="W300" t="str">
            <v>QABOJ01</v>
          </cell>
          <cell r="AD300">
            <v>51500</v>
          </cell>
        </row>
        <row r="301">
          <cell r="W301" t="str">
            <v>QABOJ01</v>
          </cell>
          <cell r="AD301">
            <v>51500</v>
          </cell>
        </row>
        <row r="302">
          <cell r="W302" t="str">
            <v>QABOJ01</v>
          </cell>
          <cell r="AD302">
            <v>51500</v>
          </cell>
        </row>
        <row r="303">
          <cell r="W303" t="str">
            <v>QABOJ01</v>
          </cell>
          <cell r="AD303">
            <v>51500</v>
          </cell>
        </row>
        <row r="304">
          <cell r="W304" t="str">
            <v>QABOJ01</v>
          </cell>
          <cell r="AD304">
            <v>51500</v>
          </cell>
        </row>
        <row r="305">
          <cell r="W305" t="str">
            <v>QABOJ01</v>
          </cell>
          <cell r="AD305">
            <v>51500</v>
          </cell>
        </row>
        <row r="306">
          <cell r="W306" t="str">
            <v>QABOJ01</v>
          </cell>
          <cell r="AD306">
            <v>51500</v>
          </cell>
        </row>
        <row r="307">
          <cell r="W307" t="str">
            <v>QABOJ01</v>
          </cell>
          <cell r="AD307">
            <v>51500</v>
          </cell>
        </row>
        <row r="308">
          <cell r="W308" t="str">
            <v>QABOJ01</v>
          </cell>
          <cell r="AD308">
            <v>51500</v>
          </cell>
        </row>
        <row r="309">
          <cell r="W309" t="str">
            <v>QABOJ01</v>
          </cell>
          <cell r="AD309">
            <v>51500</v>
          </cell>
        </row>
        <row r="310">
          <cell r="W310" t="str">
            <v>QABOJ01</v>
          </cell>
          <cell r="AD310">
            <v>51500</v>
          </cell>
        </row>
        <row r="311">
          <cell r="W311" t="str">
            <v>QABOJ01</v>
          </cell>
          <cell r="AD311">
            <v>51500</v>
          </cell>
        </row>
        <row r="312">
          <cell r="W312" t="str">
            <v>QABOJ01</v>
          </cell>
          <cell r="AD312">
            <v>51500</v>
          </cell>
        </row>
        <row r="313">
          <cell r="W313" t="str">
            <v>QABOJ01</v>
          </cell>
          <cell r="AD313">
            <v>51500</v>
          </cell>
        </row>
        <row r="314">
          <cell r="W314" t="str">
            <v>QABOJ01</v>
          </cell>
          <cell r="AD314">
            <v>51500</v>
          </cell>
        </row>
        <row r="315">
          <cell r="W315" t="str">
            <v>QABOJ01</v>
          </cell>
          <cell r="AD315">
            <v>51500</v>
          </cell>
        </row>
        <row r="316">
          <cell r="W316" t="str">
            <v>QABOJ01</v>
          </cell>
          <cell r="AD316">
            <v>51500</v>
          </cell>
        </row>
        <row r="317">
          <cell r="W317" t="str">
            <v>QABOJ01</v>
          </cell>
          <cell r="AD317">
            <v>51500</v>
          </cell>
        </row>
        <row r="318">
          <cell r="W318" t="str">
            <v>QABOJ01</v>
          </cell>
          <cell r="AD318">
            <v>52000</v>
          </cell>
        </row>
        <row r="319">
          <cell r="W319" t="str">
            <v>QABOJ01</v>
          </cell>
          <cell r="AD319">
            <v>52000</v>
          </cell>
        </row>
        <row r="320">
          <cell r="W320" t="str">
            <v>QABOJ01</v>
          </cell>
          <cell r="AD320">
            <v>52000</v>
          </cell>
        </row>
        <row r="321">
          <cell r="W321" t="str">
            <v>QABOJ01</v>
          </cell>
          <cell r="AD321">
            <v>52000</v>
          </cell>
        </row>
        <row r="322">
          <cell r="W322" t="str">
            <v>QABOJ01</v>
          </cell>
          <cell r="AD322">
            <v>52000</v>
          </cell>
        </row>
        <row r="323">
          <cell r="W323" t="str">
            <v>QABOJ01</v>
          </cell>
          <cell r="AD323">
            <v>52000</v>
          </cell>
        </row>
        <row r="324">
          <cell r="W324" t="str">
            <v>QABOJ01</v>
          </cell>
          <cell r="AD324">
            <v>52000</v>
          </cell>
        </row>
        <row r="325">
          <cell r="W325" t="str">
            <v>QABOJ01</v>
          </cell>
          <cell r="AD325">
            <v>52000</v>
          </cell>
        </row>
        <row r="326">
          <cell r="W326" t="str">
            <v>QABOJ01</v>
          </cell>
          <cell r="AD326">
            <v>52000</v>
          </cell>
        </row>
        <row r="327">
          <cell r="W327" t="str">
            <v>QABOJ01</v>
          </cell>
          <cell r="AD327">
            <v>52000</v>
          </cell>
        </row>
        <row r="328">
          <cell r="W328" t="str">
            <v>QABOJ01</v>
          </cell>
          <cell r="AD328">
            <v>52000</v>
          </cell>
        </row>
        <row r="329">
          <cell r="W329" t="str">
            <v>QABOJ01</v>
          </cell>
          <cell r="AD329">
            <v>52000</v>
          </cell>
        </row>
        <row r="330">
          <cell r="W330" t="str">
            <v>QABOJ01</v>
          </cell>
          <cell r="AD330">
            <v>52000</v>
          </cell>
        </row>
        <row r="331">
          <cell r="W331" t="str">
            <v>QABOJ01</v>
          </cell>
          <cell r="AD331">
            <v>52000</v>
          </cell>
        </row>
        <row r="332">
          <cell r="W332" t="str">
            <v>QABOJ01</v>
          </cell>
          <cell r="AD332">
            <v>52000</v>
          </cell>
        </row>
        <row r="333">
          <cell r="W333" t="str">
            <v>QABOJ01</v>
          </cell>
          <cell r="AD333">
            <v>52000</v>
          </cell>
        </row>
        <row r="334">
          <cell r="W334" t="str">
            <v>QABOJ01</v>
          </cell>
          <cell r="AD334">
            <v>52000</v>
          </cell>
        </row>
        <row r="335">
          <cell r="W335" t="str">
            <v>QABOJ01</v>
          </cell>
          <cell r="AD335">
            <v>52000</v>
          </cell>
        </row>
        <row r="336">
          <cell r="W336" t="str">
            <v>QABOJ01</v>
          </cell>
          <cell r="AD336">
            <v>52000</v>
          </cell>
        </row>
        <row r="337">
          <cell r="W337" t="str">
            <v>QABOJ01</v>
          </cell>
          <cell r="AD337">
            <v>52000</v>
          </cell>
        </row>
        <row r="338">
          <cell r="W338" t="str">
            <v>QABOJ01</v>
          </cell>
          <cell r="AD338">
            <v>52000</v>
          </cell>
        </row>
        <row r="339">
          <cell r="W339" t="str">
            <v>QABOJ01</v>
          </cell>
          <cell r="AD339">
            <v>52000</v>
          </cell>
        </row>
        <row r="340">
          <cell r="W340" t="str">
            <v>QABOJ01</v>
          </cell>
          <cell r="AD340">
            <v>52500</v>
          </cell>
        </row>
        <row r="341">
          <cell r="W341" t="str">
            <v>QABOJ01</v>
          </cell>
          <cell r="AD341">
            <v>52500</v>
          </cell>
        </row>
        <row r="342">
          <cell r="W342" t="str">
            <v>QABOJ01</v>
          </cell>
          <cell r="AD342">
            <v>52500</v>
          </cell>
        </row>
        <row r="343">
          <cell r="W343" t="str">
            <v>QABOJ01</v>
          </cell>
          <cell r="AD343">
            <v>52500</v>
          </cell>
        </row>
        <row r="344">
          <cell r="W344" t="str">
            <v>QABOJ01</v>
          </cell>
          <cell r="AD344">
            <v>52500</v>
          </cell>
        </row>
        <row r="345">
          <cell r="W345" t="str">
            <v>QABOJ01</v>
          </cell>
          <cell r="AD345">
            <v>52500</v>
          </cell>
        </row>
        <row r="346">
          <cell r="W346" t="str">
            <v>QABOJ01</v>
          </cell>
          <cell r="AD346">
            <v>52500</v>
          </cell>
        </row>
        <row r="347">
          <cell r="W347" t="str">
            <v>QABOJ01</v>
          </cell>
          <cell r="AD347">
            <v>52500</v>
          </cell>
        </row>
        <row r="348">
          <cell r="W348" t="str">
            <v>QABOJ01</v>
          </cell>
          <cell r="AD348">
            <v>52500</v>
          </cell>
        </row>
        <row r="349">
          <cell r="W349" t="str">
            <v>QABOJ01</v>
          </cell>
          <cell r="AD349">
            <v>52500</v>
          </cell>
        </row>
        <row r="350">
          <cell r="W350" t="str">
            <v>QABOJ01</v>
          </cell>
          <cell r="AD350">
            <v>52500</v>
          </cell>
        </row>
        <row r="351">
          <cell r="W351" t="str">
            <v>QABOJ01</v>
          </cell>
          <cell r="AD351">
            <v>52500</v>
          </cell>
        </row>
        <row r="352">
          <cell r="W352" t="str">
            <v>QABOJ01</v>
          </cell>
          <cell r="AD352">
            <v>52500</v>
          </cell>
        </row>
        <row r="353">
          <cell r="W353" t="str">
            <v>QABOJ01</v>
          </cell>
          <cell r="AD353">
            <v>52500</v>
          </cell>
        </row>
        <row r="354">
          <cell r="W354" t="str">
            <v>QABOJ01</v>
          </cell>
          <cell r="AD354">
            <v>52500</v>
          </cell>
        </row>
        <row r="355">
          <cell r="W355" t="str">
            <v>QABOJ01</v>
          </cell>
          <cell r="AD355">
            <v>52500</v>
          </cell>
        </row>
        <row r="356">
          <cell r="W356" t="str">
            <v>QABOJ01</v>
          </cell>
          <cell r="AD356">
            <v>52500</v>
          </cell>
        </row>
        <row r="357">
          <cell r="W357" t="str">
            <v>QABOJ01</v>
          </cell>
          <cell r="AD357">
            <v>52500</v>
          </cell>
        </row>
        <row r="358">
          <cell r="W358" t="str">
            <v>QABOJ01</v>
          </cell>
          <cell r="AD358">
            <v>52500</v>
          </cell>
        </row>
        <row r="359">
          <cell r="W359" t="str">
            <v>QABOJ01</v>
          </cell>
          <cell r="AD359">
            <v>52500</v>
          </cell>
        </row>
        <row r="360">
          <cell r="W360" t="str">
            <v>QABOJ01</v>
          </cell>
          <cell r="AD360">
            <v>53000</v>
          </cell>
        </row>
        <row r="361">
          <cell r="W361" t="str">
            <v>QABOJ01</v>
          </cell>
          <cell r="AD361">
            <v>53000</v>
          </cell>
        </row>
        <row r="362">
          <cell r="W362" t="str">
            <v>QABOJ01</v>
          </cell>
          <cell r="AD362">
            <v>53000</v>
          </cell>
        </row>
        <row r="363">
          <cell r="W363" t="str">
            <v>QABOJ01</v>
          </cell>
          <cell r="AD363">
            <v>53000</v>
          </cell>
        </row>
        <row r="364">
          <cell r="W364" t="str">
            <v>QABOJ01</v>
          </cell>
          <cell r="AD364">
            <v>53000</v>
          </cell>
        </row>
        <row r="365">
          <cell r="W365" t="str">
            <v>QABOJ01</v>
          </cell>
          <cell r="AD365">
            <v>53000</v>
          </cell>
        </row>
        <row r="366">
          <cell r="W366" t="str">
            <v>QABOJ01</v>
          </cell>
          <cell r="AD366">
            <v>53000</v>
          </cell>
        </row>
        <row r="367">
          <cell r="W367" t="str">
            <v>QABOJ01</v>
          </cell>
          <cell r="AD367">
            <v>53000</v>
          </cell>
        </row>
        <row r="368">
          <cell r="W368" t="str">
            <v>QABOJ01</v>
          </cell>
          <cell r="AD368">
            <v>53000</v>
          </cell>
        </row>
        <row r="369">
          <cell r="W369" t="str">
            <v>QABOJ01</v>
          </cell>
          <cell r="AD369">
            <v>53000</v>
          </cell>
        </row>
        <row r="370">
          <cell r="W370" t="str">
            <v>QABOJ01</v>
          </cell>
          <cell r="AD370">
            <v>53000</v>
          </cell>
        </row>
        <row r="371">
          <cell r="W371" t="str">
            <v>QABOJ01</v>
          </cell>
          <cell r="AD371">
            <v>53000</v>
          </cell>
        </row>
        <row r="372">
          <cell r="W372" t="str">
            <v>QABOJ01</v>
          </cell>
          <cell r="AD372">
            <v>53000</v>
          </cell>
        </row>
        <row r="373">
          <cell r="W373" t="str">
            <v>QABOJ01</v>
          </cell>
          <cell r="AD373">
            <v>53000</v>
          </cell>
        </row>
        <row r="374">
          <cell r="W374" t="str">
            <v>QABOJ01</v>
          </cell>
          <cell r="AD374">
            <v>53000</v>
          </cell>
        </row>
        <row r="375">
          <cell r="W375" t="str">
            <v>QABOJ01</v>
          </cell>
          <cell r="AD375">
            <v>53000</v>
          </cell>
        </row>
        <row r="376">
          <cell r="W376" t="str">
            <v>QABOJ01</v>
          </cell>
          <cell r="AD376">
            <v>53000</v>
          </cell>
        </row>
        <row r="377">
          <cell r="W377" t="str">
            <v>QABOJ01</v>
          </cell>
          <cell r="AD377">
            <v>53000</v>
          </cell>
        </row>
        <row r="378">
          <cell r="W378" t="str">
            <v>QABOJ01</v>
          </cell>
          <cell r="AD378">
            <v>53000</v>
          </cell>
        </row>
        <row r="379">
          <cell r="W379" t="str">
            <v>QABOJ01</v>
          </cell>
          <cell r="AD379">
            <v>53000</v>
          </cell>
        </row>
        <row r="380">
          <cell r="W380" t="str">
            <v>QABOJ01</v>
          </cell>
          <cell r="AD380">
            <v>53000</v>
          </cell>
        </row>
        <row r="381">
          <cell r="W381" t="str">
            <v>QABOJ01</v>
          </cell>
          <cell r="AD381">
            <v>53000</v>
          </cell>
        </row>
        <row r="382">
          <cell r="W382" t="str">
            <v>QABOJ01</v>
          </cell>
          <cell r="AD382">
            <v>53000</v>
          </cell>
        </row>
        <row r="383">
          <cell r="W383" t="str">
            <v>QABOJ01</v>
          </cell>
          <cell r="AD383">
            <v>53000</v>
          </cell>
        </row>
        <row r="384">
          <cell r="W384" t="str">
            <v>QABOJ01</v>
          </cell>
          <cell r="AD384">
            <v>53000</v>
          </cell>
        </row>
        <row r="385">
          <cell r="W385" t="str">
            <v>QABOJ01</v>
          </cell>
          <cell r="AD385">
            <v>53000</v>
          </cell>
        </row>
        <row r="386">
          <cell r="W386" t="str">
            <v>QABOJ01</v>
          </cell>
          <cell r="AD386">
            <v>53500</v>
          </cell>
        </row>
        <row r="387">
          <cell r="W387" t="str">
            <v>QACAP01</v>
          </cell>
          <cell r="AD387">
            <v>68000</v>
          </cell>
        </row>
        <row r="388">
          <cell r="W388" t="str">
            <v>QACAP01</v>
          </cell>
          <cell r="AD388">
            <v>76000</v>
          </cell>
        </row>
        <row r="389">
          <cell r="W389" t="str">
            <v>QACAP01</v>
          </cell>
          <cell r="AD389">
            <v>76000</v>
          </cell>
        </row>
        <row r="390">
          <cell r="W390" t="str">
            <v>QACAP01</v>
          </cell>
          <cell r="AD390">
            <v>76000</v>
          </cell>
        </row>
        <row r="391">
          <cell r="W391" t="str">
            <v>QACAP01</v>
          </cell>
          <cell r="AD391">
            <v>76000</v>
          </cell>
        </row>
        <row r="392">
          <cell r="W392" t="str">
            <v>QACAP01</v>
          </cell>
          <cell r="AD392">
            <v>77750</v>
          </cell>
        </row>
        <row r="393">
          <cell r="W393" t="str">
            <v>QACAP01</v>
          </cell>
          <cell r="AD393">
            <v>77750</v>
          </cell>
        </row>
        <row r="394">
          <cell r="W394" t="str">
            <v>QACAP01</v>
          </cell>
          <cell r="AD394">
            <v>77750</v>
          </cell>
        </row>
        <row r="395">
          <cell r="W395" t="str">
            <v>QACAP01</v>
          </cell>
          <cell r="AD395">
            <v>77750</v>
          </cell>
        </row>
        <row r="396">
          <cell r="W396" t="str">
            <v>QACAP01</v>
          </cell>
          <cell r="AD396">
            <v>77750</v>
          </cell>
        </row>
        <row r="397">
          <cell r="W397" t="str">
            <v>QACAP01</v>
          </cell>
          <cell r="AD397">
            <v>77750</v>
          </cell>
        </row>
        <row r="398">
          <cell r="W398" t="str">
            <v>QACAP01</v>
          </cell>
          <cell r="AD398">
            <v>78000</v>
          </cell>
        </row>
        <row r="399">
          <cell r="W399" t="str">
            <v>QACAP01</v>
          </cell>
          <cell r="AD399">
            <v>78000</v>
          </cell>
        </row>
        <row r="400">
          <cell r="W400" t="str">
            <v>QACAP01</v>
          </cell>
          <cell r="AD400">
            <v>78000</v>
          </cell>
        </row>
        <row r="401">
          <cell r="W401" t="str">
            <v>QACAP01</v>
          </cell>
          <cell r="AD401">
            <v>78000</v>
          </cell>
        </row>
        <row r="402">
          <cell r="W402" t="str">
            <v>QACAP01</v>
          </cell>
          <cell r="AD402">
            <v>78000</v>
          </cell>
        </row>
        <row r="403">
          <cell r="W403" t="str">
            <v>QACAP01</v>
          </cell>
          <cell r="AD403">
            <v>78000</v>
          </cell>
        </row>
        <row r="404">
          <cell r="W404" t="str">
            <v>QACAP01</v>
          </cell>
          <cell r="AD404">
            <v>78000</v>
          </cell>
        </row>
        <row r="405">
          <cell r="W405" t="str">
            <v>QACAP01</v>
          </cell>
          <cell r="AD405">
            <v>78000</v>
          </cell>
        </row>
        <row r="406">
          <cell r="W406" t="str">
            <v>QACAP01</v>
          </cell>
          <cell r="AD406">
            <v>78000</v>
          </cell>
        </row>
        <row r="407">
          <cell r="W407" t="str">
            <v>QACAP01</v>
          </cell>
          <cell r="AD407">
            <v>78000</v>
          </cell>
        </row>
        <row r="408">
          <cell r="W408" t="str">
            <v>QACAP01</v>
          </cell>
          <cell r="AD408">
            <v>78000</v>
          </cell>
        </row>
        <row r="409">
          <cell r="W409" t="str">
            <v>QACAP01</v>
          </cell>
          <cell r="AD409">
            <v>78000</v>
          </cell>
        </row>
        <row r="410">
          <cell r="W410" t="str">
            <v>QACAP01</v>
          </cell>
          <cell r="AD410">
            <v>78000</v>
          </cell>
        </row>
        <row r="411">
          <cell r="W411" t="str">
            <v>QACAP01</v>
          </cell>
          <cell r="AD411">
            <v>78000</v>
          </cell>
        </row>
        <row r="412">
          <cell r="W412" t="str">
            <v>QACAP01</v>
          </cell>
          <cell r="AD412">
            <v>78000</v>
          </cell>
        </row>
        <row r="413">
          <cell r="W413" t="str">
            <v>QACAP01</v>
          </cell>
          <cell r="AD413">
            <v>78000</v>
          </cell>
        </row>
        <row r="414">
          <cell r="W414" t="str">
            <v>QACAP01</v>
          </cell>
          <cell r="AD414">
            <v>78000</v>
          </cell>
        </row>
        <row r="415">
          <cell r="W415" t="str">
            <v>QACAP01</v>
          </cell>
          <cell r="AD415">
            <v>78000</v>
          </cell>
        </row>
        <row r="416">
          <cell r="W416" t="str">
            <v>QACAP01</v>
          </cell>
          <cell r="AD416">
            <v>78000</v>
          </cell>
        </row>
        <row r="417">
          <cell r="W417" t="str">
            <v>QACAP01</v>
          </cell>
          <cell r="AD417">
            <v>78000</v>
          </cell>
        </row>
        <row r="418">
          <cell r="W418" t="str">
            <v>QACAP01</v>
          </cell>
          <cell r="AD418">
            <v>78000</v>
          </cell>
        </row>
        <row r="419">
          <cell r="W419" t="str">
            <v>QACAP01</v>
          </cell>
          <cell r="AD419">
            <v>78000</v>
          </cell>
        </row>
        <row r="420">
          <cell r="W420" t="str">
            <v>QACAP01</v>
          </cell>
          <cell r="AD420">
            <v>78000</v>
          </cell>
        </row>
        <row r="421">
          <cell r="W421" t="str">
            <v>QACAP01</v>
          </cell>
          <cell r="AD421">
            <v>78000</v>
          </cell>
        </row>
        <row r="422">
          <cell r="W422" t="str">
            <v>QACAP01</v>
          </cell>
          <cell r="AD422">
            <v>78500</v>
          </cell>
        </row>
        <row r="423">
          <cell r="W423" t="str">
            <v>QACAP01</v>
          </cell>
          <cell r="AD423">
            <v>78500</v>
          </cell>
        </row>
        <row r="424">
          <cell r="W424" t="str">
            <v>QACAP01</v>
          </cell>
          <cell r="AD424">
            <v>78500</v>
          </cell>
        </row>
        <row r="425">
          <cell r="W425" t="str">
            <v>QACAP01</v>
          </cell>
          <cell r="AD425">
            <v>82500</v>
          </cell>
        </row>
        <row r="426">
          <cell r="W426" t="str">
            <v>QACCO02</v>
          </cell>
          <cell r="AD426">
            <v>72500</v>
          </cell>
        </row>
        <row r="427">
          <cell r="W427" t="str">
            <v>QACCO02</v>
          </cell>
          <cell r="AD427">
            <v>72500</v>
          </cell>
        </row>
        <row r="428">
          <cell r="W428" t="str">
            <v>QACCO02</v>
          </cell>
          <cell r="AD428">
            <v>72500</v>
          </cell>
        </row>
        <row r="429">
          <cell r="W429" t="str">
            <v>QACCO02</v>
          </cell>
          <cell r="AD429">
            <v>72500</v>
          </cell>
        </row>
        <row r="430">
          <cell r="W430" t="str">
            <v>QACCO02</v>
          </cell>
          <cell r="AD430">
            <v>72500</v>
          </cell>
        </row>
        <row r="431">
          <cell r="W431" t="str">
            <v>AACCO02</v>
          </cell>
          <cell r="AD431">
            <v>72500</v>
          </cell>
        </row>
        <row r="432">
          <cell r="W432" t="str">
            <v>AACCO02</v>
          </cell>
          <cell r="AD432">
            <v>72500</v>
          </cell>
        </row>
        <row r="433">
          <cell r="W433" t="str">
            <v>QACCO02</v>
          </cell>
          <cell r="AD433">
            <v>72500</v>
          </cell>
        </row>
        <row r="434">
          <cell r="W434" t="str">
            <v>QACCO02</v>
          </cell>
          <cell r="AD434">
            <v>72500</v>
          </cell>
        </row>
        <row r="435">
          <cell r="W435" t="str">
            <v>QACCO01</v>
          </cell>
          <cell r="AD435">
            <v>40000</v>
          </cell>
        </row>
        <row r="436">
          <cell r="W436" t="str">
            <v>QACEO01</v>
          </cell>
          <cell r="AD436">
            <v>20000</v>
          </cell>
        </row>
        <row r="437">
          <cell r="W437" t="str">
            <v>QACEO01</v>
          </cell>
          <cell r="AD437">
            <v>20000</v>
          </cell>
        </row>
        <row r="438">
          <cell r="W438" t="str">
            <v>QACEO01</v>
          </cell>
          <cell r="AD438">
            <v>20000</v>
          </cell>
        </row>
        <row r="439">
          <cell r="W439" t="str">
            <v>QACEO01</v>
          </cell>
          <cell r="AD439">
            <v>20000</v>
          </cell>
        </row>
        <row r="440">
          <cell r="W440" t="str">
            <v>QACEO01</v>
          </cell>
          <cell r="AD440">
            <v>20000</v>
          </cell>
        </row>
        <row r="441">
          <cell r="W441" t="str">
            <v>QACEO01</v>
          </cell>
          <cell r="AD441">
            <v>20000</v>
          </cell>
        </row>
        <row r="442">
          <cell r="W442" t="str">
            <v>QACEO01</v>
          </cell>
          <cell r="AD442">
            <v>20000</v>
          </cell>
        </row>
        <row r="443">
          <cell r="W443" t="str">
            <v>QACEO01</v>
          </cell>
          <cell r="AD443">
            <v>20000</v>
          </cell>
        </row>
        <row r="444">
          <cell r="W444" t="str">
            <v>QACEO02</v>
          </cell>
          <cell r="AD444">
            <v>80000</v>
          </cell>
        </row>
        <row r="445">
          <cell r="W445" t="str">
            <v>QACEO02</v>
          </cell>
          <cell r="AD445">
            <v>80000</v>
          </cell>
        </row>
        <row r="446">
          <cell r="W446" t="str">
            <v>QACEO02</v>
          </cell>
          <cell r="AD446">
            <v>80000</v>
          </cell>
        </row>
        <row r="447">
          <cell r="W447" t="str">
            <v>QACEO02</v>
          </cell>
          <cell r="AD447">
            <v>80000</v>
          </cell>
        </row>
        <row r="448">
          <cell r="W448" t="str">
            <v>QACEO02</v>
          </cell>
          <cell r="AD448">
            <v>80000</v>
          </cell>
        </row>
        <row r="449">
          <cell r="W449" t="str">
            <v>QACEO02</v>
          </cell>
          <cell r="AD449">
            <v>80000</v>
          </cell>
        </row>
        <row r="450">
          <cell r="W450" t="str">
            <v>QACEO02</v>
          </cell>
          <cell r="AD450">
            <v>80000</v>
          </cell>
        </row>
        <row r="451">
          <cell r="W451" t="str">
            <v>QACEO02</v>
          </cell>
          <cell r="AD451">
            <v>80000</v>
          </cell>
        </row>
        <row r="452">
          <cell r="W452" t="str">
            <v>QACEO02</v>
          </cell>
          <cell r="AD452">
            <v>80000</v>
          </cell>
        </row>
        <row r="453">
          <cell r="W453" t="str">
            <v>QACEO02</v>
          </cell>
          <cell r="AD453">
            <v>85000</v>
          </cell>
        </row>
        <row r="454">
          <cell r="W454" t="str">
            <v>QACEO02</v>
          </cell>
          <cell r="AD454">
            <v>85000</v>
          </cell>
        </row>
        <row r="455">
          <cell r="W455" t="str">
            <v>QACTA01</v>
          </cell>
          <cell r="AD455">
            <v>29500</v>
          </cell>
        </row>
        <row r="456">
          <cell r="W456" t="str">
            <v>QACTA01</v>
          </cell>
          <cell r="AD456">
            <v>29500</v>
          </cell>
        </row>
        <row r="457">
          <cell r="W457" t="str">
            <v>QACTA01</v>
          </cell>
          <cell r="AD457">
            <v>29750</v>
          </cell>
        </row>
        <row r="458">
          <cell r="W458" t="str">
            <v>QACTI01</v>
          </cell>
          <cell r="AD458">
            <v>14750</v>
          </cell>
        </row>
        <row r="459">
          <cell r="W459" t="str">
            <v>QACTI02</v>
          </cell>
          <cell r="AD459">
            <v>8375</v>
          </cell>
        </row>
        <row r="460">
          <cell r="W460" t="str">
            <v>QADOC01</v>
          </cell>
          <cell r="AD460">
            <v>115000</v>
          </cell>
        </row>
        <row r="461">
          <cell r="W461" t="str">
            <v>AADOC01</v>
          </cell>
          <cell r="AD461">
            <v>115000</v>
          </cell>
        </row>
        <row r="462">
          <cell r="W462" t="str">
            <v>QADOC01</v>
          </cell>
          <cell r="AD462">
            <v>120000</v>
          </cell>
        </row>
        <row r="463">
          <cell r="W463" t="str">
            <v>QADOC03</v>
          </cell>
          <cell r="AD463">
            <v>250000</v>
          </cell>
        </row>
        <row r="464">
          <cell r="W464" t="str">
            <v>QADOC03</v>
          </cell>
          <cell r="AD464">
            <v>250000</v>
          </cell>
        </row>
        <row r="465">
          <cell r="W465" t="str">
            <v>QADOC03</v>
          </cell>
          <cell r="AD465">
            <v>250000</v>
          </cell>
        </row>
        <row r="466">
          <cell r="W466" t="str">
            <v>QADOC03</v>
          </cell>
          <cell r="AD466">
            <v>250000</v>
          </cell>
        </row>
        <row r="467">
          <cell r="W467" t="str">
            <v>QADOC03</v>
          </cell>
          <cell r="AD467">
            <v>255000</v>
          </cell>
        </row>
        <row r="468">
          <cell r="W468" t="str">
            <v>QAFON01</v>
          </cell>
          <cell r="AD468">
            <v>130000</v>
          </cell>
        </row>
        <row r="469">
          <cell r="W469" t="str">
            <v>QAGIL01</v>
          </cell>
          <cell r="AD469">
            <v>29500</v>
          </cell>
        </row>
        <row r="470">
          <cell r="W470" t="str">
            <v>QAGIL01</v>
          </cell>
          <cell r="AD470">
            <v>29500</v>
          </cell>
        </row>
        <row r="471">
          <cell r="W471" t="str">
            <v>QAGIL01</v>
          </cell>
          <cell r="AD471">
            <v>29500</v>
          </cell>
        </row>
        <row r="472">
          <cell r="W472" t="str">
            <v>QAGIL01</v>
          </cell>
          <cell r="AD472">
            <v>30000</v>
          </cell>
        </row>
        <row r="473">
          <cell r="W473" t="str">
            <v>QAGIL01</v>
          </cell>
          <cell r="AD473">
            <v>30000</v>
          </cell>
        </row>
        <row r="474">
          <cell r="W474" t="str">
            <v>QAGIL01</v>
          </cell>
          <cell r="AD474">
            <v>30500</v>
          </cell>
        </row>
        <row r="475">
          <cell r="W475" t="str">
            <v>QAGIL01</v>
          </cell>
          <cell r="AD475">
            <v>30500</v>
          </cell>
        </row>
        <row r="476">
          <cell r="W476" t="str">
            <v>QAGIL01</v>
          </cell>
          <cell r="AD476">
            <v>30500</v>
          </cell>
        </row>
        <row r="477">
          <cell r="W477" t="str">
            <v>QAGIL01</v>
          </cell>
          <cell r="AD477">
            <v>30500</v>
          </cell>
        </row>
        <row r="478">
          <cell r="W478" t="str">
            <v>QAGIL01</v>
          </cell>
          <cell r="AD478">
            <v>30500</v>
          </cell>
        </row>
        <row r="479">
          <cell r="W479" t="str">
            <v>QAGIL01</v>
          </cell>
          <cell r="AD479">
            <v>30500</v>
          </cell>
        </row>
        <row r="480">
          <cell r="W480" t="str">
            <v>QAGIL01</v>
          </cell>
          <cell r="AD480">
            <v>30500</v>
          </cell>
        </row>
        <row r="481">
          <cell r="W481" t="str">
            <v>QAGIL01</v>
          </cell>
          <cell r="AD481">
            <v>30500</v>
          </cell>
        </row>
        <row r="482">
          <cell r="W482" t="str">
            <v>QAGIL01</v>
          </cell>
          <cell r="AD482">
            <v>30500</v>
          </cell>
        </row>
        <row r="483">
          <cell r="W483" t="str">
            <v>QAGIL01</v>
          </cell>
          <cell r="AD483">
            <v>30500</v>
          </cell>
        </row>
        <row r="484">
          <cell r="W484" t="str">
            <v>QAGIL01</v>
          </cell>
          <cell r="AD484">
            <v>30500</v>
          </cell>
        </row>
        <row r="485">
          <cell r="W485" t="str">
            <v>QAGIL01</v>
          </cell>
          <cell r="AD485">
            <v>30750</v>
          </cell>
        </row>
        <row r="486">
          <cell r="W486" t="str">
            <v>QAGIL01</v>
          </cell>
          <cell r="AD486">
            <v>31000</v>
          </cell>
        </row>
        <row r="487">
          <cell r="W487" t="str">
            <v>QAGIL01</v>
          </cell>
          <cell r="AD487">
            <v>31000</v>
          </cell>
        </row>
        <row r="488">
          <cell r="W488" t="str">
            <v>QAGIL01</v>
          </cell>
          <cell r="AD488">
            <v>31000</v>
          </cell>
        </row>
        <row r="489">
          <cell r="W489" t="str">
            <v>QAGIL01</v>
          </cell>
          <cell r="AD489">
            <v>31000</v>
          </cell>
        </row>
        <row r="490">
          <cell r="W490" t="str">
            <v>QAGIL01</v>
          </cell>
          <cell r="AD490">
            <v>31000</v>
          </cell>
        </row>
        <row r="491">
          <cell r="W491" t="str">
            <v>QAGIL01</v>
          </cell>
          <cell r="AD491">
            <v>31000</v>
          </cell>
        </row>
        <row r="492">
          <cell r="W492" t="str">
            <v>QAGIL01</v>
          </cell>
          <cell r="AD492">
            <v>31000</v>
          </cell>
        </row>
        <row r="493">
          <cell r="W493" t="str">
            <v>QAGIL01</v>
          </cell>
          <cell r="AD493">
            <v>31000</v>
          </cell>
        </row>
        <row r="494">
          <cell r="W494" t="str">
            <v>QAGIL01</v>
          </cell>
          <cell r="AD494">
            <v>31000</v>
          </cell>
        </row>
        <row r="495">
          <cell r="W495" t="str">
            <v>QAGIL01</v>
          </cell>
          <cell r="AD495">
            <v>31000</v>
          </cell>
        </row>
        <row r="496">
          <cell r="W496" t="str">
            <v>QAGIL01</v>
          </cell>
          <cell r="AD496">
            <v>31000</v>
          </cell>
        </row>
        <row r="497">
          <cell r="W497" t="str">
            <v>QAGIL01</v>
          </cell>
          <cell r="AD497">
            <v>31000</v>
          </cell>
        </row>
        <row r="498">
          <cell r="W498" t="str">
            <v>QAGIL01</v>
          </cell>
          <cell r="AD498">
            <v>31000</v>
          </cell>
        </row>
        <row r="499">
          <cell r="W499" t="str">
            <v>QAGIL01</v>
          </cell>
          <cell r="AD499">
            <v>31000</v>
          </cell>
        </row>
        <row r="500">
          <cell r="W500" t="str">
            <v>QAGIL01</v>
          </cell>
          <cell r="AD500">
            <v>31500</v>
          </cell>
        </row>
        <row r="501">
          <cell r="W501" t="str">
            <v>QAGIL01</v>
          </cell>
          <cell r="AD501">
            <v>31500</v>
          </cell>
        </row>
        <row r="502">
          <cell r="W502" t="str">
            <v>QAGIL01</v>
          </cell>
          <cell r="AD502">
            <v>31500</v>
          </cell>
        </row>
        <row r="503">
          <cell r="W503" t="str">
            <v>QAGIL01</v>
          </cell>
          <cell r="AD503">
            <v>32000</v>
          </cell>
        </row>
        <row r="504">
          <cell r="W504" t="str">
            <v>QAGIL01</v>
          </cell>
          <cell r="AD504">
            <v>32000</v>
          </cell>
        </row>
        <row r="505">
          <cell r="W505" t="str">
            <v>QAGIL01</v>
          </cell>
          <cell r="AD505">
            <v>32000</v>
          </cell>
        </row>
        <row r="506">
          <cell r="W506" t="str">
            <v>QAGIL01</v>
          </cell>
          <cell r="AD506">
            <v>32000</v>
          </cell>
        </row>
        <row r="507">
          <cell r="W507" t="str">
            <v>QAGIL01</v>
          </cell>
          <cell r="AD507">
            <v>32000</v>
          </cell>
        </row>
        <row r="508">
          <cell r="W508" t="str">
            <v>QAGIL01</v>
          </cell>
          <cell r="AD508">
            <v>32000</v>
          </cell>
        </row>
        <row r="509">
          <cell r="W509" t="str">
            <v>QAGIL01</v>
          </cell>
          <cell r="AD509">
            <v>32000</v>
          </cell>
        </row>
        <row r="510">
          <cell r="W510" t="str">
            <v>QAGIL01</v>
          </cell>
          <cell r="AD510">
            <v>32500</v>
          </cell>
        </row>
        <row r="511">
          <cell r="W511" t="str">
            <v>QAGIL01</v>
          </cell>
          <cell r="AD511">
            <v>32500</v>
          </cell>
        </row>
        <row r="512">
          <cell r="W512" t="str">
            <v>QAGIL01</v>
          </cell>
          <cell r="AD512">
            <v>33000</v>
          </cell>
        </row>
        <row r="513">
          <cell r="W513" t="str">
            <v>QAGIL01</v>
          </cell>
          <cell r="AD513">
            <v>33000</v>
          </cell>
        </row>
        <row r="514">
          <cell r="W514" t="str">
            <v>QAGIL01</v>
          </cell>
          <cell r="AD514">
            <v>33000</v>
          </cell>
        </row>
        <row r="515">
          <cell r="W515" t="str">
            <v>QAGIL01</v>
          </cell>
          <cell r="AD515">
            <v>33000</v>
          </cell>
        </row>
        <row r="516">
          <cell r="W516" t="str">
            <v>QAGIL01</v>
          </cell>
          <cell r="AD516">
            <v>33000</v>
          </cell>
        </row>
        <row r="517">
          <cell r="W517" t="str">
            <v>QAGIL01</v>
          </cell>
          <cell r="AD517">
            <v>33000</v>
          </cell>
        </row>
        <row r="518">
          <cell r="W518" t="str">
            <v>QAGIL01</v>
          </cell>
          <cell r="AD518">
            <v>33000</v>
          </cell>
        </row>
        <row r="519">
          <cell r="W519" t="str">
            <v>QAGIL01</v>
          </cell>
          <cell r="AD519">
            <v>33000</v>
          </cell>
        </row>
        <row r="520">
          <cell r="W520" t="str">
            <v>QAGIL01</v>
          </cell>
          <cell r="AD520">
            <v>33000</v>
          </cell>
        </row>
        <row r="521">
          <cell r="W521" t="str">
            <v>QAGIL01</v>
          </cell>
          <cell r="AD521">
            <v>33000</v>
          </cell>
        </row>
        <row r="522">
          <cell r="W522" t="str">
            <v>QAGIL01</v>
          </cell>
          <cell r="AD522">
            <v>33000</v>
          </cell>
        </row>
        <row r="523">
          <cell r="W523" t="str">
            <v>QAGIL01</v>
          </cell>
          <cell r="AD523">
            <v>33000</v>
          </cell>
        </row>
        <row r="524">
          <cell r="W524" t="str">
            <v>QAGIL01</v>
          </cell>
          <cell r="AD524">
            <v>33000</v>
          </cell>
        </row>
        <row r="525">
          <cell r="W525" t="str">
            <v>QAGIL01</v>
          </cell>
          <cell r="AD525">
            <v>33000</v>
          </cell>
        </row>
        <row r="526">
          <cell r="W526" t="str">
            <v>QAGIL01</v>
          </cell>
          <cell r="AD526">
            <v>33000</v>
          </cell>
        </row>
        <row r="527">
          <cell r="W527" t="str">
            <v>QAGIL01</v>
          </cell>
          <cell r="AD527">
            <v>33000</v>
          </cell>
        </row>
        <row r="528">
          <cell r="W528" t="str">
            <v>QAGIL01</v>
          </cell>
          <cell r="AD528">
            <v>33000</v>
          </cell>
        </row>
        <row r="529">
          <cell r="W529" t="str">
            <v>QAGIL01</v>
          </cell>
          <cell r="AD529">
            <v>33000</v>
          </cell>
        </row>
        <row r="530">
          <cell r="W530" t="str">
            <v>QAGIL01</v>
          </cell>
          <cell r="AD530">
            <v>33000</v>
          </cell>
        </row>
        <row r="531">
          <cell r="W531" t="str">
            <v>QAGIL01</v>
          </cell>
          <cell r="AD531">
            <v>33000</v>
          </cell>
        </row>
        <row r="532">
          <cell r="W532" t="str">
            <v>QAGIL01</v>
          </cell>
          <cell r="AD532">
            <v>33000</v>
          </cell>
        </row>
        <row r="533">
          <cell r="W533" t="str">
            <v>QAGIL01</v>
          </cell>
          <cell r="AD533">
            <v>33000</v>
          </cell>
        </row>
        <row r="534">
          <cell r="W534" t="str">
            <v>QAGIL01</v>
          </cell>
          <cell r="AD534">
            <v>33000</v>
          </cell>
        </row>
        <row r="535">
          <cell r="W535" t="str">
            <v>QAGIL01</v>
          </cell>
          <cell r="AD535">
            <v>35000</v>
          </cell>
        </row>
        <row r="536">
          <cell r="W536" t="str">
            <v>QAGIL01</v>
          </cell>
          <cell r="AD536">
            <v>35000</v>
          </cell>
        </row>
        <row r="537">
          <cell r="W537" t="str">
            <v>QAGIL01</v>
          </cell>
          <cell r="AD537">
            <v>35000</v>
          </cell>
        </row>
        <row r="538">
          <cell r="W538" t="str">
            <v>QAGIL01</v>
          </cell>
          <cell r="AD538">
            <v>35000</v>
          </cell>
        </row>
        <row r="539">
          <cell r="W539" t="str">
            <v>AAGIL01</v>
          </cell>
          <cell r="AD539">
            <v>36000</v>
          </cell>
        </row>
        <row r="540">
          <cell r="W540" t="str">
            <v>QAGIL02</v>
          </cell>
          <cell r="AD540">
            <v>68000</v>
          </cell>
        </row>
        <row r="541">
          <cell r="W541" t="str">
            <v>QAGIL02</v>
          </cell>
          <cell r="AD541">
            <v>68500</v>
          </cell>
        </row>
        <row r="542">
          <cell r="W542" t="str">
            <v>QAGIL02</v>
          </cell>
          <cell r="AD542">
            <v>70000</v>
          </cell>
        </row>
        <row r="543">
          <cell r="W543" t="str">
            <v>QAGIL02</v>
          </cell>
          <cell r="AD543">
            <v>70000</v>
          </cell>
        </row>
        <row r="544">
          <cell r="W544" t="str">
            <v>QAGIL02</v>
          </cell>
          <cell r="AD544">
            <v>70000</v>
          </cell>
        </row>
        <row r="545">
          <cell r="W545" t="str">
            <v>QAGIL02</v>
          </cell>
          <cell r="AD545">
            <v>70000</v>
          </cell>
        </row>
        <row r="546">
          <cell r="W546" t="str">
            <v>QAGIL02</v>
          </cell>
          <cell r="AD546">
            <v>70500</v>
          </cell>
        </row>
        <row r="547">
          <cell r="W547" t="str">
            <v>QAGIL02</v>
          </cell>
          <cell r="AD547">
            <v>70500</v>
          </cell>
        </row>
        <row r="548">
          <cell r="W548" t="str">
            <v>QAGIL02</v>
          </cell>
          <cell r="AD548">
            <v>71000</v>
          </cell>
        </row>
        <row r="549">
          <cell r="W549" t="str">
            <v>QAGIL02</v>
          </cell>
          <cell r="AD549">
            <v>71000</v>
          </cell>
        </row>
        <row r="550">
          <cell r="W550" t="str">
            <v>QAGIL02</v>
          </cell>
          <cell r="AD550">
            <v>71000</v>
          </cell>
        </row>
        <row r="551">
          <cell r="W551" t="str">
            <v>QAGIL02</v>
          </cell>
          <cell r="AD551">
            <v>71000</v>
          </cell>
        </row>
        <row r="552">
          <cell r="W552" t="str">
            <v>QAGIL02</v>
          </cell>
          <cell r="AD552">
            <v>71000</v>
          </cell>
        </row>
        <row r="553">
          <cell r="W553" t="str">
            <v>QAGIL02</v>
          </cell>
          <cell r="AD553">
            <v>71000</v>
          </cell>
        </row>
        <row r="554">
          <cell r="W554" t="str">
            <v>QAGIL02</v>
          </cell>
          <cell r="AD554">
            <v>71000</v>
          </cell>
        </row>
        <row r="555">
          <cell r="W555" t="str">
            <v>QAGIL02</v>
          </cell>
          <cell r="AD555">
            <v>71000</v>
          </cell>
        </row>
        <row r="556">
          <cell r="W556" t="str">
            <v>QAGIL02</v>
          </cell>
          <cell r="AD556">
            <v>71000</v>
          </cell>
        </row>
        <row r="557">
          <cell r="W557" t="str">
            <v>QAGIL02</v>
          </cell>
          <cell r="AD557">
            <v>71000</v>
          </cell>
        </row>
        <row r="558">
          <cell r="W558" t="str">
            <v>QAGIL02</v>
          </cell>
          <cell r="AD558">
            <v>71000</v>
          </cell>
        </row>
        <row r="559">
          <cell r="W559" t="str">
            <v>QAGIL02</v>
          </cell>
          <cell r="AD559">
            <v>71000</v>
          </cell>
        </row>
        <row r="560">
          <cell r="W560" t="str">
            <v>QAGIL02</v>
          </cell>
          <cell r="AD560">
            <v>71000</v>
          </cell>
        </row>
        <row r="561">
          <cell r="W561" t="str">
            <v>QAGIL02</v>
          </cell>
          <cell r="AD561">
            <v>71000</v>
          </cell>
        </row>
        <row r="562">
          <cell r="W562" t="str">
            <v>QAGIL02</v>
          </cell>
          <cell r="AD562">
            <v>71000</v>
          </cell>
        </row>
        <row r="563">
          <cell r="W563" t="str">
            <v>QAGIL02</v>
          </cell>
          <cell r="AD563">
            <v>71500</v>
          </cell>
        </row>
        <row r="564">
          <cell r="W564" t="str">
            <v>QAGIL02</v>
          </cell>
          <cell r="AD564">
            <v>71500</v>
          </cell>
        </row>
        <row r="565">
          <cell r="W565" t="str">
            <v>QAGIL02</v>
          </cell>
          <cell r="AD565">
            <v>72000</v>
          </cell>
        </row>
        <row r="566">
          <cell r="W566" t="str">
            <v>QAGIL02</v>
          </cell>
          <cell r="AD566">
            <v>72000</v>
          </cell>
        </row>
        <row r="567">
          <cell r="W567" t="str">
            <v>QAGIL02</v>
          </cell>
          <cell r="AD567">
            <v>72000</v>
          </cell>
        </row>
        <row r="568">
          <cell r="W568" t="str">
            <v>QAGIL02</v>
          </cell>
          <cell r="AD568">
            <v>72000</v>
          </cell>
        </row>
        <row r="569">
          <cell r="W569" t="str">
            <v>QAGIL02</v>
          </cell>
          <cell r="AD569">
            <v>73000</v>
          </cell>
        </row>
        <row r="570">
          <cell r="W570" t="str">
            <v>QAGIL02</v>
          </cell>
          <cell r="AD570">
            <v>73000</v>
          </cell>
        </row>
        <row r="571">
          <cell r="W571" t="str">
            <v>QAGIL02</v>
          </cell>
          <cell r="AD571">
            <v>73000</v>
          </cell>
        </row>
        <row r="572">
          <cell r="W572" t="str">
            <v>QAGIL02</v>
          </cell>
          <cell r="AD572">
            <v>73000</v>
          </cell>
        </row>
        <row r="573">
          <cell r="W573" t="str">
            <v>QAGIL02</v>
          </cell>
          <cell r="AD573">
            <v>73000</v>
          </cell>
        </row>
        <row r="574">
          <cell r="W574" t="str">
            <v>QAGIL02</v>
          </cell>
          <cell r="AD574">
            <v>73000</v>
          </cell>
        </row>
        <row r="575">
          <cell r="W575" t="str">
            <v>QAGIL02</v>
          </cell>
          <cell r="AD575">
            <v>73000</v>
          </cell>
        </row>
        <row r="576">
          <cell r="W576" t="str">
            <v>QAGIL02</v>
          </cell>
          <cell r="AD576">
            <v>73000</v>
          </cell>
        </row>
        <row r="577">
          <cell r="W577" t="str">
            <v>QAGIL02</v>
          </cell>
          <cell r="AD577">
            <v>73000</v>
          </cell>
        </row>
        <row r="578">
          <cell r="W578" t="str">
            <v>QAGIL02</v>
          </cell>
          <cell r="AD578">
            <v>73000</v>
          </cell>
        </row>
        <row r="579">
          <cell r="W579" t="str">
            <v>QAGIL02</v>
          </cell>
          <cell r="AD579">
            <v>73000</v>
          </cell>
        </row>
        <row r="580">
          <cell r="W580" t="str">
            <v>QAGIL02</v>
          </cell>
          <cell r="AD580">
            <v>73000</v>
          </cell>
        </row>
        <row r="581">
          <cell r="W581" t="str">
            <v>QAGIL02</v>
          </cell>
          <cell r="AD581">
            <v>73000</v>
          </cell>
        </row>
        <row r="582">
          <cell r="W582" t="str">
            <v>QAGIL02</v>
          </cell>
          <cell r="AD582">
            <v>73000</v>
          </cell>
        </row>
        <row r="583">
          <cell r="W583" t="str">
            <v>QAGIL02</v>
          </cell>
          <cell r="AD583">
            <v>73000</v>
          </cell>
        </row>
        <row r="584">
          <cell r="W584" t="str">
            <v>QAGIL02</v>
          </cell>
          <cell r="AD584">
            <v>73000</v>
          </cell>
        </row>
        <row r="585">
          <cell r="W585" t="str">
            <v>QAGIL02</v>
          </cell>
          <cell r="AD585">
            <v>73000</v>
          </cell>
        </row>
        <row r="586">
          <cell r="W586" t="str">
            <v>QAGIL02</v>
          </cell>
          <cell r="AD586">
            <v>73000</v>
          </cell>
        </row>
        <row r="587">
          <cell r="W587" t="str">
            <v>QAGIL02</v>
          </cell>
          <cell r="AD587">
            <v>73000</v>
          </cell>
        </row>
        <row r="588">
          <cell r="W588" t="str">
            <v>QAGIL02</v>
          </cell>
          <cell r="AD588">
            <v>73000</v>
          </cell>
        </row>
        <row r="589">
          <cell r="W589" t="str">
            <v>QAGIL02</v>
          </cell>
          <cell r="AD589">
            <v>73000</v>
          </cell>
        </row>
        <row r="590">
          <cell r="W590" t="str">
            <v>QAGIL02</v>
          </cell>
          <cell r="AD590">
            <v>73000</v>
          </cell>
        </row>
        <row r="591">
          <cell r="W591" t="str">
            <v>QAGIL02</v>
          </cell>
          <cell r="AD591">
            <v>73000</v>
          </cell>
        </row>
        <row r="592">
          <cell r="W592" t="str">
            <v>QAGIL02</v>
          </cell>
          <cell r="AD592">
            <v>73000</v>
          </cell>
        </row>
        <row r="593">
          <cell r="W593" t="str">
            <v>QAGIL02</v>
          </cell>
          <cell r="AD593">
            <v>73000</v>
          </cell>
        </row>
        <row r="594">
          <cell r="W594" t="str">
            <v>QAGIL02</v>
          </cell>
          <cell r="AD594">
            <v>73000</v>
          </cell>
        </row>
        <row r="595">
          <cell r="W595" t="str">
            <v>QAGIL02</v>
          </cell>
          <cell r="AD595">
            <v>73000</v>
          </cell>
        </row>
        <row r="596">
          <cell r="W596" t="str">
            <v>QAGIL02</v>
          </cell>
          <cell r="AD596">
            <v>73000</v>
          </cell>
        </row>
        <row r="597">
          <cell r="W597" t="str">
            <v>QAGIL02</v>
          </cell>
          <cell r="AD597">
            <v>73000</v>
          </cell>
        </row>
        <row r="598">
          <cell r="W598" t="str">
            <v>QAGIL02</v>
          </cell>
          <cell r="AD598">
            <v>73000</v>
          </cell>
        </row>
        <row r="599">
          <cell r="W599" t="str">
            <v>QAGIL02</v>
          </cell>
          <cell r="AD599">
            <v>73000</v>
          </cell>
        </row>
        <row r="600">
          <cell r="W600" t="str">
            <v>QAGIL02</v>
          </cell>
          <cell r="AD600">
            <v>73000</v>
          </cell>
        </row>
        <row r="601">
          <cell r="W601" t="str">
            <v>QAGIL02</v>
          </cell>
          <cell r="AD601">
            <v>73000</v>
          </cell>
        </row>
        <row r="602">
          <cell r="W602" t="str">
            <v>QAGIL02</v>
          </cell>
          <cell r="AD602">
            <v>75000</v>
          </cell>
        </row>
        <row r="603">
          <cell r="W603" t="str">
            <v>QAGRI06</v>
          </cell>
          <cell r="AD603">
            <v>80000</v>
          </cell>
        </row>
        <row r="604">
          <cell r="W604" t="str">
            <v>QAGRI06</v>
          </cell>
          <cell r="AD604">
            <v>80000</v>
          </cell>
        </row>
        <row r="605">
          <cell r="W605" t="str">
            <v>QAGRI06</v>
          </cell>
          <cell r="AD605">
            <v>80000</v>
          </cell>
        </row>
        <row r="606">
          <cell r="W606" t="str">
            <v>QAGRI02</v>
          </cell>
          <cell r="AD606">
            <v>78000</v>
          </cell>
        </row>
        <row r="607">
          <cell r="W607" t="str">
            <v>QAGRI03</v>
          </cell>
          <cell r="AD607">
            <v>137250</v>
          </cell>
        </row>
        <row r="608">
          <cell r="W608" t="str">
            <v>QAGRI03</v>
          </cell>
          <cell r="AD608">
            <v>140000</v>
          </cell>
        </row>
        <row r="609">
          <cell r="W609" t="str">
            <v>QAGRI03</v>
          </cell>
          <cell r="AD609">
            <v>143000</v>
          </cell>
        </row>
        <row r="610">
          <cell r="W610" t="str">
            <v>QAGRI03</v>
          </cell>
          <cell r="AD610">
            <v>143500</v>
          </cell>
        </row>
        <row r="611">
          <cell r="W611" t="str">
            <v>QAGRI03</v>
          </cell>
          <cell r="AD611">
            <v>143500</v>
          </cell>
        </row>
        <row r="612">
          <cell r="W612" t="str">
            <v>QAGRI03</v>
          </cell>
          <cell r="AD612">
            <v>146000</v>
          </cell>
        </row>
        <row r="613">
          <cell r="W613" t="str">
            <v>QAGRI03</v>
          </cell>
          <cell r="AD613">
            <v>148500</v>
          </cell>
        </row>
        <row r="614">
          <cell r="W614" t="str">
            <v>QAGRI04</v>
          </cell>
          <cell r="AD614">
            <v>81500</v>
          </cell>
        </row>
        <row r="615">
          <cell r="W615" t="str">
            <v>QAGRI04</v>
          </cell>
          <cell r="AD615">
            <v>81500</v>
          </cell>
        </row>
        <row r="616">
          <cell r="W616" t="str">
            <v>QAGRI04</v>
          </cell>
          <cell r="AD616">
            <v>81500</v>
          </cell>
        </row>
        <row r="617">
          <cell r="W617" t="str">
            <v>QAGRI04</v>
          </cell>
          <cell r="AD617">
            <v>81500</v>
          </cell>
        </row>
        <row r="618">
          <cell r="W618" t="str">
            <v>QAGRI04</v>
          </cell>
          <cell r="AD618">
            <v>81500</v>
          </cell>
        </row>
        <row r="619">
          <cell r="W619" t="str">
            <v>QAGRI04</v>
          </cell>
          <cell r="AD619">
            <v>81500</v>
          </cell>
        </row>
        <row r="620">
          <cell r="W620" t="str">
            <v>QAGRI04</v>
          </cell>
          <cell r="AD620">
            <v>81500</v>
          </cell>
        </row>
        <row r="621">
          <cell r="W621" t="str">
            <v>QAGRI04</v>
          </cell>
          <cell r="AD621">
            <v>81500</v>
          </cell>
        </row>
        <row r="622">
          <cell r="W622" t="str">
            <v>QAGRI04</v>
          </cell>
          <cell r="AD622">
            <v>81500</v>
          </cell>
        </row>
        <row r="623">
          <cell r="W623" t="str">
            <v>QAGRI04</v>
          </cell>
          <cell r="AD623">
            <v>81500</v>
          </cell>
        </row>
        <row r="624">
          <cell r="W624" t="str">
            <v>QAGRI04</v>
          </cell>
          <cell r="AD624">
            <v>81500</v>
          </cell>
        </row>
        <row r="625">
          <cell r="W625" t="str">
            <v>QAGRI04</v>
          </cell>
          <cell r="AD625">
            <v>81500</v>
          </cell>
        </row>
        <row r="626">
          <cell r="W626" t="str">
            <v>QAGRI04</v>
          </cell>
          <cell r="AD626">
            <v>81500</v>
          </cell>
        </row>
        <row r="627">
          <cell r="W627" t="str">
            <v>QAGRI04</v>
          </cell>
          <cell r="AD627">
            <v>81500</v>
          </cell>
        </row>
        <row r="628">
          <cell r="W628" t="str">
            <v>QAGRI04</v>
          </cell>
          <cell r="AD628">
            <v>82000</v>
          </cell>
        </row>
        <row r="629">
          <cell r="W629" t="str">
            <v>QAGRI04</v>
          </cell>
          <cell r="AD629">
            <v>82000</v>
          </cell>
        </row>
        <row r="630">
          <cell r="W630" t="str">
            <v>QAGRI04</v>
          </cell>
          <cell r="AD630">
            <v>82500</v>
          </cell>
        </row>
        <row r="631">
          <cell r="W631" t="str">
            <v>QAGRI04</v>
          </cell>
          <cell r="AD631">
            <v>82500</v>
          </cell>
        </row>
        <row r="632">
          <cell r="W632" t="str">
            <v>QAGRI04</v>
          </cell>
          <cell r="AD632">
            <v>82500</v>
          </cell>
        </row>
        <row r="633">
          <cell r="W633" t="str">
            <v>QAGRI04</v>
          </cell>
          <cell r="AD633">
            <v>82500</v>
          </cell>
        </row>
        <row r="634">
          <cell r="W634" t="str">
            <v>QAGRI04</v>
          </cell>
          <cell r="AD634">
            <v>82500</v>
          </cell>
        </row>
        <row r="635">
          <cell r="W635" t="str">
            <v>QAGRI04</v>
          </cell>
          <cell r="AD635">
            <v>82500</v>
          </cell>
        </row>
        <row r="636">
          <cell r="W636" t="str">
            <v>QAGRI04</v>
          </cell>
          <cell r="AD636">
            <v>83000</v>
          </cell>
        </row>
        <row r="637">
          <cell r="W637" t="str">
            <v>QAGRI04</v>
          </cell>
          <cell r="AD637">
            <v>83000</v>
          </cell>
        </row>
        <row r="638">
          <cell r="W638" t="str">
            <v>QAGRI04</v>
          </cell>
          <cell r="AD638">
            <v>83000</v>
          </cell>
        </row>
        <row r="639">
          <cell r="W639" t="str">
            <v>QAGRI04</v>
          </cell>
          <cell r="AD639">
            <v>83000</v>
          </cell>
        </row>
        <row r="640">
          <cell r="W640" t="str">
            <v>QAGRI04</v>
          </cell>
          <cell r="AD640">
            <v>83000</v>
          </cell>
        </row>
        <row r="641">
          <cell r="W641" t="str">
            <v>QAGRI04</v>
          </cell>
          <cell r="AD641">
            <v>83000</v>
          </cell>
        </row>
        <row r="642">
          <cell r="W642" t="str">
            <v>QAGRI04</v>
          </cell>
          <cell r="AD642">
            <v>83000</v>
          </cell>
        </row>
        <row r="643">
          <cell r="W643" t="str">
            <v>QAGRI04</v>
          </cell>
          <cell r="AD643">
            <v>83000</v>
          </cell>
        </row>
        <row r="644">
          <cell r="W644" t="str">
            <v>QAGRI04</v>
          </cell>
          <cell r="AD644">
            <v>83000</v>
          </cell>
        </row>
        <row r="645">
          <cell r="W645" t="str">
            <v>QAGRI04</v>
          </cell>
          <cell r="AD645">
            <v>83000</v>
          </cell>
        </row>
        <row r="646">
          <cell r="W646" t="str">
            <v>QAGRI04</v>
          </cell>
          <cell r="AD646">
            <v>83000</v>
          </cell>
        </row>
        <row r="647">
          <cell r="W647" t="str">
            <v>QAGRI04</v>
          </cell>
          <cell r="AD647">
            <v>83000</v>
          </cell>
        </row>
        <row r="648">
          <cell r="W648" t="str">
            <v>QAGRI04</v>
          </cell>
          <cell r="AD648">
            <v>83000</v>
          </cell>
        </row>
        <row r="649">
          <cell r="W649" t="str">
            <v>QAGRI04</v>
          </cell>
          <cell r="AD649">
            <v>83000</v>
          </cell>
        </row>
        <row r="650">
          <cell r="W650" t="str">
            <v>QAGRI04</v>
          </cell>
          <cell r="AD650">
            <v>83000</v>
          </cell>
        </row>
        <row r="651">
          <cell r="W651" t="str">
            <v>QAGRI04</v>
          </cell>
          <cell r="AD651">
            <v>83000</v>
          </cell>
        </row>
        <row r="652">
          <cell r="W652" t="str">
            <v>QAGRI04</v>
          </cell>
          <cell r="AD652">
            <v>83000</v>
          </cell>
        </row>
        <row r="653">
          <cell r="W653" t="str">
            <v>QAGRI04</v>
          </cell>
          <cell r="AD653">
            <v>85000</v>
          </cell>
        </row>
        <row r="654">
          <cell r="W654" t="str">
            <v>QAGRI04</v>
          </cell>
          <cell r="AD654">
            <v>86000</v>
          </cell>
        </row>
        <row r="655">
          <cell r="W655" t="str">
            <v>QAGRI04</v>
          </cell>
          <cell r="AD655">
            <v>86000</v>
          </cell>
        </row>
        <row r="656">
          <cell r="W656" t="str">
            <v>QAGRI04</v>
          </cell>
          <cell r="AD656">
            <v>32500</v>
          </cell>
        </row>
        <row r="657">
          <cell r="W657" t="str">
            <v>QAGRO02</v>
          </cell>
          <cell r="AD657">
            <v>26000</v>
          </cell>
        </row>
        <row r="658">
          <cell r="W658" t="str">
            <v>QAGRO02</v>
          </cell>
          <cell r="AD658">
            <v>26000</v>
          </cell>
        </row>
        <row r="659">
          <cell r="W659" t="str">
            <v>QAGRO02</v>
          </cell>
          <cell r="AD659">
            <v>26000</v>
          </cell>
        </row>
        <row r="660">
          <cell r="W660" t="str">
            <v>QAGRO02</v>
          </cell>
          <cell r="AD660">
            <v>26000</v>
          </cell>
        </row>
        <row r="661">
          <cell r="W661" t="str">
            <v>QAGRO02</v>
          </cell>
          <cell r="AD661">
            <v>26000</v>
          </cell>
        </row>
        <row r="662">
          <cell r="W662" t="str">
            <v>QAGRO02</v>
          </cell>
          <cell r="AD662">
            <v>26500</v>
          </cell>
        </row>
        <row r="663">
          <cell r="W663" t="str">
            <v>QAGRO02</v>
          </cell>
          <cell r="AD663">
            <v>26500</v>
          </cell>
        </row>
        <row r="664">
          <cell r="W664" t="str">
            <v>QAGRO02</v>
          </cell>
          <cell r="AD664">
            <v>26500</v>
          </cell>
        </row>
        <row r="665">
          <cell r="W665" t="str">
            <v>QAGRO02</v>
          </cell>
          <cell r="AD665">
            <v>27000</v>
          </cell>
        </row>
        <row r="666">
          <cell r="W666" t="str">
            <v>QAGRO02</v>
          </cell>
          <cell r="AD666">
            <v>27000</v>
          </cell>
        </row>
        <row r="667">
          <cell r="W667" t="str">
            <v>QAGRO02</v>
          </cell>
          <cell r="AD667">
            <v>27000</v>
          </cell>
        </row>
        <row r="668">
          <cell r="W668" t="str">
            <v>QAGRO02</v>
          </cell>
          <cell r="AD668">
            <v>27500</v>
          </cell>
        </row>
        <row r="669">
          <cell r="W669" t="str">
            <v>QAGRO02</v>
          </cell>
          <cell r="AD669">
            <v>27500</v>
          </cell>
        </row>
        <row r="670">
          <cell r="W670" t="str">
            <v>QAGRO02</v>
          </cell>
          <cell r="AD670">
            <v>27500</v>
          </cell>
        </row>
        <row r="671">
          <cell r="W671" t="str">
            <v>QAGRO02</v>
          </cell>
          <cell r="AD671">
            <v>27500</v>
          </cell>
        </row>
        <row r="672">
          <cell r="W672" t="str">
            <v>QAGRO02</v>
          </cell>
          <cell r="AD672">
            <v>28000</v>
          </cell>
        </row>
        <row r="673">
          <cell r="W673" t="str">
            <v>QAGRO02</v>
          </cell>
          <cell r="AD673">
            <v>28000</v>
          </cell>
        </row>
        <row r="674">
          <cell r="W674" t="str">
            <v>QAGRO02</v>
          </cell>
          <cell r="AD674">
            <v>28500</v>
          </cell>
        </row>
        <row r="675">
          <cell r="W675" t="str">
            <v>QAGRO02</v>
          </cell>
          <cell r="AD675">
            <v>28500</v>
          </cell>
        </row>
        <row r="676">
          <cell r="W676" t="str">
            <v>QAGRO02</v>
          </cell>
          <cell r="AD676">
            <v>28500</v>
          </cell>
        </row>
        <row r="677">
          <cell r="W677" t="str">
            <v>QAGRO02</v>
          </cell>
          <cell r="AD677">
            <v>28500</v>
          </cell>
        </row>
        <row r="678">
          <cell r="W678" t="str">
            <v>QAGRO02</v>
          </cell>
          <cell r="AD678">
            <v>28500</v>
          </cell>
        </row>
        <row r="679">
          <cell r="W679" t="str">
            <v>QAGRO02</v>
          </cell>
          <cell r="AD679">
            <v>28500</v>
          </cell>
        </row>
        <row r="680">
          <cell r="W680" t="str">
            <v>QAGRO02</v>
          </cell>
          <cell r="AD680">
            <v>28500</v>
          </cell>
        </row>
        <row r="681">
          <cell r="W681" t="str">
            <v>QAGRO02</v>
          </cell>
          <cell r="AD681">
            <v>28500</v>
          </cell>
        </row>
        <row r="682">
          <cell r="W682" t="str">
            <v>QAGRO02</v>
          </cell>
          <cell r="AD682">
            <v>28500</v>
          </cell>
        </row>
        <row r="683">
          <cell r="W683" t="str">
            <v>QAGRO02</v>
          </cell>
          <cell r="AD683">
            <v>28500</v>
          </cell>
        </row>
        <row r="684">
          <cell r="W684" t="str">
            <v>QAGRO02</v>
          </cell>
          <cell r="AD684">
            <v>28500</v>
          </cell>
        </row>
        <row r="685">
          <cell r="W685" t="str">
            <v>QAGRO02</v>
          </cell>
          <cell r="AD685">
            <v>31000</v>
          </cell>
        </row>
        <row r="686">
          <cell r="W686" t="str">
            <v>QAGRO02</v>
          </cell>
          <cell r="AD686">
            <v>35000</v>
          </cell>
        </row>
        <row r="687">
          <cell r="W687" t="str">
            <v>QAGRO02</v>
          </cell>
          <cell r="AD687">
            <v>35000</v>
          </cell>
        </row>
        <row r="688">
          <cell r="W688" t="str">
            <v>QAGRO11</v>
          </cell>
          <cell r="AD688">
            <v>35000</v>
          </cell>
        </row>
        <row r="689">
          <cell r="W689" t="str">
            <v>QAGRO11</v>
          </cell>
          <cell r="AD689">
            <v>36500</v>
          </cell>
        </row>
        <row r="690">
          <cell r="W690" t="str">
            <v>QAGRO08</v>
          </cell>
          <cell r="AD690">
            <v>140000</v>
          </cell>
        </row>
        <row r="691">
          <cell r="W691" t="str">
            <v>QAGRO08</v>
          </cell>
          <cell r="AD691">
            <v>145000</v>
          </cell>
        </row>
        <row r="692">
          <cell r="W692" t="str">
            <v>QAGRO08</v>
          </cell>
          <cell r="AD692">
            <v>160000</v>
          </cell>
        </row>
        <row r="693">
          <cell r="W693" t="str">
            <v>QAGRO09</v>
          </cell>
          <cell r="AD693">
            <v>80000</v>
          </cell>
        </row>
        <row r="694">
          <cell r="W694" t="str">
            <v>QAGRO09</v>
          </cell>
          <cell r="AD694">
            <v>80000</v>
          </cell>
        </row>
        <row r="695">
          <cell r="W695" t="str">
            <v>QAGRO09</v>
          </cell>
          <cell r="AD695">
            <v>86500</v>
          </cell>
        </row>
        <row r="696">
          <cell r="W696" t="str">
            <v>QAGRO09</v>
          </cell>
          <cell r="AD696">
            <v>86500</v>
          </cell>
        </row>
        <row r="697">
          <cell r="W697" t="str">
            <v>QAGUS01</v>
          </cell>
          <cell r="AD697">
            <v>56000</v>
          </cell>
        </row>
        <row r="698">
          <cell r="W698" t="str">
            <v>QAGUS01</v>
          </cell>
          <cell r="AD698">
            <v>60000</v>
          </cell>
        </row>
        <row r="699">
          <cell r="W699" t="str">
            <v>QAGUS01</v>
          </cell>
          <cell r="AD699">
            <v>61000</v>
          </cell>
        </row>
        <row r="700">
          <cell r="W700" t="str">
            <v>QAGUS01</v>
          </cell>
          <cell r="AD700">
            <v>61000</v>
          </cell>
        </row>
        <row r="701">
          <cell r="W701" t="str">
            <v>QAGUS01</v>
          </cell>
          <cell r="AD701">
            <v>61000</v>
          </cell>
        </row>
        <row r="702">
          <cell r="W702" t="str">
            <v>QAGUS01</v>
          </cell>
          <cell r="AD702">
            <v>61000</v>
          </cell>
        </row>
        <row r="703">
          <cell r="W703" t="str">
            <v>QAGUS01</v>
          </cell>
          <cell r="AD703">
            <v>61000</v>
          </cell>
        </row>
        <row r="704">
          <cell r="W704" t="str">
            <v>QAGUS01</v>
          </cell>
          <cell r="AD704">
            <v>61000</v>
          </cell>
        </row>
        <row r="705">
          <cell r="W705" t="str">
            <v>QAGUS01</v>
          </cell>
          <cell r="AD705">
            <v>61000</v>
          </cell>
        </row>
        <row r="706">
          <cell r="W706" t="str">
            <v>QAGUS01</v>
          </cell>
          <cell r="AD706">
            <v>61000</v>
          </cell>
        </row>
        <row r="707">
          <cell r="W707" t="str">
            <v>QAGUS01</v>
          </cell>
          <cell r="AD707">
            <v>61000</v>
          </cell>
        </row>
        <row r="708">
          <cell r="W708" t="str">
            <v>QAGUS01</v>
          </cell>
          <cell r="AD708">
            <v>61000</v>
          </cell>
        </row>
        <row r="709">
          <cell r="W709" t="str">
            <v>QAGUS01</v>
          </cell>
          <cell r="AD709">
            <v>61000</v>
          </cell>
        </row>
        <row r="710">
          <cell r="W710" t="str">
            <v>QAGUS01</v>
          </cell>
          <cell r="AD710">
            <v>62000</v>
          </cell>
        </row>
        <row r="711">
          <cell r="W711" t="str">
            <v>QAGUS01</v>
          </cell>
          <cell r="AD711">
            <v>63000</v>
          </cell>
        </row>
        <row r="712">
          <cell r="W712" t="str">
            <v>QAGUS01</v>
          </cell>
          <cell r="AD712">
            <v>65000</v>
          </cell>
        </row>
        <row r="713">
          <cell r="W713" t="str">
            <v>QAGUS02</v>
          </cell>
          <cell r="AD713">
            <v>127500</v>
          </cell>
        </row>
        <row r="714">
          <cell r="W714" t="str">
            <v>QAGUS02</v>
          </cell>
          <cell r="AD714">
            <v>137000</v>
          </cell>
        </row>
        <row r="715">
          <cell r="W715" t="str">
            <v>QAGUS02</v>
          </cell>
          <cell r="AD715">
            <v>137000</v>
          </cell>
        </row>
        <row r="716">
          <cell r="W716" t="str">
            <v>QAGUS02</v>
          </cell>
          <cell r="AD716">
            <v>137000</v>
          </cell>
        </row>
        <row r="717">
          <cell r="W717" t="str">
            <v>QAGUS02</v>
          </cell>
          <cell r="AD717">
            <v>137000</v>
          </cell>
        </row>
        <row r="718">
          <cell r="W718" t="str">
            <v>QAGUS02</v>
          </cell>
          <cell r="AD718">
            <v>137000</v>
          </cell>
        </row>
        <row r="719">
          <cell r="W719" t="str">
            <v>QAGUS02</v>
          </cell>
          <cell r="AD719">
            <v>137000</v>
          </cell>
        </row>
        <row r="720">
          <cell r="W720" t="str">
            <v>QAGUS02</v>
          </cell>
          <cell r="AD720">
            <v>137000</v>
          </cell>
        </row>
        <row r="721">
          <cell r="W721" t="str">
            <v>QAGUS02</v>
          </cell>
          <cell r="AD721">
            <v>140000</v>
          </cell>
        </row>
        <row r="722">
          <cell r="W722" t="str">
            <v>QAGUS02</v>
          </cell>
          <cell r="AD722">
            <v>140000</v>
          </cell>
        </row>
        <row r="723">
          <cell r="W723" t="str">
            <v>QAGUS02</v>
          </cell>
          <cell r="AD723">
            <v>140000</v>
          </cell>
        </row>
        <row r="724">
          <cell r="W724" t="str">
            <v>QAGUS02</v>
          </cell>
          <cell r="AD724">
            <v>140000</v>
          </cell>
        </row>
        <row r="725">
          <cell r="W725" t="str">
            <v>QAGUS02</v>
          </cell>
          <cell r="AD725">
            <v>140000</v>
          </cell>
        </row>
        <row r="726">
          <cell r="W726" t="str">
            <v>QAGUS02</v>
          </cell>
          <cell r="AD726">
            <v>140000</v>
          </cell>
        </row>
        <row r="727">
          <cell r="W727" t="str">
            <v>QAGUS02</v>
          </cell>
          <cell r="AD727">
            <v>140000</v>
          </cell>
        </row>
        <row r="728">
          <cell r="W728" t="str">
            <v>QAGUS02</v>
          </cell>
          <cell r="AD728">
            <v>140000</v>
          </cell>
        </row>
        <row r="729">
          <cell r="W729" t="str">
            <v>QAGUS02</v>
          </cell>
          <cell r="AD729">
            <v>140000</v>
          </cell>
        </row>
        <row r="730">
          <cell r="W730" t="str">
            <v>QAGUS02</v>
          </cell>
          <cell r="AD730">
            <v>140000</v>
          </cell>
        </row>
        <row r="731">
          <cell r="W731" t="str">
            <v>QAGUS02</v>
          </cell>
          <cell r="AD731">
            <v>140000</v>
          </cell>
        </row>
        <row r="732">
          <cell r="W732" t="str">
            <v>QAGUS02</v>
          </cell>
          <cell r="AD732">
            <v>140000</v>
          </cell>
        </row>
        <row r="733">
          <cell r="W733" t="str">
            <v>QAGUS02</v>
          </cell>
          <cell r="AD733">
            <v>140000</v>
          </cell>
        </row>
        <row r="734">
          <cell r="W734" t="str">
            <v>QAGUS02</v>
          </cell>
          <cell r="AD734">
            <v>140000</v>
          </cell>
        </row>
        <row r="735">
          <cell r="W735" t="str">
            <v>QAGUS02</v>
          </cell>
          <cell r="AD735">
            <v>140000</v>
          </cell>
        </row>
        <row r="736">
          <cell r="W736" t="str">
            <v>QAGUS02</v>
          </cell>
          <cell r="AD736">
            <v>143000</v>
          </cell>
        </row>
        <row r="737">
          <cell r="W737" t="str">
            <v>QAGUS02</v>
          </cell>
          <cell r="AD737">
            <v>143000</v>
          </cell>
        </row>
        <row r="738">
          <cell r="W738" t="str">
            <v>QAGUS02</v>
          </cell>
          <cell r="AD738">
            <v>143000</v>
          </cell>
        </row>
        <row r="739">
          <cell r="W739" t="str">
            <v>QAGUS02</v>
          </cell>
          <cell r="AD739">
            <v>145000</v>
          </cell>
        </row>
        <row r="740">
          <cell r="W740" t="str">
            <v>QAGUS02</v>
          </cell>
          <cell r="AD740">
            <v>145000</v>
          </cell>
        </row>
        <row r="741">
          <cell r="W741" t="str">
            <v>QAGUS02</v>
          </cell>
          <cell r="AD741">
            <v>145000</v>
          </cell>
        </row>
        <row r="742">
          <cell r="W742" t="str">
            <v>QAJIN01</v>
          </cell>
          <cell r="AD742">
            <v>24000</v>
          </cell>
        </row>
        <row r="743">
          <cell r="W743" t="str">
            <v>QAKAL02</v>
          </cell>
          <cell r="AD743">
            <v>130000</v>
          </cell>
        </row>
        <row r="744">
          <cell r="W744" t="str">
            <v>QAKAL02</v>
          </cell>
          <cell r="AD744">
            <v>130000</v>
          </cell>
        </row>
        <row r="745">
          <cell r="W745" t="str">
            <v>QAKAL02</v>
          </cell>
          <cell r="AD745">
            <v>130000</v>
          </cell>
        </row>
        <row r="746">
          <cell r="W746" t="str">
            <v>QAKAL02</v>
          </cell>
          <cell r="AD746">
            <v>130000</v>
          </cell>
        </row>
        <row r="747">
          <cell r="W747" t="str">
            <v>QAKAL02</v>
          </cell>
          <cell r="AD747">
            <v>130000</v>
          </cell>
        </row>
        <row r="748">
          <cell r="W748" t="str">
            <v>QAKAL02</v>
          </cell>
          <cell r="AD748">
            <v>130000</v>
          </cell>
        </row>
        <row r="749">
          <cell r="W749" t="str">
            <v>QAKAL02</v>
          </cell>
          <cell r="AD749">
            <v>130000</v>
          </cell>
        </row>
        <row r="750">
          <cell r="W750" t="str">
            <v>QAKAL03</v>
          </cell>
          <cell r="AD750">
            <v>71000</v>
          </cell>
        </row>
        <row r="751">
          <cell r="W751" t="str">
            <v>QAKAL03</v>
          </cell>
          <cell r="AD751">
            <v>71000</v>
          </cell>
        </row>
        <row r="752">
          <cell r="W752" t="str">
            <v>QAKAL03</v>
          </cell>
          <cell r="AD752">
            <v>76500</v>
          </cell>
        </row>
        <row r="753">
          <cell r="W753" t="str">
            <v>QAKAR02</v>
          </cell>
          <cell r="AD753">
            <v>58000</v>
          </cell>
        </row>
        <row r="754">
          <cell r="W754" t="str">
            <v>QAKAR02</v>
          </cell>
          <cell r="AD754">
            <v>58000</v>
          </cell>
        </row>
        <row r="755">
          <cell r="W755" t="str">
            <v>QAKAR02</v>
          </cell>
          <cell r="AD755">
            <v>58000</v>
          </cell>
        </row>
        <row r="756">
          <cell r="W756" t="str">
            <v>QAKAR02</v>
          </cell>
          <cell r="AD756">
            <v>58000</v>
          </cell>
        </row>
        <row r="757">
          <cell r="W757" t="str">
            <v>QAKAR02</v>
          </cell>
          <cell r="AD757">
            <v>58000</v>
          </cell>
        </row>
        <row r="758">
          <cell r="W758" t="str">
            <v>QAKAR02</v>
          </cell>
          <cell r="AD758">
            <v>58500</v>
          </cell>
        </row>
        <row r="759">
          <cell r="W759" t="str">
            <v>QALAM02</v>
          </cell>
          <cell r="AD759">
            <v>175000</v>
          </cell>
        </row>
        <row r="760">
          <cell r="W760" t="str">
            <v>QALAM02</v>
          </cell>
          <cell r="AD760">
            <v>180000</v>
          </cell>
        </row>
        <row r="761">
          <cell r="W761" t="str">
            <v>QALAM02</v>
          </cell>
          <cell r="AD761">
            <v>180000</v>
          </cell>
        </row>
        <row r="762">
          <cell r="W762" t="str">
            <v>QALAM01</v>
          </cell>
          <cell r="AD762">
            <v>40000</v>
          </cell>
        </row>
        <row r="763">
          <cell r="W763" t="str">
            <v>QALAT04</v>
          </cell>
          <cell r="AD763">
            <v>890000</v>
          </cell>
        </row>
        <row r="764">
          <cell r="W764" t="str">
            <v>QALFA01</v>
          </cell>
          <cell r="AD764">
            <v>52000</v>
          </cell>
        </row>
        <row r="765">
          <cell r="W765" t="str">
            <v>QALFA01</v>
          </cell>
          <cell r="AD765">
            <v>52000</v>
          </cell>
        </row>
        <row r="766">
          <cell r="W766" t="str">
            <v>QALFA01</v>
          </cell>
          <cell r="AD766">
            <v>52500</v>
          </cell>
        </row>
        <row r="767">
          <cell r="W767" t="str">
            <v>QALFA01</v>
          </cell>
          <cell r="AD767">
            <v>52500</v>
          </cell>
        </row>
        <row r="768">
          <cell r="W768" t="str">
            <v>QALFA01</v>
          </cell>
          <cell r="AD768">
            <v>52500</v>
          </cell>
        </row>
        <row r="769">
          <cell r="W769" t="str">
            <v>QALFA01</v>
          </cell>
          <cell r="AD769">
            <v>52500</v>
          </cell>
        </row>
        <row r="770">
          <cell r="W770" t="str">
            <v>QALFA01</v>
          </cell>
          <cell r="AD770">
            <v>52500</v>
          </cell>
        </row>
        <row r="771">
          <cell r="W771" t="str">
            <v>QALFA01</v>
          </cell>
          <cell r="AD771">
            <v>52500</v>
          </cell>
        </row>
        <row r="772">
          <cell r="W772" t="str">
            <v>QALFA01</v>
          </cell>
          <cell r="AD772">
            <v>52500</v>
          </cell>
        </row>
        <row r="773">
          <cell r="W773" t="str">
            <v>QALFA01</v>
          </cell>
          <cell r="AD773">
            <v>52500</v>
          </cell>
        </row>
        <row r="774">
          <cell r="W774" t="str">
            <v>QALFA01</v>
          </cell>
          <cell r="AD774">
            <v>52500</v>
          </cell>
        </row>
        <row r="775">
          <cell r="W775" t="str">
            <v>QALFA01</v>
          </cell>
          <cell r="AD775">
            <v>52500</v>
          </cell>
        </row>
        <row r="776">
          <cell r="W776" t="str">
            <v>QALFA01</v>
          </cell>
          <cell r="AD776">
            <v>52500</v>
          </cell>
        </row>
        <row r="777">
          <cell r="W777" t="str">
            <v>QALFA01</v>
          </cell>
          <cell r="AD777">
            <v>52500</v>
          </cell>
        </row>
        <row r="778">
          <cell r="W778" t="str">
            <v>QALFA01</v>
          </cell>
          <cell r="AD778">
            <v>52500</v>
          </cell>
        </row>
        <row r="779">
          <cell r="W779" t="str">
            <v>QALFA01</v>
          </cell>
          <cell r="AD779">
            <v>52500</v>
          </cell>
        </row>
        <row r="780">
          <cell r="W780" t="str">
            <v>QALFA01</v>
          </cell>
          <cell r="AD780">
            <v>52500</v>
          </cell>
        </row>
        <row r="781">
          <cell r="W781" t="str">
            <v>QALFA01</v>
          </cell>
          <cell r="AD781">
            <v>52500</v>
          </cell>
        </row>
        <row r="782">
          <cell r="W782" t="str">
            <v>QALFA01</v>
          </cell>
          <cell r="AD782">
            <v>52500</v>
          </cell>
        </row>
        <row r="783">
          <cell r="W783" t="str">
            <v>QALFA01</v>
          </cell>
          <cell r="AD783">
            <v>52500</v>
          </cell>
        </row>
        <row r="784">
          <cell r="W784" t="str">
            <v>QALFA01</v>
          </cell>
          <cell r="AD784">
            <v>52500</v>
          </cell>
        </row>
        <row r="785">
          <cell r="W785" t="str">
            <v>QALFA01</v>
          </cell>
          <cell r="AD785">
            <v>52500</v>
          </cell>
        </row>
        <row r="786">
          <cell r="W786" t="str">
            <v>QALFA01</v>
          </cell>
          <cell r="AD786">
            <v>52500</v>
          </cell>
        </row>
        <row r="787">
          <cell r="W787" t="str">
            <v>QALFA01</v>
          </cell>
          <cell r="AD787">
            <v>52500</v>
          </cell>
        </row>
        <row r="788">
          <cell r="W788" t="str">
            <v>QALFA01</v>
          </cell>
          <cell r="AD788">
            <v>52500</v>
          </cell>
        </row>
        <row r="789">
          <cell r="W789" t="str">
            <v>QALFA01</v>
          </cell>
          <cell r="AD789">
            <v>52500</v>
          </cell>
        </row>
        <row r="790">
          <cell r="W790" t="str">
            <v>QALFA01</v>
          </cell>
          <cell r="AD790">
            <v>52500</v>
          </cell>
        </row>
        <row r="791">
          <cell r="W791" t="str">
            <v>QALFA01</v>
          </cell>
          <cell r="AD791">
            <v>52500</v>
          </cell>
        </row>
        <row r="792">
          <cell r="W792" t="str">
            <v>QALFA01</v>
          </cell>
          <cell r="AD792">
            <v>52500</v>
          </cell>
        </row>
        <row r="793">
          <cell r="W793" t="str">
            <v>QALFA01</v>
          </cell>
          <cell r="AD793">
            <v>52500</v>
          </cell>
        </row>
        <row r="794">
          <cell r="W794" t="str">
            <v>QALFA01</v>
          </cell>
          <cell r="AD794">
            <v>52500</v>
          </cell>
        </row>
        <row r="795">
          <cell r="W795" t="str">
            <v>QALFA01</v>
          </cell>
          <cell r="AD795">
            <v>52500</v>
          </cell>
        </row>
        <row r="796">
          <cell r="W796" t="str">
            <v>QALFA01</v>
          </cell>
          <cell r="AD796">
            <v>52500</v>
          </cell>
        </row>
        <row r="797">
          <cell r="W797" t="str">
            <v>QALFA01</v>
          </cell>
          <cell r="AD797">
            <v>52500</v>
          </cell>
        </row>
        <row r="798">
          <cell r="W798" t="str">
            <v>QALFA01</v>
          </cell>
          <cell r="AD798">
            <v>52500</v>
          </cell>
        </row>
        <row r="799">
          <cell r="W799" t="str">
            <v>QALFA01</v>
          </cell>
          <cell r="AD799">
            <v>52500</v>
          </cell>
        </row>
        <row r="800">
          <cell r="W800" t="str">
            <v>QALFA02</v>
          </cell>
          <cell r="AD800">
            <v>27500</v>
          </cell>
        </row>
        <row r="801">
          <cell r="W801" t="str">
            <v>QALFA02</v>
          </cell>
          <cell r="AD801">
            <v>27500</v>
          </cell>
        </row>
        <row r="802">
          <cell r="W802" t="str">
            <v>QALFA02</v>
          </cell>
          <cell r="AD802">
            <v>29000</v>
          </cell>
        </row>
        <row r="803">
          <cell r="W803" t="str">
            <v>QALFA02</v>
          </cell>
          <cell r="AD803">
            <v>29000</v>
          </cell>
        </row>
        <row r="804">
          <cell r="W804" t="str">
            <v>QALFA02</v>
          </cell>
          <cell r="AD804">
            <v>29000</v>
          </cell>
        </row>
        <row r="805">
          <cell r="W805" t="str">
            <v>QALFA02</v>
          </cell>
          <cell r="AD805">
            <v>29000</v>
          </cell>
        </row>
        <row r="806">
          <cell r="W806" t="str">
            <v>QALFA02</v>
          </cell>
          <cell r="AD806">
            <v>29000</v>
          </cell>
        </row>
        <row r="807">
          <cell r="W807" t="str">
            <v>QALFA02</v>
          </cell>
          <cell r="AD807">
            <v>29000</v>
          </cell>
        </row>
        <row r="808">
          <cell r="W808" t="str">
            <v>QALFA02</v>
          </cell>
          <cell r="AD808">
            <v>29000</v>
          </cell>
        </row>
        <row r="809">
          <cell r="W809" t="str">
            <v>QALFA02</v>
          </cell>
          <cell r="AD809">
            <v>29000</v>
          </cell>
        </row>
        <row r="810">
          <cell r="W810" t="str">
            <v>QALFA02</v>
          </cell>
          <cell r="AD810">
            <v>29000</v>
          </cell>
        </row>
        <row r="811">
          <cell r="W811" t="str">
            <v>QALFA02</v>
          </cell>
          <cell r="AD811">
            <v>29000</v>
          </cell>
        </row>
        <row r="812">
          <cell r="W812" t="str">
            <v>QALFA02</v>
          </cell>
          <cell r="AD812">
            <v>29000</v>
          </cell>
        </row>
        <row r="813">
          <cell r="W813" t="str">
            <v>QALFA02</v>
          </cell>
          <cell r="AD813">
            <v>29000</v>
          </cell>
        </row>
        <row r="814">
          <cell r="W814" t="str">
            <v>QALFA02</v>
          </cell>
          <cell r="AD814">
            <v>29000</v>
          </cell>
        </row>
        <row r="815">
          <cell r="W815" t="str">
            <v>QALFA02</v>
          </cell>
          <cell r="AD815">
            <v>29000</v>
          </cell>
        </row>
        <row r="816">
          <cell r="W816" t="str">
            <v>QALFA02</v>
          </cell>
          <cell r="AD816">
            <v>29000</v>
          </cell>
        </row>
        <row r="817">
          <cell r="W817" t="str">
            <v>QALFA02</v>
          </cell>
          <cell r="AD817">
            <v>29000</v>
          </cell>
        </row>
        <row r="818">
          <cell r="W818" t="str">
            <v>QALFA02</v>
          </cell>
          <cell r="AD818">
            <v>29000</v>
          </cell>
        </row>
        <row r="819">
          <cell r="W819" t="str">
            <v>QALFA02</v>
          </cell>
          <cell r="AD819">
            <v>29500</v>
          </cell>
        </row>
        <row r="820">
          <cell r="W820" t="str">
            <v>QALFA04</v>
          </cell>
          <cell r="AD820">
            <v>13250</v>
          </cell>
        </row>
        <row r="821">
          <cell r="W821" t="str">
            <v>QALFA04</v>
          </cell>
          <cell r="AD821">
            <v>13250</v>
          </cell>
        </row>
        <row r="822">
          <cell r="W822" t="str">
            <v>QALFA04</v>
          </cell>
          <cell r="AD822">
            <v>13250</v>
          </cell>
        </row>
        <row r="823">
          <cell r="W823" t="str">
            <v>QALFA04</v>
          </cell>
          <cell r="AD823">
            <v>13250</v>
          </cell>
        </row>
        <row r="824">
          <cell r="W824" t="str">
            <v>QALFA04</v>
          </cell>
          <cell r="AD824">
            <v>13250</v>
          </cell>
        </row>
        <row r="825">
          <cell r="W825" t="str">
            <v>QALFA04</v>
          </cell>
          <cell r="AD825">
            <v>13250</v>
          </cell>
        </row>
        <row r="826">
          <cell r="W826" t="str">
            <v>QALFA04</v>
          </cell>
          <cell r="AD826">
            <v>13250</v>
          </cell>
        </row>
        <row r="827">
          <cell r="W827" t="str">
            <v>QALFA04</v>
          </cell>
          <cell r="AD827">
            <v>13250</v>
          </cell>
        </row>
        <row r="828">
          <cell r="W828" t="str">
            <v>QALFA04</v>
          </cell>
          <cell r="AD828">
            <v>13250</v>
          </cell>
        </row>
        <row r="829">
          <cell r="W829" t="str">
            <v>QALFA04</v>
          </cell>
          <cell r="AD829">
            <v>13250</v>
          </cell>
        </row>
        <row r="830">
          <cell r="W830" t="str">
            <v>QALFA04</v>
          </cell>
          <cell r="AD830">
            <v>13250</v>
          </cell>
        </row>
        <row r="831">
          <cell r="W831" t="str">
            <v>QALFA04</v>
          </cell>
          <cell r="AD831">
            <v>13250</v>
          </cell>
        </row>
        <row r="832">
          <cell r="W832" t="str">
            <v>QALFA04</v>
          </cell>
          <cell r="AD832">
            <v>13250</v>
          </cell>
        </row>
        <row r="833">
          <cell r="W833" t="str">
            <v>QALFA04</v>
          </cell>
          <cell r="AD833">
            <v>13250</v>
          </cell>
        </row>
        <row r="834">
          <cell r="W834" t="str">
            <v>QALFA04</v>
          </cell>
          <cell r="AD834">
            <v>13250</v>
          </cell>
        </row>
        <row r="835">
          <cell r="W835" t="str">
            <v>QALFA04</v>
          </cell>
          <cell r="AD835">
            <v>13250</v>
          </cell>
        </row>
        <row r="836">
          <cell r="W836" t="str">
            <v>QALFA04</v>
          </cell>
          <cell r="AD836">
            <v>13250</v>
          </cell>
        </row>
        <row r="837">
          <cell r="W837" t="str">
            <v>QALFA04</v>
          </cell>
          <cell r="AD837">
            <v>13500</v>
          </cell>
        </row>
        <row r="838">
          <cell r="W838" t="str">
            <v>QALFA04</v>
          </cell>
          <cell r="AD838">
            <v>13500</v>
          </cell>
        </row>
        <row r="839">
          <cell r="W839" t="str">
            <v>QALFA04</v>
          </cell>
          <cell r="AD839">
            <v>13500</v>
          </cell>
        </row>
        <row r="840">
          <cell r="W840" t="str">
            <v>QALIK01</v>
          </cell>
          <cell r="AD840">
            <v>30250</v>
          </cell>
        </row>
        <row r="841">
          <cell r="W841" t="str">
            <v>QALIK01</v>
          </cell>
          <cell r="AD841">
            <v>30500</v>
          </cell>
        </row>
        <row r="842">
          <cell r="W842" t="str">
            <v>QALIK01</v>
          </cell>
          <cell r="AD842">
            <v>30600</v>
          </cell>
        </row>
        <row r="843">
          <cell r="W843" t="str">
            <v>QALIK01</v>
          </cell>
          <cell r="AD843">
            <v>30700</v>
          </cell>
        </row>
        <row r="844">
          <cell r="W844" t="str">
            <v>QALIK01</v>
          </cell>
          <cell r="AD844">
            <v>30750</v>
          </cell>
        </row>
        <row r="845">
          <cell r="W845" t="str">
            <v>QALIK01</v>
          </cell>
          <cell r="AD845">
            <v>30750</v>
          </cell>
        </row>
        <row r="846">
          <cell r="W846" t="str">
            <v>QALIK01</v>
          </cell>
          <cell r="AD846">
            <v>31000</v>
          </cell>
        </row>
        <row r="847">
          <cell r="W847" t="str">
            <v>QALIK02</v>
          </cell>
          <cell r="AD847">
            <v>125500</v>
          </cell>
        </row>
        <row r="848">
          <cell r="W848" t="str">
            <v>QALIK02</v>
          </cell>
          <cell r="AD848">
            <v>125800</v>
          </cell>
        </row>
        <row r="849">
          <cell r="W849" t="str">
            <v>QALIK02</v>
          </cell>
          <cell r="AD849">
            <v>126900</v>
          </cell>
        </row>
        <row r="850">
          <cell r="W850" t="str">
            <v>QALIK02</v>
          </cell>
          <cell r="AD850">
            <v>126900</v>
          </cell>
        </row>
        <row r="851">
          <cell r="W851" t="str">
            <v>QALIK02</v>
          </cell>
          <cell r="AD851">
            <v>127000</v>
          </cell>
        </row>
        <row r="852">
          <cell r="W852" t="str">
            <v>QALIK02</v>
          </cell>
          <cell r="AD852">
            <v>127000</v>
          </cell>
        </row>
        <row r="853">
          <cell r="W853" t="str">
            <v>QALIK02</v>
          </cell>
          <cell r="AD853">
            <v>127000</v>
          </cell>
        </row>
        <row r="854">
          <cell r="W854" t="str">
            <v>QALIK02</v>
          </cell>
          <cell r="AD854">
            <v>127500</v>
          </cell>
        </row>
        <row r="855">
          <cell r="W855" t="str">
            <v>QALIK02</v>
          </cell>
          <cell r="AD855">
            <v>128000</v>
          </cell>
        </row>
        <row r="856">
          <cell r="W856" t="str">
            <v>QALIK02</v>
          </cell>
          <cell r="AD856">
            <v>128000</v>
          </cell>
        </row>
        <row r="857">
          <cell r="W857" t="str">
            <v>QALIK03</v>
          </cell>
          <cell r="AD857">
            <v>53000</v>
          </cell>
        </row>
        <row r="858">
          <cell r="W858" t="str">
            <v>QALIK03</v>
          </cell>
          <cell r="AD858">
            <v>53000</v>
          </cell>
        </row>
        <row r="859">
          <cell r="W859" t="str">
            <v>QALIK03</v>
          </cell>
          <cell r="AD859">
            <v>53500</v>
          </cell>
        </row>
        <row r="860">
          <cell r="W860" t="str">
            <v>QALIK03</v>
          </cell>
          <cell r="AD860">
            <v>53500</v>
          </cell>
        </row>
        <row r="861">
          <cell r="W861" t="str">
            <v>QALIK03</v>
          </cell>
          <cell r="AD861">
            <v>53500</v>
          </cell>
        </row>
        <row r="862">
          <cell r="W862" t="str">
            <v>QALIK03</v>
          </cell>
          <cell r="AD862">
            <v>53500</v>
          </cell>
        </row>
        <row r="863">
          <cell r="W863" t="str">
            <v>QALIK03</v>
          </cell>
          <cell r="AD863">
            <v>53500</v>
          </cell>
        </row>
        <row r="864">
          <cell r="W864" t="str">
            <v>QALIK03</v>
          </cell>
          <cell r="AD864">
            <v>53500</v>
          </cell>
        </row>
        <row r="865">
          <cell r="W865" t="str">
            <v>QALIK03</v>
          </cell>
          <cell r="AD865">
            <v>54000</v>
          </cell>
        </row>
        <row r="866">
          <cell r="W866" t="str">
            <v>QALIK03</v>
          </cell>
          <cell r="AD866">
            <v>54000</v>
          </cell>
        </row>
        <row r="867">
          <cell r="W867" t="str">
            <v>QALIK03</v>
          </cell>
          <cell r="AD867">
            <v>54000</v>
          </cell>
        </row>
        <row r="868">
          <cell r="W868" t="str">
            <v>QALIK03</v>
          </cell>
          <cell r="AD868">
            <v>54000</v>
          </cell>
        </row>
        <row r="869">
          <cell r="W869" t="str">
            <v>QALIK03</v>
          </cell>
          <cell r="AD869">
            <v>54000</v>
          </cell>
        </row>
        <row r="870">
          <cell r="W870" t="str">
            <v>QALIK03</v>
          </cell>
          <cell r="AD870">
            <v>54000</v>
          </cell>
        </row>
        <row r="871">
          <cell r="W871" t="str">
            <v>QALIK03</v>
          </cell>
          <cell r="AD871">
            <v>54000</v>
          </cell>
        </row>
        <row r="872">
          <cell r="W872" t="str">
            <v>QALIK03</v>
          </cell>
          <cell r="AD872">
            <v>54000</v>
          </cell>
        </row>
        <row r="873">
          <cell r="W873" t="str">
            <v>QALIK03</v>
          </cell>
          <cell r="AD873">
            <v>54000</v>
          </cell>
        </row>
        <row r="874">
          <cell r="W874" t="str">
            <v>QALIK03</v>
          </cell>
          <cell r="AD874">
            <v>54000</v>
          </cell>
        </row>
        <row r="875">
          <cell r="W875" t="str">
            <v>QALIK03</v>
          </cell>
          <cell r="AD875">
            <v>54250</v>
          </cell>
        </row>
        <row r="876">
          <cell r="W876" t="str">
            <v>QALIK03</v>
          </cell>
          <cell r="AD876">
            <v>54250</v>
          </cell>
        </row>
        <row r="877">
          <cell r="W877" t="str">
            <v>QALIK03</v>
          </cell>
          <cell r="AD877">
            <v>54500</v>
          </cell>
        </row>
        <row r="878">
          <cell r="W878" t="str">
            <v>QALIK03</v>
          </cell>
          <cell r="AD878">
            <v>54500</v>
          </cell>
        </row>
        <row r="879">
          <cell r="W879" t="str">
            <v>QALLY01</v>
          </cell>
          <cell r="AD879">
            <v>8850</v>
          </cell>
        </row>
        <row r="880">
          <cell r="W880" t="str">
            <v>QALLY01</v>
          </cell>
          <cell r="AD880">
            <v>8850</v>
          </cell>
        </row>
        <row r="881">
          <cell r="W881" t="str">
            <v>QALLY01</v>
          </cell>
          <cell r="AD881">
            <v>8900</v>
          </cell>
        </row>
        <row r="882">
          <cell r="W882" t="str">
            <v>QALLY01</v>
          </cell>
          <cell r="AD882">
            <v>8900</v>
          </cell>
        </row>
        <row r="883">
          <cell r="W883" t="str">
            <v>QALLY01</v>
          </cell>
          <cell r="AD883">
            <v>8900</v>
          </cell>
        </row>
        <row r="884">
          <cell r="W884" t="str">
            <v>QALLY01</v>
          </cell>
          <cell r="AD884">
            <v>8900</v>
          </cell>
        </row>
        <row r="885">
          <cell r="W885" t="str">
            <v>QALLY01</v>
          </cell>
          <cell r="AD885">
            <v>8900</v>
          </cell>
        </row>
        <row r="886">
          <cell r="W886" t="str">
            <v>QALLY01</v>
          </cell>
          <cell r="AD886">
            <v>9000</v>
          </cell>
        </row>
        <row r="887">
          <cell r="W887" t="str">
            <v>QALLY01</v>
          </cell>
          <cell r="AD887">
            <v>9000</v>
          </cell>
        </row>
        <row r="888">
          <cell r="W888" t="str">
            <v>QALLY01</v>
          </cell>
          <cell r="AD888">
            <v>9000</v>
          </cell>
        </row>
        <row r="889">
          <cell r="W889" t="str">
            <v>QALLY01</v>
          </cell>
          <cell r="AD889">
            <v>9000</v>
          </cell>
        </row>
        <row r="890">
          <cell r="W890" t="str">
            <v>QALLY01</v>
          </cell>
          <cell r="AD890">
            <v>9000</v>
          </cell>
        </row>
        <row r="891">
          <cell r="W891" t="str">
            <v>QALLY01</v>
          </cell>
          <cell r="AD891">
            <v>9000</v>
          </cell>
        </row>
        <row r="892">
          <cell r="W892" t="str">
            <v>QALLY01</v>
          </cell>
          <cell r="AD892">
            <v>9000</v>
          </cell>
        </row>
        <row r="893">
          <cell r="W893" t="str">
            <v>QALLY01</v>
          </cell>
          <cell r="AD893">
            <v>9000</v>
          </cell>
        </row>
        <row r="894">
          <cell r="W894" t="str">
            <v>QALLY01</v>
          </cell>
          <cell r="AD894">
            <v>9000</v>
          </cell>
        </row>
        <row r="895">
          <cell r="W895" t="str">
            <v>QALLY01</v>
          </cell>
          <cell r="AD895">
            <v>9000</v>
          </cell>
        </row>
        <row r="896">
          <cell r="W896" t="str">
            <v>QALLY01</v>
          </cell>
          <cell r="AD896">
            <v>9000</v>
          </cell>
        </row>
        <row r="897">
          <cell r="W897" t="str">
            <v>QALLY01</v>
          </cell>
          <cell r="AD897">
            <v>9000</v>
          </cell>
        </row>
        <row r="898">
          <cell r="W898" t="str">
            <v>QALLY01</v>
          </cell>
          <cell r="AD898">
            <v>9000</v>
          </cell>
        </row>
        <row r="899">
          <cell r="W899" t="str">
            <v>QALLY01</v>
          </cell>
          <cell r="AD899">
            <v>9000</v>
          </cell>
        </row>
        <row r="900">
          <cell r="W900" t="str">
            <v>QALLY01</v>
          </cell>
          <cell r="AD900">
            <v>9000</v>
          </cell>
        </row>
        <row r="901">
          <cell r="W901" t="str">
            <v>QALLY01</v>
          </cell>
          <cell r="AD901">
            <v>9000</v>
          </cell>
        </row>
        <row r="902">
          <cell r="W902" t="str">
            <v>QALLY01</v>
          </cell>
          <cell r="AD902">
            <v>9000</v>
          </cell>
        </row>
        <row r="903">
          <cell r="W903" t="str">
            <v>QALLY01</v>
          </cell>
          <cell r="AD903">
            <v>9000</v>
          </cell>
        </row>
        <row r="904">
          <cell r="W904" t="str">
            <v>QALLY01</v>
          </cell>
          <cell r="AD904">
            <v>9200</v>
          </cell>
        </row>
        <row r="905">
          <cell r="W905" t="str">
            <v>QALLY01</v>
          </cell>
          <cell r="AD905">
            <v>9200</v>
          </cell>
        </row>
        <row r="906">
          <cell r="W906" t="str">
            <v>QALLY01</v>
          </cell>
          <cell r="AD906">
            <v>9200</v>
          </cell>
        </row>
        <row r="907">
          <cell r="W907" t="str">
            <v>QALLY01</v>
          </cell>
          <cell r="AD907">
            <v>9200</v>
          </cell>
        </row>
        <row r="908">
          <cell r="W908" t="str">
            <v>QALLY01</v>
          </cell>
          <cell r="AD908">
            <v>9200</v>
          </cell>
        </row>
        <row r="909">
          <cell r="W909" t="str">
            <v>QALLY01</v>
          </cell>
          <cell r="AD909">
            <v>9200</v>
          </cell>
        </row>
        <row r="910">
          <cell r="W910" t="str">
            <v>QALLY01</v>
          </cell>
          <cell r="AD910">
            <v>9200</v>
          </cell>
        </row>
        <row r="911">
          <cell r="W911" t="str">
            <v>QALLY01</v>
          </cell>
          <cell r="AD911">
            <v>9200</v>
          </cell>
        </row>
        <row r="912">
          <cell r="W912" t="str">
            <v>QALLY01</v>
          </cell>
          <cell r="AD912">
            <v>9200</v>
          </cell>
        </row>
        <row r="913">
          <cell r="W913" t="str">
            <v>QALLY01</v>
          </cell>
          <cell r="AD913">
            <v>9200</v>
          </cell>
        </row>
        <row r="914">
          <cell r="W914" t="str">
            <v>QALLY01</v>
          </cell>
          <cell r="AD914">
            <v>9200</v>
          </cell>
        </row>
        <row r="915">
          <cell r="W915" t="str">
            <v>QALLY01</v>
          </cell>
          <cell r="AD915">
            <v>9250</v>
          </cell>
        </row>
        <row r="916">
          <cell r="W916" t="str">
            <v>QALLY01</v>
          </cell>
          <cell r="AD916">
            <v>9250</v>
          </cell>
        </row>
        <row r="917">
          <cell r="W917" t="str">
            <v>QALLY01</v>
          </cell>
          <cell r="AD917">
            <v>9250</v>
          </cell>
        </row>
        <row r="918">
          <cell r="W918" t="str">
            <v>QALLY01</v>
          </cell>
          <cell r="AD918">
            <v>9250</v>
          </cell>
        </row>
        <row r="919">
          <cell r="W919" t="str">
            <v>QALLY01</v>
          </cell>
          <cell r="AD919">
            <v>9250</v>
          </cell>
        </row>
        <row r="920">
          <cell r="W920" t="str">
            <v>QALLY01</v>
          </cell>
          <cell r="AD920">
            <v>9250</v>
          </cell>
        </row>
        <row r="921">
          <cell r="W921" t="str">
            <v>QALLY01</v>
          </cell>
          <cell r="AD921">
            <v>9250</v>
          </cell>
        </row>
        <row r="922">
          <cell r="W922" t="str">
            <v>QALLY01</v>
          </cell>
          <cell r="AD922">
            <v>9250</v>
          </cell>
        </row>
        <row r="923">
          <cell r="W923" t="str">
            <v>QALLY01</v>
          </cell>
          <cell r="AD923">
            <v>9250</v>
          </cell>
        </row>
        <row r="924">
          <cell r="W924" t="str">
            <v>QALLY01</v>
          </cell>
          <cell r="AD924">
            <v>9250</v>
          </cell>
        </row>
        <row r="925">
          <cell r="W925" t="str">
            <v>QALLY01</v>
          </cell>
          <cell r="AD925">
            <v>9250</v>
          </cell>
        </row>
        <row r="926">
          <cell r="W926" t="str">
            <v>QALLY01</v>
          </cell>
          <cell r="AD926">
            <v>9250</v>
          </cell>
        </row>
        <row r="927">
          <cell r="W927" t="str">
            <v>QALLY01</v>
          </cell>
          <cell r="AD927">
            <v>9250</v>
          </cell>
        </row>
        <row r="928">
          <cell r="W928" t="str">
            <v>QALLY01</v>
          </cell>
          <cell r="AD928">
            <v>9250</v>
          </cell>
        </row>
        <row r="929">
          <cell r="W929" t="str">
            <v>QALLY01</v>
          </cell>
          <cell r="AD929">
            <v>9250</v>
          </cell>
        </row>
        <row r="930">
          <cell r="W930" t="str">
            <v>QALLY01</v>
          </cell>
          <cell r="AD930">
            <v>9250</v>
          </cell>
        </row>
        <row r="931">
          <cell r="W931" t="str">
            <v>QALLY01</v>
          </cell>
          <cell r="AD931">
            <v>9250</v>
          </cell>
        </row>
        <row r="932">
          <cell r="W932" t="str">
            <v>QALLY01</v>
          </cell>
          <cell r="AD932">
            <v>9250</v>
          </cell>
        </row>
        <row r="933">
          <cell r="W933" t="str">
            <v>QALLY01</v>
          </cell>
          <cell r="AD933">
            <v>9250</v>
          </cell>
        </row>
        <row r="934">
          <cell r="W934" t="str">
            <v>QALLY01</v>
          </cell>
          <cell r="AD934">
            <v>9250</v>
          </cell>
        </row>
        <row r="935">
          <cell r="W935" t="str">
            <v>QALLY01</v>
          </cell>
          <cell r="AD935">
            <v>9250</v>
          </cell>
        </row>
        <row r="936">
          <cell r="W936" t="str">
            <v>QALLY01</v>
          </cell>
          <cell r="AD936">
            <v>9250</v>
          </cell>
        </row>
        <row r="937">
          <cell r="W937" t="str">
            <v>QALLY01</v>
          </cell>
          <cell r="AD937">
            <v>9250</v>
          </cell>
        </row>
        <row r="938">
          <cell r="W938" t="str">
            <v>QALLY01</v>
          </cell>
          <cell r="AD938">
            <v>9250</v>
          </cell>
        </row>
        <row r="939">
          <cell r="W939" t="str">
            <v>QALLY01</v>
          </cell>
          <cell r="AD939">
            <v>9250</v>
          </cell>
        </row>
        <row r="940">
          <cell r="W940" t="str">
            <v>QALLY01</v>
          </cell>
          <cell r="AD940">
            <v>9250</v>
          </cell>
        </row>
        <row r="941">
          <cell r="W941" t="str">
            <v>QALLY01</v>
          </cell>
          <cell r="AD941">
            <v>9250</v>
          </cell>
        </row>
        <row r="942">
          <cell r="W942" t="str">
            <v>QALLY01</v>
          </cell>
          <cell r="AD942">
            <v>9250</v>
          </cell>
        </row>
        <row r="943">
          <cell r="W943" t="str">
            <v>QALLY01</v>
          </cell>
          <cell r="AD943">
            <v>9250</v>
          </cell>
        </row>
        <row r="944">
          <cell r="W944" t="str">
            <v>QALLY01</v>
          </cell>
          <cell r="AD944">
            <v>9250</v>
          </cell>
        </row>
        <row r="945">
          <cell r="W945" t="str">
            <v>QALLY01</v>
          </cell>
          <cell r="AD945">
            <v>9250</v>
          </cell>
        </row>
        <row r="946">
          <cell r="W946" t="str">
            <v>QALLY01</v>
          </cell>
          <cell r="AD946">
            <v>9250</v>
          </cell>
        </row>
        <row r="947">
          <cell r="W947" t="str">
            <v>QALLY01</v>
          </cell>
          <cell r="AD947">
            <v>9250</v>
          </cell>
        </row>
        <row r="948">
          <cell r="W948" t="str">
            <v>QALLY01</v>
          </cell>
          <cell r="AD948">
            <v>9250</v>
          </cell>
        </row>
        <row r="949">
          <cell r="W949" t="str">
            <v>QALLY01</v>
          </cell>
          <cell r="AD949">
            <v>9250</v>
          </cell>
        </row>
        <row r="950">
          <cell r="W950" t="str">
            <v>QALLY01</v>
          </cell>
          <cell r="AD950">
            <v>9250</v>
          </cell>
        </row>
        <row r="951">
          <cell r="W951" t="str">
            <v>QALLY01</v>
          </cell>
          <cell r="AD951">
            <v>9250</v>
          </cell>
        </row>
        <row r="952">
          <cell r="W952" t="str">
            <v>QALLY01</v>
          </cell>
          <cell r="AD952">
            <v>9250</v>
          </cell>
        </row>
        <row r="953">
          <cell r="W953" t="str">
            <v>QALLY01</v>
          </cell>
          <cell r="AD953">
            <v>9250</v>
          </cell>
        </row>
        <row r="954">
          <cell r="W954" t="str">
            <v>QALLY01</v>
          </cell>
          <cell r="AD954">
            <v>9250</v>
          </cell>
        </row>
        <row r="955">
          <cell r="W955" t="str">
            <v>QALLY01</v>
          </cell>
          <cell r="AD955">
            <v>9250</v>
          </cell>
        </row>
        <row r="956">
          <cell r="W956" t="str">
            <v>QALLY01</v>
          </cell>
          <cell r="AD956">
            <v>9250</v>
          </cell>
        </row>
        <row r="957">
          <cell r="W957" t="str">
            <v>QALLY01</v>
          </cell>
          <cell r="AD957">
            <v>9250</v>
          </cell>
        </row>
        <row r="958">
          <cell r="W958" t="str">
            <v>QALLY01</v>
          </cell>
          <cell r="AD958">
            <v>9250</v>
          </cell>
        </row>
        <row r="959">
          <cell r="W959" t="str">
            <v>QALLY01</v>
          </cell>
          <cell r="AD959">
            <v>9250</v>
          </cell>
        </row>
        <row r="960">
          <cell r="W960" t="str">
            <v>QALLY01</v>
          </cell>
          <cell r="AD960">
            <v>9250</v>
          </cell>
        </row>
        <row r="961">
          <cell r="W961" t="str">
            <v>QALLY01</v>
          </cell>
          <cell r="AD961">
            <v>9250</v>
          </cell>
        </row>
        <row r="962">
          <cell r="W962" t="str">
            <v>QALLY01</v>
          </cell>
          <cell r="AD962">
            <v>9250</v>
          </cell>
        </row>
        <row r="963">
          <cell r="W963" t="str">
            <v>QALLY01</v>
          </cell>
          <cell r="AD963">
            <v>9250</v>
          </cell>
        </row>
        <row r="964">
          <cell r="W964" t="str">
            <v>QALLY01</v>
          </cell>
          <cell r="AD964">
            <v>9250</v>
          </cell>
        </row>
        <row r="965">
          <cell r="W965" t="str">
            <v>QALLY01</v>
          </cell>
          <cell r="AD965">
            <v>9250</v>
          </cell>
        </row>
        <row r="966">
          <cell r="W966" t="str">
            <v>QALLY01</v>
          </cell>
          <cell r="AD966">
            <v>9250</v>
          </cell>
        </row>
        <row r="967">
          <cell r="W967" t="str">
            <v>QALLY01</v>
          </cell>
          <cell r="AD967">
            <v>9250</v>
          </cell>
        </row>
        <row r="968">
          <cell r="W968" t="str">
            <v>QALLY01</v>
          </cell>
          <cell r="AD968">
            <v>9250</v>
          </cell>
        </row>
        <row r="969">
          <cell r="W969" t="str">
            <v>QALLY01</v>
          </cell>
          <cell r="AD969">
            <v>9250</v>
          </cell>
        </row>
        <row r="970">
          <cell r="W970" t="str">
            <v>QALLY01</v>
          </cell>
          <cell r="AD970">
            <v>9250</v>
          </cell>
        </row>
        <row r="971">
          <cell r="W971" t="str">
            <v>QALLY01</v>
          </cell>
          <cell r="AD971">
            <v>9350</v>
          </cell>
        </row>
        <row r="972">
          <cell r="W972" t="str">
            <v>QALLY01</v>
          </cell>
          <cell r="AD972">
            <v>9500</v>
          </cell>
        </row>
        <row r="973">
          <cell r="W973" t="str">
            <v>QALLY01</v>
          </cell>
          <cell r="AD973">
            <v>10000</v>
          </cell>
        </row>
        <row r="974">
          <cell r="W974" t="str">
            <v>QAMAB01</v>
          </cell>
          <cell r="AD974">
            <v>75000</v>
          </cell>
        </row>
        <row r="975">
          <cell r="W975" t="str">
            <v>QAMAB01</v>
          </cell>
          <cell r="AD975">
            <v>75500</v>
          </cell>
        </row>
        <row r="976">
          <cell r="W976" t="str">
            <v>QAMAB01</v>
          </cell>
          <cell r="AD976">
            <v>75500</v>
          </cell>
        </row>
        <row r="977">
          <cell r="W977" t="str">
            <v>QAMAB01</v>
          </cell>
          <cell r="AD977">
            <v>75500</v>
          </cell>
        </row>
        <row r="978">
          <cell r="W978" t="str">
            <v>QAMAB01</v>
          </cell>
          <cell r="AD978">
            <v>75500</v>
          </cell>
        </row>
        <row r="979">
          <cell r="W979" t="str">
            <v>QAMAB01</v>
          </cell>
          <cell r="AD979">
            <v>76000</v>
          </cell>
        </row>
        <row r="980">
          <cell r="W980" t="str">
            <v>QAMAB01</v>
          </cell>
          <cell r="AD980">
            <v>76000</v>
          </cell>
        </row>
        <row r="981">
          <cell r="W981" t="str">
            <v>QAMAB01</v>
          </cell>
          <cell r="AD981">
            <v>76500</v>
          </cell>
        </row>
        <row r="982">
          <cell r="W982" t="str">
            <v>QAMAB01</v>
          </cell>
          <cell r="AD982">
            <v>76500</v>
          </cell>
        </row>
        <row r="983">
          <cell r="W983" t="str">
            <v>QAMAB01</v>
          </cell>
          <cell r="AD983">
            <v>76500</v>
          </cell>
        </row>
        <row r="984">
          <cell r="W984" t="str">
            <v>QAMAB01</v>
          </cell>
          <cell r="AD984">
            <v>76500</v>
          </cell>
        </row>
        <row r="985">
          <cell r="W985" t="str">
            <v>QAMAB01</v>
          </cell>
          <cell r="AD985">
            <v>76500</v>
          </cell>
        </row>
        <row r="986">
          <cell r="W986" t="str">
            <v>QAMAB01</v>
          </cell>
          <cell r="AD986">
            <v>76500</v>
          </cell>
        </row>
        <row r="987">
          <cell r="W987" t="str">
            <v>QAMAB01</v>
          </cell>
          <cell r="AD987">
            <v>76500</v>
          </cell>
        </row>
        <row r="988">
          <cell r="W988" t="str">
            <v>QAMAB01</v>
          </cell>
          <cell r="AD988">
            <v>76500</v>
          </cell>
        </row>
        <row r="989">
          <cell r="W989" t="str">
            <v>QAMAB01</v>
          </cell>
          <cell r="AD989">
            <v>76500</v>
          </cell>
        </row>
        <row r="990">
          <cell r="W990" t="str">
            <v>QAMAB02</v>
          </cell>
          <cell r="AD990">
            <v>31000</v>
          </cell>
        </row>
        <row r="991">
          <cell r="W991" t="str">
            <v>QAMAB02</v>
          </cell>
          <cell r="AD991">
            <v>31000</v>
          </cell>
        </row>
        <row r="992">
          <cell r="W992" t="str">
            <v>QAMAB02</v>
          </cell>
          <cell r="AD992">
            <v>31500</v>
          </cell>
        </row>
        <row r="993">
          <cell r="W993" t="str">
            <v>QAMAB02</v>
          </cell>
          <cell r="AD993">
            <v>31500</v>
          </cell>
        </row>
        <row r="994">
          <cell r="W994" t="str">
            <v>QAMAB02</v>
          </cell>
          <cell r="AD994">
            <v>31500</v>
          </cell>
        </row>
        <row r="995">
          <cell r="W995" t="str">
            <v>QAMAB02</v>
          </cell>
          <cell r="AD995">
            <v>31500</v>
          </cell>
        </row>
        <row r="996">
          <cell r="W996" t="str">
            <v>QAMAB02</v>
          </cell>
          <cell r="AD996">
            <v>31500</v>
          </cell>
        </row>
        <row r="997">
          <cell r="W997" t="str">
            <v>QAMAB02</v>
          </cell>
          <cell r="AD997">
            <v>31500</v>
          </cell>
        </row>
        <row r="998">
          <cell r="W998" t="str">
            <v>QAMAB02</v>
          </cell>
          <cell r="AD998">
            <v>31500</v>
          </cell>
        </row>
        <row r="999">
          <cell r="W999" t="str">
            <v>QAMAB02</v>
          </cell>
          <cell r="AD999">
            <v>31500</v>
          </cell>
        </row>
        <row r="1000">
          <cell r="W1000" t="str">
            <v>QAMAB02</v>
          </cell>
          <cell r="AD1000">
            <v>31500</v>
          </cell>
        </row>
        <row r="1001">
          <cell r="W1001" t="str">
            <v>QAMAB02</v>
          </cell>
          <cell r="AD1001">
            <v>31500</v>
          </cell>
        </row>
        <row r="1002">
          <cell r="W1002" t="str">
            <v>QAMAB02</v>
          </cell>
          <cell r="AD1002">
            <v>31500</v>
          </cell>
        </row>
        <row r="1003">
          <cell r="W1003" t="str">
            <v>QAMAB02</v>
          </cell>
          <cell r="AD1003">
            <v>31500</v>
          </cell>
        </row>
        <row r="1004">
          <cell r="W1004" t="str">
            <v>QAMAB02</v>
          </cell>
          <cell r="AD1004">
            <v>31500</v>
          </cell>
        </row>
        <row r="1005">
          <cell r="W1005" t="str">
            <v>QAMAB02</v>
          </cell>
          <cell r="AD1005">
            <v>31500</v>
          </cell>
        </row>
        <row r="1006">
          <cell r="W1006" t="str">
            <v>QAMAB02</v>
          </cell>
          <cell r="AD1006">
            <v>31500</v>
          </cell>
        </row>
        <row r="1007">
          <cell r="W1007" t="str">
            <v>QAMAB02</v>
          </cell>
          <cell r="AD1007">
            <v>31500</v>
          </cell>
        </row>
        <row r="1008">
          <cell r="W1008" t="str">
            <v>QAMAB02</v>
          </cell>
          <cell r="AD1008">
            <v>31500</v>
          </cell>
        </row>
        <row r="1009">
          <cell r="W1009" t="str">
            <v>QAMAB02</v>
          </cell>
          <cell r="AD1009">
            <v>31500</v>
          </cell>
        </row>
        <row r="1010">
          <cell r="W1010" t="str">
            <v>QAMAB02</v>
          </cell>
          <cell r="AD1010">
            <v>31500</v>
          </cell>
        </row>
        <row r="1011">
          <cell r="W1011" t="str">
            <v>QAMAB02</v>
          </cell>
          <cell r="AD1011">
            <v>31500</v>
          </cell>
        </row>
        <row r="1012">
          <cell r="W1012" t="str">
            <v>QAMAB02</v>
          </cell>
          <cell r="AD1012">
            <v>31500</v>
          </cell>
        </row>
        <row r="1013">
          <cell r="W1013" t="str">
            <v>QAMAB02</v>
          </cell>
          <cell r="AD1013">
            <v>31500</v>
          </cell>
        </row>
        <row r="1014">
          <cell r="W1014" t="str">
            <v>QAMAB02</v>
          </cell>
          <cell r="AD1014">
            <v>31500</v>
          </cell>
        </row>
        <row r="1015">
          <cell r="W1015" t="str">
            <v>QAMAB02</v>
          </cell>
          <cell r="AD1015">
            <v>31500</v>
          </cell>
        </row>
        <row r="1016">
          <cell r="W1016" t="str">
            <v>QAMAB02</v>
          </cell>
          <cell r="AD1016">
            <v>31500</v>
          </cell>
        </row>
        <row r="1017">
          <cell r="W1017" t="str">
            <v>QAMAB02</v>
          </cell>
          <cell r="AD1017">
            <v>31500</v>
          </cell>
        </row>
        <row r="1018">
          <cell r="W1018" t="str">
            <v>QAMAB02</v>
          </cell>
          <cell r="AD1018">
            <v>31500</v>
          </cell>
        </row>
        <row r="1019">
          <cell r="W1019" t="str">
            <v>QAMAB02</v>
          </cell>
          <cell r="AD1019">
            <v>31500</v>
          </cell>
        </row>
        <row r="1020">
          <cell r="W1020" t="str">
            <v>QAMAB02</v>
          </cell>
          <cell r="AD1020">
            <v>31500</v>
          </cell>
        </row>
        <row r="1021">
          <cell r="W1021" t="str">
            <v>QAMAB02</v>
          </cell>
          <cell r="AD1021">
            <v>31500</v>
          </cell>
        </row>
        <row r="1022">
          <cell r="W1022" t="str">
            <v>QAMAB02</v>
          </cell>
          <cell r="AD1022">
            <v>31500</v>
          </cell>
        </row>
        <row r="1023">
          <cell r="W1023" t="str">
            <v>QAMAB02</v>
          </cell>
          <cell r="AD1023">
            <v>31500</v>
          </cell>
        </row>
        <row r="1024">
          <cell r="W1024" t="str">
            <v>QAMAB02</v>
          </cell>
          <cell r="AD1024">
            <v>31500</v>
          </cell>
        </row>
        <row r="1025">
          <cell r="W1025" t="str">
            <v>QAMAB02</v>
          </cell>
          <cell r="AD1025">
            <v>32000</v>
          </cell>
        </row>
        <row r="1026">
          <cell r="W1026" t="str">
            <v>QAMAB02</v>
          </cell>
          <cell r="AD1026">
            <v>32000</v>
          </cell>
        </row>
        <row r="1027">
          <cell r="W1027" t="str">
            <v>QAMAB02</v>
          </cell>
          <cell r="AD1027">
            <v>32000</v>
          </cell>
        </row>
        <row r="1028">
          <cell r="W1028" t="str">
            <v>QAMAB02</v>
          </cell>
          <cell r="AD1028">
            <v>32000</v>
          </cell>
        </row>
        <row r="1029">
          <cell r="W1029" t="str">
            <v>QAMAB02</v>
          </cell>
          <cell r="AD1029">
            <v>32000</v>
          </cell>
        </row>
        <row r="1030">
          <cell r="W1030" t="str">
            <v>QAMAB02</v>
          </cell>
          <cell r="AD1030">
            <v>32000</v>
          </cell>
        </row>
        <row r="1031">
          <cell r="W1031" t="str">
            <v>QAMAB02</v>
          </cell>
          <cell r="AD1031">
            <v>32000</v>
          </cell>
        </row>
        <row r="1032">
          <cell r="W1032" t="str">
            <v>QAMAB02</v>
          </cell>
          <cell r="AD1032">
            <v>32000</v>
          </cell>
        </row>
        <row r="1033">
          <cell r="W1033" t="str">
            <v>QAMAB02</v>
          </cell>
          <cell r="AD1033">
            <v>32000</v>
          </cell>
        </row>
        <row r="1034">
          <cell r="W1034" t="str">
            <v>QAMAB02</v>
          </cell>
          <cell r="AD1034">
            <v>32000</v>
          </cell>
        </row>
        <row r="1035">
          <cell r="W1035" t="str">
            <v>QAMAB02</v>
          </cell>
          <cell r="AD1035">
            <v>32500</v>
          </cell>
        </row>
        <row r="1036">
          <cell r="W1036" t="str">
            <v>QAMAZ01</v>
          </cell>
          <cell r="AD1036">
            <v>142000</v>
          </cell>
        </row>
        <row r="1037">
          <cell r="W1037" t="str">
            <v>QAMAZ01</v>
          </cell>
          <cell r="AD1037">
            <v>142000</v>
          </cell>
        </row>
        <row r="1038">
          <cell r="W1038" t="str">
            <v>QAMAZ01</v>
          </cell>
          <cell r="AD1038">
            <v>142000</v>
          </cell>
        </row>
        <row r="1039">
          <cell r="W1039" t="str">
            <v>QAMAZ01</v>
          </cell>
          <cell r="AD1039">
            <v>142000</v>
          </cell>
        </row>
        <row r="1040">
          <cell r="W1040" t="str">
            <v>QAMAZ01</v>
          </cell>
          <cell r="AD1040">
            <v>142000</v>
          </cell>
        </row>
        <row r="1041">
          <cell r="W1041" t="str">
            <v>QAMAZ01</v>
          </cell>
          <cell r="AD1041">
            <v>142000</v>
          </cell>
        </row>
        <row r="1042">
          <cell r="W1042" t="str">
            <v>QAMAZ01</v>
          </cell>
          <cell r="AD1042">
            <v>142000</v>
          </cell>
        </row>
        <row r="1043">
          <cell r="W1043" t="str">
            <v>QAMAZ01</v>
          </cell>
          <cell r="AD1043">
            <v>142000</v>
          </cell>
        </row>
        <row r="1044">
          <cell r="W1044" t="str">
            <v>QAMAZ01</v>
          </cell>
          <cell r="AD1044">
            <v>142000</v>
          </cell>
        </row>
        <row r="1045">
          <cell r="W1045" t="str">
            <v>QAMAZ01</v>
          </cell>
          <cell r="AD1045">
            <v>142000</v>
          </cell>
        </row>
        <row r="1046">
          <cell r="W1046" t="str">
            <v>QAMAZ01</v>
          </cell>
          <cell r="AD1046">
            <v>142000</v>
          </cell>
        </row>
        <row r="1047">
          <cell r="W1047" t="str">
            <v>QAMAZ01</v>
          </cell>
          <cell r="AD1047">
            <v>142000</v>
          </cell>
        </row>
        <row r="1048">
          <cell r="W1048" t="str">
            <v>QAMAZ01</v>
          </cell>
          <cell r="AD1048">
            <v>142500</v>
          </cell>
        </row>
        <row r="1049">
          <cell r="W1049" t="str">
            <v>QAMAZ01</v>
          </cell>
          <cell r="AD1049">
            <v>145000</v>
          </cell>
        </row>
        <row r="1050">
          <cell r="W1050" t="str">
            <v>QAMAZ02</v>
          </cell>
          <cell r="AD1050">
            <v>38636.3575757</v>
          </cell>
        </row>
        <row r="1051">
          <cell r="W1051" t="str">
            <v>QAMAZ02</v>
          </cell>
          <cell r="AD1051">
            <v>42500</v>
          </cell>
        </row>
        <row r="1052">
          <cell r="W1052" t="str">
            <v>QAMAZ02</v>
          </cell>
          <cell r="AD1052">
            <v>68000</v>
          </cell>
        </row>
        <row r="1053">
          <cell r="W1053" t="str">
            <v>QAMAZ02</v>
          </cell>
          <cell r="AD1053">
            <v>68000</v>
          </cell>
        </row>
        <row r="1054">
          <cell r="W1054" t="str">
            <v>QAMAZ02</v>
          </cell>
          <cell r="AD1054">
            <v>68000</v>
          </cell>
        </row>
        <row r="1055">
          <cell r="W1055" t="str">
            <v>QAMAZ02</v>
          </cell>
          <cell r="AD1055">
            <v>68000</v>
          </cell>
        </row>
        <row r="1056">
          <cell r="W1056" t="str">
            <v>QAMAZ02</v>
          </cell>
          <cell r="AD1056">
            <v>68000</v>
          </cell>
        </row>
        <row r="1057">
          <cell r="W1057" t="str">
            <v>QAMAZ02</v>
          </cell>
          <cell r="AD1057">
            <v>68000</v>
          </cell>
        </row>
        <row r="1058">
          <cell r="W1058" t="str">
            <v>QAMAZ02</v>
          </cell>
          <cell r="AD1058">
            <v>68000</v>
          </cell>
        </row>
        <row r="1059">
          <cell r="W1059" t="str">
            <v>QAMAZ02</v>
          </cell>
          <cell r="AD1059">
            <v>68000</v>
          </cell>
        </row>
        <row r="1060">
          <cell r="W1060" t="str">
            <v>QAMAZ02</v>
          </cell>
          <cell r="AD1060">
            <v>68000</v>
          </cell>
        </row>
        <row r="1061">
          <cell r="W1061" t="str">
            <v>QAMAZ02</v>
          </cell>
          <cell r="AD1061">
            <v>68000</v>
          </cell>
        </row>
        <row r="1062">
          <cell r="W1062" t="str">
            <v>QAMAZ02</v>
          </cell>
          <cell r="AD1062">
            <v>68000</v>
          </cell>
        </row>
        <row r="1063">
          <cell r="W1063" t="str">
            <v>QAMAZ02</v>
          </cell>
          <cell r="AD1063">
            <v>68500</v>
          </cell>
        </row>
        <row r="1064">
          <cell r="W1064" t="str">
            <v>QAMAZ02</v>
          </cell>
          <cell r="AD1064">
            <v>68500</v>
          </cell>
        </row>
        <row r="1065">
          <cell r="W1065" t="str">
            <v>QAMBE02</v>
          </cell>
          <cell r="AD1065">
            <v>158000</v>
          </cell>
        </row>
        <row r="1066">
          <cell r="W1066" t="str">
            <v>QAMBE01</v>
          </cell>
          <cell r="AD1066">
            <v>77000</v>
          </cell>
        </row>
        <row r="1067">
          <cell r="W1067" t="str">
            <v>QAMCO12</v>
          </cell>
          <cell r="AD1067">
            <v>127500</v>
          </cell>
        </row>
        <row r="1068">
          <cell r="W1068" t="str">
            <v>QAMCO12</v>
          </cell>
          <cell r="AD1068">
            <v>127500</v>
          </cell>
        </row>
        <row r="1069">
          <cell r="W1069" t="str">
            <v>QAMCO13</v>
          </cell>
          <cell r="AD1069">
            <v>66500</v>
          </cell>
        </row>
        <row r="1070">
          <cell r="W1070" t="str">
            <v>QAMCO13</v>
          </cell>
          <cell r="AD1070">
            <v>81000</v>
          </cell>
        </row>
        <row r="1071">
          <cell r="W1071" t="str">
            <v>QAMCO13</v>
          </cell>
          <cell r="AD1071">
            <v>81000</v>
          </cell>
        </row>
        <row r="1072">
          <cell r="W1072" t="str">
            <v>QAMCO13</v>
          </cell>
          <cell r="AD1072">
            <v>81000</v>
          </cell>
        </row>
        <row r="1073">
          <cell r="W1073" t="str">
            <v>QAMCO13</v>
          </cell>
          <cell r="AD1073">
            <v>81000</v>
          </cell>
        </row>
        <row r="1074">
          <cell r="W1074" t="str">
            <v>QAMCO13</v>
          </cell>
          <cell r="AD1074">
            <v>81000</v>
          </cell>
        </row>
        <row r="1075">
          <cell r="W1075" t="str">
            <v>QAMCO16</v>
          </cell>
          <cell r="AD1075">
            <v>43000</v>
          </cell>
        </row>
        <row r="1076">
          <cell r="W1076" t="str">
            <v>QAMCO16</v>
          </cell>
          <cell r="AD1076">
            <v>43000</v>
          </cell>
        </row>
        <row r="1077">
          <cell r="W1077" t="str">
            <v>QAMCO16</v>
          </cell>
          <cell r="AD1077">
            <v>43500</v>
          </cell>
        </row>
        <row r="1078">
          <cell r="W1078" t="str">
            <v>QAMCO16</v>
          </cell>
          <cell r="AD1078">
            <v>43500</v>
          </cell>
        </row>
        <row r="1079">
          <cell r="W1079" t="str">
            <v>QAMCO16</v>
          </cell>
          <cell r="AD1079">
            <v>43500</v>
          </cell>
        </row>
        <row r="1080">
          <cell r="W1080" t="str">
            <v>QAMIN03</v>
          </cell>
          <cell r="AD1080">
            <v>11000</v>
          </cell>
        </row>
        <row r="1081">
          <cell r="W1081" t="str">
            <v>QAMIN03</v>
          </cell>
          <cell r="AD1081">
            <v>16000</v>
          </cell>
        </row>
        <row r="1082">
          <cell r="W1082" t="str">
            <v>QAMIN01</v>
          </cell>
          <cell r="AD1082">
            <v>55000</v>
          </cell>
        </row>
        <row r="1083">
          <cell r="W1083" t="str">
            <v>QAMIN01</v>
          </cell>
          <cell r="AD1083">
            <v>59000</v>
          </cell>
        </row>
        <row r="1084">
          <cell r="W1084" t="str">
            <v>QAMIN01</v>
          </cell>
          <cell r="AD1084">
            <v>59000</v>
          </cell>
        </row>
        <row r="1085">
          <cell r="W1085" t="str">
            <v>QAMIN01</v>
          </cell>
          <cell r="AD1085">
            <v>60000</v>
          </cell>
        </row>
        <row r="1086">
          <cell r="W1086" t="str">
            <v>QAMIN01</v>
          </cell>
          <cell r="AD1086">
            <v>60000</v>
          </cell>
        </row>
        <row r="1087">
          <cell r="W1087" t="str">
            <v>QAMIN01</v>
          </cell>
          <cell r="AD1087">
            <v>60000</v>
          </cell>
        </row>
        <row r="1088">
          <cell r="W1088" t="str">
            <v>QAMIN01</v>
          </cell>
          <cell r="AD1088">
            <v>60000</v>
          </cell>
        </row>
        <row r="1089">
          <cell r="W1089" t="str">
            <v>QAMIN01</v>
          </cell>
          <cell r="AD1089">
            <v>60000</v>
          </cell>
        </row>
        <row r="1090">
          <cell r="W1090" t="str">
            <v>QAMIN01</v>
          </cell>
          <cell r="AD1090">
            <v>60000</v>
          </cell>
        </row>
        <row r="1091">
          <cell r="W1091" t="str">
            <v>QAMIN01</v>
          </cell>
          <cell r="AD1091">
            <v>60000</v>
          </cell>
        </row>
        <row r="1092">
          <cell r="W1092" t="str">
            <v>QAMIN01</v>
          </cell>
          <cell r="AD1092">
            <v>60000</v>
          </cell>
        </row>
        <row r="1093">
          <cell r="W1093" t="str">
            <v>QAMIN01</v>
          </cell>
          <cell r="AD1093">
            <v>60000</v>
          </cell>
        </row>
        <row r="1094">
          <cell r="W1094" t="str">
            <v>QAMIS01</v>
          </cell>
          <cell r="AD1094">
            <v>46500</v>
          </cell>
        </row>
        <row r="1095">
          <cell r="W1095" t="str">
            <v>QAMIS01</v>
          </cell>
          <cell r="AD1095">
            <v>46500</v>
          </cell>
        </row>
        <row r="1096">
          <cell r="W1096" t="str">
            <v>QAMIS01</v>
          </cell>
          <cell r="AD1096">
            <v>46500</v>
          </cell>
        </row>
        <row r="1097">
          <cell r="W1097" t="str">
            <v>QAMIS01</v>
          </cell>
          <cell r="AD1097">
            <v>46750</v>
          </cell>
        </row>
        <row r="1098">
          <cell r="W1098" t="str">
            <v>QAMIS01</v>
          </cell>
          <cell r="AD1098">
            <v>46750</v>
          </cell>
        </row>
        <row r="1099">
          <cell r="W1099" t="str">
            <v>QAMIS01</v>
          </cell>
          <cell r="AD1099">
            <v>46750</v>
          </cell>
        </row>
        <row r="1100">
          <cell r="W1100" t="str">
            <v>QAMIS01</v>
          </cell>
          <cell r="AD1100">
            <v>46750</v>
          </cell>
        </row>
        <row r="1101">
          <cell r="W1101" t="str">
            <v>QAMIS01</v>
          </cell>
          <cell r="AD1101">
            <v>46750</v>
          </cell>
        </row>
        <row r="1102">
          <cell r="W1102" t="str">
            <v>QAMIS01</v>
          </cell>
          <cell r="AD1102">
            <v>46750</v>
          </cell>
        </row>
        <row r="1103">
          <cell r="W1103" t="str">
            <v>QAMIS01</v>
          </cell>
          <cell r="AD1103">
            <v>46750</v>
          </cell>
        </row>
        <row r="1104">
          <cell r="W1104" t="str">
            <v>QAMIS01</v>
          </cell>
          <cell r="AD1104">
            <v>46800</v>
          </cell>
        </row>
        <row r="1105">
          <cell r="W1105" t="str">
            <v>QAMIS01</v>
          </cell>
          <cell r="AD1105">
            <v>46800</v>
          </cell>
        </row>
        <row r="1106">
          <cell r="W1106" t="str">
            <v>QAMIS01</v>
          </cell>
          <cell r="AD1106">
            <v>46800</v>
          </cell>
        </row>
        <row r="1107">
          <cell r="W1107" t="str">
            <v>QAMIS01</v>
          </cell>
          <cell r="AD1107">
            <v>46800</v>
          </cell>
        </row>
        <row r="1108">
          <cell r="W1108" t="str">
            <v>QAMIS01</v>
          </cell>
          <cell r="AD1108">
            <v>46800</v>
          </cell>
        </row>
        <row r="1109">
          <cell r="W1109" t="str">
            <v>QAMIS01</v>
          </cell>
          <cell r="AD1109">
            <v>47000</v>
          </cell>
        </row>
        <row r="1110">
          <cell r="W1110" t="str">
            <v>QAMIS01</v>
          </cell>
          <cell r="AD1110">
            <v>47000</v>
          </cell>
        </row>
        <row r="1111">
          <cell r="W1111" t="str">
            <v>AAMIS01</v>
          </cell>
          <cell r="AD1111">
            <v>47250</v>
          </cell>
        </row>
        <row r="1112">
          <cell r="W1112" t="str">
            <v>QAMIS01</v>
          </cell>
          <cell r="AD1112">
            <v>47500</v>
          </cell>
        </row>
        <row r="1113">
          <cell r="W1113" t="str">
            <v>QAMIS01</v>
          </cell>
          <cell r="AD1113">
            <v>47500</v>
          </cell>
        </row>
        <row r="1114">
          <cell r="W1114" t="str">
            <v>QAMIS01</v>
          </cell>
          <cell r="AD1114">
            <v>47500</v>
          </cell>
        </row>
        <row r="1115">
          <cell r="W1115" t="str">
            <v>QAMIS01</v>
          </cell>
          <cell r="AD1115">
            <v>47500</v>
          </cell>
        </row>
        <row r="1116">
          <cell r="W1116" t="str">
            <v>QAMIS01</v>
          </cell>
          <cell r="AD1116">
            <v>48000</v>
          </cell>
        </row>
        <row r="1117">
          <cell r="W1117" t="str">
            <v>AAMIS01</v>
          </cell>
          <cell r="AD1117">
            <v>48000</v>
          </cell>
        </row>
        <row r="1118">
          <cell r="W1118" t="str">
            <v>QAMIS03</v>
          </cell>
          <cell r="AD1118">
            <v>216750</v>
          </cell>
        </row>
        <row r="1119">
          <cell r="W1119" t="str">
            <v>QAMIS03</v>
          </cell>
          <cell r="AD1119">
            <v>216750</v>
          </cell>
        </row>
        <row r="1120">
          <cell r="W1120" t="str">
            <v>QAMIS03</v>
          </cell>
          <cell r="AD1120">
            <v>217000</v>
          </cell>
        </row>
        <row r="1121">
          <cell r="W1121" t="str">
            <v>QAMIS03</v>
          </cell>
          <cell r="AD1121">
            <v>217000</v>
          </cell>
        </row>
        <row r="1122">
          <cell r="W1122" t="str">
            <v>QAMIS03</v>
          </cell>
          <cell r="AD1122">
            <v>217000</v>
          </cell>
        </row>
        <row r="1123">
          <cell r="W1123" t="str">
            <v>QAMIS03</v>
          </cell>
          <cell r="AD1123">
            <v>217000</v>
          </cell>
        </row>
        <row r="1124">
          <cell r="W1124" t="str">
            <v>QAMIS03</v>
          </cell>
          <cell r="AD1124">
            <v>217000</v>
          </cell>
        </row>
        <row r="1125">
          <cell r="W1125" t="str">
            <v>QAMIS03</v>
          </cell>
          <cell r="AD1125">
            <v>217000</v>
          </cell>
        </row>
        <row r="1126">
          <cell r="W1126" t="str">
            <v>QAMIS03</v>
          </cell>
          <cell r="AD1126">
            <v>218000</v>
          </cell>
        </row>
        <row r="1127">
          <cell r="W1127" t="str">
            <v>QAMIS03</v>
          </cell>
          <cell r="AD1127">
            <v>218000</v>
          </cell>
        </row>
        <row r="1128">
          <cell r="W1128" t="str">
            <v>QAMIS03</v>
          </cell>
          <cell r="AD1128">
            <v>218000</v>
          </cell>
        </row>
        <row r="1129">
          <cell r="W1129" t="str">
            <v>QAMIS03</v>
          </cell>
          <cell r="AD1129">
            <v>218000</v>
          </cell>
        </row>
        <row r="1130">
          <cell r="W1130" t="str">
            <v>QAMIS03</v>
          </cell>
          <cell r="AD1130">
            <v>218500</v>
          </cell>
        </row>
        <row r="1131">
          <cell r="W1131" t="str">
            <v>QAMIS03</v>
          </cell>
          <cell r="AD1131">
            <v>218500</v>
          </cell>
        </row>
        <row r="1132">
          <cell r="W1132" t="str">
            <v>QAMIS03</v>
          </cell>
          <cell r="AD1132">
            <v>218500</v>
          </cell>
        </row>
        <row r="1133">
          <cell r="W1133" t="str">
            <v>QAMIS03</v>
          </cell>
          <cell r="AD1133">
            <v>218500</v>
          </cell>
        </row>
        <row r="1134">
          <cell r="W1134" t="str">
            <v>QAMIS03</v>
          </cell>
          <cell r="AD1134">
            <v>218500</v>
          </cell>
        </row>
        <row r="1135">
          <cell r="W1135" t="str">
            <v>QAMIS03</v>
          </cell>
          <cell r="AD1135">
            <v>218500</v>
          </cell>
        </row>
        <row r="1136">
          <cell r="W1136" t="str">
            <v>QAMIS03</v>
          </cell>
          <cell r="AD1136">
            <v>218500</v>
          </cell>
        </row>
        <row r="1137">
          <cell r="W1137" t="str">
            <v>QAMIS03</v>
          </cell>
          <cell r="AD1137">
            <v>218500</v>
          </cell>
        </row>
        <row r="1138">
          <cell r="W1138" t="str">
            <v>QAMIS03</v>
          </cell>
          <cell r="AD1138">
            <v>218500</v>
          </cell>
        </row>
        <row r="1139">
          <cell r="W1139" t="str">
            <v>QAMIS03</v>
          </cell>
          <cell r="AD1139">
            <v>218500</v>
          </cell>
        </row>
        <row r="1140">
          <cell r="W1140" t="str">
            <v>QAMIS03</v>
          </cell>
          <cell r="AD1140">
            <v>218500</v>
          </cell>
        </row>
        <row r="1141">
          <cell r="W1141" t="str">
            <v>QAMIS03</v>
          </cell>
          <cell r="AD1141">
            <v>218500</v>
          </cell>
        </row>
        <row r="1142">
          <cell r="W1142" t="str">
            <v>QAMIS03</v>
          </cell>
          <cell r="AD1142">
            <v>218600</v>
          </cell>
        </row>
        <row r="1143">
          <cell r="W1143" t="str">
            <v>QAMIS03</v>
          </cell>
          <cell r="AD1143">
            <v>218600</v>
          </cell>
        </row>
        <row r="1144">
          <cell r="W1144" t="str">
            <v>QAMIS03</v>
          </cell>
          <cell r="AD1144">
            <v>218600</v>
          </cell>
        </row>
        <row r="1145">
          <cell r="W1145" t="str">
            <v>QAMIS03</v>
          </cell>
          <cell r="AD1145">
            <v>218600</v>
          </cell>
        </row>
        <row r="1146">
          <cell r="W1146" t="str">
            <v>QAMIS03</v>
          </cell>
          <cell r="AD1146">
            <v>219000</v>
          </cell>
        </row>
        <row r="1147">
          <cell r="W1147" t="str">
            <v>QAMIS03</v>
          </cell>
          <cell r="AD1147">
            <v>219000</v>
          </cell>
        </row>
        <row r="1148">
          <cell r="W1148" t="str">
            <v>QAMIS03</v>
          </cell>
          <cell r="AD1148">
            <v>220000</v>
          </cell>
        </row>
        <row r="1149">
          <cell r="W1149" t="str">
            <v>QAMIS03</v>
          </cell>
          <cell r="AD1149">
            <v>220000</v>
          </cell>
        </row>
        <row r="1150">
          <cell r="W1150" t="str">
            <v>QAMIS03</v>
          </cell>
          <cell r="AD1150">
            <v>221000</v>
          </cell>
        </row>
        <row r="1151">
          <cell r="W1151" t="str">
            <v>QAMIS03</v>
          </cell>
          <cell r="AD1151">
            <v>221000</v>
          </cell>
        </row>
        <row r="1152">
          <cell r="W1152" t="str">
            <v>QAMIS03</v>
          </cell>
          <cell r="AD1152">
            <v>223500</v>
          </cell>
        </row>
        <row r="1153">
          <cell r="W1153" t="str">
            <v>QAMIS03</v>
          </cell>
          <cell r="AD1153">
            <v>223500</v>
          </cell>
        </row>
        <row r="1154">
          <cell r="W1154" t="str">
            <v>QAMIS03</v>
          </cell>
          <cell r="AD1154">
            <v>223500</v>
          </cell>
        </row>
        <row r="1155">
          <cell r="W1155" t="str">
            <v>QAMIS03</v>
          </cell>
          <cell r="AD1155">
            <v>225000</v>
          </cell>
        </row>
        <row r="1156">
          <cell r="W1156" t="str">
            <v>QAMIS02</v>
          </cell>
          <cell r="AD1156">
            <v>89750</v>
          </cell>
        </row>
        <row r="1157">
          <cell r="W1157" t="str">
            <v>QAMIS02</v>
          </cell>
          <cell r="AD1157">
            <v>90000</v>
          </cell>
        </row>
        <row r="1158">
          <cell r="W1158" t="str">
            <v>QAMIS02</v>
          </cell>
          <cell r="AD1158">
            <v>90000</v>
          </cell>
        </row>
        <row r="1159">
          <cell r="W1159" t="str">
            <v>QAMIS02</v>
          </cell>
          <cell r="AD1159">
            <v>90000</v>
          </cell>
        </row>
        <row r="1160">
          <cell r="W1160" t="str">
            <v>QAMIS02</v>
          </cell>
          <cell r="AD1160">
            <v>90000</v>
          </cell>
        </row>
        <row r="1161">
          <cell r="W1161" t="str">
            <v>QAMIS02</v>
          </cell>
          <cell r="AD1161">
            <v>90000</v>
          </cell>
        </row>
        <row r="1162">
          <cell r="W1162" t="str">
            <v>QAMIS02</v>
          </cell>
          <cell r="AD1162">
            <v>90500</v>
          </cell>
        </row>
        <row r="1163">
          <cell r="W1163" t="str">
            <v>QAMIS02</v>
          </cell>
          <cell r="AD1163">
            <v>90500</v>
          </cell>
        </row>
        <row r="1164">
          <cell r="W1164" t="str">
            <v>QAMIS02</v>
          </cell>
          <cell r="AD1164">
            <v>90500</v>
          </cell>
        </row>
        <row r="1165">
          <cell r="W1165" t="str">
            <v>QAMIS02</v>
          </cell>
          <cell r="AD1165">
            <v>90500</v>
          </cell>
        </row>
        <row r="1166">
          <cell r="W1166" t="str">
            <v>QAMIS02</v>
          </cell>
          <cell r="AD1166">
            <v>90500</v>
          </cell>
        </row>
        <row r="1167">
          <cell r="W1167" t="str">
            <v>QAMIS02</v>
          </cell>
          <cell r="AD1167">
            <v>90500</v>
          </cell>
        </row>
        <row r="1168">
          <cell r="W1168" t="str">
            <v>QAMIS02</v>
          </cell>
          <cell r="AD1168">
            <v>90500</v>
          </cell>
        </row>
        <row r="1169">
          <cell r="W1169" t="str">
            <v>QAMIS02</v>
          </cell>
          <cell r="AD1169">
            <v>90550</v>
          </cell>
        </row>
        <row r="1170">
          <cell r="W1170" t="str">
            <v>QAMIS02</v>
          </cell>
          <cell r="AD1170">
            <v>90550</v>
          </cell>
        </row>
        <row r="1171">
          <cell r="W1171" t="str">
            <v>QAMIS02</v>
          </cell>
          <cell r="AD1171">
            <v>90550</v>
          </cell>
        </row>
        <row r="1172">
          <cell r="W1172" t="str">
            <v>QAMIS02</v>
          </cell>
          <cell r="AD1172">
            <v>90600</v>
          </cell>
        </row>
        <row r="1173">
          <cell r="W1173" t="str">
            <v>QAMIS02</v>
          </cell>
          <cell r="AD1173">
            <v>90600</v>
          </cell>
        </row>
        <row r="1174">
          <cell r="W1174" t="str">
            <v>QAMIS02</v>
          </cell>
          <cell r="AD1174">
            <v>90600</v>
          </cell>
        </row>
        <row r="1175">
          <cell r="W1175" t="str">
            <v>QAMIS02</v>
          </cell>
          <cell r="AD1175">
            <v>90600</v>
          </cell>
        </row>
        <row r="1176">
          <cell r="W1176" t="str">
            <v>QAMIS02</v>
          </cell>
          <cell r="AD1176">
            <v>90750</v>
          </cell>
        </row>
        <row r="1177">
          <cell r="W1177" t="str">
            <v>QAMIS02</v>
          </cell>
          <cell r="AD1177">
            <v>91000</v>
          </cell>
        </row>
        <row r="1178">
          <cell r="W1178" t="str">
            <v>QAMIS02</v>
          </cell>
          <cell r="AD1178">
            <v>91000</v>
          </cell>
        </row>
        <row r="1179">
          <cell r="W1179" t="str">
            <v>QAMIS02</v>
          </cell>
          <cell r="AD1179">
            <v>91000</v>
          </cell>
        </row>
        <row r="1180">
          <cell r="W1180" t="str">
            <v>QAMIS02</v>
          </cell>
          <cell r="AD1180">
            <v>91000</v>
          </cell>
        </row>
        <row r="1181">
          <cell r="W1181" t="str">
            <v>QAMIS02</v>
          </cell>
          <cell r="AD1181">
            <v>91000</v>
          </cell>
        </row>
        <row r="1182">
          <cell r="W1182" t="str">
            <v>QAMIS02</v>
          </cell>
          <cell r="AD1182">
            <v>91500</v>
          </cell>
        </row>
        <row r="1183">
          <cell r="W1183" t="str">
            <v>QAMIS02</v>
          </cell>
          <cell r="AD1183">
            <v>91500</v>
          </cell>
        </row>
        <row r="1184">
          <cell r="W1184" t="str">
            <v>QAMIS02</v>
          </cell>
          <cell r="AD1184">
            <v>91500</v>
          </cell>
        </row>
        <row r="1185">
          <cell r="W1185" t="str">
            <v>QAMIS02</v>
          </cell>
          <cell r="AD1185">
            <v>91500</v>
          </cell>
        </row>
        <row r="1186">
          <cell r="W1186" t="str">
            <v>QAMIS02</v>
          </cell>
          <cell r="AD1186">
            <v>91500</v>
          </cell>
        </row>
        <row r="1187">
          <cell r="W1187" t="str">
            <v>QAMIS02</v>
          </cell>
          <cell r="AD1187">
            <v>91500</v>
          </cell>
        </row>
        <row r="1188">
          <cell r="W1188" t="str">
            <v>QAMIS02</v>
          </cell>
          <cell r="AD1188">
            <v>91500</v>
          </cell>
        </row>
        <row r="1189">
          <cell r="W1189" t="str">
            <v>QAMIS02</v>
          </cell>
          <cell r="AD1189">
            <v>91500</v>
          </cell>
        </row>
        <row r="1190">
          <cell r="W1190" t="str">
            <v>QAMIS02</v>
          </cell>
          <cell r="AD1190">
            <v>91500</v>
          </cell>
        </row>
        <row r="1191">
          <cell r="W1191" t="str">
            <v>QAMIS02</v>
          </cell>
          <cell r="AD1191">
            <v>92000</v>
          </cell>
        </row>
        <row r="1192">
          <cell r="W1192" t="str">
            <v>QAMIS02</v>
          </cell>
          <cell r="AD1192">
            <v>92500</v>
          </cell>
        </row>
        <row r="1193">
          <cell r="W1193" t="str">
            <v>QAMMA04</v>
          </cell>
          <cell r="AD1193">
            <v>102750</v>
          </cell>
        </row>
        <row r="1194">
          <cell r="W1194" t="str">
            <v>QAMMA04</v>
          </cell>
          <cell r="AD1194">
            <v>102750</v>
          </cell>
        </row>
        <row r="1195">
          <cell r="W1195" t="str">
            <v>QAMMA04</v>
          </cell>
          <cell r="AD1195">
            <v>102750</v>
          </cell>
        </row>
        <row r="1196">
          <cell r="W1196" t="str">
            <v>QAMMA04</v>
          </cell>
          <cell r="AD1196">
            <v>104000</v>
          </cell>
        </row>
        <row r="1197">
          <cell r="W1197" t="str">
            <v>QAMMA04</v>
          </cell>
          <cell r="AD1197">
            <v>104000</v>
          </cell>
        </row>
        <row r="1198">
          <cell r="W1198" t="str">
            <v>QAMMA04</v>
          </cell>
          <cell r="AD1198">
            <v>104000</v>
          </cell>
        </row>
        <row r="1199">
          <cell r="W1199" t="str">
            <v>QAMMA04</v>
          </cell>
          <cell r="AD1199">
            <v>104000</v>
          </cell>
        </row>
        <row r="1200">
          <cell r="W1200" t="str">
            <v>QAMMA04</v>
          </cell>
          <cell r="AD1200">
            <v>104000</v>
          </cell>
        </row>
        <row r="1201">
          <cell r="W1201" t="str">
            <v>QAMMA04</v>
          </cell>
          <cell r="AD1201">
            <v>104000</v>
          </cell>
        </row>
        <row r="1202">
          <cell r="W1202" t="str">
            <v>QAMMA04</v>
          </cell>
          <cell r="AD1202">
            <v>105000</v>
          </cell>
        </row>
        <row r="1203">
          <cell r="W1203" t="str">
            <v>QAMMA04</v>
          </cell>
          <cell r="AD1203">
            <v>105000</v>
          </cell>
        </row>
        <row r="1204">
          <cell r="W1204" t="str">
            <v>QAMMA04</v>
          </cell>
          <cell r="AD1204">
            <v>105000</v>
          </cell>
        </row>
        <row r="1205">
          <cell r="W1205" t="str">
            <v>QAMMA04</v>
          </cell>
          <cell r="AD1205">
            <v>105000</v>
          </cell>
        </row>
        <row r="1206">
          <cell r="W1206" t="str">
            <v>QAMMA04</v>
          </cell>
          <cell r="AD1206">
            <v>105000</v>
          </cell>
        </row>
        <row r="1207">
          <cell r="W1207" t="str">
            <v>QAMMA04</v>
          </cell>
          <cell r="AD1207">
            <v>105000</v>
          </cell>
        </row>
        <row r="1208">
          <cell r="W1208" t="str">
            <v>QAMMA04</v>
          </cell>
          <cell r="AD1208">
            <v>105000</v>
          </cell>
        </row>
        <row r="1209">
          <cell r="W1209" t="str">
            <v>QAMMA04</v>
          </cell>
          <cell r="AD1209">
            <v>105000</v>
          </cell>
        </row>
        <row r="1210">
          <cell r="W1210" t="str">
            <v>QAMMA04</v>
          </cell>
          <cell r="AD1210">
            <v>105000</v>
          </cell>
        </row>
        <row r="1211">
          <cell r="W1211" t="str">
            <v>QAMMA04</v>
          </cell>
          <cell r="AD1211">
            <v>105000</v>
          </cell>
        </row>
        <row r="1212">
          <cell r="W1212" t="str">
            <v>QAMMA04</v>
          </cell>
          <cell r="AD1212">
            <v>105000</v>
          </cell>
        </row>
        <row r="1213">
          <cell r="W1213" t="str">
            <v>QAMMA04</v>
          </cell>
          <cell r="AD1213">
            <v>105000</v>
          </cell>
        </row>
        <row r="1214">
          <cell r="W1214" t="str">
            <v>QAMMA04</v>
          </cell>
          <cell r="AD1214">
            <v>105000</v>
          </cell>
        </row>
        <row r="1215">
          <cell r="W1215" t="str">
            <v>QAMMA04</v>
          </cell>
          <cell r="AD1215">
            <v>105000</v>
          </cell>
        </row>
        <row r="1216">
          <cell r="W1216" t="str">
            <v>QAMMA04</v>
          </cell>
          <cell r="AD1216">
            <v>105000</v>
          </cell>
        </row>
        <row r="1217">
          <cell r="W1217" t="str">
            <v>QAMMA04</v>
          </cell>
          <cell r="AD1217">
            <v>105000</v>
          </cell>
        </row>
        <row r="1218">
          <cell r="W1218" t="str">
            <v>QAMMA04</v>
          </cell>
          <cell r="AD1218">
            <v>105000</v>
          </cell>
        </row>
        <row r="1219">
          <cell r="W1219" t="str">
            <v>QAMMA04</v>
          </cell>
          <cell r="AD1219">
            <v>105000</v>
          </cell>
        </row>
        <row r="1220">
          <cell r="W1220" t="str">
            <v>QAMMA04</v>
          </cell>
          <cell r="AD1220">
            <v>105000</v>
          </cell>
        </row>
        <row r="1221">
          <cell r="W1221" t="str">
            <v>QAMMA04</v>
          </cell>
          <cell r="AD1221">
            <v>105000</v>
          </cell>
        </row>
        <row r="1222">
          <cell r="W1222" t="str">
            <v>QAMMA04</v>
          </cell>
          <cell r="AD1222">
            <v>105000</v>
          </cell>
        </row>
        <row r="1223">
          <cell r="W1223" t="str">
            <v>QAMMA04</v>
          </cell>
          <cell r="AD1223">
            <v>105000</v>
          </cell>
        </row>
        <row r="1224">
          <cell r="W1224" t="str">
            <v>QAMMA04</v>
          </cell>
          <cell r="AD1224">
            <v>105000</v>
          </cell>
        </row>
        <row r="1225">
          <cell r="W1225" t="str">
            <v>QAMMA04</v>
          </cell>
          <cell r="AD1225">
            <v>105500</v>
          </cell>
        </row>
        <row r="1226">
          <cell r="W1226" t="str">
            <v>QAMMA04</v>
          </cell>
          <cell r="AD1226">
            <v>106000</v>
          </cell>
        </row>
        <row r="1227">
          <cell r="W1227" t="str">
            <v>QAMMA03</v>
          </cell>
          <cell r="AD1227">
            <v>53750</v>
          </cell>
        </row>
        <row r="1228">
          <cell r="W1228" t="str">
            <v>QAMMA03</v>
          </cell>
          <cell r="AD1228">
            <v>54000</v>
          </cell>
        </row>
        <row r="1229">
          <cell r="W1229" t="str">
            <v>QAMMA03</v>
          </cell>
          <cell r="AD1229">
            <v>54000</v>
          </cell>
        </row>
        <row r="1230">
          <cell r="W1230" t="str">
            <v>QAMMA03</v>
          </cell>
          <cell r="AD1230">
            <v>54000</v>
          </cell>
        </row>
        <row r="1231">
          <cell r="W1231" t="str">
            <v>QAMMA03</v>
          </cell>
          <cell r="AD1231">
            <v>54000</v>
          </cell>
        </row>
        <row r="1232">
          <cell r="W1232" t="str">
            <v>QAMMA03</v>
          </cell>
          <cell r="AD1232">
            <v>54000</v>
          </cell>
        </row>
        <row r="1233">
          <cell r="W1233" t="str">
            <v>QAMMA03</v>
          </cell>
          <cell r="AD1233">
            <v>55000</v>
          </cell>
        </row>
        <row r="1234">
          <cell r="W1234" t="str">
            <v>QAMMA03</v>
          </cell>
          <cell r="AD1234">
            <v>55000</v>
          </cell>
        </row>
        <row r="1235">
          <cell r="W1235" t="str">
            <v>QAMMA03</v>
          </cell>
          <cell r="AD1235">
            <v>55000</v>
          </cell>
        </row>
        <row r="1236">
          <cell r="W1236" t="str">
            <v>QAMMA03</v>
          </cell>
          <cell r="AD1236">
            <v>55000</v>
          </cell>
        </row>
        <row r="1237">
          <cell r="W1237" t="str">
            <v>QAMMA03</v>
          </cell>
          <cell r="AD1237">
            <v>55000</v>
          </cell>
        </row>
        <row r="1238">
          <cell r="W1238" t="str">
            <v>QAMMA03</v>
          </cell>
          <cell r="AD1238">
            <v>55000</v>
          </cell>
        </row>
        <row r="1239">
          <cell r="W1239" t="str">
            <v>QAMMA03</v>
          </cell>
          <cell r="AD1239">
            <v>55000</v>
          </cell>
        </row>
        <row r="1240">
          <cell r="W1240" t="str">
            <v>QAMMA03</v>
          </cell>
          <cell r="AD1240">
            <v>55000</v>
          </cell>
        </row>
        <row r="1241">
          <cell r="W1241" t="str">
            <v>QAMMA03</v>
          </cell>
          <cell r="AD1241">
            <v>55000</v>
          </cell>
        </row>
        <row r="1242">
          <cell r="W1242" t="str">
            <v>QAMMA03</v>
          </cell>
          <cell r="AD1242">
            <v>55000</v>
          </cell>
        </row>
        <row r="1243">
          <cell r="W1243" t="str">
            <v>QAMMA03</v>
          </cell>
          <cell r="AD1243">
            <v>55000</v>
          </cell>
        </row>
        <row r="1244">
          <cell r="W1244" t="str">
            <v>QAMMA03</v>
          </cell>
          <cell r="AD1244">
            <v>55000</v>
          </cell>
        </row>
        <row r="1245">
          <cell r="W1245" t="str">
            <v>QAMMA03</v>
          </cell>
          <cell r="AD1245">
            <v>55000</v>
          </cell>
        </row>
        <row r="1246">
          <cell r="W1246" t="str">
            <v>QAMMA03</v>
          </cell>
          <cell r="AD1246">
            <v>55000</v>
          </cell>
        </row>
        <row r="1247">
          <cell r="W1247" t="str">
            <v>QAMMA03</v>
          </cell>
          <cell r="AD1247">
            <v>55000</v>
          </cell>
        </row>
        <row r="1248">
          <cell r="W1248" t="str">
            <v>QAMMA03</v>
          </cell>
          <cell r="AD1248">
            <v>55000</v>
          </cell>
        </row>
        <row r="1249">
          <cell r="W1249" t="str">
            <v>QAMMA03</v>
          </cell>
          <cell r="AD1249">
            <v>55000</v>
          </cell>
        </row>
        <row r="1250">
          <cell r="W1250" t="str">
            <v>QAMMA03</v>
          </cell>
          <cell r="AD1250">
            <v>56000</v>
          </cell>
        </row>
        <row r="1251">
          <cell r="W1251" t="str">
            <v>QAMMA03</v>
          </cell>
          <cell r="AD1251">
            <v>56000</v>
          </cell>
        </row>
        <row r="1252">
          <cell r="W1252" t="str">
            <v>QAMMA03</v>
          </cell>
          <cell r="AD1252">
            <v>56000</v>
          </cell>
        </row>
        <row r="1253">
          <cell r="W1253" t="str">
            <v>QAMMA03</v>
          </cell>
          <cell r="AD1253">
            <v>56000</v>
          </cell>
        </row>
        <row r="1254">
          <cell r="W1254" t="str">
            <v>QAMMA03</v>
          </cell>
          <cell r="AD1254">
            <v>56000</v>
          </cell>
        </row>
        <row r="1255">
          <cell r="W1255" t="str">
            <v>QAMMA03</v>
          </cell>
          <cell r="AD1255">
            <v>56000</v>
          </cell>
        </row>
        <row r="1256">
          <cell r="W1256" t="str">
            <v>QAMMA03</v>
          </cell>
          <cell r="AD1256">
            <v>56000</v>
          </cell>
        </row>
        <row r="1257">
          <cell r="W1257" t="str">
            <v>QAMMA03</v>
          </cell>
          <cell r="AD1257">
            <v>56000</v>
          </cell>
        </row>
        <row r="1258">
          <cell r="W1258" t="str">
            <v>QAMMA03</v>
          </cell>
          <cell r="AD1258">
            <v>56000</v>
          </cell>
        </row>
        <row r="1259">
          <cell r="W1259" t="str">
            <v>QAMMA03</v>
          </cell>
          <cell r="AD1259">
            <v>56000</v>
          </cell>
        </row>
        <row r="1260">
          <cell r="W1260" t="str">
            <v>QAMMA03</v>
          </cell>
          <cell r="AD1260">
            <v>56000</v>
          </cell>
        </row>
        <row r="1261">
          <cell r="W1261" t="str">
            <v>QAMMA03</v>
          </cell>
          <cell r="AD1261">
            <v>56000</v>
          </cell>
        </row>
        <row r="1262">
          <cell r="W1262" t="str">
            <v>QAMMA03</v>
          </cell>
          <cell r="AD1262">
            <v>56000</v>
          </cell>
        </row>
        <row r="1263">
          <cell r="W1263" t="str">
            <v>QAMMA03</v>
          </cell>
          <cell r="AD1263">
            <v>56000</v>
          </cell>
        </row>
        <row r="1264">
          <cell r="W1264" t="str">
            <v>QAMMA03</v>
          </cell>
          <cell r="AD1264">
            <v>56500</v>
          </cell>
        </row>
        <row r="1265">
          <cell r="W1265" t="str">
            <v>QAMMA03</v>
          </cell>
          <cell r="AD1265">
            <v>56500</v>
          </cell>
        </row>
        <row r="1266">
          <cell r="W1266" t="str">
            <v>QAMMA03</v>
          </cell>
          <cell r="AD1266">
            <v>56500</v>
          </cell>
        </row>
        <row r="1267">
          <cell r="W1267" t="str">
            <v>QAMMA03</v>
          </cell>
          <cell r="AD1267">
            <v>56500</v>
          </cell>
        </row>
        <row r="1268">
          <cell r="W1268" t="str">
            <v>QAMMA03</v>
          </cell>
          <cell r="AD1268">
            <v>56500</v>
          </cell>
        </row>
        <row r="1269">
          <cell r="W1269" t="str">
            <v>QAMMA03</v>
          </cell>
          <cell r="AD1269">
            <v>56500</v>
          </cell>
        </row>
        <row r="1270">
          <cell r="W1270" t="str">
            <v>QAMMA03</v>
          </cell>
          <cell r="AD1270">
            <v>56500</v>
          </cell>
        </row>
        <row r="1271">
          <cell r="W1271" t="str">
            <v>QAMMA03</v>
          </cell>
          <cell r="AD1271">
            <v>56500</v>
          </cell>
        </row>
        <row r="1272">
          <cell r="W1272" t="str">
            <v>QAMOL01</v>
          </cell>
          <cell r="AD1272">
            <v>46500</v>
          </cell>
        </row>
        <row r="1273">
          <cell r="W1273" t="str">
            <v>QAMOL01</v>
          </cell>
          <cell r="AD1273">
            <v>47500</v>
          </cell>
        </row>
        <row r="1274">
          <cell r="W1274" t="str">
            <v>QAMOL01</v>
          </cell>
          <cell r="AD1274">
            <v>47500</v>
          </cell>
        </row>
        <row r="1275">
          <cell r="W1275" t="str">
            <v>QAMOL01</v>
          </cell>
          <cell r="AD1275">
            <v>47500</v>
          </cell>
        </row>
        <row r="1276">
          <cell r="W1276" t="str">
            <v>QAMOL01</v>
          </cell>
          <cell r="AD1276">
            <v>47500</v>
          </cell>
        </row>
        <row r="1277">
          <cell r="W1277" t="str">
            <v>QAMOL01</v>
          </cell>
          <cell r="AD1277">
            <v>47500</v>
          </cell>
        </row>
        <row r="1278">
          <cell r="W1278" t="str">
            <v>QAMOL01</v>
          </cell>
          <cell r="AD1278">
            <v>48500</v>
          </cell>
        </row>
        <row r="1279">
          <cell r="W1279" t="str">
            <v>QAMOL02</v>
          </cell>
          <cell r="AD1279">
            <v>100000</v>
          </cell>
        </row>
        <row r="1280">
          <cell r="W1280" t="str">
            <v>QAMOL02</v>
          </cell>
          <cell r="AD1280">
            <v>108000</v>
          </cell>
        </row>
        <row r="1281">
          <cell r="W1281" t="str">
            <v>QAMOL02</v>
          </cell>
          <cell r="AD1281">
            <v>108000</v>
          </cell>
        </row>
        <row r="1282">
          <cell r="W1282" t="str">
            <v>QAMOL02</v>
          </cell>
          <cell r="AD1282">
            <v>108000</v>
          </cell>
        </row>
        <row r="1283">
          <cell r="W1283" t="str">
            <v>QAMOL02</v>
          </cell>
          <cell r="AD1283">
            <v>108000</v>
          </cell>
        </row>
        <row r="1284">
          <cell r="W1284" t="str">
            <v>QAMOL02</v>
          </cell>
          <cell r="AD1284">
            <v>108000</v>
          </cell>
        </row>
        <row r="1285">
          <cell r="W1285" t="str">
            <v>QAMOL02</v>
          </cell>
          <cell r="AD1285">
            <v>108000</v>
          </cell>
        </row>
        <row r="1286">
          <cell r="W1286" t="str">
            <v>QAMOL02</v>
          </cell>
          <cell r="AD1286">
            <v>108500</v>
          </cell>
        </row>
        <row r="1287">
          <cell r="W1287" t="str">
            <v>QAMOL02</v>
          </cell>
          <cell r="AD1287">
            <v>108500</v>
          </cell>
        </row>
        <row r="1288">
          <cell r="W1288" t="str">
            <v>QAMOL02</v>
          </cell>
          <cell r="AD1288">
            <v>108500</v>
          </cell>
        </row>
        <row r="1289">
          <cell r="W1289" t="str">
            <v>QAMOL02</v>
          </cell>
          <cell r="AD1289">
            <v>108500</v>
          </cell>
        </row>
        <row r="1290">
          <cell r="W1290" t="str">
            <v>QAMOL02</v>
          </cell>
          <cell r="AD1290">
            <v>108500</v>
          </cell>
        </row>
        <row r="1291">
          <cell r="W1291" t="str">
            <v>QAMOL02</v>
          </cell>
          <cell r="AD1291">
            <v>108500</v>
          </cell>
        </row>
        <row r="1292">
          <cell r="W1292" t="str">
            <v>QAMOL02</v>
          </cell>
          <cell r="AD1292">
            <v>110000</v>
          </cell>
        </row>
        <row r="1293">
          <cell r="W1293" t="str">
            <v>QAMOL02</v>
          </cell>
          <cell r="AD1293">
            <v>110000</v>
          </cell>
        </row>
        <row r="1294">
          <cell r="W1294" t="str">
            <v>QAMOL02</v>
          </cell>
          <cell r="AD1294">
            <v>110000</v>
          </cell>
        </row>
        <row r="1295">
          <cell r="W1295" t="str">
            <v>QAMOL02</v>
          </cell>
          <cell r="AD1295">
            <v>112500</v>
          </cell>
        </row>
        <row r="1296">
          <cell r="W1296" t="str">
            <v>QAMOL02</v>
          </cell>
          <cell r="AD1296">
            <v>112500</v>
          </cell>
        </row>
        <row r="1297">
          <cell r="W1297" t="str">
            <v>QAMOL02</v>
          </cell>
          <cell r="AD1297">
            <v>112500</v>
          </cell>
        </row>
        <row r="1298">
          <cell r="W1298" t="str">
            <v>QAMOL02</v>
          </cell>
          <cell r="AD1298">
            <v>112500</v>
          </cell>
        </row>
        <row r="1299">
          <cell r="W1299" t="str">
            <v>QAMOL02</v>
          </cell>
          <cell r="AD1299">
            <v>112500</v>
          </cell>
        </row>
        <row r="1300">
          <cell r="W1300" t="str">
            <v>QAMOT02</v>
          </cell>
          <cell r="AD1300">
            <v>155000</v>
          </cell>
        </row>
        <row r="1301">
          <cell r="W1301" t="str">
            <v>QAMOT02</v>
          </cell>
          <cell r="AD1301">
            <v>155000</v>
          </cell>
        </row>
        <row r="1302">
          <cell r="W1302" t="str">
            <v>QANET06</v>
          </cell>
          <cell r="AD1302">
            <v>23500</v>
          </cell>
        </row>
        <row r="1303">
          <cell r="W1303" t="str">
            <v>QANET06</v>
          </cell>
          <cell r="AD1303">
            <v>23500</v>
          </cell>
        </row>
        <row r="1304">
          <cell r="W1304" t="str">
            <v>QANET07</v>
          </cell>
          <cell r="AD1304">
            <v>114400</v>
          </cell>
        </row>
        <row r="1305">
          <cell r="W1305" t="str">
            <v>QANET07</v>
          </cell>
          <cell r="AD1305">
            <v>129000</v>
          </cell>
        </row>
        <row r="1306">
          <cell r="W1306" t="str">
            <v>QANET07</v>
          </cell>
          <cell r="AD1306">
            <v>135000</v>
          </cell>
        </row>
        <row r="1307">
          <cell r="W1307" t="str">
            <v>QANET07</v>
          </cell>
          <cell r="AD1307">
            <v>135000</v>
          </cell>
        </row>
        <row r="1308">
          <cell r="W1308" t="str">
            <v>QANTR01</v>
          </cell>
          <cell r="AD1308">
            <v>113000</v>
          </cell>
        </row>
        <row r="1309">
          <cell r="W1309" t="str">
            <v>QANTR01</v>
          </cell>
          <cell r="AD1309">
            <v>113000</v>
          </cell>
        </row>
        <row r="1310">
          <cell r="W1310" t="str">
            <v>QANTR01</v>
          </cell>
          <cell r="AD1310">
            <v>113500</v>
          </cell>
        </row>
        <row r="1311">
          <cell r="W1311" t="str">
            <v>QANTR01</v>
          </cell>
          <cell r="AD1311">
            <v>113500</v>
          </cell>
        </row>
        <row r="1312">
          <cell r="W1312" t="str">
            <v>QANTR01</v>
          </cell>
          <cell r="AD1312">
            <v>113500</v>
          </cell>
        </row>
        <row r="1313">
          <cell r="W1313" t="str">
            <v>QANTR01</v>
          </cell>
          <cell r="AD1313">
            <v>114000</v>
          </cell>
        </row>
        <row r="1314">
          <cell r="W1314" t="str">
            <v>QANTR01</v>
          </cell>
          <cell r="AD1314">
            <v>114500</v>
          </cell>
        </row>
        <row r="1315">
          <cell r="W1315" t="str">
            <v>QANTR01</v>
          </cell>
          <cell r="AD1315">
            <v>114500</v>
          </cell>
        </row>
        <row r="1316">
          <cell r="W1316" t="str">
            <v>QANTR01</v>
          </cell>
          <cell r="AD1316">
            <v>114500</v>
          </cell>
        </row>
        <row r="1317">
          <cell r="W1317" t="str">
            <v>QANTR01</v>
          </cell>
          <cell r="AD1317">
            <v>114500</v>
          </cell>
        </row>
        <row r="1318">
          <cell r="W1318" t="str">
            <v>QANTR01</v>
          </cell>
          <cell r="AD1318">
            <v>114500</v>
          </cell>
        </row>
        <row r="1319">
          <cell r="W1319" t="str">
            <v>QANTR01</v>
          </cell>
          <cell r="AD1319">
            <v>114500</v>
          </cell>
        </row>
        <row r="1320">
          <cell r="W1320" t="str">
            <v>QANTR01</v>
          </cell>
          <cell r="AD1320">
            <v>114500</v>
          </cell>
        </row>
        <row r="1321">
          <cell r="W1321" t="str">
            <v>QANTR01</v>
          </cell>
          <cell r="AD1321">
            <v>114500</v>
          </cell>
        </row>
        <row r="1322">
          <cell r="W1322" t="str">
            <v>QANTR01</v>
          </cell>
          <cell r="AD1322">
            <v>114500</v>
          </cell>
        </row>
        <row r="1323">
          <cell r="W1323" t="str">
            <v>QANTR01</v>
          </cell>
          <cell r="AD1323">
            <v>114500</v>
          </cell>
        </row>
        <row r="1324">
          <cell r="W1324" t="str">
            <v>QANTR01</v>
          </cell>
          <cell r="AD1324">
            <v>114500</v>
          </cell>
        </row>
        <row r="1325">
          <cell r="W1325" t="str">
            <v>QANTR01</v>
          </cell>
          <cell r="AD1325">
            <v>114500</v>
          </cell>
        </row>
        <row r="1326">
          <cell r="W1326" t="str">
            <v>QANTR01</v>
          </cell>
          <cell r="AD1326">
            <v>114500</v>
          </cell>
        </row>
        <row r="1327">
          <cell r="W1327" t="str">
            <v>QANTR01</v>
          </cell>
          <cell r="AD1327">
            <v>114500</v>
          </cell>
        </row>
        <row r="1328">
          <cell r="W1328" t="str">
            <v>QANTR01</v>
          </cell>
          <cell r="AD1328">
            <v>114500</v>
          </cell>
        </row>
        <row r="1329">
          <cell r="W1329" t="str">
            <v>QANTR01</v>
          </cell>
          <cell r="AD1329">
            <v>114500</v>
          </cell>
        </row>
        <row r="1330">
          <cell r="W1330" t="str">
            <v>QANTR01</v>
          </cell>
          <cell r="AD1330">
            <v>114500</v>
          </cell>
        </row>
        <row r="1331">
          <cell r="W1331" t="str">
            <v>QANTR01</v>
          </cell>
          <cell r="AD1331">
            <v>114500</v>
          </cell>
        </row>
        <row r="1332">
          <cell r="W1332" t="str">
            <v>QANTR01</v>
          </cell>
          <cell r="AD1332">
            <v>114500</v>
          </cell>
        </row>
        <row r="1333">
          <cell r="W1333" t="str">
            <v>QANTR01</v>
          </cell>
          <cell r="AD1333">
            <v>114500</v>
          </cell>
        </row>
        <row r="1334">
          <cell r="W1334" t="str">
            <v>QANTR01</v>
          </cell>
          <cell r="AD1334">
            <v>114500</v>
          </cell>
        </row>
        <row r="1335">
          <cell r="W1335" t="str">
            <v>QANTR01</v>
          </cell>
          <cell r="AD1335">
            <v>114500</v>
          </cell>
        </row>
        <row r="1336">
          <cell r="W1336" t="str">
            <v>QANTR01</v>
          </cell>
          <cell r="AD1336">
            <v>114500</v>
          </cell>
        </row>
        <row r="1337">
          <cell r="W1337" t="str">
            <v>QANTR01</v>
          </cell>
          <cell r="AD1337">
            <v>115000</v>
          </cell>
        </row>
        <row r="1338">
          <cell r="W1338" t="str">
            <v>QANTR01</v>
          </cell>
          <cell r="AD1338">
            <v>116000</v>
          </cell>
        </row>
        <row r="1339">
          <cell r="W1339" t="str">
            <v>QANTR01</v>
          </cell>
          <cell r="AD1339">
            <v>116000</v>
          </cell>
        </row>
        <row r="1340">
          <cell r="W1340" t="str">
            <v>QANTR01</v>
          </cell>
          <cell r="AD1340">
            <v>116000</v>
          </cell>
        </row>
        <row r="1341">
          <cell r="W1341" t="str">
            <v>QANTR01</v>
          </cell>
          <cell r="AD1341">
            <v>116000</v>
          </cell>
        </row>
        <row r="1342">
          <cell r="W1342" t="str">
            <v>QANTR01</v>
          </cell>
          <cell r="AD1342">
            <v>116000</v>
          </cell>
        </row>
        <row r="1343">
          <cell r="W1343" t="str">
            <v>QANTR01</v>
          </cell>
          <cell r="AD1343">
            <v>117000</v>
          </cell>
        </row>
        <row r="1344">
          <cell r="W1344" t="str">
            <v>QANTR02</v>
          </cell>
          <cell r="AD1344">
            <v>58500</v>
          </cell>
        </row>
        <row r="1345">
          <cell r="W1345" t="str">
            <v>QANTR02</v>
          </cell>
          <cell r="AD1345">
            <v>58500</v>
          </cell>
        </row>
        <row r="1346">
          <cell r="W1346" t="str">
            <v>QANTR02</v>
          </cell>
          <cell r="AD1346">
            <v>58500</v>
          </cell>
        </row>
        <row r="1347">
          <cell r="W1347" t="str">
            <v>QANTR02</v>
          </cell>
          <cell r="AD1347">
            <v>59000</v>
          </cell>
        </row>
        <row r="1348">
          <cell r="W1348" t="str">
            <v>QANTR02</v>
          </cell>
          <cell r="AD1348">
            <v>59000</v>
          </cell>
        </row>
        <row r="1349">
          <cell r="W1349" t="str">
            <v>QANTR02</v>
          </cell>
          <cell r="AD1349">
            <v>59000</v>
          </cell>
        </row>
        <row r="1350">
          <cell r="W1350" t="str">
            <v>QANTR02</v>
          </cell>
          <cell r="AD1350">
            <v>59000</v>
          </cell>
        </row>
        <row r="1351">
          <cell r="W1351" t="str">
            <v>QANTR02</v>
          </cell>
          <cell r="AD1351">
            <v>59000</v>
          </cell>
        </row>
        <row r="1352">
          <cell r="W1352" t="str">
            <v>QANTR02</v>
          </cell>
          <cell r="AD1352">
            <v>59000</v>
          </cell>
        </row>
        <row r="1353">
          <cell r="W1353" t="str">
            <v>QANTR02</v>
          </cell>
          <cell r="AD1353">
            <v>59000</v>
          </cell>
        </row>
        <row r="1354">
          <cell r="W1354" t="str">
            <v>QANTR02</v>
          </cell>
          <cell r="AD1354">
            <v>59000</v>
          </cell>
        </row>
        <row r="1355">
          <cell r="W1355" t="str">
            <v>QANTR02</v>
          </cell>
          <cell r="AD1355">
            <v>59000</v>
          </cell>
        </row>
        <row r="1356">
          <cell r="W1356" t="str">
            <v>QANTR02</v>
          </cell>
          <cell r="AD1356">
            <v>59000</v>
          </cell>
        </row>
        <row r="1357">
          <cell r="W1357" t="str">
            <v>QANTR02</v>
          </cell>
          <cell r="AD1357">
            <v>59000</v>
          </cell>
        </row>
        <row r="1358">
          <cell r="W1358" t="str">
            <v>QANTR02</v>
          </cell>
          <cell r="AD1358">
            <v>59000</v>
          </cell>
        </row>
        <row r="1359">
          <cell r="W1359" t="str">
            <v>QANTR02</v>
          </cell>
          <cell r="AD1359">
            <v>59000</v>
          </cell>
        </row>
        <row r="1360">
          <cell r="W1360" t="str">
            <v>QANTR02</v>
          </cell>
          <cell r="AD1360">
            <v>59000</v>
          </cell>
        </row>
        <row r="1361">
          <cell r="W1361" t="str">
            <v>QANTR02</v>
          </cell>
          <cell r="AD1361">
            <v>59000</v>
          </cell>
        </row>
        <row r="1362">
          <cell r="W1362" t="str">
            <v>QANTR02</v>
          </cell>
          <cell r="AD1362">
            <v>59000</v>
          </cell>
        </row>
        <row r="1363">
          <cell r="W1363" t="str">
            <v>QANTR02</v>
          </cell>
          <cell r="AD1363">
            <v>59000</v>
          </cell>
        </row>
        <row r="1364">
          <cell r="W1364" t="str">
            <v>QANTR02</v>
          </cell>
          <cell r="AD1364">
            <v>59500</v>
          </cell>
        </row>
        <row r="1365">
          <cell r="W1365" t="str">
            <v>QANTR02</v>
          </cell>
          <cell r="AD1365">
            <v>59500</v>
          </cell>
        </row>
        <row r="1366">
          <cell r="W1366" t="str">
            <v>QANTR02</v>
          </cell>
          <cell r="AD1366">
            <v>59500</v>
          </cell>
        </row>
        <row r="1367">
          <cell r="W1367" t="str">
            <v>QANTR02</v>
          </cell>
          <cell r="AD1367">
            <v>59500</v>
          </cell>
        </row>
        <row r="1368">
          <cell r="W1368" t="str">
            <v>QANTR02</v>
          </cell>
          <cell r="AD1368">
            <v>59500</v>
          </cell>
        </row>
        <row r="1369">
          <cell r="W1369" t="str">
            <v>QANTR02</v>
          </cell>
          <cell r="AD1369">
            <v>59500</v>
          </cell>
        </row>
        <row r="1370">
          <cell r="W1370" t="str">
            <v>QANTR02</v>
          </cell>
          <cell r="AD1370">
            <v>59500</v>
          </cell>
        </row>
        <row r="1371">
          <cell r="W1371" t="str">
            <v>QANTR02</v>
          </cell>
          <cell r="AD1371">
            <v>59500</v>
          </cell>
        </row>
        <row r="1372">
          <cell r="W1372" t="str">
            <v>QANTR02</v>
          </cell>
          <cell r="AD1372">
            <v>59500</v>
          </cell>
        </row>
        <row r="1373">
          <cell r="W1373" t="str">
            <v>QANTR02</v>
          </cell>
          <cell r="AD1373">
            <v>59500</v>
          </cell>
        </row>
        <row r="1374">
          <cell r="W1374" t="str">
            <v>QANTR02</v>
          </cell>
          <cell r="AD1374">
            <v>59500</v>
          </cell>
        </row>
        <row r="1375">
          <cell r="W1375" t="str">
            <v>QANTR02</v>
          </cell>
          <cell r="AD1375">
            <v>59500</v>
          </cell>
        </row>
        <row r="1376">
          <cell r="W1376" t="str">
            <v>QANTR02</v>
          </cell>
          <cell r="AD1376">
            <v>59500</v>
          </cell>
        </row>
        <row r="1377">
          <cell r="W1377" t="str">
            <v>QANTR02</v>
          </cell>
          <cell r="AD1377">
            <v>59500</v>
          </cell>
        </row>
        <row r="1378">
          <cell r="W1378" t="str">
            <v>QANTR02</v>
          </cell>
          <cell r="AD1378">
            <v>59500</v>
          </cell>
        </row>
        <row r="1379">
          <cell r="W1379" t="str">
            <v>QANTR02</v>
          </cell>
          <cell r="AD1379">
            <v>59500</v>
          </cell>
        </row>
        <row r="1380">
          <cell r="W1380" t="str">
            <v>QANTR02</v>
          </cell>
          <cell r="AD1380">
            <v>59500</v>
          </cell>
        </row>
        <row r="1381">
          <cell r="W1381" t="str">
            <v>QANTR02</v>
          </cell>
          <cell r="AD1381">
            <v>59500</v>
          </cell>
        </row>
        <row r="1382">
          <cell r="W1382" t="str">
            <v>QANTR02</v>
          </cell>
          <cell r="AD1382">
            <v>59500</v>
          </cell>
        </row>
        <row r="1383">
          <cell r="W1383" t="str">
            <v>QANTR02</v>
          </cell>
          <cell r="AD1383">
            <v>59500</v>
          </cell>
        </row>
        <row r="1384">
          <cell r="W1384" t="str">
            <v>QANTR02</v>
          </cell>
          <cell r="AD1384">
            <v>59500</v>
          </cell>
        </row>
        <row r="1385">
          <cell r="W1385" t="str">
            <v>QANTR02</v>
          </cell>
          <cell r="AD1385">
            <v>60000</v>
          </cell>
        </row>
        <row r="1386">
          <cell r="W1386" t="str">
            <v>QANTR02</v>
          </cell>
          <cell r="AD1386">
            <v>60000</v>
          </cell>
        </row>
        <row r="1387">
          <cell r="W1387" t="str">
            <v>QANTR02</v>
          </cell>
          <cell r="AD1387">
            <v>60000</v>
          </cell>
        </row>
        <row r="1388">
          <cell r="W1388" t="str">
            <v>QANTR02</v>
          </cell>
          <cell r="AD1388">
            <v>60000</v>
          </cell>
        </row>
        <row r="1389">
          <cell r="W1389" t="str">
            <v>QANTR02</v>
          </cell>
          <cell r="AD1389">
            <v>60000</v>
          </cell>
        </row>
        <row r="1390">
          <cell r="W1390" t="str">
            <v>QANTR02</v>
          </cell>
          <cell r="AD1390">
            <v>60000</v>
          </cell>
        </row>
        <row r="1391">
          <cell r="W1391" t="str">
            <v>QANTR03</v>
          </cell>
          <cell r="AD1391">
            <v>29500</v>
          </cell>
        </row>
        <row r="1392">
          <cell r="W1392" t="str">
            <v>QANTR03</v>
          </cell>
          <cell r="AD1392">
            <v>29500</v>
          </cell>
        </row>
        <row r="1393">
          <cell r="W1393" t="str">
            <v>QANTR03</v>
          </cell>
          <cell r="AD1393">
            <v>29500</v>
          </cell>
        </row>
        <row r="1394">
          <cell r="W1394" t="str">
            <v>QANTR03</v>
          </cell>
          <cell r="AD1394">
            <v>29500</v>
          </cell>
        </row>
        <row r="1395">
          <cell r="W1395" t="str">
            <v>QANTR03</v>
          </cell>
          <cell r="AD1395">
            <v>29500</v>
          </cell>
        </row>
        <row r="1396">
          <cell r="W1396" t="str">
            <v>QANTR03</v>
          </cell>
          <cell r="AD1396">
            <v>29500</v>
          </cell>
        </row>
        <row r="1397">
          <cell r="W1397" t="str">
            <v>QANTR03</v>
          </cell>
          <cell r="AD1397">
            <v>29500</v>
          </cell>
        </row>
        <row r="1398">
          <cell r="W1398" t="str">
            <v>QANTR03</v>
          </cell>
          <cell r="AD1398">
            <v>29500</v>
          </cell>
        </row>
        <row r="1399">
          <cell r="W1399" t="str">
            <v>QANTR03</v>
          </cell>
          <cell r="AD1399">
            <v>29500</v>
          </cell>
        </row>
        <row r="1400">
          <cell r="W1400" t="str">
            <v>QANTR03</v>
          </cell>
          <cell r="AD1400">
            <v>29500</v>
          </cell>
        </row>
        <row r="1401">
          <cell r="W1401" t="str">
            <v>QANTR03</v>
          </cell>
          <cell r="AD1401">
            <v>29500</v>
          </cell>
        </row>
        <row r="1402">
          <cell r="W1402" t="str">
            <v>QANTR03</v>
          </cell>
          <cell r="AD1402">
            <v>29500</v>
          </cell>
        </row>
        <row r="1403">
          <cell r="W1403" t="str">
            <v>QANTR03</v>
          </cell>
          <cell r="AD1403">
            <v>29500</v>
          </cell>
        </row>
        <row r="1404">
          <cell r="W1404" t="str">
            <v>QANTR03</v>
          </cell>
          <cell r="AD1404">
            <v>29500</v>
          </cell>
        </row>
        <row r="1405">
          <cell r="W1405" t="str">
            <v>QANTR03</v>
          </cell>
          <cell r="AD1405">
            <v>29500</v>
          </cell>
        </row>
        <row r="1406">
          <cell r="W1406" t="str">
            <v>QANTR03</v>
          </cell>
          <cell r="AD1406">
            <v>29500</v>
          </cell>
        </row>
        <row r="1407">
          <cell r="W1407" t="str">
            <v>QANTR03</v>
          </cell>
          <cell r="AD1407">
            <v>29500</v>
          </cell>
        </row>
        <row r="1408">
          <cell r="W1408" t="str">
            <v>QANTR03</v>
          </cell>
          <cell r="AD1408">
            <v>29500</v>
          </cell>
        </row>
        <row r="1409">
          <cell r="W1409" t="str">
            <v>QANTR03</v>
          </cell>
          <cell r="AD1409">
            <v>29750</v>
          </cell>
        </row>
        <row r="1410">
          <cell r="W1410" t="str">
            <v>QANTR03</v>
          </cell>
          <cell r="AD1410">
            <v>29750</v>
          </cell>
        </row>
        <row r="1411">
          <cell r="W1411" t="str">
            <v>QANTR03</v>
          </cell>
          <cell r="AD1411">
            <v>29750</v>
          </cell>
        </row>
        <row r="1412">
          <cell r="W1412" t="str">
            <v>QANTR03</v>
          </cell>
          <cell r="AD1412">
            <v>29750</v>
          </cell>
        </row>
        <row r="1413">
          <cell r="W1413" t="str">
            <v>QANTR03</v>
          </cell>
          <cell r="AD1413">
            <v>29750</v>
          </cell>
        </row>
        <row r="1414">
          <cell r="W1414" t="str">
            <v>QANTR03</v>
          </cell>
          <cell r="AD1414">
            <v>30000</v>
          </cell>
        </row>
        <row r="1415">
          <cell r="W1415" t="str">
            <v>QANTR03</v>
          </cell>
          <cell r="AD1415">
            <v>30250</v>
          </cell>
        </row>
        <row r="1416">
          <cell r="W1416" t="str">
            <v>QANTR03</v>
          </cell>
          <cell r="AD1416">
            <v>30250</v>
          </cell>
        </row>
        <row r="1417">
          <cell r="W1417" t="str">
            <v>QANTR03</v>
          </cell>
          <cell r="AD1417">
            <v>30250</v>
          </cell>
        </row>
        <row r="1418">
          <cell r="W1418" t="str">
            <v>QANTR03</v>
          </cell>
          <cell r="AD1418">
            <v>30250</v>
          </cell>
        </row>
        <row r="1419">
          <cell r="W1419" t="str">
            <v>QANTR03</v>
          </cell>
          <cell r="AD1419">
            <v>30250</v>
          </cell>
        </row>
        <row r="1420">
          <cell r="W1420" t="str">
            <v>QANTR03</v>
          </cell>
          <cell r="AD1420">
            <v>30250</v>
          </cell>
        </row>
        <row r="1421">
          <cell r="W1421" t="str">
            <v>QANTR03</v>
          </cell>
          <cell r="AD1421">
            <v>30250</v>
          </cell>
        </row>
        <row r="1422">
          <cell r="W1422" t="str">
            <v>QANTR03</v>
          </cell>
          <cell r="AD1422">
            <v>30250</v>
          </cell>
        </row>
        <row r="1423">
          <cell r="W1423" t="str">
            <v>QANTR03</v>
          </cell>
          <cell r="AD1423">
            <v>30250</v>
          </cell>
        </row>
        <row r="1424">
          <cell r="W1424" t="str">
            <v>QANTR03</v>
          </cell>
          <cell r="AD1424">
            <v>30250</v>
          </cell>
        </row>
        <row r="1425">
          <cell r="W1425" t="str">
            <v>QANTR03</v>
          </cell>
          <cell r="AD1425">
            <v>30250</v>
          </cell>
        </row>
        <row r="1426">
          <cell r="W1426" t="str">
            <v>QANTR03</v>
          </cell>
          <cell r="AD1426">
            <v>30250</v>
          </cell>
        </row>
        <row r="1427">
          <cell r="W1427" t="str">
            <v>QANTR03</v>
          </cell>
          <cell r="AD1427">
            <v>30250</v>
          </cell>
        </row>
        <row r="1428">
          <cell r="W1428" t="str">
            <v>QANTR03</v>
          </cell>
          <cell r="AD1428">
            <v>30500</v>
          </cell>
        </row>
        <row r="1429">
          <cell r="W1429" t="str">
            <v>QANTR03</v>
          </cell>
          <cell r="AD1429">
            <v>30500</v>
          </cell>
        </row>
        <row r="1430">
          <cell r="W1430" t="str">
            <v>QANTR03</v>
          </cell>
          <cell r="AD1430">
            <v>30750</v>
          </cell>
        </row>
        <row r="1431">
          <cell r="W1431" t="str">
            <v>QANTR03</v>
          </cell>
          <cell r="AD1431">
            <v>31000</v>
          </cell>
        </row>
        <row r="1432">
          <cell r="W1432" t="str">
            <v>QANTR03</v>
          </cell>
          <cell r="AD1432">
            <v>31000</v>
          </cell>
        </row>
        <row r="1433">
          <cell r="W1433" t="str">
            <v>QANTR03</v>
          </cell>
          <cell r="AD1433">
            <v>31000</v>
          </cell>
        </row>
        <row r="1434">
          <cell r="W1434" t="str">
            <v>QANTR03</v>
          </cell>
          <cell r="AD1434">
            <v>31250</v>
          </cell>
        </row>
        <row r="1435">
          <cell r="W1435" t="str">
            <v>QANTR03</v>
          </cell>
          <cell r="AD1435">
            <v>31250</v>
          </cell>
        </row>
        <row r="1436">
          <cell r="W1436" t="str">
            <v>QANTR03</v>
          </cell>
          <cell r="AD1436">
            <v>31250</v>
          </cell>
        </row>
        <row r="1437">
          <cell r="W1437" t="str">
            <v>QANTR03</v>
          </cell>
          <cell r="AD1437">
            <v>31250</v>
          </cell>
        </row>
        <row r="1438">
          <cell r="W1438" t="str">
            <v>QANVI01</v>
          </cell>
          <cell r="AD1438">
            <v>199000</v>
          </cell>
        </row>
        <row r="1439">
          <cell r="W1439" t="str">
            <v>QANVI01</v>
          </cell>
          <cell r="AD1439">
            <v>199500</v>
          </cell>
        </row>
        <row r="1440">
          <cell r="W1440" t="str">
            <v>QANVI01</v>
          </cell>
          <cell r="AD1440">
            <v>199500</v>
          </cell>
        </row>
        <row r="1441">
          <cell r="W1441" t="str">
            <v>QANVI01</v>
          </cell>
          <cell r="AD1441">
            <v>203500</v>
          </cell>
        </row>
        <row r="1442">
          <cell r="W1442" t="str">
            <v>QANVI01</v>
          </cell>
          <cell r="AD1442">
            <v>204000</v>
          </cell>
        </row>
        <row r="1443">
          <cell r="W1443" t="str">
            <v>QANVI01</v>
          </cell>
          <cell r="AD1443">
            <v>204000</v>
          </cell>
        </row>
        <row r="1444">
          <cell r="W1444" t="str">
            <v>QANVI02</v>
          </cell>
          <cell r="AD1444">
            <v>56000</v>
          </cell>
        </row>
        <row r="1445">
          <cell r="W1445" t="str">
            <v>QANVI02</v>
          </cell>
          <cell r="AD1445">
            <v>56750</v>
          </cell>
        </row>
        <row r="1446">
          <cell r="W1446" t="str">
            <v>QANVI02</v>
          </cell>
          <cell r="AD1446">
            <v>56750</v>
          </cell>
        </row>
        <row r="1447">
          <cell r="W1447" t="str">
            <v>QANVI02</v>
          </cell>
          <cell r="AD1447">
            <v>56750</v>
          </cell>
        </row>
        <row r="1448">
          <cell r="W1448" t="str">
            <v>QANVI02</v>
          </cell>
          <cell r="AD1448">
            <v>56750</v>
          </cell>
        </row>
        <row r="1449">
          <cell r="W1449" t="str">
            <v>QANVI02</v>
          </cell>
          <cell r="AD1449">
            <v>56750</v>
          </cell>
        </row>
        <row r="1450">
          <cell r="W1450" t="str">
            <v>QANVI02</v>
          </cell>
          <cell r="AD1450">
            <v>56750</v>
          </cell>
        </row>
        <row r="1451">
          <cell r="W1451" t="str">
            <v>QANVI02</v>
          </cell>
          <cell r="AD1451">
            <v>56750</v>
          </cell>
        </row>
        <row r="1452">
          <cell r="W1452" t="str">
            <v>QANVI02</v>
          </cell>
          <cell r="AD1452">
            <v>56750</v>
          </cell>
        </row>
        <row r="1453">
          <cell r="W1453" t="str">
            <v>QANVI02</v>
          </cell>
          <cell r="AD1453">
            <v>56750</v>
          </cell>
        </row>
        <row r="1454">
          <cell r="W1454" t="str">
            <v>QANVI02</v>
          </cell>
          <cell r="AD1454">
            <v>56800</v>
          </cell>
        </row>
        <row r="1455">
          <cell r="W1455" t="str">
            <v>QANVI02</v>
          </cell>
          <cell r="AD1455">
            <v>56850</v>
          </cell>
        </row>
        <row r="1456">
          <cell r="W1456" t="str">
            <v>QANVI02</v>
          </cell>
          <cell r="AD1456">
            <v>57000</v>
          </cell>
        </row>
        <row r="1457">
          <cell r="W1457" t="str">
            <v>QANVI02</v>
          </cell>
          <cell r="AD1457">
            <v>57500</v>
          </cell>
        </row>
        <row r="1458">
          <cell r="W1458" t="str">
            <v>QANWA02</v>
          </cell>
          <cell r="AD1458">
            <v>167500</v>
          </cell>
        </row>
        <row r="1459">
          <cell r="W1459" t="str">
            <v>QAPRO02</v>
          </cell>
          <cell r="AD1459">
            <v>71000</v>
          </cell>
        </row>
        <row r="1460">
          <cell r="W1460" t="str">
            <v>QAPRO02</v>
          </cell>
          <cell r="AD1460">
            <v>71000</v>
          </cell>
        </row>
        <row r="1461">
          <cell r="W1461" t="str">
            <v>QAPRO02</v>
          </cell>
          <cell r="AD1461">
            <v>71000</v>
          </cell>
        </row>
        <row r="1462">
          <cell r="W1462" t="str">
            <v>AARIZ01</v>
          </cell>
          <cell r="AD1462">
            <v>1</v>
          </cell>
        </row>
        <row r="1463">
          <cell r="W1463" t="str">
            <v>QASET02</v>
          </cell>
          <cell r="AD1463">
            <v>80000</v>
          </cell>
        </row>
        <row r="1464">
          <cell r="W1464" t="str">
            <v>QASET02</v>
          </cell>
          <cell r="AD1464">
            <v>80000</v>
          </cell>
        </row>
        <row r="1465">
          <cell r="W1465" t="str">
            <v>AASIA01</v>
          </cell>
          <cell r="AD1465">
            <v>1</v>
          </cell>
        </row>
        <row r="1466">
          <cell r="W1466" t="str">
            <v>QASIA03</v>
          </cell>
          <cell r="AD1466">
            <v>840000</v>
          </cell>
        </row>
        <row r="1467">
          <cell r="W1467" t="str">
            <v>QASIA03</v>
          </cell>
          <cell r="AD1467">
            <v>840000</v>
          </cell>
        </row>
        <row r="1468">
          <cell r="W1468" t="str">
            <v>QASIA03</v>
          </cell>
          <cell r="AD1468">
            <v>840000</v>
          </cell>
        </row>
        <row r="1469">
          <cell r="W1469" t="str">
            <v>QASIA03</v>
          </cell>
          <cell r="AD1469">
            <v>840000</v>
          </cell>
        </row>
        <row r="1470">
          <cell r="W1470" t="str">
            <v>QASIA03</v>
          </cell>
          <cell r="AD1470">
            <v>840000</v>
          </cell>
        </row>
        <row r="1471">
          <cell r="W1471" t="str">
            <v>QASIA03</v>
          </cell>
          <cell r="AD1471">
            <v>840000</v>
          </cell>
        </row>
        <row r="1472">
          <cell r="W1472" t="str">
            <v>QASIA01</v>
          </cell>
          <cell r="AD1472">
            <v>40000</v>
          </cell>
        </row>
        <row r="1473">
          <cell r="W1473" t="str">
            <v>QASIA01</v>
          </cell>
          <cell r="AD1473">
            <v>40600</v>
          </cell>
        </row>
        <row r="1474">
          <cell r="W1474" t="str">
            <v>QASIA01</v>
          </cell>
          <cell r="AD1474">
            <v>44000</v>
          </cell>
        </row>
        <row r="1475">
          <cell r="W1475" t="str">
            <v>QASIA01</v>
          </cell>
          <cell r="AD1475">
            <v>44000</v>
          </cell>
        </row>
        <row r="1476">
          <cell r="W1476" t="str">
            <v>QASIA01</v>
          </cell>
          <cell r="AD1476">
            <v>44000</v>
          </cell>
        </row>
        <row r="1477">
          <cell r="W1477" t="str">
            <v>QASIA01</v>
          </cell>
          <cell r="AD1477">
            <v>44000</v>
          </cell>
        </row>
        <row r="1478">
          <cell r="W1478" t="str">
            <v>QASIA01</v>
          </cell>
          <cell r="AD1478">
            <v>45000</v>
          </cell>
        </row>
        <row r="1479">
          <cell r="W1479" t="str">
            <v>QASIA01</v>
          </cell>
          <cell r="AD1479">
            <v>45000</v>
          </cell>
        </row>
        <row r="1480">
          <cell r="W1480" t="str">
            <v>QASIA01</v>
          </cell>
          <cell r="AD1480">
            <v>45000</v>
          </cell>
        </row>
        <row r="1481">
          <cell r="W1481" t="str">
            <v>QASIA01</v>
          </cell>
          <cell r="AD1481">
            <v>45000</v>
          </cell>
        </row>
        <row r="1482">
          <cell r="W1482" t="str">
            <v>QASIA01</v>
          </cell>
          <cell r="AD1482">
            <v>45000</v>
          </cell>
        </row>
        <row r="1483">
          <cell r="W1483" t="str">
            <v>QASIA01</v>
          </cell>
          <cell r="AD1483">
            <v>45000</v>
          </cell>
        </row>
        <row r="1484">
          <cell r="W1484" t="str">
            <v>QASIA02</v>
          </cell>
          <cell r="AD1484">
            <v>195000</v>
          </cell>
        </row>
        <row r="1485">
          <cell r="W1485" t="str">
            <v>QASIA02</v>
          </cell>
          <cell r="AD1485">
            <v>195000</v>
          </cell>
        </row>
        <row r="1486">
          <cell r="W1486" t="str">
            <v>QASIA02</v>
          </cell>
          <cell r="AD1486">
            <v>200000</v>
          </cell>
        </row>
        <row r="1487">
          <cell r="W1487" t="str">
            <v>QASIA02</v>
          </cell>
          <cell r="AD1487">
            <v>215000</v>
          </cell>
        </row>
        <row r="1488">
          <cell r="W1488" t="str">
            <v>QASLI01</v>
          </cell>
          <cell r="AD1488">
            <v>15000</v>
          </cell>
        </row>
        <row r="1489">
          <cell r="W1489" t="str">
            <v>QASLI01</v>
          </cell>
          <cell r="AD1489">
            <v>15000</v>
          </cell>
        </row>
        <row r="1490">
          <cell r="W1490" t="str">
            <v>QASLI01</v>
          </cell>
          <cell r="AD1490">
            <v>15000</v>
          </cell>
        </row>
        <row r="1491">
          <cell r="W1491" t="str">
            <v>QASLI01</v>
          </cell>
          <cell r="AD1491">
            <v>15000</v>
          </cell>
        </row>
        <row r="1492">
          <cell r="W1492" t="str">
            <v>QASLI01</v>
          </cell>
          <cell r="AD1492">
            <v>15000</v>
          </cell>
        </row>
        <row r="1493">
          <cell r="W1493" t="str">
            <v>QASLI01</v>
          </cell>
          <cell r="AD1493">
            <v>15000</v>
          </cell>
        </row>
        <row r="1494">
          <cell r="W1494" t="str">
            <v>QASLI01</v>
          </cell>
          <cell r="AD1494">
            <v>15000</v>
          </cell>
        </row>
        <row r="1495">
          <cell r="W1495" t="str">
            <v>QASSO01</v>
          </cell>
          <cell r="AD1495">
            <v>287500</v>
          </cell>
        </row>
        <row r="1496">
          <cell r="W1496" t="str">
            <v>QASSO01</v>
          </cell>
          <cell r="AD1496">
            <v>287500</v>
          </cell>
        </row>
        <row r="1497">
          <cell r="W1497" t="str">
            <v>QASSO01</v>
          </cell>
          <cell r="AD1497">
            <v>295000</v>
          </cell>
        </row>
        <row r="1498">
          <cell r="W1498" t="str">
            <v>QASSO01</v>
          </cell>
          <cell r="AD1498">
            <v>320000</v>
          </cell>
        </row>
        <row r="1499">
          <cell r="W1499" t="str">
            <v>QASSO01</v>
          </cell>
          <cell r="AD1499">
            <v>320000</v>
          </cell>
        </row>
        <row r="1500">
          <cell r="W1500" t="str">
            <v>QASSO01</v>
          </cell>
          <cell r="AD1500">
            <v>320000</v>
          </cell>
        </row>
        <row r="1501">
          <cell r="W1501" t="str">
            <v>QASSO01</v>
          </cell>
          <cell r="AD1501">
            <v>320000</v>
          </cell>
        </row>
        <row r="1502">
          <cell r="W1502" t="str">
            <v>QASSO01</v>
          </cell>
          <cell r="AD1502">
            <v>320000</v>
          </cell>
        </row>
        <row r="1503">
          <cell r="W1503" t="str">
            <v>QASSO01</v>
          </cell>
          <cell r="AD1503">
            <v>320000</v>
          </cell>
        </row>
        <row r="1504">
          <cell r="W1504" t="str">
            <v>QASSO01</v>
          </cell>
          <cell r="AD1504">
            <v>320000</v>
          </cell>
        </row>
        <row r="1505">
          <cell r="W1505" t="str">
            <v>QASSO01</v>
          </cell>
          <cell r="AD1505">
            <v>325000</v>
          </cell>
        </row>
        <row r="1506">
          <cell r="W1506" t="str">
            <v>QASSO01</v>
          </cell>
          <cell r="AD1506">
            <v>325000</v>
          </cell>
        </row>
        <row r="1507">
          <cell r="W1507" t="str">
            <v>QASSO01</v>
          </cell>
          <cell r="AD1507">
            <v>325000</v>
          </cell>
        </row>
        <row r="1508">
          <cell r="W1508" t="str">
            <v>QASSO01</v>
          </cell>
          <cell r="AD1508">
            <v>325000</v>
          </cell>
        </row>
        <row r="1509">
          <cell r="W1509" t="str">
            <v>QASSO01</v>
          </cell>
          <cell r="AD1509">
            <v>325000</v>
          </cell>
        </row>
        <row r="1510">
          <cell r="W1510" t="str">
            <v>QASSO01</v>
          </cell>
          <cell r="AD1510">
            <v>325000</v>
          </cell>
        </row>
        <row r="1511">
          <cell r="W1511" t="str">
            <v>QASSO01</v>
          </cell>
          <cell r="AD1511">
            <v>325000</v>
          </cell>
        </row>
        <row r="1512">
          <cell r="W1512" t="str">
            <v>QASSO01</v>
          </cell>
          <cell r="AD1512">
            <v>325000</v>
          </cell>
        </row>
        <row r="1513">
          <cell r="W1513" t="str">
            <v>QASSO01</v>
          </cell>
          <cell r="AD1513">
            <v>325000</v>
          </cell>
        </row>
        <row r="1514">
          <cell r="W1514" t="str">
            <v>AASSO03</v>
          </cell>
          <cell r="AD1514">
            <v>325000</v>
          </cell>
        </row>
        <row r="1515">
          <cell r="W1515" t="str">
            <v>QASSO01</v>
          </cell>
          <cell r="AD1515">
            <v>325000</v>
          </cell>
        </row>
        <row r="1516">
          <cell r="W1516" t="str">
            <v>QASSO01</v>
          </cell>
          <cell r="AD1516">
            <v>325000</v>
          </cell>
        </row>
        <row r="1517">
          <cell r="W1517" t="str">
            <v>AASSO01</v>
          </cell>
          <cell r="AD1517">
            <v>1</v>
          </cell>
        </row>
        <row r="1518">
          <cell r="W1518" t="str">
            <v>AASSO04</v>
          </cell>
          <cell r="AD1518">
            <v>72600</v>
          </cell>
        </row>
        <row r="1519">
          <cell r="W1519" t="str">
            <v>QASSO02</v>
          </cell>
          <cell r="AD1519">
            <v>103500</v>
          </cell>
        </row>
        <row r="1520">
          <cell r="W1520" t="str">
            <v>QASSO02</v>
          </cell>
          <cell r="AD1520">
            <v>106000</v>
          </cell>
        </row>
        <row r="1521">
          <cell r="W1521" t="str">
            <v>QASSO02</v>
          </cell>
          <cell r="AD1521">
            <v>115000</v>
          </cell>
        </row>
        <row r="1522">
          <cell r="W1522" t="str">
            <v>QASSO02</v>
          </cell>
          <cell r="AD1522">
            <v>115000</v>
          </cell>
        </row>
        <row r="1523">
          <cell r="W1523" t="str">
            <v>QASSO02</v>
          </cell>
          <cell r="AD1523">
            <v>115000</v>
          </cell>
        </row>
        <row r="1524">
          <cell r="W1524" t="str">
            <v>QASSO02</v>
          </cell>
          <cell r="AD1524">
            <v>115000</v>
          </cell>
        </row>
        <row r="1525">
          <cell r="W1525" t="str">
            <v>QASSO02</v>
          </cell>
          <cell r="AD1525">
            <v>115000</v>
          </cell>
        </row>
        <row r="1526">
          <cell r="W1526" t="str">
            <v>QASSO02</v>
          </cell>
          <cell r="AD1526">
            <v>115000</v>
          </cell>
        </row>
        <row r="1527">
          <cell r="W1527" t="str">
            <v>QASSO02</v>
          </cell>
          <cell r="AD1527">
            <v>115000</v>
          </cell>
        </row>
        <row r="1528">
          <cell r="W1528" t="str">
            <v>QASTA01</v>
          </cell>
          <cell r="AD1528">
            <v>47000</v>
          </cell>
        </row>
        <row r="1529">
          <cell r="W1529" t="str">
            <v>QASTA01</v>
          </cell>
          <cell r="AD1529">
            <v>53000</v>
          </cell>
        </row>
        <row r="1530">
          <cell r="W1530" t="str">
            <v>QASTA01</v>
          </cell>
          <cell r="AD1530">
            <v>53000</v>
          </cell>
        </row>
        <row r="1531">
          <cell r="W1531" t="str">
            <v>QASTA01</v>
          </cell>
          <cell r="AD1531">
            <v>53000</v>
          </cell>
        </row>
        <row r="1532">
          <cell r="W1532" t="str">
            <v>QASTA01</v>
          </cell>
          <cell r="AD1532">
            <v>53000</v>
          </cell>
        </row>
        <row r="1533">
          <cell r="W1533" t="str">
            <v>QASTA01</v>
          </cell>
          <cell r="AD1533">
            <v>53000</v>
          </cell>
        </row>
        <row r="1534">
          <cell r="W1534" t="str">
            <v>QASTA01</v>
          </cell>
          <cell r="AD1534">
            <v>53000</v>
          </cell>
        </row>
        <row r="1535">
          <cell r="W1535" t="str">
            <v>QASTA01</v>
          </cell>
          <cell r="AD1535">
            <v>53000</v>
          </cell>
        </row>
        <row r="1536">
          <cell r="W1536" t="str">
            <v>AASTA01</v>
          </cell>
          <cell r="AD1536">
            <v>53000</v>
          </cell>
        </row>
        <row r="1537">
          <cell r="W1537" t="str">
            <v>QATHO01</v>
          </cell>
          <cell r="AD1537">
            <v>117000</v>
          </cell>
        </row>
        <row r="1538">
          <cell r="W1538" t="str">
            <v>QATHO01</v>
          </cell>
          <cell r="AD1538">
            <v>117000</v>
          </cell>
        </row>
        <row r="1539">
          <cell r="W1539" t="str">
            <v>QATHO01</v>
          </cell>
          <cell r="AD1539">
            <v>117000</v>
          </cell>
        </row>
        <row r="1540">
          <cell r="W1540" t="str">
            <v>QATHO02</v>
          </cell>
          <cell r="AD1540">
            <v>272500</v>
          </cell>
        </row>
        <row r="1541">
          <cell r="W1541" t="str">
            <v>QATHO02</v>
          </cell>
          <cell r="AD1541">
            <v>272500</v>
          </cell>
        </row>
        <row r="1542">
          <cell r="W1542" t="str">
            <v>QATHO02</v>
          </cell>
          <cell r="AD1542">
            <v>272500</v>
          </cell>
        </row>
        <row r="1543">
          <cell r="W1543" t="str">
            <v>QATHO02</v>
          </cell>
          <cell r="AD1543">
            <v>272500</v>
          </cell>
        </row>
        <row r="1544">
          <cell r="W1544" t="str">
            <v>QATHO02</v>
          </cell>
          <cell r="AD1544">
            <v>272500</v>
          </cell>
        </row>
        <row r="1545">
          <cell r="W1545" t="str">
            <v>QATHO02</v>
          </cell>
          <cell r="AD1545">
            <v>272500</v>
          </cell>
        </row>
        <row r="1546">
          <cell r="W1546" t="str">
            <v>QATHO02</v>
          </cell>
          <cell r="AD1546">
            <v>272500</v>
          </cell>
        </row>
        <row r="1547">
          <cell r="W1547" t="str">
            <v>QATHO02</v>
          </cell>
          <cell r="AD1547">
            <v>272500</v>
          </cell>
        </row>
        <row r="1548">
          <cell r="W1548" t="str">
            <v>QATON06</v>
          </cell>
          <cell r="AD1548">
            <v>95500</v>
          </cell>
        </row>
        <row r="1549">
          <cell r="W1549" t="str">
            <v>QATON06</v>
          </cell>
          <cell r="AD1549">
            <v>96000</v>
          </cell>
        </row>
        <row r="1550">
          <cell r="W1550" t="str">
            <v>QATON06</v>
          </cell>
          <cell r="AD1550">
            <v>96000</v>
          </cell>
        </row>
        <row r="1551">
          <cell r="W1551" t="str">
            <v>QATON06</v>
          </cell>
          <cell r="AD1551">
            <v>96000</v>
          </cell>
        </row>
        <row r="1552">
          <cell r="W1552" t="str">
            <v>QATON06</v>
          </cell>
          <cell r="AD1552">
            <v>96000</v>
          </cell>
        </row>
        <row r="1553">
          <cell r="W1553" t="str">
            <v>QATON06</v>
          </cell>
          <cell r="AD1553">
            <v>96000</v>
          </cell>
        </row>
        <row r="1554">
          <cell r="W1554" t="str">
            <v>QATON06</v>
          </cell>
          <cell r="AD1554">
            <v>96000</v>
          </cell>
        </row>
        <row r="1555">
          <cell r="W1555" t="str">
            <v>QATON06</v>
          </cell>
          <cell r="AD1555">
            <v>96000</v>
          </cell>
        </row>
        <row r="1556">
          <cell r="W1556" t="str">
            <v>QATON06</v>
          </cell>
          <cell r="AD1556">
            <v>96000</v>
          </cell>
        </row>
        <row r="1557">
          <cell r="W1557" t="str">
            <v>QATON06</v>
          </cell>
          <cell r="AD1557">
            <v>96500</v>
          </cell>
        </row>
        <row r="1558">
          <cell r="W1558" t="str">
            <v>QATON06</v>
          </cell>
          <cell r="AD1558">
            <v>96500</v>
          </cell>
        </row>
        <row r="1559">
          <cell r="W1559" t="str">
            <v>QATON06</v>
          </cell>
          <cell r="AD1559">
            <v>96500</v>
          </cell>
        </row>
        <row r="1560">
          <cell r="W1560" t="str">
            <v>QATON06</v>
          </cell>
          <cell r="AD1560">
            <v>96500</v>
          </cell>
        </row>
        <row r="1561">
          <cell r="W1561" t="str">
            <v>QATON06</v>
          </cell>
          <cell r="AD1561">
            <v>96500</v>
          </cell>
        </row>
        <row r="1562">
          <cell r="W1562" t="str">
            <v>QATON06</v>
          </cell>
          <cell r="AD1562">
            <v>96500</v>
          </cell>
        </row>
        <row r="1563">
          <cell r="W1563" t="str">
            <v>QATON06</v>
          </cell>
          <cell r="AD1563">
            <v>97000</v>
          </cell>
        </row>
        <row r="1564">
          <cell r="W1564" t="str">
            <v>QATON06</v>
          </cell>
          <cell r="AD1564">
            <v>97000</v>
          </cell>
        </row>
        <row r="1565">
          <cell r="W1565" t="str">
            <v>QATON06</v>
          </cell>
          <cell r="AD1565">
            <v>97000</v>
          </cell>
        </row>
        <row r="1566">
          <cell r="W1566" t="str">
            <v>QATON06</v>
          </cell>
          <cell r="AD1566">
            <v>97000</v>
          </cell>
        </row>
        <row r="1567">
          <cell r="W1567" t="str">
            <v>QATON06</v>
          </cell>
          <cell r="AD1567">
            <v>97000</v>
          </cell>
        </row>
        <row r="1568">
          <cell r="W1568" t="str">
            <v>QATON06</v>
          </cell>
          <cell r="AD1568">
            <v>97000</v>
          </cell>
        </row>
        <row r="1569">
          <cell r="W1569" t="str">
            <v>QATON06</v>
          </cell>
          <cell r="AD1569">
            <v>98000</v>
          </cell>
        </row>
        <row r="1570">
          <cell r="W1570" t="str">
            <v>QATON06</v>
          </cell>
          <cell r="AD1570">
            <v>98000</v>
          </cell>
        </row>
        <row r="1571">
          <cell r="W1571" t="str">
            <v>QATON06</v>
          </cell>
          <cell r="AD1571">
            <v>98000</v>
          </cell>
        </row>
        <row r="1572">
          <cell r="W1572" t="str">
            <v>QATON06</v>
          </cell>
          <cell r="AD1572">
            <v>98000</v>
          </cell>
        </row>
        <row r="1573">
          <cell r="W1573" t="str">
            <v>QATON06</v>
          </cell>
          <cell r="AD1573">
            <v>98000</v>
          </cell>
        </row>
        <row r="1574">
          <cell r="W1574" t="str">
            <v>QATON06</v>
          </cell>
          <cell r="AD1574">
            <v>98500</v>
          </cell>
        </row>
        <row r="1575">
          <cell r="W1575" t="str">
            <v>QATON06</v>
          </cell>
          <cell r="AD1575">
            <v>98500</v>
          </cell>
        </row>
        <row r="1576">
          <cell r="W1576" t="str">
            <v>QATON07</v>
          </cell>
          <cell r="AD1576">
            <v>48500</v>
          </cell>
        </row>
        <row r="1577">
          <cell r="W1577" t="str">
            <v>QATON07</v>
          </cell>
          <cell r="AD1577">
            <v>48500</v>
          </cell>
        </row>
        <row r="1578">
          <cell r="W1578" t="str">
            <v>QATON07</v>
          </cell>
          <cell r="AD1578">
            <v>48500</v>
          </cell>
        </row>
        <row r="1579">
          <cell r="W1579" t="str">
            <v>QATON07</v>
          </cell>
          <cell r="AD1579">
            <v>48500</v>
          </cell>
        </row>
        <row r="1580">
          <cell r="W1580" t="str">
            <v>QATON07</v>
          </cell>
          <cell r="AD1580">
            <v>48500</v>
          </cell>
        </row>
        <row r="1581">
          <cell r="W1581" t="str">
            <v>QATON07</v>
          </cell>
          <cell r="AD1581">
            <v>48500</v>
          </cell>
        </row>
        <row r="1582">
          <cell r="W1582" t="str">
            <v>QATON07</v>
          </cell>
          <cell r="AD1582">
            <v>48500</v>
          </cell>
        </row>
        <row r="1583">
          <cell r="W1583" t="str">
            <v>QATON07</v>
          </cell>
          <cell r="AD1583">
            <v>49000</v>
          </cell>
        </row>
        <row r="1584">
          <cell r="W1584" t="str">
            <v>QATON07</v>
          </cell>
          <cell r="AD1584">
            <v>49000</v>
          </cell>
        </row>
        <row r="1585">
          <cell r="W1585" t="str">
            <v>QATON07</v>
          </cell>
          <cell r="AD1585">
            <v>49000</v>
          </cell>
        </row>
        <row r="1586">
          <cell r="W1586" t="str">
            <v>QATON07</v>
          </cell>
          <cell r="AD1586">
            <v>49000</v>
          </cell>
        </row>
        <row r="1587">
          <cell r="W1587" t="str">
            <v>QATON07</v>
          </cell>
          <cell r="AD1587">
            <v>49000</v>
          </cell>
        </row>
        <row r="1588">
          <cell r="W1588" t="str">
            <v>QATON07</v>
          </cell>
          <cell r="AD1588">
            <v>49000</v>
          </cell>
        </row>
        <row r="1589">
          <cell r="W1589" t="str">
            <v>QATON07</v>
          </cell>
          <cell r="AD1589">
            <v>49000</v>
          </cell>
        </row>
        <row r="1590">
          <cell r="W1590" t="str">
            <v>QATON07</v>
          </cell>
          <cell r="AD1590">
            <v>49000</v>
          </cell>
        </row>
        <row r="1591">
          <cell r="W1591" t="str">
            <v>QATON07</v>
          </cell>
          <cell r="AD1591">
            <v>49000</v>
          </cell>
        </row>
        <row r="1592">
          <cell r="W1592" t="str">
            <v>QATON07</v>
          </cell>
          <cell r="AD1592">
            <v>49000</v>
          </cell>
        </row>
        <row r="1593">
          <cell r="W1593" t="str">
            <v>QATON07</v>
          </cell>
          <cell r="AD1593">
            <v>49000</v>
          </cell>
        </row>
        <row r="1594">
          <cell r="W1594" t="str">
            <v>QATON07</v>
          </cell>
          <cell r="AD1594">
            <v>49000</v>
          </cell>
        </row>
        <row r="1595">
          <cell r="W1595" t="str">
            <v>QATON07</v>
          </cell>
          <cell r="AD1595">
            <v>49000</v>
          </cell>
        </row>
        <row r="1596">
          <cell r="W1596" t="str">
            <v>QATON07</v>
          </cell>
          <cell r="AD1596">
            <v>49000</v>
          </cell>
        </row>
        <row r="1597">
          <cell r="W1597" t="str">
            <v>QATON07</v>
          </cell>
          <cell r="AD1597">
            <v>49000</v>
          </cell>
        </row>
        <row r="1598">
          <cell r="W1598" t="str">
            <v>QATON07</v>
          </cell>
          <cell r="AD1598">
            <v>49000</v>
          </cell>
        </row>
        <row r="1599">
          <cell r="W1599" t="str">
            <v>QATON07</v>
          </cell>
          <cell r="AD1599">
            <v>49000</v>
          </cell>
        </row>
        <row r="1600">
          <cell r="W1600" t="str">
            <v>QATON07</v>
          </cell>
          <cell r="AD1600">
            <v>49000</v>
          </cell>
        </row>
        <row r="1601">
          <cell r="W1601" t="str">
            <v>QATON07</v>
          </cell>
          <cell r="AD1601">
            <v>49000</v>
          </cell>
        </row>
        <row r="1602">
          <cell r="W1602" t="str">
            <v>QATON07</v>
          </cell>
          <cell r="AD1602">
            <v>49000</v>
          </cell>
        </row>
        <row r="1603">
          <cell r="W1603" t="str">
            <v>QATON07</v>
          </cell>
          <cell r="AD1603">
            <v>49000</v>
          </cell>
        </row>
        <row r="1604">
          <cell r="W1604" t="str">
            <v>QATON07</v>
          </cell>
          <cell r="AD1604">
            <v>49000</v>
          </cell>
        </row>
        <row r="1605">
          <cell r="W1605" t="str">
            <v>QATON07</v>
          </cell>
          <cell r="AD1605">
            <v>49000</v>
          </cell>
        </row>
        <row r="1606">
          <cell r="W1606" t="str">
            <v>QATON07</v>
          </cell>
          <cell r="AD1606">
            <v>49000</v>
          </cell>
        </row>
        <row r="1607">
          <cell r="W1607" t="str">
            <v>QATON07</v>
          </cell>
          <cell r="AD1607">
            <v>49000</v>
          </cell>
        </row>
        <row r="1608">
          <cell r="W1608" t="str">
            <v>QATON07</v>
          </cell>
          <cell r="AD1608">
            <v>49000</v>
          </cell>
        </row>
        <row r="1609">
          <cell r="W1609" t="str">
            <v>QATON07</v>
          </cell>
          <cell r="AD1609">
            <v>49000</v>
          </cell>
        </row>
        <row r="1610">
          <cell r="W1610" t="str">
            <v>QATON07</v>
          </cell>
          <cell r="AD1610">
            <v>49500</v>
          </cell>
        </row>
        <row r="1611">
          <cell r="W1611" t="str">
            <v>QATON07</v>
          </cell>
          <cell r="AD1611">
            <v>49500</v>
          </cell>
        </row>
        <row r="1612">
          <cell r="W1612" t="str">
            <v>QATON07</v>
          </cell>
          <cell r="AD1612">
            <v>49500</v>
          </cell>
        </row>
        <row r="1613">
          <cell r="W1613" t="str">
            <v>QATON07</v>
          </cell>
          <cell r="AD1613">
            <v>49500</v>
          </cell>
        </row>
        <row r="1614">
          <cell r="W1614" t="str">
            <v>QATON07</v>
          </cell>
          <cell r="AD1614">
            <v>49500</v>
          </cell>
        </row>
        <row r="1615">
          <cell r="W1615" t="str">
            <v>QATON07</v>
          </cell>
          <cell r="AD1615">
            <v>49500</v>
          </cell>
        </row>
        <row r="1616">
          <cell r="W1616" t="str">
            <v>QATON07</v>
          </cell>
          <cell r="AD1616">
            <v>49500</v>
          </cell>
        </row>
        <row r="1617">
          <cell r="W1617" t="str">
            <v>QATON07</v>
          </cell>
          <cell r="AD1617">
            <v>49500</v>
          </cell>
        </row>
        <row r="1618">
          <cell r="W1618" t="str">
            <v>QATON07</v>
          </cell>
          <cell r="AD1618">
            <v>49500</v>
          </cell>
        </row>
        <row r="1619">
          <cell r="W1619" t="str">
            <v>QATON07</v>
          </cell>
          <cell r="AD1619">
            <v>49500</v>
          </cell>
        </row>
        <row r="1620">
          <cell r="W1620" t="str">
            <v>QATON07</v>
          </cell>
          <cell r="AD1620">
            <v>49500</v>
          </cell>
        </row>
        <row r="1621">
          <cell r="W1621" t="str">
            <v>QATON07</v>
          </cell>
          <cell r="AD1621">
            <v>49500</v>
          </cell>
        </row>
        <row r="1622">
          <cell r="W1622" t="str">
            <v>QATON07</v>
          </cell>
          <cell r="AD1622">
            <v>49500</v>
          </cell>
        </row>
        <row r="1623">
          <cell r="W1623" t="str">
            <v>QATON07</v>
          </cell>
          <cell r="AD1623">
            <v>49500</v>
          </cell>
        </row>
        <row r="1624">
          <cell r="W1624" t="str">
            <v>QATON07</v>
          </cell>
          <cell r="AD1624">
            <v>49500</v>
          </cell>
        </row>
        <row r="1625">
          <cell r="W1625" t="str">
            <v>QATON07</v>
          </cell>
          <cell r="AD1625">
            <v>49500</v>
          </cell>
        </row>
        <row r="1626">
          <cell r="W1626" t="str">
            <v>AATON05</v>
          </cell>
          <cell r="AD1626">
            <v>49500</v>
          </cell>
        </row>
        <row r="1627">
          <cell r="W1627" t="str">
            <v>QATON07</v>
          </cell>
          <cell r="AD1627">
            <v>49500</v>
          </cell>
        </row>
        <row r="1628">
          <cell r="W1628" t="str">
            <v>QATON07</v>
          </cell>
          <cell r="AD1628">
            <v>49500</v>
          </cell>
        </row>
        <row r="1629">
          <cell r="W1629" t="str">
            <v>QATON07</v>
          </cell>
          <cell r="AD1629">
            <v>49500</v>
          </cell>
        </row>
        <row r="1630">
          <cell r="W1630" t="str">
            <v>QATON07</v>
          </cell>
          <cell r="AD1630">
            <v>49500</v>
          </cell>
        </row>
        <row r="1631">
          <cell r="W1631" t="str">
            <v>QATON07</v>
          </cell>
          <cell r="AD1631">
            <v>49500</v>
          </cell>
        </row>
        <row r="1632">
          <cell r="W1632" t="str">
            <v>QATON07</v>
          </cell>
          <cell r="AD1632">
            <v>49500</v>
          </cell>
        </row>
        <row r="1633">
          <cell r="W1633" t="str">
            <v>QATON07</v>
          </cell>
          <cell r="AD1633">
            <v>49500</v>
          </cell>
        </row>
        <row r="1634">
          <cell r="W1634" t="str">
            <v>QATON07</v>
          </cell>
          <cell r="AD1634">
            <v>49500</v>
          </cell>
        </row>
        <row r="1635">
          <cell r="W1635" t="str">
            <v>QATON07</v>
          </cell>
          <cell r="AD1635">
            <v>49500</v>
          </cell>
        </row>
        <row r="1636">
          <cell r="W1636" t="str">
            <v>QATON07</v>
          </cell>
          <cell r="AD1636">
            <v>49500</v>
          </cell>
        </row>
        <row r="1637">
          <cell r="W1637" t="str">
            <v>QATON07</v>
          </cell>
          <cell r="AD1637">
            <v>49500</v>
          </cell>
        </row>
        <row r="1638">
          <cell r="W1638" t="str">
            <v>QATON07</v>
          </cell>
          <cell r="AD1638">
            <v>49500</v>
          </cell>
        </row>
        <row r="1639">
          <cell r="W1639" t="str">
            <v>QATON07</v>
          </cell>
          <cell r="AD1639">
            <v>49500</v>
          </cell>
        </row>
        <row r="1640">
          <cell r="W1640" t="str">
            <v>QATON07</v>
          </cell>
          <cell r="AD1640">
            <v>49500</v>
          </cell>
        </row>
        <row r="1641">
          <cell r="W1641" t="str">
            <v>QATON07</v>
          </cell>
          <cell r="AD1641">
            <v>49500</v>
          </cell>
        </row>
        <row r="1642">
          <cell r="W1642" t="str">
            <v>QATON07</v>
          </cell>
          <cell r="AD1642">
            <v>50000</v>
          </cell>
        </row>
        <row r="1643">
          <cell r="W1643" t="str">
            <v>QATON07</v>
          </cell>
          <cell r="AD1643">
            <v>50000</v>
          </cell>
        </row>
        <row r="1644">
          <cell r="W1644" t="str">
            <v>QATON07</v>
          </cell>
          <cell r="AD1644">
            <v>50000</v>
          </cell>
        </row>
        <row r="1645">
          <cell r="W1645" t="str">
            <v>QATON07</v>
          </cell>
          <cell r="AD1645">
            <v>50000</v>
          </cell>
        </row>
        <row r="1646">
          <cell r="W1646" t="str">
            <v>QATON07</v>
          </cell>
          <cell r="AD1646">
            <v>50000</v>
          </cell>
        </row>
        <row r="1647">
          <cell r="W1647" t="str">
            <v>QATON07</v>
          </cell>
          <cell r="AD1647">
            <v>50000</v>
          </cell>
        </row>
        <row r="1648">
          <cell r="W1648" t="str">
            <v>QATON07</v>
          </cell>
          <cell r="AD1648">
            <v>50000</v>
          </cell>
        </row>
        <row r="1649">
          <cell r="W1649" t="str">
            <v>QATON07</v>
          </cell>
          <cell r="AD1649">
            <v>50000</v>
          </cell>
        </row>
        <row r="1650">
          <cell r="W1650" t="str">
            <v>QATON07</v>
          </cell>
          <cell r="AD1650">
            <v>50000</v>
          </cell>
        </row>
        <row r="1651">
          <cell r="W1651" t="str">
            <v>QATON07</v>
          </cell>
          <cell r="AD1651">
            <v>50000</v>
          </cell>
        </row>
        <row r="1652">
          <cell r="W1652" t="str">
            <v>QATON07</v>
          </cell>
          <cell r="AD1652">
            <v>50500</v>
          </cell>
        </row>
        <row r="1653">
          <cell r="W1653" t="str">
            <v>QATON07</v>
          </cell>
          <cell r="AD1653">
            <v>50500</v>
          </cell>
        </row>
        <row r="1654">
          <cell r="W1654" t="str">
            <v>QATON07</v>
          </cell>
          <cell r="AD1654">
            <v>51000</v>
          </cell>
        </row>
        <row r="1655">
          <cell r="W1655" t="str">
            <v>QATON09</v>
          </cell>
          <cell r="AD1655">
            <v>25500</v>
          </cell>
        </row>
        <row r="1656">
          <cell r="W1656" t="str">
            <v>QATON09</v>
          </cell>
          <cell r="AD1656">
            <v>25500</v>
          </cell>
        </row>
        <row r="1657">
          <cell r="W1657" t="str">
            <v>QATON09</v>
          </cell>
          <cell r="AD1657">
            <v>25500</v>
          </cell>
        </row>
        <row r="1658">
          <cell r="W1658" t="str">
            <v>QATON09</v>
          </cell>
          <cell r="AD1658">
            <v>25500</v>
          </cell>
        </row>
        <row r="1659">
          <cell r="W1659" t="str">
            <v>QATON09</v>
          </cell>
          <cell r="AD1659">
            <v>25500</v>
          </cell>
        </row>
        <row r="1660">
          <cell r="W1660" t="str">
            <v>QATON09</v>
          </cell>
          <cell r="AD1660">
            <v>25500</v>
          </cell>
        </row>
        <row r="1661">
          <cell r="W1661" t="str">
            <v>QATON09</v>
          </cell>
          <cell r="AD1661">
            <v>25500</v>
          </cell>
        </row>
        <row r="1662">
          <cell r="W1662" t="str">
            <v>QATON09</v>
          </cell>
          <cell r="AD1662">
            <v>25500</v>
          </cell>
        </row>
        <row r="1663">
          <cell r="W1663" t="str">
            <v>QATON09</v>
          </cell>
          <cell r="AD1663">
            <v>25500</v>
          </cell>
        </row>
        <row r="1664">
          <cell r="W1664" t="str">
            <v>QATON09</v>
          </cell>
          <cell r="AD1664">
            <v>25500</v>
          </cell>
        </row>
        <row r="1665">
          <cell r="W1665" t="str">
            <v>QATON09</v>
          </cell>
          <cell r="AD1665">
            <v>25500</v>
          </cell>
        </row>
        <row r="1666">
          <cell r="W1666" t="str">
            <v>QATON09</v>
          </cell>
          <cell r="AD1666">
            <v>25500</v>
          </cell>
        </row>
        <row r="1667">
          <cell r="W1667" t="str">
            <v>QATON08</v>
          </cell>
          <cell r="AD1667">
            <v>12000</v>
          </cell>
        </row>
        <row r="1668">
          <cell r="W1668" t="str">
            <v>QATON08</v>
          </cell>
          <cell r="AD1668">
            <v>12000</v>
          </cell>
        </row>
        <row r="1669">
          <cell r="W1669" t="str">
            <v>QATON08</v>
          </cell>
          <cell r="AD1669">
            <v>12000</v>
          </cell>
        </row>
        <row r="1670">
          <cell r="W1670" t="str">
            <v>QATON08</v>
          </cell>
          <cell r="AD1670">
            <v>12000</v>
          </cell>
        </row>
        <row r="1671">
          <cell r="W1671" t="str">
            <v>QATON08</v>
          </cell>
          <cell r="AD1671">
            <v>12000</v>
          </cell>
        </row>
        <row r="1672">
          <cell r="W1672" t="str">
            <v>QATON08</v>
          </cell>
          <cell r="AD1672">
            <v>12000</v>
          </cell>
        </row>
        <row r="1673">
          <cell r="W1673" t="str">
            <v>QATON08</v>
          </cell>
          <cell r="AD1673">
            <v>12000</v>
          </cell>
        </row>
        <row r="1674">
          <cell r="W1674" t="str">
            <v>QATON08</v>
          </cell>
          <cell r="AD1674">
            <v>12000</v>
          </cell>
        </row>
        <row r="1675">
          <cell r="W1675" t="str">
            <v>QATON08</v>
          </cell>
          <cell r="AD1675">
            <v>12000</v>
          </cell>
        </row>
        <row r="1676">
          <cell r="W1676" t="str">
            <v>QATON08</v>
          </cell>
          <cell r="AD1676">
            <v>12000</v>
          </cell>
        </row>
        <row r="1677">
          <cell r="W1677" t="str">
            <v>QATON08</v>
          </cell>
          <cell r="AD1677">
            <v>12000</v>
          </cell>
        </row>
        <row r="1678">
          <cell r="W1678" t="str">
            <v>QATON08</v>
          </cell>
          <cell r="AD1678">
            <v>12000</v>
          </cell>
        </row>
        <row r="1679">
          <cell r="W1679" t="str">
            <v>QATON08</v>
          </cell>
          <cell r="AD1679">
            <v>12500</v>
          </cell>
        </row>
        <row r="1680">
          <cell r="W1680" t="str">
            <v>QATON08</v>
          </cell>
          <cell r="AD1680">
            <v>12500</v>
          </cell>
        </row>
        <row r="1681">
          <cell r="W1681" t="str">
            <v>QATON08</v>
          </cell>
          <cell r="AD1681">
            <v>12500</v>
          </cell>
        </row>
        <row r="1682">
          <cell r="W1682" t="str">
            <v>QATON08</v>
          </cell>
          <cell r="AD1682">
            <v>12500</v>
          </cell>
        </row>
        <row r="1683">
          <cell r="W1683" t="str">
            <v>QATON08</v>
          </cell>
          <cell r="AD1683">
            <v>12500</v>
          </cell>
        </row>
        <row r="1684">
          <cell r="W1684" t="str">
            <v>QATON08</v>
          </cell>
          <cell r="AD1684">
            <v>12500</v>
          </cell>
        </row>
        <row r="1685">
          <cell r="W1685" t="str">
            <v>QATON08</v>
          </cell>
          <cell r="AD1685">
            <v>12500</v>
          </cell>
        </row>
        <row r="1686">
          <cell r="W1686" t="str">
            <v>QATON08</v>
          </cell>
          <cell r="AD1686">
            <v>12500</v>
          </cell>
        </row>
        <row r="1687">
          <cell r="W1687" t="str">
            <v>QATON08</v>
          </cell>
          <cell r="AD1687">
            <v>12500</v>
          </cell>
        </row>
        <row r="1688">
          <cell r="W1688" t="str">
            <v>QATON08</v>
          </cell>
          <cell r="AD1688">
            <v>12500</v>
          </cell>
        </row>
        <row r="1689">
          <cell r="W1689" t="str">
            <v>QATON08</v>
          </cell>
          <cell r="AD1689">
            <v>12500</v>
          </cell>
        </row>
        <row r="1690">
          <cell r="W1690" t="str">
            <v>QATON08</v>
          </cell>
          <cell r="AD1690">
            <v>12500</v>
          </cell>
        </row>
        <row r="1691">
          <cell r="W1691" t="str">
            <v>QATON08</v>
          </cell>
          <cell r="AD1691">
            <v>12500</v>
          </cell>
        </row>
        <row r="1692">
          <cell r="W1692" t="str">
            <v>QATON08</v>
          </cell>
          <cell r="AD1692">
            <v>12500</v>
          </cell>
        </row>
        <row r="1693">
          <cell r="W1693" t="str">
            <v>QATON08</v>
          </cell>
          <cell r="AD1693">
            <v>12500</v>
          </cell>
        </row>
        <row r="1694">
          <cell r="W1694" t="str">
            <v>QATON08</v>
          </cell>
          <cell r="AD1694">
            <v>12500</v>
          </cell>
        </row>
        <row r="1695">
          <cell r="W1695" t="str">
            <v>QATON08</v>
          </cell>
          <cell r="AD1695">
            <v>12500</v>
          </cell>
        </row>
        <row r="1696">
          <cell r="W1696" t="str">
            <v>QATON08</v>
          </cell>
          <cell r="AD1696">
            <v>12500</v>
          </cell>
        </row>
        <row r="1697">
          <cell r="W1697" t="str">
            <v>QATON08</v>
          </cell>
          <cell r="AD1697">
            <v>12500</v>
          </cell>
        </row>
        <row r="1698">
          <cell r="W1698" t="str">
            <v>QATON08</v>
          </cell>
          <cell r="AD1698">
            <v>12500</v>
          </cell>
        </row>
        <row r="1699">
          <cell r="W1699" t="str">
            <v>QATON08</v>
          </cell>
          <cell r="AD1699">
            <v>12500</v>
          </cell>
        </row>
        <row r="1700">
          <cell r="W1700" t="str">
            <v>QATON08</v>
          </cell>
          <cell r="AD1700">
            <v>12500</v>
          </cell>
        </row>
        <row r="1701">
          <cell r="W1701" t="str">
            <v>QATON08</v>
          </cell>
          <cell r="AD1701">
            <v>12500</v>
          </cell>
        </row>
        <row r="1702">
          <cell r="W1702" t="str">
            <v>QATON08</v>
          </cell>
          <cell r="AD1702">
            <v>12500</v>
          </cell>
        </row>
        <row r="1703">
          <cell r="W1703" t="str">
            <v>QATON08</v>
          </cell>
          <cell r="AD1703">
            <v>13000</v>
          </cell>
        </row>
        <row r="1704">
          <cell r="W1704" t="str">
            <v>AATON03</v>
          </cell>
          <cell r="AD1704">
            <v>25500</v>
          </cell>
        </row>
        <row r="1705">
          <cell r="W1705" t="str">
            <v>AATON03</v>
          </cell>
          <cell r="AD1705">
            <v>25500</v>
          </cell>
        </row>
        <row r="1706">
          <cell r="W1706" t="str">
            <v>QAURO03</v>
          </cell>
          <cell r="AD1706">
            <v>80000</v>
          </cell>
        </row>
        <row r="1707">
          <cell r="W1707" t="str">
            <v>QAURO03</v>
          </cell>
          <cell r="AD1707">
            <v>83500</v>
          </cell>
        </row>
        <row r="1708">
          <cell r="W1708" t="str">
            <v>QAVID01</v>
          </cell>
          <cell r="AD1708">
            <v>20500</v>
          </cell>
        </row>
        <row r="1709">
          <cell r="W1709" t="str">
            <v>QAVID01</v>
          </cell>
          <cell r="AD1709">
            <v>20500</v>
          </cell>
        </row>
        <row r="1710">
          <cell r="W1710" t="str">
            <v>QAVID01</v>
          </cell>
          <cell r="AD1710">
            <v>20500</v>
          </cell>
        </row>
        <row r="1711">
          <cell r="W1711" t="str">
            <v>QAVID01</v>
          </cell>
          <cell r="AD1711">
            <v>20500</v>
          </cell>
        </row>
        <row r="1712">
          <cell r="W1712" t="str">
            <v>QAVID01</v>
          </cell>
          <cell r="AD1712">
            <v>20500</v>
          </cell>
        </row>
        <row r="1713">
          <cell r="W1713" t="str">
            <v>QAVID01</v>
          </cell>
          <cell r="AD1713">
            <v>20500</v>
          </cell>
        </row>
        <row r="1714">
          <cell r="W1714" t="str">
            <v>QAVID01</v>
          </cell>
          <cell r="AD1714">
            <v>20500</v>
          </cell>
        </row>
        <row r="1715">
          <cell r="W1715" t="str">
            <v>QAVID01</v>
          </cell>
          <cell r="AD1715">
            <v>20500</v>
          </cell>
        </row>
        <row r="1716">
          <cell r="W1716" t="str">
            <v>QAVID01</v>
          </cell>
          <cell r="AD1716">
            <v>20500</v>
          </cell>
        </row>
        <row r="1717">
          <cell r="W1717" t="str">
            <v>QAVID01</v>
          </cell>
          <cell r="AD1717">
            <v>20500</v>
          </cell>
        </row>
        <row r="1718">
          <cell r="W1718" t="str">
            <v>QAVID01</v>
          </cell>
          <cell r="AD1718">
            <v>20500</v>
          </cell>
        </row>
        <row r="1719">
          <cell r="W1719" t="str">
            <v>QAVID01</v>
          </cell>
          <cell r="AD1719">
            <v>20500</v>
          </cell>
        </row>
        <row r="1720">
          <cell r="W1720" t="str">
            <v>QAVID01</v>
          </cell>
          <cell r="AD1720">
            <v>20500</v>
          </cell>
        </row>
        <row r="1721">
          <cell r="W1721" t="str">
            <v>QAVID01</v>
          </cell>
          <cell r="AD1721">
            <v>20500</v>
          </cell>
        </row>
        <row r="1722">
          <cell r="W1722" t="str">
            <v>QAVID01</v>
          </cell>
          <cell r="AD1722">
            <v>20500</v>
          </cell>
        </row>
        <row r="1723">
          <cell r="W1723" t="str">
            <v>QAVID01</v>
          </cell>
          <cell r="AD1723">
            <v>20500</v>
          </cell>
        </row>
        <row r="1724">
          <cell r="W1724" t="str">
            <v>QAVID01</v>
          </cell>
          <cell r="AD1724">
            <v>20500</v>
          </cell>
        </row>
        <row r="1725">
          <cell r="W1725" t="str">
            <v>QAVID01</v>
          </cell>
          <cell r="AD1725">
            <v>20500</v>
          </cell>
        </row>
        <row r="1726">
          <cell r="W1726" t="str">
            <v>QAVID01</v>
          </cell>
          <cell r="AD1726">
            <v>20500</v>
          </cell>
        </row>
        <row r="1727">
          <cell r="W1727" t="str">
            <v>QAVID01</v>
          </cell>
          <cell r="AD1727">
            <v>20500</v>
          </cell>
        </row>
        <row r="1728">
          <cell r="W1728" t="str">
            <v>QAVID01</v>
          </cell>
          <cell r="AD1728">
            <v>20500</v>
          </cell>
        </row>
        <row r="1729">
          <cell r="W1729" t="str">
            <v>QAVID01</v>
          </cell>
          <cell r="AD1729">
            <v>20500</v>
          </cell>
        </row>
        <row r="1730">
          <cell r="W1730" t="str">
            <v>QAVID01</v>
          </cell>
          <cell r="AD1730">
            <v>20500</v>
          </cell>
        </row>
        <row r="1731">
          <cell r="W1731" t="str">
            <v>QAVID01</v>
          </cell>
          <cell r="AD1731">
            <v>21000</v>
          </cell>
        </row>
        <row r="1732">
          <cell r="W1732" t="str">
            <v>QAVID01</v>
          </cell>
          <cell r="AD1732">
            <v>21000</v>
          </cell>
        </row>
        <row r="1733">
          <cell r="W1733" t="str">
            <v>QAVID01</v>
          </cell>
          <cell r="AD1733">
            <v>21000</v>
          </cell>
        </row>
        <row r="1734">
          <cell r="W1734" t="str">
            <v>QAVID01</v>
          </cell>
          <cell r="AD1734">
            <v>21000</v>
          </cell>
        </row>
        <row r="1735">
          <cell r="W1735" t="str">
            <v>QAVID01</v>
          </cell>
          <cell r="AD1735">
            <v>21000</v>
          </cell>
        </row>
        <row r="1736">
          <cell r="W1736" t="str">
            <v>QAVID01</v>
          </cell>
          <cell r="AD1736">
            <v>21000</v>
          </cell>
        </row>
        <row r="1737">
          <cell r="W1737" t="str">
            <v>QAVID01</v>
          </cell>
          <cell r="AD1737">
            <v>21000</v>
          </cell>
        </row>
        <row r="1738">
          <cell r="W1738" t="str">
            <v>QAVID01</v>
          </cell>
          <cell r="AD1738">
            <v>21000</v>
          </cell>
        </row>
        <row r="1739">
          <cell r="W1739" t="str">
            <v>QAVID01</v>
          </cell>
          <cell r="AD1739">
            <v>21000</v>
          </cell>
        </row>
        <row r="1740">
          <cell r="W1740" t="str">
            <v>QAVID01</v>
          </cell>
          <cell r="AD1740">
            <v>21000</v>
          </cell>
        </row>
        <row r="1741">
          <cell r="W1741" t="str">
            <v>QAVID01</v>
          </cell>
          <cell r="AD1741">
            <v>21000</v>
          </cell>
        </row>
        <row r="1742">
          <cell r="W1742" t="str">
            <v>QAVID01</v>
          </cell>
          <cell r="AD1742">
            <v>21000</v>
          </cell>
        </row>
        <row r="1743">
          <cell r="W1743" t="str">
            <v>QAVID01</v>
          </cell>
          <cell r="AD1743">
            <v>21000</v>
          </cell>
        </row>
        <row r="1744">
          <cell r="W1744" t="str">
            <v>QAVID01</v>
          </cell>
          <cell r="AD1744">
            <v>21000</v>
          </cell>
        </row>
        <row r="1745">
          <cell r="W1745" t="str">
            <v>QAVID01</v>
          </cell>
          <cell r="AD1745">
            <v>21500</v>
          </cell>
        </row>
        <row r="1746">
          <cell r="W1746" t="str">
            <v>QAVID01</v>
          </cell>
          <cell r="AD1746">
            <v>21500</v>
          </cell>
        </row>
        <row r="1747">
          <cell r="W1747" t="str">
            <v>QAVID01</v>
          </cell>
          <cell r="AD1747">
            <v>21500</v>
          </cell>
        </row>
        <row r="1748">
          <cell r="W1748" t="str">
            <v>QAVID01</v>
          </cell>
          <cell r="AD1748">
            <v>21500</v>
          </cell>
        </row>
        <row r="1749">
          <cell r="W1749" t="str">
            <v>QAVID01</v>
          </cell>
          <cell r="AD1749">
            <v>21500</v>
          </cell>
        </row>
        <row r="1750">
          <cell r="W1750" t="str">
            <v>QAVID01</v>
          </cell>
          <cell r="AD1750">
            <v>21500</v>
          </cell>
        </row>
        <row r="1751">
          <cell r="W1751" t="str">
            <v>QAVID01</v>
          </cell>
          <cell r="AD1751">
            <v>21500</v>
          </cell>
        </row>
        <row r="1752">
          <cell r="W1752" t="str">
            <v>QAVID01</v>
          </cell>
          <cell r="AD1752">
            <v>21500</v>
          </cell>
        </row>
        <row r="1753">
          <cell r="W1753" t="str">
            <v>QAVID01</v>
          </cell>
          <cell r="AD1753">
            <v>21500</v>
          </cell>
        </row>
        <row r="1754">
          <cell r="W1754" t="str">
            <v>QAVID01</v>
          </cell>
          <cell r="AD1754">
            <v>21500</v>
          </cell>
        </row>
        <row r="1755">
          <cell r="W1755" t="str">
            <v>QAVID01</v>
          </cell>
          <cell r="AD1755">
            <v>21500</v>
          </cell>
        </row>
        <row r="1756">
          <cell r="W1756" t="str">
            <v>QAVID01</v>
          </cell>
          <cell r="AD1756">
            <v>21500</v>
          </cell>
        </row>
        <row r="1757">
          <cell r="W1757" t="str">
            <v>QAVID01</v>
          </cell>
          <cell r="AD1757">
            <v>21500</v>
          </cell>
        </row>
        <row r="1758">
          <cell r="W1758" t="str">
            <v>QAVID01</v>
          </cell>
          <cell r="AD1758">
            <v>21500</v>
          </cell>
        </row>
        <row r="1759">
          <cell r="W1759" t="str">
            <v>QAVID01</v>
          </cell>
          <cell r="AD1759">
            <v>21500</v>
          </cell>
        </row>
        <row r="1760">
          <cell r="W1760" t="str">
            <v>QAVID01</v>
          </cell>
          <cell r="AD1760">
            <v>21500</v>
          </cell>
        </row>
        <row r="1761">
          <cell r="W1761" t="str">
            <v>QAVID01</v>
          </cell>
          <cell r="AD1761">
            <v>21500</v>
          </cell>
        </row>
        <row r="1762">
          <cell r="W1762" t="str">
            <v>QAVID01</v>
          </cell>
          <cell r="AD1762">
            <v>21500</v>
          </cell>
        </row>
        <row r="1763">
          <cell r="W1763" t="str">
            <v>QAVID01</v>
          </cell>
          <cell r="AD1763">
            <v>21500</v>
          </cell>
        </row>
        <row r="1764">
          <cell r="W1764" t="str">
            <v>QAVID01</v>
          </cell>
          <cell r="AD1764">
            <v>21500</v>
          </cell>
        </row>
        <row r="1765">
          <cell r="W1765" t="str">
            <v>QAVID01</v>
          </cell>
          <cell r="AD1765">
            <v>21500</v>
          </cell>
        </row>
        <row r="1766">
          <cell r="W1766" t="str">
            <v>QAVID01</v>
          </cell>
          <cell r="AD1766">
            <v>21500</v>
          </cell>
        </row>
        <row r="1767">
          <cell r="W1767" t="str">
            <v>QAVID01</v>
          </cell>
          <cell r="AD1767">
            <v>21500</v>
          </cell>
        </row>
        <row r="1768">
          <cell r="W1768" t="str">
            <v>QAVID01</v>
          </cell>
          <cell r="AD1768">
            <v>21500</v>
          </cell>
        </row>
        <row r="1769">
          <cell r="W1769" t="str">
            <v>QAVID01</v>
          </cell>
          <cell r="AD1769">
            <v>21500</v>
          </cell>
        </row>
        <row r="1770">
          <cell r="W1770" t="str">
            <v>QAVID01</v>
          </cell>
          <cell r="AD1770">
            <v>22000</v>
          </cell>
        </row>
        <row r="1771">
          <cell r="W1771" t="str">
            <v>QAVID01</v>
          </cell>
          <cell r="AD1771">
            <v>22000</v>
          </cell>
        </row>
        <row r="1772">
          <cell r="W1772" t="str">
            <v>QAVID01</v>
          </cell>
          <cell r="AD1772">
            <v>22000</v>
          </cell>
        </row>
        <row r="1773">
          <cell r="W1773" t="str">
            <v>QAVID01</v>
          </cell>
          <cell r="AD1773">
            <v>22000</v>
          </cell>
        </row>
        <row r="1774">
          <cell r="W1774" t="str">
            <v>QAVID01</v>
          </cell>
          <cell r="AD1774">
            <v>22000</v>
          </cell>
        </row>
        <row r="1775">
          <cell r="W1775" t="str">
            <v>QAZAT01</v>
          </cell>
          <cell r="AD1775">
            <v>90000</v>
          </cell>
        </row>
        <row r="1776">
          <cell r="W1776" t="str">
            <v>QBABL04</v>
          </cell>
          <cell r="AD1776">
            <v>20000</v>
          </cell>
        </row>
        <row r="1777">
          <cell r="W1777" t="str">
            <v>QBABL05</v>
          </cell>
          <cell r="AD1777">
            <v>190909.09090899999</v>
          </cell>
        </row>
        <row r="1778">
          <cell r="W1778" t="str">
            <v>QBACT02</v>
          </cell>
          <cell r="AD1778">
            <v>15000</v>
          </cell>
        </row>
        <row r="1779">
          <cell r="W1779" t="str">
            <v>QBACT02</v>
          </cell>
          <cell r="AD1779">
            <v>35000</v>
          </cell>
        </row>
        <row r="1780">
          <cell r="W1780" t="str">
            <v>QBACT02</v>
          </cell>
          <cell r="AD1780">
            <v>35000</v>
          </cell>
        </row>
        <row r="1781">
          <cell r="W1781" t="str">
            <v>QBACT02</v>
          </cell>
          <cell r="AD1781">
            <v>35000</v>
          </cell>
        </row>
        <row r="1782">
          <cell r="W1782" t="str">
            <v>QBACT02</v>
          </cell>
          <cell r="AD1782">
            <v>35000</v>
          </cell>
        </row>
        <row r="1783">
          <cell r="W1783" t="str">
            <v>QBACT02</v>
          </cell>
          <cell r="AD1783">
            <v>35000</v>
          </cell>
        </row>
        <row r="1784">
          <cell r="W1784" t="str">
            <v>QBACT02</v>
          </cell>
          <cell r="AD1784">
            <v>35000</v>
          </cell>
        </row>
        <row r="1785">
          <cell r="W1785" t="str">
            <v>QBACT02</v>
          </cell>
          <cell r="AD1785">
            <v>35000</v>
          </cell>
        </row>
        <row r="1786">
          <cell r="W1786" t="str">
            <v>QBACT02</v>
          </cell>
          <cell r="AD1786">
            <v>35000</v>
          </cell>
        </row>
        <row r="1787">
          <cell r="W1787" t="str">
            <v>QBACT02</v>
          </cell>
          <cell r="AD1787">
            <v>35000</v>
          </cell>
        </row>
        <row r="1788">
          <cell r="W1788" t="str">
            <v>QBACT02</v>
          </cell>
          <cell r="AD1788">
            <v>35000</v>
          </cell>
        </row>
        <row r="1789">
          <cell r="W1789" t="str">
            <v>QBACT02</v>
          </cell>
          <cell r="AD1789">
            <v>35500</v>
          </cell>
        </row>
        <row r="1790">
          <cell r="W1790" t="str">
            <v>QBACT02</v>
          </cell>
          <cell r="AD1790">
            <v>35500</v>
          </cell>
        </row>
        <row r="1791">
          <cell r="W1791" t="str">
            <v>QBACT02</v>
          </cell>
          <cell r="AD1791">
            <v>35500</v>
          </cell>
        </row>
        <row r="1792">
          <cell r="W1792" t="str">
            <v>QBACT02</v>
          </cell>
          <cell r="AD1792">
            <v>35500</v>
          </cell>
        </row>
        <row r="1793">
          <cell r="W1793" t="str">
            <v>QBACT02</v>
          </cell>
          <cell r="AD1793">
            <v>35500</v>
          </cell>
        </row>
        <row r="1794">
          <cell r="W1794" t="str">
            <v>QBACT02</v>
          </cell>
          <cell r="AD1794">
            <v>35500</v>
          </cell>
        </row>
        <row r="1795">
          <cell r="W1795" t="str">
            <v>QBACT02</v>
          </cell>
          <cell r="AD1795">
            <v>35500</v>
          </cell>
        </row>
        <row r="1796">
          <cell r="W1796" t="str">
            <v>QBACT02</v>
          </cell>
          <cell r="AD1796">
            <v>35500</v>
          </cell>
        </row>
        <row r="1797">
          <cell r="W1797" t="str">
            <v>QBACT02</v>
          </cell>
          <cell r="AD1797">
            <v>35500</v>
          </cell>
        </row>
        <row r="1798">
          <cell r="W1798" t="str">
            <v>QBACT01</v>
          </cell>
          <cell r="AD1798">
            <v>37500</v>
          </cell>
        </row>
        <row r="1799">
          <cell r="W1799" t="str">
            <v>QBACT01</v>
          </cell>
          <cell r="AD1799">
            <v>42500</v>
          </cell>
        </row>
        <row r="1800">
          <cell r="W1800" t="str">
            <v>QBACT01</v>
          </cell>
          <cell r="AD1800">
            <v>48500</v>
          </cell>
        </row>
        <row r="1801">
          <cell r="W1801" t="str">
            <v>QBACT01</v>
          </cell>
          <cell r="AD1801">
            <v>58500</v>
          </cell>
        </row>
        <row r="1802">
          <cell r="W1802" t="str">
            <v>QBACT01</v>
          </cell>
          <cell r="AD1802">
            <v>58500</v>
          </cell>
        </row>
        <row r="1803">
          <cell r="W1803" t="str">
            <v>QBACT01</v>
          </cell>
          <cell r="AD1803">
            <v>58500</v>
          </cell>
        </row>
        <row r="1804">
          <cell r="W1804" t="str">
            <v>QBACT01</v>
          </cell>
          <cell r="AD1804">
            <v>58500</v>
          </cell>
        </row>
        <row r="1805">
          <cell r="W1805" t="str">
            <v>QBACT01</v>
          </cell>
          <cell r="AD1805">
            <v>58500</v>
          </cell>
        </row>
        <row r="1806">
          <cell r="W1806" t="str">
            <v>QBACT01</v>
          </cell>
          <cell r="AD1806">
            <v>58500</v>
          </cell>
        </row>
        <row r="1807">
          <cell r="W1807" t="str">
            <v>QBACT01</v>
          </cell>
          <cell r="AD1807">
            <v>58500</v>
          </cell>
        </row>
        <row r="1808">
          <cell r="W1808" t="str">
            <v>QBACT01</v>
          </cell>
          <cell r="AD1808">
            <v>58500</v>
          </cell>
        </row>
        <row r="1809">
          <cell r="W1809" t="str">
            <v>QBACT01</v>
          </cell>
          <cell r="AD1809">
            <v>58500</v>
          </cell>
        </row>
        <row r="1810">
          <cell r="W1810" t="str">
            <v>QBACT01</v>
          </cell>
          <cell r="AD1810">
            <v>58500</v>
          </cell>
        </row>
        <row r="1811">
          <cell r="W1811" t="str">
            <v>QBACT01</v>
          </cell>
          <cell r="AD1811">
            <v>58500</v>
          </cell>
        </row>
        <row r="1812">
          <cell r="W1812" t="str">
            <v>QBACT01</v>
          </cell>
          <cell r="AD1812">
            <v>58500</v>
          </cell>
        </row>
        <row r="1813">
          <cell r="W1813" t="str">
            <v>QBACT01</v>
          </cell>
          <cell r="AD1813">
            <v>58500</v>
          </cell>
        </row>
        <row r="1814">
          <cell r="W1814" t="str">
            <v>QBACT01</v>
          </cell>
          <cell r="AD1814">
            <v>58500</v>
          </cell>
        </row>
        <row r="1815">
          <cell r="W1815" t="str">
            <v>QBACT01</v>
          </cell>
          <cell r="AD1815">
            <v>58500</v>
          </cell>
        </row>
        <row r="1816">
          <cell r="W1816" t="str">
            <v>QBACT01</v>
          </cell>
          <cell r="AD1816">
            <v>58500</v>
          </cell>
        </row>
        <row r="1817">
          <cell r="W1817" t="str">
            <v>QBACT01</v>
          </cell>
          <cell r="AD1817">
            <v>58500</v>
          </cell>
        </row>
        <row r="1818">
          <cell r="W1818" t="str">
            <v>QBACT01</v>
          </cell>
          <cell r="AD1818">
            <v>58500</v>
          </cell>
        </row>
        <row r="1819">
          <cell r="W1819" t="str">
            <v>QBACT01</v>
          </cell>
          <cell r="AD1819">
            <v>58500</v>
          </cell>
        </row>
        <row r="1820">
          <cell r="W1820" t="str">
            <v>QBACT01</v>
          </cell>
          <cell r="AD1820">
            <v>58500</v>
          </cell>
        </row>
        <row r="1821">
          <cell r="W1821" t="str">
            <v>QBACT01</v>
          </cell>
          <cell r="AD1821">
            <v>58500</v>
          </cell>
        </row>
        <row r="1822">
          <cell r="W1822" t="str">
            <v>QBACT01</v>
          </cell>
          <cell r="AD1822">
            <v>58500</v>
          </cell>
        </row>
        <row r="1823">
          <cell r="W1823" t="str">
            <v>QBACT01</v>
          </cell>
          <cell r="AD1823">
            <v>58500</v>
          </cell>
        </row>
        <row r="1824">
          <cell r="W1824" t="str">
            <v>QBACT01</v>
          </cell>
          <cell r="AD1824">
            <v>58500</v>
          </cell>
        </row>
        <row r="1825">
          <cell r="W1825" t="str">
            <v>QBACT01</v>
          </cell>
          <cell r="AD1825">
            <v>58500</v>
          </cell>
        </row>
        <row r="1826">
          <cell r="W1826" t="str">
            <v>QBACT01</v>
          </cell>
          <cell r="AD1826">
            <v>58500</v>
          </cell>
        </row>
        <row r="1827">
          <cell r="W1827" t="str">
            <v>QBACT01</v>
          </cell>
          <cell r="AD1827">
            <v>58500</v>
          </cell>
        </row>
        <row r="1828">
          <cell r="W1828" t="str">
            <v>QBACT01</v>
          </cell>
          <cell r="AD1828">
            <v>58500</v>
          </cell>
        </row>
        <row r="1829">
          <cell r="W1829" t="str">
            <v>QBACT01</v>
          </cell>
          <cell r="AD1829">
            <v>58500</v>
          </cell>
        </row>
        <row r="1830">
          <cell r="W1830" t="str">
            <v>QBACT01</v>
          </cell>
          <cell r="AD1830">
            <v>58500</v>
          </cell>
        </row>
        <row r="1831">
          <cell r="W1831" t="str">
            <v>QBACT01</v>
          </cell>
          <cell r="AD1831">
            <v>58500</v>
          </cell>
        </row>
        <row r="1832">
          <cell r="W1832" t="str">
            <v>QBACT01</v>
          </cell>
          <cell r="AD1832">
            <v>58500</v>
          </cell>
        </row>
        <row r="1833">
          <cell r="W1833" t="str">
            <v>QBACT01</v>
          </cell>
          <cell r="AD1833">
            <v>58500</v>
          </cell>
        </row>
        <row r="1834">
          <cell r="W1834" t="str">
            <v>QBACT01</v>
          </cell>
          <cell r="AD1834">
            <v>58500</v>
          </cell>
        </row>
        <row r="1835">
          <cell r="W1835" t="str">
            <v>QBACT01</v>
          </cell>
          <cell r="AD1835">
            <v>58500</v>
          </cell>
        </row>
        <row r="1836">
          <cell r="W1836" t="str">
            <v>QBACT01</v>
          </cell>
          <cell r="AD1836">
            <v>58500</v>
          </cell>
        </row>
        <row r="1837">
          <cell r="W1837" t="str">
            <v>QBACT01</v>
          </cell>
          <cell r="AD1837">
            <v>58500</v>
          </cell>
        </row>
        <row r="1838">
          <cell r="W1838" t="str">
            <v>QBACT01</v>
          </cell>
          <cell r="AD1838">
            <v>58500</v>
          </cell>
        </row>
        <row r="1839">
          <cell r="W1839" t="str">
            <v>QBACT01</v>
          </cell>
          <cell r="AD1839">
            <v>58500</v>
          </cell>
        </row>
        <row r="1840">
          <cell r="W1840" t="str">
            <v>QBACT01</v>
          </cell>
          <cell r="AD1840">
            <v>35500</v>
          </cell>
        </row>
        <row r="1841">
          <cell r="W1841" t="str">
            <v>QBAMB01</v>
          </cell>
          <cell r="AD1841">
            <v>4250</v>
          </cell>
        </row>
        <row r="1842">
          <cell r="W1842" t="str">
            <v>QBAMB01</v>
          </cell>
          <cell r="AD1842">
            <v>4250</v>
          </cell>
        </row>
        <row r="1843">
          <cell r="W1843" t="str">
            <v>QBAMB01</v>
          </cell>
          <cell r="AD1843">
            <v>4500</v>
          </cell>
        </row>
        <row r="1844">
          <cell r="W1844" t="str">
            <v>QBAMB01</v>
          </cell>
          <cell r="AD1844">
            <v>4500</v>
          </cell>
        </row>
        <row r="1845">
          <cell r="W1845" t="str">
            <v>QBAMB01</v>
          </cell>
          <cell r="AD1845">
            <v>4500</v>
          </cell>
        </row>
        <row r="1846">
          <cell r="W1846" t="str">
            <v>QBAMB01</v>
          </cell>
          <cell r="AD1846">
            <v>4500</v>
          </cell>
        </row>
        <row r="1847">
          <cell r="W1847" t="str">
            <v>QBAMB01</v>
          </cell>
          <cell r="AD1847">
            <v>4500</v>
          </cell>
        </row>
        <row r="1848">
          <cell r="W1848" t="str">
            <v>QBAMB01</v>
          </cell>
          <cell r="AD1848">
            <v>4500</v>
          </cell>
        </row>
        <row r="1849">
          <cell r="W1849" t="str">
            <v>QBAMB01</v>
          </cell>
          <cell r="AD1849">
            <v>4500</v>
          </cell>
        </row>
        <row r="1850">
          <cell r="W1850" t="str">
            <v>QBAMB01</v>
          </cell>
          <cell r="AD1850">
            <v>4500</v>
          </cell>
        </row>
        <row r="1851">
          <cell r="W1851" t="str">
            <v>QBAMB01</v>
          </cell>
          <cell r="AD1851">
            <v>4500</v>
          </cell>
        </row>
        <row r="1852">
          <cell r="W1852" t="str">
            <v>QBAMB01</v>
          </cell>
          <cell r="AD1852">
            <v>4500</v>
          </cell>
        </row>
        <row r="1853">
          <cell r="W1853" t="str">
            <v>QBAMB01</v>
          </cell>
          <cell r="AD1853">
            <v>4500</v>
          </cell>
        </row>
        <row r="1854">
          <cell r="W1854" t="str">
            <v>QBAMB01</v>
          </cell>
          <cell r="AD1854">
            <v>4500</v>
          </cell>
        </row>
        <row r="1855">
          <cell r="W1855" t="str">
            <v>QBAMB01</v>
          </cell>
          <cell r="AD1855">
            <v>4500</v>
          </cell>
        </row>
        <row r="1856">
          <cell r="W1856" t="str">
            <v>QBAMB01</v>
          </cell>
          <cell r="AD1856">
            <v>4500</v>
          </cell>
        </row>
        <row r="1857">
          <cell r="W1857" t="str">
            <v>QBAME01</v>
          </cell>
          <cell r="AD1857">
            <v>42000</v>
          </cell>
        </row>
        <row r="1858">
          <cell r="W1858" t="str">
            <v>QBAME01</v>
          </cell>
          <cell r="AD1858">
            <v>42500</v>
          </cell>
        </row>
        <row r="1859">
          <cell r="W1859" t="str">
            <v>QBAME01</v>
          </cell>
          <cell r="AD1859">
            <v>42500</v>
          </cell>
        </row>
        <row r="1860">
          <cell r="W1860" t="str">
            <v>QBAME01</v>
          </cell>
          <cell r="AD1860">
            <v>42500</v>
          </cell>
        </row>
        <row r="1861">
          <cell r="W1861" t="str">
            <v>QBAME01</v>
          </cell>
          <cell r="AD1861">
            <v>43000</v>
          </cell>
        </row>
        <row r="1862">
          <cell r="W1862" t="str">
            <v>QBAME01</v>
          </cell>
          <cell r="AD1862">
            <v>43000</v>
          </cell>
        </row>
        <row r="1863">
          <cell r="W1863" t="str">
            <v>QBAME01</v>
          </cell>
          <cell r="AD1863">
            <v>43000</v>
          </cell>
        </row>
        <row r="1864">
          <cell r="W1864" t="str">
            <v>QBAME01</v>
          </cell>
          <cell r="AD1864">
            <v>43000</v>
          </cell>
        </row>
        <row r="1865">
          <cell r="W1865" t="str">
            <v>QBAME01</v>
          </cell>
          <cell r="AD1865">
            <v>43000</v>
          </cell>
        </row>
        <row r="1866">
          <cell r="W1866" t="str">
            <v>QBAME01</v>
          </cell>
          <cell r="AD1866">
            <v>43000</v>
          </cell>
        </row>
        <row r="1867">
          <cell r="W1867" t="str">
            <v>QBAME01</v>
          </cell>
          <cell r="AD1867">
            <v>43000</v>
          </cell>
        </row>
        <row r="1868">
          <cell r="W1868" t="str">
            <v>QBAME01</v>
          </cell>
          <cell r="AD1868">
            <v>43000</v>
          </cell>
        </row>
        <row r="1869">
          <cell r="W1869" t="str">
            <v>QBAME01</v>
          </cell>
          <cell r="AD1869">
            <v>43000</v>
          </cell>
        </row>
        <row r="1870">
          <cell r="W1870" t="str">
            <v>QBAME01</v>
          </cell>
          <cell r="AD1870">
            <v>43000</v>
          </cell>
        </row>
        <row r="1871">
          <cell r="W1871" t="str">
            <v>QBAME01</v>
          </cell>
          <cell r="AD1871">
            <v>43000</v>
          </cell>
        </row>
        <row r="1872">
          <cell r="W1872" t="str">
            <v>QBAME01</v>
          </cell>
          <cell r="AD1872">
            <v>43000</v>
          </cell>
        </row>
        <row r="1873">
          <cell r="W1873" t="str">
            <v>QBAME01</v>
          </cell>
          <cell r="AD1873">
            <v>43000</v>
          </cell>
        </row>
        <row r="1874">
          <cell r="W1874" t="str">
            <v>QBAME01</v>
          </cell>
          <cell r="AD1874">
            <v>43000</v>
          </cell>
        </row>
        <row r="1875">
          <cell r="W1875" t="str">
            <v>QBAME01</v>
          </cell>
          <cell r="AD1875">
            <v>43000</v>
          </cell>
        </row>
        <row r="1876">
          <cell r="W1876" t="str">
            <v>QBAME01</v>
          </cell>
          <cell r="AD1876">
            <v>43000</v>
          </cell>
        </row>
        <row r="1877">
          <cell r="W1877" t="str">
            <v>QBAME01</v>
          </cell>
          <cell r="AD1877">
            <v>43000</v>
          </cell>
        </row>
        <row r="1878">
          <cell r="W1878" t="str">
            <v>QBAME01</v>
          </cell>
          <cell r="AD1878">
            <v>43000</v>
          </cell>
        </row>
        <row r="1879">
          <cell r="W1879" t="str">
            <v>QBAME01</v>
          </cell>
          <cell r="AD1879">
            <v>43000</v>
          </cell>
        </row>
        <row r="1880">
          <cell r="W1880" t="str">
            <v>QBAME01</v>
          </cell>
          <cell r="AD1880">
            <v>43000</v>
          </cell>
        </row>
        <row r="1881">
          <cell r="W1881" t="str">
            <v>QBAME01</v>
          </cell>
          <cell r="AD1881">
            <v>43000</v>
          </cell>
        </row>
        <row r="1882">
          <cell r="W1882" t="str">
            <v>QBAME01</v>
          </cell>
          <cell r="AD1882">
            <v>43000</v>
          </cell>
        </row>
        <row r="1883">
          <cell r="W1883" t="str">
            <v>QBAME01</v>
          </cell>
          <cell r="AD1883">
            <v>43000</v>
          </cell>
        </row>
        <row r="1884">
          <cell r="W1884" t="str">
            <v>QBAME01</v>
          </cell>
          <cell r="AD1884">
            <v>43500</v>
          </cell>
        </row>
        <row r="1885">
          <cell r="W1885" t="str">
            <v>QBAME01</v>
          </cell>
          <cell r="AD1885">
            <v>43500</v>
          </cell>
        </row>
        <row r="1886">
          <cell r="W1886" t="str">
            <v>QBAME01</v>
          </cell>
          <cell r="AD1886">
            <v>43500</v>
          </cell>
        </row>
        <row r="1887">
          <cell r="W1887" t="str">
            <v>QBAME01</v>
          </cell>
          <cell r="AD1887">
            <v>43500</v>
          </cell>
        </row>
        <row r="1888">
          <cell r="W1888" t="str">
            <v>QBAME01</v>
          </cell>
          <cell r="AD1888">
            <v>43500</v>
          </cell>
        </row>
        <row r="1889">
          <cell r="W1889" t="str">
            <v>QBAME01</v>
          </cell>
          <cell r="AD1889">
            <v>43500</v>
          </cell>
        </row>
        <row r="1890">
          <cell r="W1890" t="str">
            <v>QBAME01</v>
          </cell>
          <cell r="AD1890">
            <v>43500</v>
          </cell>
        </row>
        <row r="1891">
          <cell r="W1891" t="str">
            <v>QBAME01</v>
          </cell>
          <cell r="AD1891">
            <v>44000</v>
          </cell>
        </row>
        <row r="1892">
          <cell r="W1892" t="str">
            <v>QBAME01</v>
          </cell>
          <cell r="AD1892">
            <v>45000</v>
          </cell>
        </row>
        <row r="1893">
          <cell r="W1893" t="str">
            <v>QBAME01</v>
          </cell>
          <cell r="AD1893">
            <v>45000</v>
          </cell>
        </row>
        <row r="1894">
          <cell r="W1894" t="str">
            <v>QBAME01</v>
          </cell>
          <cell r="AD1894">
            <v>45000</v>
          </cell>
        </row>
        <row r="1895">
          <cell r="W1895" t="str">
            <v>QBAME01</v>
          </cell>
          <cell r="AD1895">
            <v>45000</v>
          </cell>
        </row>
        <row r="1896">
          <cell r="W1896" t="str">
            <v>QBAME01</v>
          </cell>
          <cell r="AD1896">
            <v>45000</v>
          </cell>
        </row>
        <row r="1897">
          <cell r="W1897" t="str">
            <v>QBAME01</v>
          </cell>
          <cell r="AD1897">
            <v>45000</v>
          </cell>
        </row>
        <row r="1898">
          <cell r="W1898" t="str">
            <v>QBAME03</v>
          </cell>
          <cell r="AD1898">
            <v>135000</v>
          </cell>
        </row>
        <row r="1899">
          <cell r="W1899" t="str">
            <v>QBAME03</v>
          </cell>
          <cell r="AD1899">
            <v>141000</v>
          </cell>
        </row>
        <row r="1900">
          <cell r="W1900" t="str">
            <v>QBAME03</v>
          </cell>
          <cell r="AD1900">
            <v>142500</v>
          </cell>
        </row>
        <row r="1901">
          <cell r="W1901" t="str">
            <v>QBAME03</v>
          </cell>
          <cell r="AD1901">
            <v>142500</v>
          </cell>
        </row>
        <row r="1902">
          <cell r="W1902" t="str">
            <v>QBAME03</v>
          </cell>
          <cell r="AD1902">
            <v>143000</v>
          </cell>
        </row>
        <row r="1903">
          <cell r="W1903" t="str">
            <v>QBAME03</v>
          </cell>
          <cell r="AD1903">
            <v>143000</v>
          </cell>
        </row>
        <row r="1904">
          <cell r="W1904" t="str">
            <v>QBAME03</v>
          </cell>
          <cell r="AD1904">
            <v>144500</v>
          </cell>
        </row>
        <row r="1905">
          <cell r="W1905" t="str">
            <v>QBAME03</v>
          </cell>
          <cell r="AD1905">
            <v>145000</v>
          </cell>
        </row>
        <row r="1906">
          <cell r="W1906" t="str">
            <v>QBAME03</v>
          </cell>
          <cell r="AD1906">
            <v>145000</v>
          </cell>
        </row>
        <row r="1907">
          <cell r="W1907" t="str">
            <v>QBAME03</v>
          </cell>
          <cell r="AD1907">
            <v>145000</v>
          </cell>
        </row>
        <row r="1908">
          <cell r="W1908" t="str">
            <v>QBAME03</v>
          </cell>
          <cell r="AD1908">
            <v>145000</v>
          </cell>
        </row>
        <row r="1909">
          <cell r="W1909" t="str">
            <v>QBAME03</v>
          </cell>
          <cell r="AD1909">
            <v>145000</v>
          </cell>
        </row>
        <row r="1910">
          <cell r="W1910" t="str">
            <v>QBAME03</v>
          </cell>
          <cell r="AD1910">
            <v>145000</v>
          </cell>
        </row>
        <row r="1911">
          <cell r="W1911" t="str">
            <v>QBAME03</v>
          </cell>
          <cell r="AD1911">
            <v>145000</v>
          </cell>
        </row>
        <row r="1912">
          <cell r="W1912" t="str">
            <v>QBAME03</v>
          </cell>
          <cell r="AD1912">
            <v>145000</v>
          </cell>
        </row>
        <row r="1913">
          <cell r="W1913" t="str">
            <v>QBAME03</v>
          </cell>
          <cell r="AD1913">
            <v>145000</v>
          </cell>
        </row>
        <row r="1914">
          <cell r="W1914" t="str">
            <v>QBAME03</v>
          </cell>
          <cell r="AD1914">
            <v>145000</v>
          </cell>
        </row>
        <row r="1915">
          <cell r="W1915" t="str">
            <v>QBAME03</v>
          </cell>
          <cell r="AD1915">
            <v>145000</v>
          </cell>
        </row>
        <row r="1916">
          <cell r="W1916" t="str">
            <v>QBAME03</v>
          </cell>
          <cell r="AD1916">
            <v>145000</v>
          </cell>
        </row>
        <row r="1917">
          <cell r="W1917" t="str">
            <v>QBAME03</v>
          </cell>
          <cell r="AD1917">
            <v>145000</v>
          </cell>
        </row>
        <row r="1918">
          <cell r="W1918" t="str">
            <v>QBAME03</v>
          </cell>
          <cell r="AD1918">
            <v>145000</v>
          </cell>
        </row>
        <row r="1919">
          <cell r="W1919" t="str">
            <v>QBAME03</v>
          </cell>
          <cell r="AD1919">
            <v>145000</v>
          </cell>
        </row>
        <row r="1920">
          <cell r="W1920" t="str">
            <v>QBAME03</v>
          </cell>
          <cell r="AD1920">
            <v>145000</v>
          </cell>
        </row>
        <row r="1921">
          <cell r="W1921" t="str">
            <v>QBAME03</v>
          </cell>
          <cell r="AD1921">
            <v>145000</v>
          </cell>
        </row>
        <row r="1922">
          <cell r="W1922" t="str">
            <v>QBAME03</v>
          </cell>
          <cell r="AD1922">
            <v>145000</v>
          </cell>
        </row>
        <row r="1923">
          <cell r="W1923" t="str">
            <v>QBAME03</v>
          </cell>
          <cell r="AD1923">
            <v>145000</v>
          </cell>
        </row>
        <row r="1924">
          <cell r="W1924" t="str">
            <v>QBAME03</v>
          </cell>
          <cell r="AD1924">
            <v>145000</v>
          </cell>
        </row>
        <row r="1925">
          <cell r="W1925" t="str">
            <v>QBAME03</v>
          </cell>
          <cell r="AD1925">
            <v>145000</v>
          </cell>
        </row>
        <row r="1926">
          <cell r="W1926" t="str">
            <v>QBAME04</v>
          </cell>
          <cell r="AD1926">
            <v>77000</v>
          </cell>
        </row>
        <row r="1927">
          <cell r="W1927" t="str">
            <v>QBAME04</v>
          </cell>
          <cell r="AD1927">
            <v>77500</v>
          </cell>
        </row>
        <row r="1928">
          <cell r="W1928" t="str">
            <v>QBAME04</v>
          </cell>
          <cell r="AD1928">
            <v>78000</v>
          </cell>
        </row>
        <row r="1929">
          <cell r="W1929" t="str">
            <v>QBAME04</v>
          </cell>
          <cell r="AD1929">
            <v>78000</v>
          </cell>
        </row>
        <row r="1930">
          <cell r="W1930" t="str">
            <v>QBAME04</v>
          </cell>
          <cell r="AD1930">
            <v>78000</v>
          </cell>
        </row>
        <row r="1931">
          <cell r="W1931" t="str">
            <v>QBAME04</v>
          </cell>
          <cell r="AD1931">
            <v>78000</v>
          </cell>
        </row>
        <row r="1932">
          <cell r="W1932" t="str">
            <v>QBAME04</v>
          </cell>
          <cell r="AD1932">
            <v>78000</v>
          </cell>
        </row>
        <row r="1933">
          <cell r="W1933" t="str">
            <v>QBAME04</v>
          </cell>
          <cell r="AD1933">
            <v>78000</v>
          </cell>
        </row>
        <row r="1934">
          <cell r="W1934" t="str">
            <v>QBAME04</v>
          </cell>
          <cell r="AD1934">
            <v>78000</v>
          </cell>
        </row>
        <row r="1935">
          <cell r="W1935" t="str">
            <v>QBAME04</v>
          </cell>
          <cell r="AD1935">
            <v>78000</v>
          </cell>
        </row>
        <row r="1936">
          <cell r="W1936" t="str">
            <v>QBAME04</v>
          </cell>
          <cell r="AD1936">
            <v>78000</v>
          </cell>
        </row>
        <row r="1937">
          <cell r="W1937" t="str">
            <v>QBAME04</v>
          </cell>
          <cell r="AD1937">
            <v>78500</v>
          </cell>
        </row>
        <row r="1938">
          <cell r="W1938" t="str">
            <v>QBAME04</v>
          </cell>
          <cell r="AD1938">
            <v>79000</v>
          </cell>
        </row>
        <row r="1939">
          <cell r="W1939" t="str">
            <v>QBAME04</v>
          </cell>
          <cell r="AD1939">
            <v>79000</v>
          </cell>
        </row>
        <row r="1940">
          <cell r="W1940" t="str">
            <v>QBAME04</v>
          </cell>
          <cell r="AD1940">
            <v>79000</v>
          </cell>
        </row>
        <row r="1941">
          <cell r="W1941" t="str">
            <v>QBAME04</v>
          </cell>
          <cell r="AD1941">
            <v>79000</v>
          </cell>
        </row>
        <row r="1942">
          <cell r="W1942" t="str">
            <v>QBAME04</v>
          </cell>
          <cell r="AD1942">
            <v>79000</v>
          </cell>
        </row>
        <row r="1943">
          <cell r="W1943" t="str">
            <v>QBAME04</v>
          </cell>
          <cell r="AD1943">
            <v>79000</v>
          </cell>
        </row>
        <row r="1944">
          <cell r="W1944" t="str">
            <v>QBAME04</v>
          </cell>
          <cell r="AD1944">
            <v>79000</v>
          </cell>
        </row>
        <row r="1945">
          <cell r="W1945" t="str">
            <v>QBAME04</v>
          </cell>
          <cell r="AD1945">
            <v>79000</v>
          </cell>
        </row>
        <row r="1946">
          <cell r="W1946" t="str">
            <v>QBAME04</v>
          </cell>
          <cell r="AD1946">
            <v>79000</v>
          </cell>
        </row>
        <row r="1947">
          <cell r="W1947" t="str">
            <v>QBAME04</v>
          </cell>
          <cell r="AD1947">
            <v>79000</v>
          </cell>
        </row>
        <row r="1948">
          <cell r="W1948" t="str">
            <v>QBAME04</v>
          </cell>
          <cell r="AD1948">
            <v>79000</v>
          </cell>
        </row>
        <row r="1949">
          <cell r="W1949" t="str">
            <v>QBAME04</v>
          </cell>
          <cell r="AD1949">
            <v>79000</v>
          </cell>
        </row>
        <row r="1950">
          <cell r="W1950" t="str">
            <v>QBAME04</v>
          </cell>
          <cell r="AD1950">
            <v>79000</v>
          </cell>
        </row>
        <row r="1951">
          <cell r="W1951" t="str">
            <v>QBAME04</v>
          </cell>
          <cell r="AD1951">
            <v>79000</v>
          </cell>
        </row>
        <row r="1952">
          <cell r="W1952" t="str">
            <v>QBAME04</v>
          </cell>
          <cell r="AD1952">
            <v>79000</v>
          </cell>
        </row>
        <row r="1953">
          <cell r="W1953" t="str">
            <v>QBAME04</v>
          </cell>
          <cell r="AD1953">
            <v>79500</v>
          </cell>
        </row>
        <row r="1954">
          <cell r="W1954" t="str">
            <v>QBAME04</v>
          </cell>
          <cell r="AD1954">
            <v>79500</v>
          </cell>
        </row>
        <row r="1955">
          <cell r="W1955" t="str">
            <v>QBAME04</v>
          </cell>
          <cell r="AD1955">
            <v>79500</v>
          </cell>
        </row>
        <row r="1956">
          <cell r="W1956" t="str">
            <v>QBAME04</v>
          </cell>
          <cell r="AD1956">
            <v>79500</v>
          </cell>
        </row>
        <row r="1957">
          <cell r="W1957" t="str">
            <v>QBASF04</v>
          </cell>
          <cell r="AD1957">
            <v>110000</v>
          </cell>
        </row>
        <row r="1958">
          <cell r="W1958" t="str">
            <v>QBASF04</v>
          </cell>
          <cell r="AD1958">
            <v>110000</v>
          </cell>
        </row>
        <row r="1959">
          <cell r="W1959" t="str">
            <v>QBASF02</v>
          </cell>
          <cell r="AD1959">
            <v>127500</v>
          </cell>
        </row>
        <row r="1960">
          <cell r="W1960" t="str">
            <v>QBASF02</v>
          </cell>
          <cell r="AD1960">
            <v>127500</v>
          </cell>
        </row>
        <row r="1961">
          <cell r="W1961" t="str">
            <v>QBASF02</v>
          </cell>
          <cell r="AD1961">
            <v>127500</v>
          </cell>
        </row>
        <row r="1962">
          <cell r="W1962" t="str">
            <v>QBASF02</v>
          </cell>
          <cell r="AD1962">
            <v>127500</v>
          </cell>
        </row>
        <row r="1963">
          <cell r="W1963" t="str">
            <v>QBASF03</v>
          </cell>
          <cell r="AD1963">
            <v>47500</v>
          </cell>
        </row>
        <row r="1964">
          <cell r="W1964" t="str">
            <v>QBASF03</v>
          </cell>
          <cell r="AD1964">
            <v>47500</v>
          </cell>
        </row>
        <row r="1965">
          <cell r="W1965" t="str">
            <v>QBASF03</v>
          </cell>
          <cell r="AD1965">
            <v>47500</v>
          </cell>
        </row>
        <row r="1966">
          <cell r="W1966" t="str">
            <v>QBASF03</v>
          </cell>
          <cell r="AD1966">
            <v>47500</v>
          </cell>
        </row>
        <row r="1967">
          <cell r="W1967" t="str">
            <v>QBASF03</v>
          </cell>
          <cell r="AD1967">
            <v>47500</v>
          </cell>
        </row>
        <row r="1968">
          <cell r="W1968" t="str">
            <v>QBASF03</v>
          </cell>
          <cell r="AD1968">
            <v>47500</v>
          </cell>
        </row>
        <row r="1969">
          <cell r="W1969" t="str">
            <v>QBASF03</v>
          </cell>
          <cell r="AD1969">
            <v>47500</v>
          </cell>
        </row>
        <row r="1970">
          <cell r="W1970" t="str">
            <v>QBASF03</v>
          </cell>
          <cell r="AD1970">
            <v>47500</v>
          </cell>
        </row>
        <row r="1971">
          <cell r="W1971" t="str">
            <v>QBASF06</v>
          </cell>
          <cell r="AD1971">
            <v>82500</v>
          </cell>
        </row>
        <row r="1972">
          <cell r="W1972" t="str">
            <v>QBASF06</v>
          </cell>
          <cell r="AD1972">
            <v>82500</v>
          </cell>
        </row>
        <row r="1973">
          <cell r="W1973" t="str">
            <v>QBASF06</v>
          </cell>
          <cell r="AD1973">
            <v>82500</v>
          </cell>
        </row>
        <row r="1974">
          <cell r="W1974" t="str">
            <v>QBASF06</v>
          </cell>
          <cell r="AD1974">
            <v>85000</v>
          </cell>
        </row>
        <row r="1975">
          <cell r="W1975" t="str">
            <v>ABASF04</v>
          </cell>
          <cell r="AD1975">
            <v>82500</v>
          </cell>
        </row>
        <row r="1976">
          <cell r="W1976" t="str">
            <v>QBAYA01</v>
          </cell>
          <cell r="AD1976">
            <v>47000</v>
          </cell>
        </row>
        <row r="1977">
          <cell r="W1977" t="str">
            <v>QBAYA03</v>
          </cell>
          <cell r="AD1977">
            <v>46000</v>
          </cell>
        </row>
        <row r="1978">
          <cell r="W1978" t="str">
            <v>QBAYA03</v>
          </cell>
          <cell r="AD1978">
            <v>50000</v>
          </cell>
        </row>
        <row r="1979">
          <cell r="W1979" t="str">
            <v>QBAYA03</v>
          </cell>
          <cell r="AD1979">
            <v>50000</v>
          </cell>
        </row>
        <row r="1980">
          <cell r="W1980" t="str">
            <v>QBAYA03</v>
          </cell>
          <cell r="AD1980">
            <v>50000</v>
          </cell>
        </row>
        <row r="1981">
          <cell r="W1981" t="str">
            <v>QBAYA03</v>
          </cell>
          <cell r="AD1981">
            <v>55000</v>
          </cell>
        </row>
        <row r="1982">
          <cell r="W1982" t="str">
            <v>QBAYA03</v>
          </cell>
          <cell r="AD1982">
            <v>55000</v>
          </cell>
        </row>
        <row r="1983">
          <cell r="W1983" t="str">
            <v>QBAYA03</v>
          </cell>
          <cell r="AD1983">
            <v>57500</v>
          </cell>
        </row>
        <row r="1984">
          <cell r="W1984" t="str">
            <v>QBAYC02</v>
          </cell>
          <cell r="AD1984">
            <v>15000</v>
          </cell>
        </row>
        <row r="1985">
          <cell r="W1985" t="str">
            <v>QBAYC02</v>
          </cell>
          <cell r="AD1985">
            <v>15500</v>
          </cell>
        </row>
        <row r="1986">
          <cell r="W1986" t="str">
            <v>QBAYC02</v>
          </cell>
          <cell r="AD1986">
            <v>15500</v>
          </cell>
        </row>
        <row r="1987">
          <cell r="W1987" t="str">
            <v>QBAYC02</v>
          </cell>
          <cell r="AD1987">
            <v>15800</v>
          </cell>
        </row>
        <row r="1988">
          <cell r="W1988" t="str">
            <v>QBAYC02</v>
          </cell>
          <cell r="AD1988">
            <v>15800</v>
          </cell>
        </row>
        <row r="1989">
          <cell r="W1989" t="str">
            <v>QBAYC02</v>
          </cell>
          <cell r="AD1989">
            <v>15800</v>
          </cell>
        </row>
        <row r="1990">
          <cell r="W1990" t="str">
            <v>QBAYC02</v>
          </cell>
          <cell r="AD1990">
            <v>16000</v>
          </cell>
        </row>
        <row r="1991">
          <cell r="W1991" t="str">
            <v>QBAYC02</v>
          </cell>
          <cell r="AD1991">
            <v>16000</v>
          </cell>
        </row>
        <row r="1992">
          <cell r="W1992" t="str">
            <v>QBAYC02</v>
          </cell>
          <cell r="AD1992">
            <v>16000</v>
          </cell>
        </row>
        <row r="1993">
          <cell r="W1993" t="str">
            <v>QBAYC02</v>
          </cell>
          <cell r="AD1993">
            <v>16000</v>
          </cell>
        </row>
        <row r="1994">
          <cell r="W1994" t="str">
            <v>QBAYC02</v>
          </cell>
          <cell r="AD1994">
            <v>16250</v>
          </cell>
        </row>
        <row r="1995">
          <cell r="W1995" t="str">
            <v>QBAYC01</v>
          </cell>
          <cell r="AD1995">
            <v>58000</v>
          </cell>
        </row>
        <row r="1996">
          <cell r="W1996" t="str">
            <v>QBAYC01</v>
          </cell>
          <cell r="AD1996">
            <v>58000</v>
          </cell>
        </row>
        <row r="1997">
          <cell r="W1997" t="str">
            <v>QBAYC01</v>
          </cell>
          <cell r="AD1997">
            <v>58500</v>
          </cell>
        </row>
        <row r="1998">
          <cell r="W1998" t="str">
            <v>QBAYC01</v>
          </cell>
          <cell r="AD1998">
            <v>59500</v>
          </cell>
        </row>
        <row r="1999">
          <cell r="W1999" t="str">
            <v>QBAYC01</v>
          </cell>
          <cell r="AD1999">
            <v>60000</v>
          </cell>
        </row>
        <row r="2000">
          <cell r="W2000" t="str">
            <v>QBAYC01</v>
          </cell>
          <cell r="AD2000">
            <v>60000</v>
          </cell>
        </row>
        <row r="2001">
          <cell r="W2001" t="str">
            <v>QBAYC01</v>
          </cell>
          <cell r="AD2001">
            <v>60000</v>
          </cell>
        </row>
        <row r="2002">
          <cell r="W2002" t="str">
            <v>QBAYC01</v>
          </cell>
          <cell r="AD2002">
            <v>60000</v>
          </cell>
        </row>
        <row r="2003">
          <cell r="W2003" t="str">
            <v>QBAYC01</v>
          </cell>
          <cell r="AD2003">
            <v>60000</v>
          </cell>
        </row>
        <row r="2004">
          <cell r="W2004" t="str">
            <v>QBAYC01</v>
          </cell>
          <cell r="AD2004">
            <v>60000</v>
          </cell>
        </row>
        <row r="2005">
          <cell r="W2005" t="str">
            <v>QBAYC01</v>
          </cell>
          <cell r="AD2005">
            <v>60000</v>
          </cell>
        </row>
        <row r="2006">
          <cell r="W2006" t="str">
            <v>QBAYC01</v>
          </cell>
          <cell r="AD2006">
            <v>60000</v>
          </cell>
        </row>
        <row r="2007">
          <cell r="W2007" t="str">
            <v>QBAYC01</v>
          </cell>
          <cell r="AD2007">
            <v>60000</v>
          </cell>
        </row>
        <row r="2008">
          <cell r="W2008" t="str">
            <v>QBAYC01</v>
          </cell>
          <cell r="AD2008">
            <v>60000</v>
          </cell>
        </row>
        <row r="2009">
          <cell r="W2009" t="str">
            <v>QBAYC01</v>
          </cell>
          <cell r="AD2009">
            <v>60000</v>
          </cell>
        </row>
        <row r="2010">
          <cell r="W2010" t="str">
            <v>QBAYC01</v>
          </cell>
          <cell r="AD2010">
            <v>60000</v>
          </cell>
        </row>
        <row r="2011">
          <cell r="W2011" t="str">
            <v>QBAYC01</v>
          </cell>
          <cell r="AD2011">
            <v>60000</v>
          </cell>
        </row>
        <row r="2012">
          <cell r="W2012" t="str">
            <v>QBAYC01</v>
          </cell>
          <cell r="AD2012">
            <v>60000</v>
          </cell>
        </row>
        <row r="2013">
          <cell r="W2013" t="str">
            <v>QBAYC01</v>
          </cell>
          <cell r="AD2013">
            <v>60000</v>
          </cell>
        </row>
        <row r="2014">
          <cell r="W2014" t="str">
            <v>QBAYC01</v>
          </cell>
          <cell r="AD2014">
            <v>26500</v>
          </cell>
        </row>
        <row r="2015">
          <cell r="W2015" t="str">
            <v>QBAYF01</v>
          </cell>
          <cell r="AD2015">
            <v>25500</v>
          </cell>
        </row>
        <row r="2016">
          <cell r="W2016" t="str">
            <v>QBAYF01</v>
          </cell>
          <cell r="AD2016">
            <v>26000</v>
          </cell>
        </row>
        <row r="2017">
          <cell r="W2017" t="str">
            <v>QBAYF01</v>
          </cell>
          <cell r="AD2017">
            <v>26000</v>
          </cell>
        </row>
        <row r="2018">
          <cell r="W2018" t="str">
            <v>QBAYF01</v>
          </cell>
          <cell r="AD2018">
            <v>26000</v>
          </cell>
        </row>
        <row r="2019">
          <cell r="W2019" t="str">
            <v>QBAYF01</v>
          </cell>
          <cell r="AD2019">
            <v>26000</v>
          </cell>
        </row>
        <row r="2020">
          <cell r="W2020" t="str">
            <v>QBAYF01</v>
          </cell>
          <cell r="AD2020">
            <v>26000</v>
          </cell>
        </row>
        <row r="2021">
          <cell r="W2021" t="str">
            <v>QBAYF01</v>
          </cell>
          <cell r="AD2021">
            <v>26000</v>
          </cell>
        </row>
        <row r="2022">
          <cell r="W2022" t="str">
            <v>QBAYF01</v>
          </cell>
          <cell r="AD2022">
            <v>26000</v>
          </cell>
        </row>
        <row r="2023">
          <cell r="W2023" t="str">
            <v>QBAYF01</v>
          </cell>
          <cell r="AD2023">
            <v>26000</v>
          </cell>
        </row>
        <row r="2024">
          <cell r="W2024" t="str">
            <v>QBAYF01</v>
          </cell>
          <cell r="AD2024">
            <v>26000</v>
          </cell>
        </row>
        <row r="2025">
          <cell r="W2025" t="str">
            <v>QBAYF01</v>
          </cell>
          <cell r="AD2025">
            <v>26500</v>
          </cell>
        </row>
        <row r="2026">
          <cell r="W2026" t="str">
            <v>QBAYF01</v>
          </cell>
          <cell r="AD2026">
            <v>26500</v>
          </cell>
        </row>
        <row r="2027">
          <cell r="W2027" t="str">
            <v>QBAYF01</v>
          </cell>
          <cell r="AD2027">
            <v>26500</v>
          </cell>
        </row>
        <row r="2028">
          <cell r="W2028" t="str">
            <v>QBAYF01</v>
          </cell>
          <cell r="AD2028">
            <v>26500</v>
          </cell>
        </row>
        <row r="2029">
          <cell r="W2029" t="str">
            <v>QBAYF01</v>
          </cell>
          <cell r="AD2029">
            <v>26500</v>
          </cell>
        </row>
        <row r="2030">
          <cell r="W2030" t="str">
            <v>QBAYF01</v>
          </cell>
          <cell r="AD2030">
            <v>26500</v>
          </cell>
        </row>
        <row r="2031">
          <cell r="W2031" t="str">
            <v>QBAYF01</v>
          </cell>
          <cell r="AD2031">
            <v>26500</v>
          </cell>
        </row>
        <row r="2032">
          <cell r="W2032" t="str">
            <v>QBAYF01</v>
          </cell>
          <cell r="AD2032">
            <v>26500</v>
          </cell>
        </row>
        <row r="2033">
          <cell r="W2033" t="str">
            <v>QBAYF01</v>
          </cell>
          <cell r="AD2033">
            <v>26500</v>
          </cell>
        </row>
        <row r="2034">
          <cell r="W2034" t="str">
            <v>QBAYF01</v>
          </cell>
          <cell r="AD2034">
            <v>26500</v>
          </cell>
        </row>
        <row r="2035">
          <cell r="W2035" t="str">
            <v>QBAYF01</v>
          </cell>
          <cell r="AD2035">
            <v>26500</v>
          </cell>
        </row>
        <row r="2036">
          <cell r="W2036" t="str">
            <v>QBAYF01</v>
          </cell>
          <cell r="AD2036">
            <v>26500</v>
          </cell>
        </row>
        <row r="2037">
          <cell r="W2037" t="str">
            <v>QBAYF01</v>
          </cell>
          <cell r="AD2037">
            <v>26500</v>
          </cell>
        </row>
        <row r="2038">
          <cell r="W2038" t="str">
            <v>QBAYF01</v>
          </cell>
          <cell r="AD2038">
            <v>26500</v>
          </cell>
        </row>
        <row r="2039">
          <cell r="W2039" t="str">
            <v>QBAYF01</v>
          </cell>
          <cell r="AD2039">
            <v>26500</v>
          </cell>
        </row>
        <row r="2040">
          <cell r="W2040" t="str">
            <v>QBAYF01</v>
          </cell>
          <cell r="AD2040">
            <v>26500</v>
          </cell>
        </row>
        <row r="2041">
          <cell r="W2041" t="str">
            <v>QBAYF01</v>
          </cell>
          <cell r="AD2041">
            <v>26500</v>
          </cell>
        </row>
        <row r="2042">
          <cell r="W2042" t="str">
            <v>QBAYF01</v>
          </cell>
          <cell r="AD2042">
            <v>26500</v>
          </cell>
        </row>
        <row r="2043">
          <cell r="W2043" t="str">
            <v>QBAYF01</v>
          </cell>
          <cell r="AD2043">
            <v>26500</v>
          </cell>
        </row>
        <row r="2044">
          <cell r="W2044" t="str">
            <v>QBAYF01</v>
          </cell>
          <cell r="AD2044">
            <v>26500</v>
          </cell>
        </row>
        <row r="2045">
          <cell r="W2045" t="str">
            <v>QBAYF01</v>
          </cell>
          <cell r="AD2045">
            <v>26500</v>
          </cell>
        </row>
        <row r="2046">
          <cell r="W2046" t="str">
            <v>QBAYF01</v>
          </cell>
          <cell r="AD2046">
            <v>26500</v>
          </cell>
        </row>
        <row r="2047">
          <cell r="W2047" t="str">
            <v>QBAYF01</v>
          </cell>
          <cell r="AD2047">
            <v>26500</v>
          </cell>
        </row>
        <row r="2048">
          <cell r="W2048" t="str">
            <v>QBAYF01</v>
          </cell>
          <cell r="AD2048">
            <v>26500</v>
          </cell>
        </row>
        <row r="2049">
          <cell r="W2049" t="str">
            <v>QBAYF02</v>
          </cell>
          <cell r="AD2049">
            <v>13500</v>
          </cell>
        </row>
        <row r="2050">
          <cell r="W2050" t="str">
            <v>QBAYF02</v>
          </cell>
          <cell r="AD2050">
            <v>13500</v>
          </cell>
        </row>
        <row r="2051">
          <cell r="W2051" t="str">
            <v>QBAYF02</v>
          </cell>
          <cell r="AD2051">
            <v>13500</v>
          </cell>
        </row>
        <row r="2052">
          <cell r="W2052" t="str">
            <v>QBAYF02</v>
          </cell>
          <cell r="AD2052">
            <v>13500</v>
          </cell>
        </row>
        <row r="2053">
          <cell r="W2053" t="str">
            <v>QBAYF02</v>
          </cell>
          <cell r="AD2053">
            <v>14000</v>
          </cell>
        </row>
        <row r="2054">
          <cell r="W2054" t="str">
            <v>QBAYF02</v>
          </cell>
          <cell r="AD2054">
            <v>14000</v>
          </cell>
        </row>
        <row r="2055">
          <cell r="W2055" t="str">
            <v>QBAYF02</v>
          </cell>
          <cell r="AD2055">
            <v>14000</v>
          </cell>
        </row>
        <row r="2056">
          <cell r="W2056" t="str">
            <v>QBAYF02</v>
          </cell>
          <cell r="AD2056">
            <v>14000</v>
          </cell>
        </row>
        <row r="2057">
          <cell r="W2057" t="str">
            <v>QBEKA01</v>
          </cell>
          <cell r="AD2057">
            <v>28000</v>
          </cell>
        </row>
        <row r="2058">
          <cell r="W2058" t="str">
            <v>QBELT01</v>
          </cell>
          <cell r="AD2058">
            <v>131000</v>
          </cell>
        </row>
        <row r="2059">
          <cell r="W2059" t="str">
            <v>QBELT01</v>
          </cell>
          <cell r="AD2059">
            <v>131000</v>
          </cell>
        </row>
        <row r="2060">
          <cell r="W2060" t="str">
            <v>QBELT02</v>
          </cell>
          <cell r="AD2060">
            <v>295000</v>
          </cell>
        </row>
        <row r="2061">
          <cell r="W2061" t="str">
            <v>QBELT02</v>
          </cell>
          <cell r="AD2061">
            <v>300000</v>
          </cell>
        </row>
        <row r="2062">
          <cell r="W2062" t="str">
            <v>QBELT02</v>
          </cell>
          <cell r="AD2062">
            <v>300000</v>
          </cell>
        </row>
        <row r="2063">
          <cell r="W2063" t="str">
            <v>QBELT02</v>
          </cell>
          <cell r="AD2063">
            <v>307500</v>
          </cell>
        </row>
        <row r="2064">
          <cell r="W2064" t="str">
            <v>QBELT02</v>
          </cell>
          <cell r="AD2064">
            <v>307500</v>
          </cell>
        </row>
        <row r="2065">
          <cell r="W2065" t="str">
            <v>QBELT02</v>
          </cell>
          <cell r="AD2065">
            <v>307500</v>
          </cell>
        </row>
        <row r="2066">
          <cell r="W2066" t="str">
            <v>QBELT02</v>
          </cell>
          <cell r="AD2066">
            <v>311000</v>
          </cell>
        </row>
        <row r="2067">
          <cell r="W2067" t="str">
            <v>ABENA01</v>
          </cell>
          <cell r="AD2067">
            <v>32000</v>
          </cell>
        </row>
        <row r="2068">
          <cell r="W2068" t="str">
            <v>ABENTO01</v>
          </cell>
          <cell r="AD2068">
            <v>1</v>
          </cell>
        </row>
        <row r="2069">
          <cell r="W2069" t="str">
            <v>QBENT06</v>
          </cell>
          <cell r="AD2069">
            <v>663636.36</v>
          </cell>
        </row>
        <row r="2070">
          <cell r="W2070" t="str">
            <v>QBERN03</v>
          </cell>
          <cell r="AD2070">
            <v>105000</v>
          </cell>
        </row>
        <row r="2071">
          <cell r="W2071" t="str">
            <v>QBESM01</v>
          </cell>
          <cell r="AD2071">
            <v>17500</v>
          </cell>
        </row>
        <row r="2072">
          <cell r="W2072" t="str">
            <v>QBESM01</v>
          </cell>
          <cell r="AD2072">
            <v>17500</v>
          </cell>
        </row>
        <row r="2073">
          <cell r="W2073" t="str">
            <v>QBESM01</v>
          </cell>
          <cell r="AD2073">
            <v>17500</v>
          </cell>
        </row>
        <row r="2074">
          <cell r="W2074" t="str">
            <v>QBEST05</v>
          </cell>
          <cell r="AD2074">
            <v>860000</v>
          </cell>
        </row>
        <row r="2075">
          <cell r="W2075" t="str">
            <v>QBEST05</v>
          </cell>
          <cell r="AD2075">
            <v>860000</v>
          </cell>
        </row>
        <row r="2076">
          <cell r="W2076" t="str">
            <v>QBEST05</v>
          </cell>
          <cell r="AD2076">
            <v>860000</v>
          </cell>
        </row>
        <row r="2077">
          <cell r="W2077" t="str">
            <v>QBEST05</v>
          </cell>
          <cell r="AD2077">
            <v>860000</v>
          </cell>
        </row>
        <row r="2078">
          <cell r="W2078" t="str">
            <v>QBEST05</v>
          </cell>
          <cell r="AD2078">
            <v>860000</v>
          </cell>
        </row>
        <row r="2079">
          <cell r="W2079" t="str">
            <v>QBEST03</v>
          </cell>
          <cell r="AD2079">
            <v>44500</v>
          </cell>
        </row>
        <row r="2080">
          <cell r="W2080" t="str">
            <v>QBEST03</v>
          </cell>
          <cell r="AD2080">
            <v>44500</v>
          </cell>
        </row>
        <row r="2081">
          <cell r="W2081" t="str">
            <v>QBEST03</v>
          </cell>
          <cell r="AD2081">
            <v>45000</v>
          </cell>
        </row>
        <row r="2082">
          <cell r="W2082" t="str">
            <v>QBEST03</v>
          </cell>
          <cell r="AD2082">
            <v>45000</v>
          </cell>
        </row>
        <row r="2083">
          <cell r="W2083" t="str">
            <v>QBEST03</v>
          </cell>
          <cell r="AD2083">
            <v>45000</v>
          </cell>
        </row>
        <row r="2084">
          <cell r="W2084" t="str">
            <v>QBEST03</v>
          </cell>
          <cell r="AD2084">
            <v>45000</v>
          </cell>
        </row>
        <row r="2085">
          <cell r="W2085" t="str">
            <v>QBEST03</v>
          </cell>
          <cell r="AD2085">
            <v>45000</v>
          </cell>
        </row>
        <row r="2086">
          <cell r="W2086" t="str">
            <v>QBEST03</v>
          </cell>
          <cell r="AD2086">
            <v>45000</v>
          </cell>
        </row>
        <row r="2087">
          <cell r="W2087" t="str">
            <v>QBEST04</v>
          </cell>
          <cell r="AD2087">
            <v>217500</v>
          </cell>
        </row>
        <row r="2088">
          <cell r="W2088" t="str">
            <v>QBEST04</v>
          </cell>
          <cell r="AD2088">
            <v>220000</v>
          </cell>
        </row>
        <row r="2089">
          <cell r="W2089" t="str">
            <v>QBIGG02</v>
          </cell>
          <cell r="AD2089">
            <v>43000</v>
          </cell>
        </row>
        <row r="2090">
          <cell r="W2090" t="str">
            <v>QBIGG02</v>
          </cell>
          <cell r="AD2090">
            <v>43000</v>
          </cell>
        </row>
        <row r="2091">
          <cell r="W2091" t="str">
            <v>QBIGG02</v>
          </cell>
          <cell r="AD2091">
            <v>43000</v>
          </cell>
        </row>
        <row r="2092">
          <cell r="W2092" t="str">
            <v>QBIGG02</v>
          </cell>
          <cell r="AD2092">
            <v>45000</v>
          </cell>
        </row>
        <row r="2093">
          <cell r="W2093" t="str">
            <v>QBIGG02</v>
          </cell>
          <cell r="AD2093">
            <v>47000</v>
          </cell>
        </row>
        <row r="2094">
          <cell r="W2094" t="str">
            <v>QBIGG02</v>
          </cell>
          <cell r="AD2094">
            <v>47000</v>
          </cell>
        </row>
        <row r="2095">
          <cell r="W2095" t="str">
            <v>QBIGG02</v>
          </cell>
          <cell r="AD2095">
            <v>47500</v>
          </cell>
        </row>
        <row r="2096">
          <cell r="W2096" t="str">
            <v>QBIGG02</v>
          </cell>
          <cell r="AD2096">
            <v>47500</v>
          </cell>
        </row>
        <row r="2097">
          <cell r="W2097" t="str">
            <v>QBIGG02</v>
          </cell>
          <cell r="AD2097">
            <v>47500</v>
          </cell>
        </row>
        <row r="2098">
          <cell r="W2098" t="str">
            <v>QBIGG02</v>
          </cell>
          <cell r="AD2098">
            <v>47500</v>
          </cell>
        </row>
        <row r="2099">
          <cell r="W2099" t="str">
            <v>QBIGG02</v>
          </cell>
          <cell r="AD2099">
            <v>47500</v>
          </cell>
        </row>
        <row r="2100">
          <cell r="W2100" t="str">
            <v>QBIGG02</v>
          </cell>
          <cell r="AD2100">
            <v>47500</v>
          </cell>
        </row>
        <row r="2101">
          <cell r="W2101" t="str">
            <v>QBIGG02</v>
          </cell>
          <cell r="AD2101">
            <v>47500</v>
          </cell>
        </row>
        <row r="2102">
          <cell r="W2102" t="str">
            <v>QBIGG02</v>
          </cell>
          <cell r="AD2102">
            <v>47500</v>
          </cell>
        </row>
        <row r="2103">
          <cell r="W2103" t="str">
            <v>QBIGG02</v>
          </cell>
          <cell r="AD2103">
            <v>47500</v>
          </cell>
        </row>
        <row r="2104">
          <cell r="W2104" t="str">
            <v>QBIGG01</v>
          </cell>
          <cell r="AD2104">
            <v>14000</v>
          </cell>
        </row>
        <row r="2105">
          <cell r="W2105" t="str">
            <v>QBIGG01</v>
          </cell>
          <cell r="AD2105">
            <v>14000</v>
          </cell>
        </row>
        <row r="2106">
          <cell r="W2106" t="str">
            <v>QBIGG01</v>
          </cell>
          <cell r="AD2106">
            <v>14000</v>
          </cell>
        </row>
        <row r="2107">
          <cell r="W2107" t="str">
            <v>QBIGG01</v>
          </cell>
          <cell r="AD2107">
            <v>15000</v>
          </cell>
        </row>
        <row r="2108">
          <cell r="W2108" t="str">
            <v>QBIGG03</v>
          </cell>
          <cell r="AD2108">
            <v>39500</v>
          </cell>
        </row>
        <row r="2109">
          <cell r="W2109" t="str">
            <v>QBIGG03</v>
          </cell>
          <cell r="AD2109">
            <v>40000</v>
          </cell>
        </row>
        <row r="2110">
          <cell r="W2110" t="str">
            <v>QBIGG03</v>
          </cell>
          <cell r="AD2110">
            <v>40000</v>
          </cell>
        </row>
        <row r="2111">
          <cell r="W2111" t="str">
            <v>QBIGG03</v>
          </cell>
          <cell r="AD2111">
            <v>40000</v>
          </cell>
        </row>
        <row r="2112">
          <cell r="W2112" t="str">
            <v>QBIGG03</v>
          </cell>
          <cell r="AD2112">
            <v>40000</v>
          </cell>
        </row>
        <row r="2113">
          <cell r="W2113" t="str">
            <v>QBIGG03</v>
          </cell>
          <cell r="AD2113">
            <v>40000</v>
          </cell>
        </row>
        <row r="2114">
          <cell r="W2114" t="str">
            <v>QBIGG03</v>
          </cell>
          <cell r="AD2114">
            <v>40000</v>
          </cell>
        </row>
        <row r="2115">
          <cell r="W2115" t="str">
            <v>QBIGG03</v>
          </cell>
          <cell r="AD2115">
            <v>40000</v>
          </cell>
        </row>
        <row r="2116">
          <cell r="W2116" t="str">
            <v>QBIGG03</v>
          </cell>
          <cell r="AD2116">
            <v>40000</v>
          </cell>
        </row>
        <row r="2117">
          <cell r="W2117" t="str">
            <v>QBIGG03</v>
          </cell>
          <cell r="AD2117">
            <v>40000</v>
          </cell>
        </row>
        <row r="2118">
          <cell r="W2118" t="str">
            <v>QBIGG03</v>
          </cell>
          <cell r="AD2118">
            <v>40000</v>
          </cell>
        </row>
        <row r="2119">
          <cell r="W2119" t="str">
            <v>QBIGG03</v>
          </cell>
          <cell r="AD2119">
            <v>40000</v>
          </cell>
        </row>
        <row r="2120">
          <cell r="W2120" t="str">
            <v>QBIGG03</v>
          </cell>
          <cell r="AD2120">
            <v>40000</v>
          </cell>
        </row>
        <row r="2121">
          <cell r="W2121" t="str">
            <v>QBIGG03</v>
          </cell>
          <cell r="AD2121">
            <v>40000</v>
          </cell>
        </row>
        <row r="2122">
          <cell r="W2122" t="str">
            <v>QBIGG03</v>
          </cell>
          <cell r="AD2122">
            <v>40000</v>
          </cell>
        </row>
        <row r="2123">
          <cell r="W2123" t="str">
            <v>QBIGG03</v>
          </cell>
          <cell r="AD2123">
            <v>40000</v>
          </cell>
        </row>
        <row r="2124">
          <cell r="W2124" t="str">
            <v>QBIGG03</v>
          </cell>
          <cell r="AD2124">
            <v>40000</v>
          </cell>
        </row>
        <row r="2125">
          <cell r="W2125" t="str">
            <v>QBIGG03</v>
          </cell>
          <cell r="AD2125">
            <v>40000</v>
          </cell>
        </row>
        <row r="2126">
          <cell r="W2126" t="str">
            <v>QBIGG03</v>
          </cell>
          <cell r="AD2126">
            <v>40000</v>
          </cell>
        </row>
        <row r="2127">
          <cell r="W2127" t="str">
            <v>QBIGG03</v>
          </cell>
          <cell r="AD2127">
            <v>40000</v>
          </cell>
        </row>
        <row r="2128">
          <cell r="W2128" t="str">
            <v>QBIGG03</v>
          </cell>
          <cell r="AD2128">
            <v>40000</v>
          </cell>
        </row>
        <row r="2129">
          <cell r="W2129" t="str">
            <v>QBIGG03</v>
          </cell>
          <cell r="AD2129">
            <v>40000</v>
          </cell>
        </row>
        <row r="2130">
          <cell r="W2130" t="str">
            <v>QBIGG03</v>
          </cell>
          <cell r="AD2130">
            <v>40000</v>
          </cell>
        </row>
        <row r="2131">
          <cell r="W2131" t="str">
            <v>QBIGG03</v>
          </cell>
          <cell r="AD2131">
            <v>40000</v>
          </cell>
        </row>
        <row r="2132">
          <cell r="W2132" t="str">
            <v>QBIGG03</v>
          </cell>
          <cell r="AD2132">
            <v>40000</v>
          </cell>
        </row>
        <row r="2133">
          <cell r="W2133" t="str">
            <v>QBIGG03</v>
          </cell>
          <cell r="AD2133">
            <v>40000</v>
          </cell>
        </row>
        <row r="2134">
          <cell r="W2134" t="str">
            <v>QBIGG03</v>
          </cell>
          <cell r="AD2134">
            <v>40000</v>
          </cell>
        </row>
        <row r="2135">
          <cell r="W2135" t="str">
            <v>QBIGG04</v>
          </cell>
          <cell r="AD2135">
            <v>4500</v>
          </cell>
        </row>
        <row r="2136">
          <cell r="W2136" t="str">
            <v>QBIGG04</v>
          </cell>
          <cell r="AD2136">
            <v>4500</v>
          </cell>
        </row>
        <row r="2137">
          <cell r="W2137" t="str">
            <v>QBIGG04</v>
          </cell>
          <cell r="AD2137">
            <v>4500</v>
          </cell>
        </row>
        <row r="2138">
          <cell r="W2138" t="str">
            <v>QBIGG04</v>
          </cell>
          <cell r="AD2138">
            <v>4500</v>
          </cell>
        </row>
        <row r="2139">
          <cell r="W2139" t="str">
            <v>QBIGG04</v>
          </cell>
          <cell r="AD2139">
            <v>4500</v>
          </cell>
        </row>
        <row r="2140">
          <cell r="W2140" t="str">
            <v>QBIGG04</v>
          </cell>
          <cell r="AD2140">
            <v>4500</v>
          </cell>
        </row>
        <row r="2141">
          <cell r="W2141" t="str">
            <v>QBIGG04</v>
          </cell>
          <cell r="AD2141">
            <v>4500</v>
          </cell>
        </row>
        <row r="2142">
          <cell r="W2142" t="str">
            <v>ABIGG05</v>
          </cell>
          <cell r="AD2142">
            <v>4500</v>
          </cell>
        </row>
        <row r="2143">
          <cell r="W2143" t="str">
            <v>QBIGG04</v>
          </cell>
          <cell r="AD2143">
            <v>4500</v>
          </cell>
        </row>
        <row r="2144">
          <cell r="W2144" t="str">
            <v>QBIGG04</v>
          </cell>
          <cell r="AD2144">
            <v>4500</v>
          </cell>
        </row>
        <row r="2145">
          <cell r="W2145" t="str">
            <v>QBIGG04</v>
          </cell>
          <cell r="AD2145">
            <v>5000</v>
          </cell>
        </row>
        <row r="2146">
          <cell r="W2146" t="str">
            <v>QBIGG04</v>
          </cell>
          <cell r="AD2146">
            <v>5000</v>
          </cell>
        </row>
        <row r="2147">
          <cell r="W2147" t="str">
            <v>QBIGG04</v>
          </cell>
          <cell r="AD2147">
            <v>5000</v>
          </cell>
        </row>
        <row r="2148">
          <cell r="W2148" t="str">
            <v>QBIGG04</v>
          </cell>
          <cell r="AD2148">
            <v>5000</v>
          </cell>
        </row>
        <row r="2149">
          <cell r="W2149" t="str">
            <v>QBIGG04</v>
          </cell>
          <cell r="AD2149">
            <v>5000</v>
          </cell>
        </row>
        <row r="2150">
          <cell r="W2150" t="str">
            <v>QBIGG04</v>
          </cell>
          <cell r="AD2150">
            <v>5000</v>
          </cell>
        </row>
        <row r="2151">
          <cell r="W2151" t="str">
            <v>QBIGG04</v>
          </cell>
          <cell r="AD2151">
            <v>5000</v>
          </cell>
        </row>
        <row r="2152">
          <cell r="W2152" t="str">
            <v>ABIGG05</v>
          </cell>
          <cell r="AD2152">
            <v>5000</v>
          </cell>
        </row>
        <row r="2153">
          <cell r="W2153" t="str">
            <v>ABIGG05</v>
          </cell>
          <cell r="AD2153">
            <v>5000</v>
          </cell>
        </row>
        <row r="2154">
          <cell r="W2154" t="str">
            <v>QBIGG04</v>
          </cell>
          <cell r="AD2154">
            <v>5000</v>
          </cell>
        </row>
        <row r="2155">
          <cell r="W2155" t="str">
            <v>QBIGG04</v>
          </cell>
          <cell r="AD2155">
            <v>5000</v>
          </cell>
        </row>
        <row r="2156">
          <cell r="W2156" t="str">
            <v>QBIGG04</v>
          </cell>
          <cell r="AD2156">
            <v>5000</v>
          </cell>
        </row>
        <row r="2157">
          <cell r="W2157" t="str">
            <v>QBIGG04</v>
          </cell>
          <cell r="AD2157">
            <v>5000</v>
          </cell>
        </row>
        <row r="2158">
          <cell r="W2158" t="str">
            <v>QBIOC02</v>
          </cell>
          <cell r="AD2158">
            <v>12500</v>
          </cell>
        </row>
        <row r="2159">
          <cell r="W2159" t="str">
            <v>QBIOC01</v>
          </cell>
          <cell r="AD2159">
            <v>13500</v>
          </cell>
        </row>
        <row r="2160">
          <cell r="W2160" t="str">
            <v>QBIOC01</v>
          </cell>
          <cell r="AD2160">
            <v>13500</v>
          </cell>
        </row>
        <row r="2161">
          <cell r="W2161" t="str">
            <v>QBIOC01</v>
          </cell>
          <cell r="AD2161">
            <v>13500</v>
          </cell>
        </row>
        <row r="2162">
          <cell r="W2162" t="str">
            <v>QBIOC01</v>
          </cell>
          <cell r="AD2162">
            <v>13500</v>
          </cell>
        </row>
        <row r="2163">
          <cell r="W2163" t="str">
            <v>QBIOC01</v>
          </cell>
          <cell r="AD2163">
            <v>13500</v>
          </cell>
        </row>
        <row r="2164">
          <cell r="W2164" t="str">
            <v>QBION01</v>
          </cell>
          <cell r="AD2164">
            <v>165000</v>
          </cell>
        </row>
        <row r="2165">
          <cell r="W2165" t="str">
            <v>QBION01</v>
          </cell>
          <cell r="AD2165">
            <v>168850</v>
          </cell>
        </row>
        <row r="2166">
          <cell r="W2166" t="str">
            <v>QBION01</v>
          </cell>
          <cell r="AD2166">
            <v>168850</v>
          </cell>
        </row>
        <row r="2167">
          <cell r="W2167" t="str">
            <v>QBION01</v>
          </cell>
          <cell r="AD2167">
            <v>168850</v>
          </cell>
        </row>
        <row r="2168">
          <cell r="W2168" t="str">
            <v>QBION01</v>
          </cell>
          <cell r="AD2168">
            <v>169000</v>
          </cell>
        </row>
        <row r="2169">
          <cell r="W2169" t="str">
            <v>QBION01</v>
          </cell>
          <cell r="AD2169">
            <v>169000</v>
          </cell>
        </row>
        <row r="2170">
          <cell r="W2170" t="str">
            <v>QBION01</v>
          </cell>
          <cell r="AD2170">
            <v>169000</v>
          </cell>
        </row>
        <row r="2171">
          <cell r="W2171" t="str">
            <v>QBION01</v>
          </cell>
          <cell r="AD2171">
            <v>169000</v>
          </cell>
        </row>
        <row r="2172">
          <cell r="W2172" t="str">
            <v>QBION01</v>
          </cell>
          <cell r="AD2172">
            <v>169000</v>
          </cell>
        </row>
        <row r="2173">
          <cell r="W2173" t="str">
            <v>QBION01</v>
          </cell>
          <cell r="AD2173">
            <v>169000</v>
          </cell>
        </row>
        <row r="2174">
          <cell r="W2174" t="str">
            <v>QBION01</v>
          </cell>
          <cell r="AD2174">
            <v>169000</v>
          </cell>
        </row>
        <row r="2175">
          <cell r="W2175" t="str">
            <v>QBION01</v>
          </cell>
          <cell r="AD2175">
            <v>169500</v>
          </cell>
        </row>
        <row r="2176">
          <cell r="W2176" t="str">
            <v>QBION01</v>
          </cell>
          <cell r="AD2176">
            <v>170000</v>
          </cell>
        </row>
        <row r="2177">
          <cell r="W2177" t="str">
            <v>QBION01</v>
          </cell>
          <cell r="AD2177">
            <v>171000</v>
          </cell>
        </row>
        <row r="2178">
          <cell r="W2178" t="str">
            <v>QBION01</v>
          </cell>
          <cell r="AD2178">
            <v>171000</v>
          </cell>
        </row>
        <row r="2179">
          <cell r="W2179" t="str">
            <v>QBION02</v>
          </cell>
          <cell r="AD2179">
            <v>70000</v>
          </cell>
        </row>
        <row r="2180">
          <cell r="W2180" t="str">
            <v>QBION02</v>
          </cell>
          <cell r="AD2180">
            <v>75500</v>
          </cell>
        </row>
        <row r="2181">
          <cell r="W2181" t="str">
            <v>QBION02</v>
          </cell>
          <cell r="AD2181">
            <v>75500</v>
          </cell>
        </row>
        <row r="2182">
          <cell r="W2182" t="str">
            <v>QBION02</v>
          </cell>
          <cell r="AD2182">
            <v>75500</v>
          </cell>
        </row>
        <row r="2183">
          <cell r="W2183" t="str">
            <v>QBION02</v>
          </cell>
          <cell r="AD2183">
            <v>76500</v>
          </cell>
        </row>
        <row r="2184">
          <cell r="W2184" t="str">
            <v>QBION02</v>
          </cell>
          <cell r="AD2184">
            <v>76500</v>
          </cell>
        </row>
        <row r="2185">
          <cell r="W2185" t="str">
            <v>QBION02</v>
          </cell>
          <cell r="AD2185">
            <v>76500</v>
          </cell>
        </row>
        <row r="2186">
          <cell r="W2186" t="str">
            <v>QBION02</v>
          </cell>
          <cell r="AD2186">
            <v>76500</v>
          </cell>
        </row>
        <row r="2187">
          <cell r="W2187" t="str">
            <v>QBION02</v>
          </cell>
          <cell r="AD2187">
            <v>76500</v>
          </cell>
        </row>
        <row r="2188">
          <cell r="W2188" t="str">
            <v>QBION02</v>
          </cell>
          <cell r="AD2188">
            <v>76500</v>
          </cell>
        </row>
        <row r="2189">
          <cell r="W2189" t="str">
            <v>QBION02</v>
          </cell>
          <cell r="AD2189">
            <v>76500</v>
          </cell>
        </row>
        <row r="2190">
          <cell r="W2190" t="str">
            <v>QBION02</v>
          </cell>
          <cell r="AD2190">
            <v>76500</v>
          </cell>
        </row>
        <row r="2191">
          <cell r="W2191" t="str">
            <v>QBION02</v>
          </cell>
          <cell r="AD2191">
            <v>76500</v>
          </cell>
        </row>
        <row r="2192">
          <cell r="W2192" t="str">
            <v>QBION02</v>
          </cell>
          <cell r="AD2192">
            <v>76500</v>
          </cell>
        </row>
        <row r="2193">
          <cell r="W2193" t="str">
            <v>QBION02</v>
          </cell>
          <cell r="AD2193">
            <v>76500</v>
          </cell>
        </row>
        <row r="2194">
          <cell r="W2194" t="str">
            <v>QBION02</v>
          </cell>
          <cell r="AD2194">
            <v>76500</v>
          </cell>
        </row>
        <row r="2195">
          <cell r="W2195" t="str">
            <v>QBION02</v>
          </cell>
          <cell r="AD2195">
            <v>76500</v>
          </cell>
        </row>
        <row r="2196">
          <cell r="W2196" t="str">
            <v>QBION02</v>
          </cell>
          <cell r="AD2196">
            <v>76500</v>
          </cell>
        </row>
        <row r="2197">
          <cell r="W2197" t="str">
            <v>QBION02</v>
          </cell>
          <cell r="AD2197">
            <v>76500</v>
          </cell>
        </row>
        <row r="2198">
          <cell r="W2198" t="str">
            <v>QBION02</v>
          </cell>
          <cell r="AD2198">
            <v>76500</v>
          </cell>
        </row>
        <row r="2199">
          <cell r="W2199" t="str">
            <v>QBION02</v>
          </cell>
          <cell r="AD2199">
            <v>76500</v>
          </cell>
        </row>
        <row r="2200">
          <cell r="W2200" t="str">
            <v>QBION02</v>
          </cell>
          <cell r="AD2200">
            <v>76500</v>
          </cell>
        </row>
        <row r="2201">
          <cell r="W2201" t="str">
            <v>QBION02</v>
          </cell>
          <cell r="AD2201">
            <v>76500</v>
          </cell>
        </row>
        <row r="2202">
          <cell r="W2202" t="str">
            <v>QBION02</v>
          </cell>
          <cell r="AD2202">
            <v>76500</v>
          </cell>
        </row>
        <row r="2203">
          <cell r="W2203" t="str">
            <v>QBION02</v>
          </cell>
          <cell r="AD2203">
            <v>76500</v>
          </cell>
        </row>
        <row r="2204">
          <cell r="W2204" t="str">
            <v>QBION02</v>
          </cell>
          <cell r="AD2204">
            <v>76500</v>
          </cell>
        </row>
        <row r="2205">
          <cell r="W2205" t="str">
            <v>QBION02</v>
          </cell>
          <cell r="AD2205">
            <v>76500</v>
          </cell>
        </row>
        <row r="2206">
          <cell r="W2206" t="str">
            <v>QBION02</v>
          </cell>
          <cell r="AD2206">
            <v>76500</v>
          </cell>
        </row>
        <row r="2207">
          <cell r="W2207" t="str">
            <v>QBION02</v>
          </cell>
          <cell r="AD2207">
            <v>76500</v>
          </cell>
        </row>
        <row r="2208">
          <cell r="W2208" t="str">
            <v>QBION02</v>
          </cell>
          <cell r="AD2208">
            <v>76500</v>
          </cell>
        </row>
        <row r="2209">
          <cell r="W2209" t="str">
            <v>QBION02</v>
          </cell>
          <cell r="AD2209">
            <v>76500</v>
          </cell>
        </row>
        <row r="2210">
          <cell r="W2210" t="str">
            <v>QBION02</v>
          </cell>
          <cell r="AD2210">
            <v>76500</v>
          </cell>
        </row>
        <row r="2211">
          <cell r="W2211" t="str">
            <v>QBION02</v>
          </cell>
          <cell r="AD2211">
            <v>76500</v>
          </cell>
        </row>
        <row r="2212">
          <cell r="W2212" t="str">
            <v>QBION02</v>
          </cell>
          <cell r="AD2212">
            <v>76500</v>
          </cell>
        </row>
        <row r="2213">
          <cell r="W2213" t="str">
            <v>QBION02</v>
          </cell>
          <cell r="AD2213">
            <v>76500</v>
          </cell>
        </row>
        <row r="2214">
          <cell r="W2214" t="str">
            <v>QBION02</v>
          </cell>
          <cell r="AD2214">
            <v>76500</v>
          </cell>
        </row>
        <row r="2215">
          <cell r="W2215" t="str">
            <v>QBION02</v>
          </cell>
          <cell r="AD2215">
            <v>76500</v>
          </cell>
        </row>
        <row r="2216">
          <cell r="W2216" t="str">
            <v>QBION02</v>
          </cell>
          <cell r="AD2216">
            <v>76500</v>
          </cell>
        </row>
        <row r="2217">
          <cell r="W2217" t="str">
            <v>QBION02</v>
          </cell>
          <cell r="AD2217">
            <v>76500</v>
          </cell>
        </row>
        <row r="2218">
          <cell r="W2218" t="str">
            <v>QBION02</v>
          </cell>
          <cell r="AD2218">
            <v>76500</v>
          </cell>
        </row>
        <row r="2219">
          <cell r="W2219" t="str">
            <v>QBION02</v>
          </cell>
          <cell r="AD2219">
            <v>76500</v>
          </cell>
        </row>
        <row r="2220">
          <cell r="W2220" t="str">
            <v>QBION02</v>
          </cell>
          <cell r="AD2220">
            <v>76500</v>
          </cell>
        </row>
        <row r="2221">
          <cell r="W2221" t="str">
            <v>QBION02</v>
          </cell>
          <cell r="AD2221">
            <v>76500</v>
          </cell>
        </row>
        <row r="2222">
          <cell r="W2222" t="str">
            <v>QBION02</v>
          </cell>
          <cell r="AD2222">
            <v>76500</v>
          </cell>
        </row>
        <row r="2223">
          <cell r="W2223" t="str">
            <v>QBION02</v>
          </cell>
          <cell r="AD2223">
            <v>76500</v>
          </cell>
        </row>
        <row r="2224">
          <cell r="W2224" t="str">
            <v>QBION02</v>
          </cell>
          <cell r="AD2224">
            <v>76500</v>
          </cell>
        </row>
        <row r="2225">
          <cell r="W2225" t="str">
            <v>QBION02</v>
          </cell>
          <cell r="AD2225">
            <v>76500</v>
          </cell>
        </row>
        <row r="2226">
          <cell r="W2226" t="str">
            <v>QBION02</v>
          </cell>
          <cell r="AD2226">
            <v>76500</v>
          </cell>
        </row>
        <row r="2227">
          <cell r="W2227" t="str">
            <v>QBION02</v>
          </cell>
          <cell r="AD2227">
            <v>76500</v>
          </cell>
        </row>
        <row r="2228">
          <cell r="W2228" t="str">
            <v>QBION02</v>
          </cell>
          <cell r="AD2228">
            <v>76500</v>
          </cell>
        </row>
        <row r="2229">
          <cell r="W2229" t="str">
            <v>QBION02</v>
          </cell>
          <cell r="AD2229">
            <v>76500</v>
          </cell>
        </row>
        <row r="2230">
          <cell r="W2230" t="str">
            <v>QBION02</v>
          </cell>
          <cell r="AD2230">
            <v>76500</v>
          </cell>
        </row>
        <row r="2231">
          <cell r="W2231" t="str">
            <v>QBION02</v>
          </cell>
          <cell r="AD2231">
            <v>76500</v>
          </cell>
        </row>
        <row r="2232">
          <cell r="W2232" t="str">
            <v>QBION02</v>
          </cell>
          <cell r="AD2232">
            <v>76500</v>
          </cell>
        </row>
        <row r="2233">
          <cell r="W2233" t="str">
            <v>QBION02</v>
          </cell>
          <cell r="AD2233">
            <v>76500</v>
          </cell>
        </row>
        <row r="2234">
          <cell r="W2234" t="str">
            <v>QBION02</v>
          </cell>
          <cell r="AD2234">
            <v>76500</v>
          </cell>
        </row>
        <row r="2235">
          <cell r="W2235" t="str">
            <v>QBION02</v>
          </cell>
          <cell r="AD2235">
            <v>76500</v>
          </cell>
        </row>
        <row r="2236">
          <cell r="W2236" t="str">
            <v>QBION02</v>
          </cell>
          <cell r="AD2236">
            <v>76500</v>
          </cell>
        </row>
        <row r="2237">
          <cell r="W2237" t="str">
            <v>QBION02</v>
          </cell>
          <cell r="AD2237">
            <v>76500</v>
          </cell>
        </row>
        <row r="2238">
          <cell r="W2238" t="str">
            <v>QBION02</v>
          </cell>
          <cell r="AD2238">
            <v>76500</v>
          </cell>
        </row>
        <row r="2239">
          <cell r="W2239" t="str">
            <v>QBION02</v>
          </cell>
          <cell r="AD2239">
            <v>76500</v>
          </cell>
        </row>
        <row r="2240">
          <cell r="W2240" t="str">
            <v>QBION02</v>
          </cell>
          <cell r="AD2240">
            <v>76500</v>
          </cell>
        </row>
        <row r="2241">
          <cell r="W2241" t="str">
            <v>QBION02</v>
          </cell>
          <cell r="AD2241">
            <v>76500</v>
          </cell>
        </row>
        <row r="2242">
          <cell r="W2242" t="str">
            <v>QBION02</v>
          </cell>
          <cell r="AD2242">
            <v>76500</v>
          </cell>
        </row>
        <row r="2243">
          <cell r="W2243" t="str">
            <v>QBION02</v>
          </cell>
          <cell r="AD2243">
            <v>76500</v>
          </cell>
        </row>
        <row r="2244">
          <cell r="W2244" t="str">
            <v>QBION02</v>
          </cell>
          <cell r="AD2244">
            <v>76500</v>
          </cell>
        </row>
        <row r="2245">
          <cell r="W2245" t="str">
            <v>QBION02</v>
          </cell>
          <cell r="AD2245">
            <v>76500</v>
          </cell>
        </row>
        <row r="2246">
          <cell r="W2246" t="str">
            <v>QBION02</v>
          </cell>
          <cell r="AD2246">
            <v>76500</v>
          </cell>
        </row>
        <row r="2247">
          <cell r="W2247" t="str">
            <v>QBION02</v>
          </cell>
          <cell r="AD2247">
            <v>76500</v>
          </cell>
        </row>
        <row r="2248">
          <cell r="W2248" t="str">
            <v>QBION02</v>
          </cell>
          <cell r="AD2248">
            <v>76500</v>
          </cell>
        </row>
        <row r="2249">
          <cell r="W2249" t="str">
            <v>QBION02</v>
          </cell>
          <cell r="AD2249">
            <v>76500</v>
          </cell>
        </row>
        <row r="2250">
          <cell r="W2250" t="str">
            <v>QBION02</v>
          </cell>
          <cell r="AD2250">
            <v>76500</v>
          </cell>
        </row>
        <row r="2251">
          <cell r="W2251" t="str">
            <v>QBION02</v>
          </cell>
          <cell r="AD2251">
            <v>76500</v>
          </cell>
        </row>
        <row r="2252">
          <cell r="W2252" t="str">
            <v>QBION02</v>
          </cell>
          <cell r="AD2252">
            <v>76500</v>
          </cell>
        </row>
        <row r="2253">
          <cell r="W2253" t="str">
            <v>QBION02</v>
          </cell>
          <cell r="AD2253">
            <v>76500</v>
          </cell>
        </row>
        <row r="2254">
          <cell r="W2254" t="str">
            <v>QBION02</v>
          </cell>
          <cell r="AD2254">
            <v>76500</v>
          </cell>
        </row>
        <row r="2255">
          <cell r="W2255" t="str">
            <v>QBION02</v>
          </cell>
          <cell r="AD2255">
            <v>76500</v>
          </cell>
        </row>
        <row r="2256">
          <cell r="W2256" t="str">
            <v>QBION02</v>
          </cell>
          <cell r="AD2256">
            <v>76500</v>
          </cell>
        </row>
        <row r="2257">
          <cell r="W2257" t="str">
            <v>QBION02</v>
          </cell>
          <cell r="AD2257">
            <v>76500</v>
          </cell>
        </row>
        <row r="2258">
          <cell r="W2258" t="str">
            <v>QBION02</v>
          </cell>
          <cell r="AD2258">
            <v>76500</v>
          </cell>
        </row>
        <row r="2259">
          <cell r="W2259" t="str">
            <v>QBION02</v>
          </cell>
          <cell r="AD2259">
            <v>76500</v>
          </cell>
        </row>
        <row r="2260">
          <cell r="W2260" t="str">
            <v>QBION02</v>
          </cell>
          <cell r="AD2260">
            <v>76500</v>
          </cell>
        </row>
        <row r="2261">
          <cell r="W2261" t="str">
            <v>QBION02</v>
          </cell>
          <cell r="AD2261">
            <v>77000</v>
          </cell>
        </row>
        <row r="2262">
          <cell r="W2262" t="str">
            <v>QBION03</v>
          </cell>
          <cell r="AD2262">
            <v>15500</v>
          </cell>
        </row>
        <row r="2263">
          <cell r="W2263" t="str">
            <v>QBION03</v>
          </cell>
          <cell r="AD2263">
            <v>16000</v>
          </cell>
        </row>
        <row r="2264">
          <cell r="W2264" t="str">
            <v>QBION03</v>
          </cell>
          <cell r="AD2264">
            <v>16000</v>
          </cell>
        </row>
        <row r="2265">
          <cell r="W2265" t="str">
            <v>QBION03</v>
          </cell>
          <cell r="AD2265">
            <v>16000</v>
          </cell>
        </row>
        <row r="2266">
          <cell r="W2266" t="str">
            <v>QBION03</v>
          </cell>
          <cell r="AD2266">
            <v>16000</v>
          </cell>
        </row>
        <row r="2267">
          <cell r="W2267" t="str">
            <v>QBION03</v>
          </cell>
          <cell r="AD2267">
            <v>16000</v>
          </cell>
        </row>
        <row r="2268">
          <cell r="W2268" t="str">
            <v>QBION03</v>
          </cell>
          <cell r="AD2268">
            <v>16000</v>
          </cell>
        </row>
        <row r="2269">
          <cell r="W2269" t="str">
            <v>QBION03</v>
          </cell>
          <cell r="AD2269">
            <v>16000</v>
          </cell>
        </row>
        <row r="2270">
          <cell r="W2270" t="str">
            <v>QBION03</v>
          </cell>
          <cell r="AD2270">
            <v>16000</v>
          </cell>
        </row>
        <row r="2271">
          <cell r="W2271" t="str">
            <v>QBION03</v>
          </cell>
          <cell r="AD2271">
            <v>16000</v>
          </cell>
        </row>
        <row r="2272">
          <cell r="W2272" t="str">
            <v>QBION03</v>
          </cell>
          <cell r="AD2272">
            <v>16000</v>
          </cell>
        </row>
        <row r="2273">
          <cell r="W2273" t="str">
            <v>QBION03</v>
          </cell>
          <cell r="AD2273">
            <v>16000</v>
          </cell>
        </row>
        <row r="2274">
          <cell r="W2274" t="str">
            <v>QBION03</v>
          </cell>
          <cell r="AD2274">
            <v>16000</v>
          </cell>
        </row>
        <row r="2275">
          <cell r="W2275" t="str">
            <v>QBION03</v>
          </cell>
          <cell r="AD2275">
            <v>16000</v>
          </cell>
        </row>
        <row r="2276">
          <cell r="W2276" t="str">
            <v>QBION03</v>
          </cell>
          <cell r="AD2276">
            <v>16000</v>
          </cell>
        </row>
        <row r="2277">
          <cell r="W2277" t="str">
            <v>QBION03</v>
          </cell>
          <cell r="AD2277">
            <v>16000</v>
          </cell>
        </row>
        <row r="2278">
          <cell r="W2278" t="str">
            <v>QBION03</v>
          </cell>
          <cell r="AD2278">
            <v>16000</v>
          </cell>
        </row>
        <row r="2279">
          <cell r="W2279" t="str">
            <v>QBION03</v>
          </cell>
          <cell r="AD2279">
            <v>16500</v>
          </cell>
        </row>
        <row r="2280">
          <cell r="W2280" t="str">
            <v>QBION03</v>
          </cell>
          <cell r="AD2280">
            <v>16500</v>
          </cell>
        </row>
        <row r="2281">
          <cell r="W2281" t="str">
            <v>QBION03</v>
          </cell>
          <cell r="AD2281">
            <v>16500</v>
          </cell>
        </row>
        <row r="2282">
          <cell r="W2282" t="str">
            <v>QBION03</v>
          </cell>
          <cell r="AD2282">
            <v>16500</v>
          </cell>
        </row>
        <row r="2283">
          <cell r="W2283" t="str">
            <v>QBIOS01</v>
          </cell>
          <cell r="AD2283">
            <v>137000</v>
          </cell>
        </row>
        <row r="2284">
          <cell r="W2284" t="str">
            <v>QBIOS01</v>
          </cell>
          <cell r="AD2284">
            <v>137000</v>
          </cell>
        </row>
        <row r="2285">
          <cell r="W2285" t="str">
            <v>QBIOS01</v>
          </cell>
          <cell r="AD2285">
            <v>140000</v>
          </cell>
        </row>
        <row r="2286">
          <cell r="W2286" t="str">
            <v>QBIOS02</v>
          </cell>
          <cell r="AD2286">
            <v>83000</v>
          </cell>
        </row>
        <row r="2287">
          <cell r="W2287" t="str">
            <v>QBIOS02</v>
          </cell>
          <cell r="AD2287">
            <v>83000</v>
          </cell>
        </row>
        <row r="2288">
          <cell r="W2288" t="str">
            <v>QBIOS02</v>
          </cell>
          <cell r="AD2288">
            <v>83000</v>
          </cell>
        </row>
        <row r="2289">
          <cell r="W2289" t="str">
            <v>QBIOS02</v>
          </cell>
          <cell r="AD2289">
            <v>83000</v>
          </cell>
        </row>
        <row r="2290">
          <cell r="W2290" t="str">
            <v>QBLAC01</v>
          </cell>
          <cell r="AD2290">
            <v>44500</v>
          </cell>
        </row>
        <row r="2291">
          <cell r="W2291" t="str">
            <v>QBLAC01</v>
          </cell>
          <cell r="AD2291">
            <v>44500</v>
          </cell>
        </row>
        <row r="2292">
          <cell r="W2292" t="str">
            <v>QBLAC01</v>
          </cell>
          <cell r="AD2292">
            <v>46000</v>
          </cell>
        </row>
        <row r="2293">
          <cell r="W2293" t="str">
            <v>QBLAC01</v>
          </cell>
          <cell r="AD2293">
            <v>46500</v>
          </cell>
        </row>
        <row r="2294">
          <cell r="W2294" t="str">
            <v>QBLAC01</v>
          </cell>
          <cell r="AD2294">
            <v>46500</v>
          </cell>
        </row>
        <row r="2295">
          <cell r="W2295" t="str">
            <v>QBLAC01</v>
          </cell>
          <cell r="AD2295">
            <v>46500</v>
          </cell>
        </row>
        <row r="2296">
          <cell r="W2296" t="str">
            <v>QBLAC01</v>
          </cell>
          <cell r="AD2296">
            <v>46500</v>
          </cell>
        </row>
        <row r="2297">
          <cell r="W2297" t="str">
            <v>QBLAC02</v>
          </cell>
          <cell r="AD2297">
            <v>46500</v>
          </cell>
        </row>
        <row r="2298">
          <cell r="W2298" t="str">
            <v>QBLAC02</v>
          </cell>
          <cell r="AD2298">
            <v>46500</v>
          </cell>
        </row>
        <row r="2299">
          <cell r="W2299" t="str">
            <v>QBLAC02</v>
          </cell>
          <cell r="AD2299">
            <v>46500</v>
          </cell>
        </row>
        <row r="2300">
          <cell r="W2300" t="str">
            <v>QBLAC02</v>
          </cell>
          <cell r="AD2300">
            <v>46500</v>
          </cell>
        </row>
        <row r="2301">
          <cell r="W2301" t="str">
            <v>ABLAC01</v>
          </cell>
          <cell r="AD2301">
            <v>13500</v>
          </cell>
        </row>
        <row r="2302">
          <cell r="W2302" t="str">
            <v>QBLAS01</v>
          </cell>
          <cell r="AD2302">
            <v>67500</v>
          </cell>
        </row>
        <row r="2303">
          <cell r="W2303" t="str">
            <v>QBLAS01</v>
          </cell>
          <cell r="AD2303">
            <v>68000</v>
          </cell>
        </row>
        <row r="2304">
          <cell r="W2304" t="str">
            <v>QBLAS01</v>
          </cell>
          <cell r="AD2304">
            <v>68000</v>
          </cell>
        </row>
        <row r="2305">
          <cell r="W2305" t="str">
            <v>QBLAS01</v>
          </cell>
          <cell r="AD2305">
            <v>68000</v>
          </cell>
        </row>
        <row r="2306">
          <cell r="W2306" t="str">
            <v>QBLAS01</v>
          </cell>
          <cell r="AD2306">
            <v>68000</v>
          </cell>
        </row>
        <row r="2307">
          <cell r="W2307" t="str">
            <v>QBLAS01</v>
          </cell>
          <cell r="AD2307">
            <v>70000</v>
          </cell>
        </row>
        <row r="2308">
          <cell r="W2308" t="str">
            <v>QBLAS01</v>
          </cell>
          <cell r="AD2308">
            <v>70000</v>
          </cell>
        </row>
        <row r="2309">
          <cell r="W2309" t="str">
            <v>QBLAS01</v>
          </cell>
          <cell r="AD2309">
            <v>70000</v>
          </cell>
        </row>
        <row r="2310">
          <cell r="W2310" t="str">
            <v>QBLAS01</v>
          </cell>
          <cell r="AD2310">
            <v>70000</v>
          </cell>
        </row>
        <row r="2311">
          <cell r="W2311" t="str">
            <v>QBLAS01</v>
          </cell>
          <cell r="AD2311">
            <v>70000</v>
          </cell>
        </row>
        <row r="2312">
          <cell r="W2312" t="str">
            <v>QBLAS01</v>
          </cell>
          <cell r="AD2312">
            <v>70000</v>
          </cell>
        </row>
        <row r="2313">
          <cell r="W2313" t="str">
            <v>QBLAS01</v>
          </cell>
          <cell r="AD2313">
            <v>70000</v>
          </cell>
        </row>
        <row r="2314">
          <cell r="W2314" t="str">
            <v>QBLAS01</v>
          </cell>
          <cell r="AD2314">
            <v>70000</v>
          </cell>
        </row>
        <row r="2315">
          <cell r="W2315" t="str">
            <v>QBLAS01</v>
          </cell>
          <cell r="AD2315">
            <v>70000</v>
          </cell>
        </row>
        <row r="2316">
          <cell r="W2316" t="str">
            <v>QBLAS01</v>
          </cell>
          <cell r="AD2316">
            <v>71000</v>
          </cell>
        </row>
        <row r="2317">
          <cell r="W2317" t="str">
            <v>QBLAS01</v>
          </cell>
          <cell r="AD2317">
            <v>71000</v>
          </cell>
        </row>
        <row r="2318">
          <cell r="W2318" t="str">
            <v>QBLAS01</v>
          </cell>
          <cell r="AD2318">
            <v>71000</v>
          </cell>
        </row>
        <row r="2319">
          <cell r="W2319" t="str">
            <v>QBLAS01</v>
          </cell>
          <cell r="AD2319">
            <v>71500</v>
          </cell>
        </row>
        <row r="2320">
          <cell r="W2320" t="str">
            <v>QBLAS01</v>
          </cell>
          <cell r="AD2320">
            <v>72000</v>
          </cell>
        </row>
        <row r="2321">
          <cell r="W2321" t="str">
            <v>QBLAS01</v>
          </cell>
          <cell r="AD2321">
            <v>72000</v>
          </cell>
        </row>
        <row r="2322">
          <cell r="W2322" t="str">
            <v>QBLAS01</v>
          </cell>
          <cell r="AD2322">
            <v>72500</v>
          </cell>
        </row>
        <row r="2323">
          <cell r="W2323" t="str">
            <v>QBLAS02</v>
          </cell>
          <cell r="AD2323">
            <v>23500</v>
          </cell>
        </row>
        <row r="2324">
          <cell r="W2324" t="str">
            <v>QBLAS02</v>
          </cell>
          <cell r="AD2324">
            <v>23500</v>
          </cell>
        </row>
        <row r="2325">
          <cell r="W2325" t="str">
            <v>QBLAS02</v>
          </cell>
          <cell r="AD2325">
            <v>23500</v>
          </cell>
        </row>
        <row r="2326">
          <cell r="W2326" t="str">
            <v>QBLEW02</v>
          </cell>
          <cell r="AD2326">
            <v>14000</v>
          </cell>
        </row>
        <row r="2327">
          <cell r="W2327" t="str">
            <v>QBLEW02</v>
          </cell>
          <cell r="AD2327">
            <v>14000</v>
          </cell>
        </row>
        <row r="2328">
          <cell r="W2328" t="str">
            <v>QBLEW02</v>
          </cell>
          <cell r="AD2328">
            <v>15000</v>
          </cell>
        </row>
        <row r="2329">
          <cell r="W2329" t="str">
            <v>QBLEW02</v>
          </cell>
          <cell r="AD2329">
            <v>15000</v>
          </cell>
        </row>
        <row r="2330">
          <cell r="W2330" t="str">
            <v>QBLEW02</v>
          </cell>
          <cell r="AD2330">
            <v>15000</v>
          </cell>
        </row>
        <row r="2331">
          <cell r="W2331" t="str">
            <v>QBLEW02</v>
          </cell>
          <cell r="AD2331">
            <v>15000</v>
          </cell>
        </row>
        <row r="2332">
          <cell r="W2332" t="str">
            <v>QBLEW02</v>
          </cell>
          <cell r="AD2332">
            <v>15000</v>
          </cell>
        </row>
        <row r="2333">
          <cell r="W2333" t="str">
            <v>QBLEW02</v>
          </cell>
          <cell r="AD2333">
            <v>15000</v>
          </cell>
        </row>
        <row r="2334">
          <cell r="W2334" t="str">
            <v>QBLEW02</v>
          </cell>
          <cell r="AD2334">
            <v>15000</v>
          </cell>
        </row>
        <row r="2335">
          <cell r="W2335" t="str">
            <v>QBLEW02</v>
          </cell>
          <cell r="AD2335">
            <v>15000</v>
          </cell>
        </row>
        <row r="2336">
          <cell r="W2336" t="str">
            <v>QBLUE01</v>
          </cell>
          <cell r="AD2336">
            <v>85000</v>
          </cell>
        </row>
        <row r="2337">
          <cell r="W2337" t="str">
            <v>QBLUE01</v>
          </cell>
          <cell r="AD2337">
            <v>85000</v>
          </cell>
        </row>
        <row r="2338">
          <cell r="W2338" t="str">
            <v>QBLUE01</v>
          </cell>
          <cell r="AD2338">
            <v>85000</v>
          </cell>
        </row>
        <row r="2339">
          <cell r="W2339" t="str">
            <v>QBLUE01</v>
          </cell>
          <cell r="AD2339">
            <v>85000</v>
          </cell>
        </row>
        <row r="2340">
          <cell r="W2340" t="str">
            <v>QBLUE01</v>
          </cell>
          <cell r="AD2340">
            <v>85000</v>
          </cell>
        </row>
        <row r="2341">
          <cell r="W2341" t="str">
            <v>QBLUE01</v>
          </cell>
          <cell r="AD2341">
            <v>85000</v>
          </cell>
        </row>
        <row r="2342">
          <cell r="W2342" t="str">
            <v>QBLUE01</v>
          </cell>
          <cell r="AD2342">
            <v>85000</v>
          </cell>
        </row>
        <row r="2343">
          <cell r="W2343" t="str">
            <v>QBLUE01</v>
          </cell>
          <cell r="AD2343">
            <v>85000</v>
          </cell>
        </row>
        <row r="2344">
          <cell r="W2344" t="str">
            <v>QBLUE01</v>
          </cell>
          <cell r="AD2344">
            <v>90000</v>
          </cell>
        </row>
        <row r="2345">
          <cell r="W2345" t="str">
            <v>QBLUE01</v>
          </cell>
          <cell r="AD2345">
            <v>90000</v>
          </cell>
        </row>
        <row r="2346">
          <cell r="W2346" t="str">
            <v>QBLUE01</v>
          </cell>
          <cell r="AD2346">
            <v>90000</v>
          </cell>
        </row>
        <row r="2347">
          <cell r="W2347" t="str">
            <v>QBLUE01</v>
          </cell>
          <cell r="AD2347">
            <v>90000</v>
          </cell>
        </row>
        <row r="2348">
          <cell r="W2348" t="str">
            <v>QBLUE01</v>
          </cell>
          <cell r="AD2348">
            <v>90000</v>
          </cell>
        </row>
        <row r="2349">
          <cell r="W2349" t="str">
            <v>QBM E01</v>
          </cell>
          <cell r="AD2349">
            <v>32500</v>
          </cell>
        </row>
        <row r="2350">
          <cell r="W2350" t="str">
            <v>QBM E01</v>
          </cell>
          <cell r="AD2350">
            <v>32500</v>
          </cell>
        </row>
        <row r="2351">
          <cell r="W2351" t="str">
            <v>QBM E01</v>
          </cell>
          <cell r="AD2351">
            <v>32500</v>
          </cell>
        </row>
        <row r="2352">
          <cell r="W2352" t="str">
            <v>QBM E01</v>
          </cell>
          <cell r="AD2352">
            <v>32500</v>
          </cell>
        </row>
        <row r="2353">
          <cell r="W2353" t="str">
            <v>QBM E01</v>
          </cell>
          <cell r="AD2353">
            <v>32500</v>
          </cell>
        </row>
        <row r="2354">
          <cell r="W2354" t="str">
            <v>QBM E01</v>
          </cell>
          <cell r="AD2354">
            <v>32500</v>
          </cell>
        </row>
        <row r="2355">
          <cell r="W2355" t="str">
            <v>QBM E01</v>
          </cell>
          <cell r="AD2355">
            <v>32500</v>
          </cell>
        </row>
        <row r="2356">
          <cell r="W2356" t="str">
            <v>QBM E01</v>
          </cell>
          <cell r="AD2356">
            <v>32500</v>
          </cell>
        </row>
        <row r="2357">
          <cell r="W2357" t="str">
            <v>QBM E01</v>
          </cell>
          <cell r="AD2357">
            <v>32500</v>
          </cell>
        </row>
        <row r="2358">
          <cell r="W2358" t="str">
            <v>QBM E01</v>
          </cell>
          <cell r="AD2358">
            <v>32500</v>
          </cell>
        </row>
        <row r="2359">
          <cell r="W2359" t="str">
            <v>QBM E01</v>
          </cell>
          <cell r="AD2359">
            <v>33000</v>
          </cell>
        </row>
        <row r="2360">
          <cell r="W2360" t="str">
            <v>QBM E01</v>
          </cell>
          <cell r="AD2360">
            <v>33000</v>
          </cell>
        </row>
        <row r="2361">
          <cell r="W2361" t="str">
            <v>QBM E01</v>
          </cell>
          <cell r="AD2361">
            <v>33000</v>
          </cell>
        </row>
        <row r="2362">
          <cell r="W2362" t="str">
            <v>QBM E01</v>
          </cell>
          <cell r="AD2362">
            <v>33000</v>
          </cell>
        </row>
        <row r="2363">
          <cell r="W2363" t="str">
            <v>QBM E01</v>
          </cell>
          <cell r="AD2363">
            <v>33000</v>
          </cell>
        </row>
        <row r="2364">
          <cell r="W2364" t="str">
            <v>QBM E01</v>
          </cell>
          <cell r="AD2364">
            <v>33000</v>
          </cell>
        </row>
        <row r="2365">
          <cell r="W2365" t="str">
            <v>QBM E01</v>
          </cell>
          <cell r="AD2365">
            <v>33000</v>
          </cell>
        </row>
        <row r="2366">
          <cell r="W2366" t="str">
            <v>QBM E01</v>
          </cell>
          <cell r="AD2366">
            <v>40000</v>
          </cell>
        </row>
        <row r="2367">
          <cell r="W2367" t="str">
            <v>QBM E01</v>
          </cell>
          <cell r="AD2367">
            <v>45000</v>
          </cell>
        </row>
        <row r="2368">
          <cell r="W2368" t="str">
            <v>QBM L01</v>
          </cell>
          <cell r="AD2368">
            <v>65500</v>
          </cell>
        </row>
        <row r="2369">
          <cell r="W2369" t="str">
            <v>QBM L01</v>
          </cell>
          <cell r="AD2369">
            <v>67000</v>
          </cell>
        </row>
        <row r="2370">
          <cell r="W2370" t="str">
            <v>QBM L01</v>
          </cell>
          <cell r="AD2370">
            <v>67000</v>
          </cell>
        </row>
        <row r="2371">
          <cell r="W2371" t="str">
            <v>QBOOM03</v>
          </cell>
          <cell r="AD2371">
            <v>65000</v>
          </cell>
        </row>
        <row r="2372">
          <cell r="W2372" t="str">
            <v>QBOOM03</v>
          </cell>
          <cell r="AD2372">
            <v>65000</v>
          </cell>
        </row>
        <row r="2373">
          <cell r="W2373" t="str">
            <v>QBOOM03</v>
          </cell>
          <cell r="AD2373">
            <v>68000</v>
          </cell>
        </row>
        <row r="2374">
          <cell r="W2374" t="str">
            <v>QBOOM03</v>
          </cell>
          <cell r="AD2374">
            <v>68000</v>
          </cell>
        </row>
        <row r="2375">
          <cell r="W2375" t="str">
            <v>QBOOM03</v>
          </cell>
          <cell r="AD2375">
            <v>69000</v>
          </cell>
        </row>
        <row r="2376">
          <cell r="W2376" t="str">
            <v>QBOOM03</v>
          </cell>
          <cell r="AD2376">
            <v>69000</v>
          </cell>
        </row>
        <row r="2377">
          <cell r="W2377" t="str">
            <v>QBOOM03</v>
          </cell>
          <cell r="AD2377">
            <v>69000</v>
          </cell>
        </row>
        <row r="2378">
          <cell r="W2378" t="str">
            <v>QBOOM03</v>
          </cell>
          <cell r="AD2378">
            <v>69000</v>
          </cell>
        </row>
        <row r="2379">
          <cell r="W2379" t="str">
            <v>QBOOM03</v>
          </cell>
          <cell r="AD2379">
            <v>69000</v>
          </cell>
        </row>
        <row r="2380">
          <cell r="W2380" t="str">
            <v>QBOOM03</v>
          </cell>
          <cell r="AD2380">
            <v>69000</v>
          </cell>
        </row>
        <row r="2381">
          <cell r="W2381" t="str">
            <v>QBOOM03</v>
          </cell>
          <cell r="AD2381">
            <v>69500</v>
          </cell>
        </row>
        <row r="2382">
          <cell r="W2382" t="str">
            <v>QBOOM03</v>
          </cell>
          <cell r="AD2382">
            <v>70000</v>
          </cell>
        </row>
        <row r="2383">
          <cell r="W2383" t="str">
            <v>QBOOM03</v>
          </cell>
          <cell r="AD2383">
            <v>70000</v>
          </cell>
        </row>
        <row r="2384">
          <cell r="W2384" t="str">
            <v>QBOOM03</v>
          </cell>
          <cell r="AD2384">
            <v>70000</v>
          </cell>
        </row>
        <row r="2385">
          <cell r="W2385" t="str">
            <v>QBOOM03</v>
          </cell>
          <cell r="AD2385">
            <v>70000</v>
          </cell>
        </row>
        <row r="2386">
          <cell r="W2386" t="str">
            <v>QBOOM03</v>
          </cell>
          <cell r="AD2386">
            <v>70000</v>
          </cell>
        </row>
        <row r="2387">
          <cell r="W2387" t="str">
            <v>QBOOM03</v>
          </cell>
          <cell r="AD2387">
            <v>70000</v>
          </cell>
        </row>
        <row r="2388">
          <cell r="W2388" t="str">
            <v>QBOOM03</v>
          </cell>
          <cell r="AD2388">
            <v>70000</v>
          </cell>
        </row>
        <row r="2389">
          <cell r="W2389" t="str">
            <v>QBOOM03</v>
          </cell>
          <cell r="AD2389">
            <v>70000</v>
          </cell>
        </row>
        <row r="2390">
          <cell r="W2390" t="str">
            <v>QBOOM03</v>
          </cell>
          <cell r="AD2390">
            <v>70000</v>
          </cell>
        </row>
        <row r="2391">
          <cell r="W2391" t="str">
            <v>QBORA01</v>
          </cell>
          <cell r="AD2391">
            <v>59000</v>
          </cell>
        </row>
        <row r="2392">
          <cell r="W2392" t="str">
            <v>QBORA01</v>
          </cell>
          <cell r="AD2392">
            <v>68000</v>
          </cell>
        </row>
        <row r="2393">
          <cell r="W2393" t="str">
            <v>QBORA03</v>
          </cell>
          <cell r="AD2393">
            <v>189454.55</v>
          </cell>
        </row>
        <row r="2394">
          <cell r="W2394" t="str">
            <v>QBORA03</v>
          </cell>
          <cell r="AD2394">
            <v>189454.55</v>
          </cell>
        </row>
        <row r="2395">
          <cell r="W2395" t="str">
            <v>QBORO01</v>
          </cell>
          <cell r="AD2395">
            <v>6250</v>
          </cell>
        </row>
        <row r="2396">
          <cell r="W2396" t="str">
            <v>QBORO01</v>
          </cell>
          <cell r="AD2396">
            <v>6500</v>
          </cell>
        </row>
        <row r="2397">
          <cell r="W2397" t="str">
            <v>QBORO01</v>
          </cell>
          <cell r="AD2397">
            <v>6500</v>
          </cell>
        </row>
        <row r="2398">
          <cell r="W2398" t="str">
            <v>QBORO01</v>
          </cell>
          <cell r="AD2398">
            <v>6500</v>
          </cell>
        </row>
        <row r="2399">
          <cell r="W2399" t="str">
            <v>QBORO01</v>
          </cell>
          <cell r="AD2399">
            <v>6500</v>
          </cell>
        </row>
        <row r="2400">
          <cell r="W2400" t="str">
            <v>QBORO01</v>
          </cell>
          <cell r="AD2400">
            <v>6500</v>
          </cell>
        </row>
        <row r="2401">
          <cell r="W2401" t="str">
            <v>QBORO01</v>
          </cell>
          <cell r="AD2401">
            <v>6500</v>
          </cell>
        </row>
        <row r="2402">
          <cell r="W2402" t="str">
            <v>QBORO01</v>
          </cell>
          <cell r="AD2402">
            <v>6500</v>
          </cell>
        </row>
        <row r="2403">
          <cell r="W2403" t="str">
            <v>QBORO01</v>
          </cell>
          <cell r="AD2403">
            <v>6500</v>
          </cell>
        </row>
        <row r="2404">
          <cell r="W2404" t="str">
            <v>QBRAP02</v>
          </cell>
          <cell r="AD2404">
            <v>49000</v>
          </cell>
        </row>
        <row r="2405">
          <cell r="W2405" t="str">
            <v>QBRAP01</v>
          </cell>
          <cell r="AD2405">
            <v>15000</v>
          </cell>
        </row>
        <row r="2406">
          <cell r="W2406" t="str">
            <v>QBRAP01</v>
          </cell>
          <cell r="AD2406">
            <v>23500</v>
          </cell>
        </row>
        <row r="2407">
          <cell r="W2407" t="str">
            <v>QBRAP01</v>
          </cell>
          <cell r="AD2407">
            <v>23500</v>
          </cell>
        </row>
        <row r="2408">
          <cell r="W2408" t="str">
            <v>QBRAP01</v>
          </cell>
          <cell r="AD2408">
            <v>23500</v>
          </cell>
        </row>
        <row r="2409">
          <cell r="W2409" t="str">
            <v>QBRAP01</v>
          </cell>
          <cell r="AD2409">
            <v>23500</v>
          </cell>
        </row>
        <row r="2410">
          <cell r="W2410" t="str">
            <v>QBRAP01</v>
          </cell>
          <cell r="AD2410">
            <v>23500</v>
          </cell>
        </row>
        <row r="2411">
          <cell r="W2411" t="str">
            <v>QBRAP01</v>
          </cell>
          <cell r="AD2411">
            <v>23500</v>
          </cell>
        </row>
        <row r="2412">
          <cell r="W2412" t="str">
            <v>QBRAP01</v>
          </cell>
          <cell r="AD2412">
            <v>23500</v>
          </cell>
        </row>
        <row r="2413">
          <cell r="W2413" t="str">
            <v>QBRAP01</v>
          </cell>
          <cell r="AD2413">
            <v>23500</v>
          </cell>
        </row>
        <row r="2414">
          <cell r="W2414" t="str">
            <v>QBRAP01</v>
          </cell>
          <cell r="AD2414">
            <v>23500</v>
          </cell>
        </row>
        <row r="2415">
          <cell r="W2415" t="str">
            <v>QBRAP01</v>
          </cell>
          <cell r="AD2415">
            <v>23500</v>
          </cell>
        </row>
        <row r="2416">
          <cell r="W2416" t="str">
            <v>QBRAP01</v>
          </cell>
          <cell r="AD2416">
            <v>23500</v>
          </cell>
        </row>
        <row r="2417">
          <cell r="W2417" t="str">
            <v>QBRAP01</v>
          </cell>
          <cell r="AD2417">
            <v>23500</v>
          </cell>
        </row>
        <row r="2418">
          <cell r="W2418" t="str">
            <v>QBRAP01</v>
          </cell>
          <cell r="AD2418">
            <v>23500</v>
          </cell>
        </row>
        <row r="2419">
          <cell r="W2419" t="str">
            <v>QBRAP01</v>
          </cell>
          <cell r="AD2419">
            <v>23500</v>
          </cell>
        </row>
        <row r="2420">
          <cell r="W2420" t="str">
            <v>QBRAP01</v>
          </cell>
          <cell r="AD2420">
            <v>23500</v>
          </cell>
        </row>
        <row r="2421">
          <cell r="W2421" t="str">
            <v>QBRAP01</v>
          </cell>
          <cell r="AD2421">
            <v>23500</v>
          </cell>
        </row>
        <row r="2422">
          <cell r="W2422" t="str">
            <v>QBRAP01</v>
          </cell>
          <cell r="AD2422">
            <v>23500</v>
          </cell>
        </row>
        <row r="2423">
          <cell r="W2423" t="str">
            <v>QBRAP01</v>
          </cell>
          <cell r="AD2423">
            <v>24000</v>
          </cell>
        </row>
        <row r="2424">
          <cell r="W2424" t="str">
            <v>QBRAP01</v>
          </cell>
          <cell r="AD2424">
            <v>24000</v>
          </cell>
        </row>
        <row r="2425">
          <cell r="W2425" t="str">
            <v>QBRAP01</v>
          </cell>
          <cell r="AD2425">
            <v>24000</v>
          </cell>
        </row>
        <row r="2426">
          <cell r="W2426" t="str">
            <v>QBRAP01</v>
          </cell>
          <cell r="AD2426">
            <v>25000</v>
          </cell>
        </row>
        <row r="2427">
          <cell r="W2427" t="str">
            <v>QBRAS01</v>
          </cell>
          <cell r="AD2427">
            <v>45000</v>
          </cell>
        </row>
        <row r="2428">
          <cell r="W2428" t="str">
            <v>QBRAS01</v>
          </cell>
          <cell r="AD2428">
            <v>51000</v>
          </cell>
        </row>
        <row r="2429">
          <cell r="W2429" t="str">
            <v>QBRAS01</v>
          </cell>
          <cell r="AD2429">
            <v>51000</v>
          </cell>
        </row>
        <row r="2430">
          <cell r="W2430" t="str">
            <v>QBRAS01</v>
          </cell>
          <cell r="AD2430">
            <v>51000</v>
          </cell>
        </row>
        <row r="2431">
          <cell r="W2431" t="str">
            <v>QBRAS02</v>
          </cell>
          <cell r="AD2431">
            <v>65000</v>
          </cell>
        </row>
        <row r="2432">
          <cell r="W2432" t="str">
            <v>QBRAS02</v>
          </cell>
          <cell r="AD2432">
            <v>65000</v>
          </cell>
        </row>
        <row r="2433">
          <cell r="W2433" t="str">
            <v>QBRAS02</v>
          </cell>
          <cell r="AD2433">
            <v>65000</v>
          </cell>
        </row>
        <row r="2434">
          <cell r="W2434" t="str">
            <v>QBRAS03</v>
          </cell>
          <cell r="AD2434">
            <v>18000</v>
          </cell>
        </row>
        <row r="2435">
          <cell r="W2435" t="str">
            <v>QBRAV01</v>
          </cell>
          <cell r="AD2435">
            <v>940000</v>
          </cell>
        </row>
        <row r="2436">
          <cell r="W2436" t="str">
            <v>QBRAV01</v>
          </cell>
          <cell r="AD2436">
            <v>960000</v>
          </cell>
        </row>
        <row r="2437">
          <cell r="W2437" t="str">
            <v>QBRAV01</v>
          </cell>
          <cell r="AD2437">
            <v>960000</v>
          </cell>
        </row>
        <row r="2438">
          <cell r="W2438" t="str">
            <v>QBRAV05</v>
          </cell>
          <cell r="AD2438">
            <v>45000</v>
          </cell>
        </row>
        <row r="2439">
          <cell r="W2439" t="str">
            <v>QBRAV05</v>
          </cell>
          <cell r="AD2439">
            <v>49000</v>
          </cell>
        </row>
        <row r="2440">
          <cell r="W2440" t="str">
            <v>QBRAV05</v>
          </cell>
          <cell r="AD2440">
            <v>49000</v>
          </cell>
        </row>
        <row r="2441">
          <cell r="W2441" t="str">
            <v>QBRAV05</v>
          </cell>
          <cell r="AD2441">
            <v>50000</v>
          </cell>
        </row>
        <row r="2442">
          <cell r="W2442" t="str">
            <v>QBRAV05</v>
          </cell>
          <cell r="AD2442">
            <v>51000</v>
          </cell>
        </row>
        <row r="2443">
          <cell r="W2443" t="str">
            <v>QBRAV03</v>
          </cell>
          <cell r="AD2443">
            <v>220000</v>
          </cell>
        </row>
        <row r="2444">
          <cell r="W2444" t="str">
            <v>QBRAV03</v>
          </cell>
          <cell r="AD2444">
            <v>235000</v>
          </cell>
        </row>
        <row r="2445">
          <cell r="W2445" t="str">
            <v>QBRAV03</v>
          </cell>
          <cell r="AD2445">
            <v>240000</v>
          </cell>
        </row>
        <row r="2446">
          <cell r="W2446" t="str">
            <v>QBRAV03</v>
          </cell>
          <cell r="AD2446">
            <v>245000</v>
          </cell>
        </row>
        <row r="2447">
          <cell r="W2447" t="str">
            <v>QBRAV03</v>
          </cell>
          <cell r="AD2447">
            <v>245000</v>
          </cell>
        </row>
        <row r="2448">
          <cell r="W2448" t="str">
            <v>QBRAV03</v>
          </cell>
          <cell r="AD2448">
            <v>245000</v>
          </cell>
        </row>
        <row r="2449">
          <cell r="W2449" t="str">
            <v>QBRAV03</v>
          </cell>
          <cell r="AD2449">
            <v>245000</v>
          </cell>
        </row>
        <row r="2450">
          <cell r="W2450" t="str">
            <v>QBRAV03</v>
          </cell>
          <cell r="AD2450">
            <v>250000</v>
          </cell>
        </row>
        <row r="2451">
          <cell r="W2451" t="str">
            <v>QBUNC05</v>
          </cell>
          <cell r="AD2451">
            <v>41000</v>
          </cell>
        </row>
        <row r="2452">
          <cell r="W2452" t="str">
            <v>QBUNC05</v>
          </cell>
          <cell r="AD2452">
            <v>41000</v>
          </cell>
        </row>
        <row r="2453">
          <cell r="W2453" t="str">
            <v>QBUNC05</v>
          </cell>
          <cell r="AD2453">
            <v>42000</v>
          </cell>
        </row>
        <row r="2454">
          <cell r="W2454" t="str">
            <v>QBUNC01</v>
          </cell>
          <cell r="AD2454">
            <v>37000</v>
          </cell>
        </row>
        <row r="2455">
          <cell r="W2455" t="str">
            <v>QBUNC01</v>
          </cell>
          <cell r="AD2455">
            <v>37000</v>
          </cell>
        </row>
        <row r="2456">
          <cell r="W2456" t="str">
            <v>QBUNC01</v>
          </cell>
          <cell r="AD2456">
            <v>37500</v>
          </cell>
        </row>
        <row r="2457">
          <cell r="W2457" t="str">
            <v>QBUNC01</v>
          </cell>
          <cell r="AD2457">
            <v>37500</v>
          </cell>
        </row>
        <row r="2458">
          <cell r="W2458" t="str">
            <v>QBUNC01</v>
          </cell>
          <cell r="AD2458">
            <v>37500</v>
          </cell>
        </row>
        <row r="2459">
          <cell r="W2459" t="str">
            <v>QBUNC01</v>
          </cell>
          <cell r="AD2459">
            <v>37500</v>
          </cell>
        </row>
        <row r="2460">
          <cell r="W2460" t="str">
            <v>QBUNC01</v>
          </cell>
          <cell r="AD2460">
            <v>37500</v>
          </cell>
        </row>
        <row r="2461">
          <cell r="W2461" t="str">
            <v>QBUNC01</v>
          </cell>
          <cell r="AD2461">
            <v>37500</v>
          </cell>
        </row>
        <row r="2462">
          <cell r="W2462" t="str">
            <v>QBUNC01</v>
          </cell>
          <cell r="AD2462">
            <v>37500</v>
          </cell>
        </row>
        <row r="2463">
          <cell r="W2463" t="str">
            <v>QBUNC01</v>
          </cell>
          <cell r="AD2463">
            <v>40000</v>
          </cell>
        </row>
        <row r="2464">
          <cell r="W2464" t="str">
            <v>QBUNC07</v>
          </cell>
          <cell r="AD2464">
            <v>12000</v>
          </cell>
        </row>
        <row r="2465">
          <cell r="W2465" t="str">
            <v>QCABE41</v>
          </cell>
          <cell r="AD2465">
            <v>140000</v>
          </cell>
        </row>
        <row r="2466">
          <cell r="W2466" t="str">
            <v>QCABE41</v>
          </cell>
          <cell r="AD2466">
            <v>140000</v>
          </cell>
        </row>
        <row r="2467">
          <cell r="W2467" t="str">
            <v>QCABE41</v>
          </cell>
          <cell r="AD2467">
            <v>145000</v>
          </cell>
        </row>
        <row r="2468">
          <cell r="W2468" t="str">
            <v>QCABE41</v>
          </cell>
          <cell r="AD2468">
            <v>145000</v>
          </cell>
        </row>
        <row r="2469">
          <cell r="W2469" t="str">
            <v>QCABE41</v>
          </cell>
          <cell r="AD2469">
            <v>145000</v>
          </cell>
        </row>
        <row r="2470">
          <cell r="W2470" t="str">
            <v>QCABE41</v>
          </cell>
          <cell r="AD2470">
            <v>145000</v>
          </cell>
        </row>
        <row r="2471">
          <cell r="W2471" t="str">
            <v>QCABE41</v>
          </cell>
          <cell r="AD2471">
            <v>145000</v>
          </cell>
        </row>
        <row r="2472">
          <cell r="W2472" t="str">
            <v>QCABE41</v>
          </cell>
          <cell r="AD2472">
            <v>145000</v>
          </cell>
        </row>
        <row r="2473">
          <cell r="W2473" t="str">
            <v>QCABE41</v>
          </cell>
          <cell r="AD2473">
            <v>145000</v>
          </cell>
        </row>
        <row r="2474">
          <cell r="W2474" t="str">
            <v>QCABE41</v>
          </cell>
          <cell r="AD2474">
            <v>145000</v>
          </cell>
        </row>
        <row r="2475">
          <cell r="W2475" t="str">
            <v>QCABE41</v>
          </cell>
          <cell r="AD2475">
            <v>145000</v>
          </cell>
        </row>
        <row r="2476">
          <cell r="W2476" t="str">
            <v>QCABE41</v>
          </cell>
          <cell r="AD2476">
            <v>155000</v>
          </cell>
        </row>
        <row r="2477">
          <cell r="W2477" t="str">
            <v>QCABE39</v>
          </cell>
          <cell r="AD2477">
            <v>90000</v>
          </cell>
        </row>
        <row r="2478">
          <cell r="W2478" t="str">
            <v>QCABE39</v>
          </cell>
          <cell r="AD2478">
            <v>90000</v>
          </cell>
        </row>
        <row r="2479">
          <cell r="W2479" t="str">
            <v>QCABE40</v>
          </cell>
          <cell r="AD2479">
            <v>84000</v>
          </cell>
        </row>
        <row r="2480">
          <cell r="W2480" t="str">
            <v>QCABE46</v>
          </cell>
          <cell r="AD2480">
            <v>25000</v>
          </cell>
        </row>
        <row r="2481">
          <cell r="W2481" t="str">
            <v>QCABE46</v>
          </cell>
          <cell r="AD2481">
            <v>25000</v>
          </cell>
        </row>
        <row r="2482">
          <cell r="W2482" t="str">
            <v>QCABE46</v>
          </cell>
          <cell r="AD2482">
            <v>26000</v>
          </cell>
        </row>
        <row r="2483">
          <cell r="W2483" t="str">
            <v>QCABE46</v>
          </cell>
          <cell r="AD2483">
            <v>26000</v>
          </cell>
        </row>
        <row r="2484">
          <cell r="W2484" t="str">
            <v>QCABE46</v>
          </cell>
          <cell r="AD2484">
            <v>26000</v>
          </cell>
        </row>
        <row r="2485">
          <cell r="W2485" t="str">
            <v>QCABE46</v>
          </cell>
          <cell r="AD2485">
            <v>26000</v>
          </cell>
        </row>
        <row r="2486">
          <cell r="W2486" t="str">
            <v>ACABE55</v>
          </cell>
          <cell r="AD2486">
            <v>26000</v>
          </cell>
        </row>
        <row r="2487">
          <cell r="W2487" t="str">
            <v>ACABE55</v>
          </cell>
          <cell r="AD2487">
            <v>26000</v>
          </cell>
        </row>
        <row r="2488">
          <cell r="W2488" t="str">
            <v>QCABE46</v>
          </cell>
          <cell r="AD2488">
            <v>26000</v>
          </cell>
        </row>
        <row r="2489">
          <cell r="W2489" t="str">
            <v>QCABE46</v>
          </cell>
          <cell r="AD2489">
            <v>26500</v>
          </cell>
        </row>
        <row r="2490">
          <cell r="W2490" t="str">
            <v>QCABE46</v>
          </cell>
          <cell r="AD2490">
            <v>26500</v>
          </cell>
        </row>
        <row r="2491">
          <cell r="W2491" t="str">
            <v>QCABE21</v>
          </cell>
          <cell r="AD2491">
            <v>126000</v>
          </cell>
        </row>
        <row r="2492">
          <cell r="W2492" t="str">
            <v>QCABE21</v>
          </cell>
          <cell r="AD2492">
            <v>126000</v>
          </cell>
        </row>
        <row r="2493">
          <cell r="W2493" t="str">
            <v>QCABE21</v>
          </cell>
          <cell r="AD2493">
            <v>127000</v>
          </cell>
        </row>
        <row r="2494">
          <cell r="W2494" t="str">
            <v>QCABE21</v>
          </cell>
          <cell r="AD2494">
            <v>127500</v>
          </cell>
        </row>
        <row r="2495">
          <cell r="W2495" t="str">
            <v>QCABE21</v>
          </cell>
          <cell r="AD2495">
            <v>127500</v>
          </cell>
        </row>
        <row r="2496">
          <cell r="W2496" t="str">
            <v>QCABE21</v>
          </cell>
          <cell r="AD2496">
            <v>127500</v>
          </cell>
        </row>
        <row r="2497">
          <cell r="W2497" t="str">
            <v>QCABE21</v>
          </cell>
          <cell r="AD2497">
            <v>127500</v>
          </cell>
        </row>
        <row r="2498">
          <cell r="W2498" t="str">
            <v>QCABE21</v>
          </cell>
          <cell r="AD2498">
            <v>127500</v>
          </cell>
        </row>
        <row r="2499">
          <cell r="W2499" t="str">
            <v>QCABE21</v>
          </cell>
          <cell r="AD2499">
            <v>127500</v>
          </cell>
        </row>
        <row r="2500">
          <cell r="W2500" t="str">
            <v>QCABE21</v>
          </cell>
          <cell r="AD2500">
            <v>127500</v>
          </cell>
        </row>
        <row r="2501">
          <cell r="W2501" t="str">
            <v>QCABE21</v>
          </cell>
          <cell r="AD2501">
            <v>127500</v>
          </cell>
        </row>
        <row r="2502">
          <cell r="W2502" t="str">
            <v>QCABE21</v>
          </cell>
          <cell r="AD2502">
            <v>127500</v>
          </cell>
        </row>
        <row r="2503">
          <cell r="W2503" t="str">
            <v>QCABE21</v>
          </cell>
          <cell r="AD2503">
            <v>127500</v>
          </cell>
        </row>
        <row r="2504">
          <cell r="W2504" t="str">
            <v>QCABE06</v>
          </cell>
          <cell r="AD2504">
            <v>15000</v>
          </cell>
        </row>
        <row r="2505">
          <cell r="W2505" t="str">
            <v>QCABE06</v>
          </cell>
          <cell r="AD2505">
            <v>15000</v>
          </cell>
        </row>
        <row r="2506">
          <cell r="W2506" t="str">
            <v>QCABE06</v>
          </cell>
          <cell r="AD2506">
            <v>15000</v>
          </cell>
        </row>
        <row r="2507">
          <cell r="W2507" t="str">
            <v>QCABE06</v>
          </cell>
          <cell r="AD2507">
            <v>15000</v>
          </cell>
        </row>
        <row r="2508">
          <cell r="W2508" t="str">
            <v>QCABE06</v>
          </cell>
          <cell r="AD2508">
            <v>15000</v>
          </cell>
        </row>
        <row r="2509">
          <cell r="W2509" t="str">
            <v>QCABE06</v>
          </cell>
          <cell r="AD2509">
            <v>15000</v>
          </cell>
        </row>
        <row r="2510">
          <cell r="W2510" t="str">
            <v>QCABE06</v>
          </cell>
          <cell r="AD2510">
            <v>15000</v>
          </cell>
        </row>
        <row r="2511">
          <cell r="W2511" t="str">
            <v>QCABE06</v>
          </cell>
          <cell r="AD2511">
            <v>15000</v>
          </cell>
        </row>
        <row r="2512">
          <cell r="W2512" t="str">
            <v>QCABE06</v>
          </cell>
          <cell r="AD2512">
            <v>15000</v>
          </cell>
        </row>
        <row r="2513">
          <cell r="W2513" t="str">
            <v>QCABE06</v>
          </cell>
          <cell r="AD2513">
            <v>15000</v>
          </cell>
        </row>
        <row r="2514">
          <cell r="W2514" t="str">
            <v>QCABE06</v>
          </cell>
          <cell r="AD2514">
            <v>15000</v>
          </cell>
        </row>
        <row r="2515">
          <cell r="W2515" t="str">
            <v>QCABE06</v>
          </cell>
          <cell r="AD2515">
            <v>15000</v>
          </cell>
        </row>
        <row r="2516">
          <cell r="W2516" t="str">
            <v>QCABE06</v>
          </cell>
          <cell r="AD2516">
            <v>16000</v>
          </cell>
        </row>
        <row r="2517">
          <cell r="W2517" t="str">
            <v>QCABE07</v>
          </cell>
          <cell r="AD2517">
            <v>105000</v>
          </cell>
        </row>
        <row r="2518">
          <cell r="W2518" t="str">
            <v>QCABE07</v>
          </cell>
          <cell r="AD2518">
            <v>105000</v>
          </cell>
        </row>
        <row r="2519">
          <cell r="W2519" t="str">
            <v>QCABE07</v>
          </cell>
          <cell r="AD2519">
            <v>105000</v>
          </cell>
        </row>
        <row r="2520">
          <cell r="W2520" t="str">
            <v>QCABE07</v>
          </cell>
          <cell r="AD2520">
            <v>107000</v>
          </cell>
        </row>
        <row r="2521">
          <cell r="W2521" t="str">
            <v>QCABE09</v>
          </cell>
          <cell r="AD2521">
            <v>131000</v>
          </cell>
        </row>
        <row r="2522">
          <cell r="W2522" t="str">
            <v>QCABE09</v>
          </cell>
          <cell r="AD2522">
            <v>131000</v>
          </cell>
        </row>
        <row r="2523">
          <cell r="W2523" t="str">
            <v>QCABE09</v>
          </cell>
          <cell r="AD2523">
            <v>132000</v>
          </cell>
        </row>
        <row r="2524">
          <cell r="W2524" t="str">
            <v>QCABE44</v>
          </cell>
          <cell r="AD2524">
            <v>23000</v>
          </cell>
        </row>
        <row r="2525">
          <cell r="W2525" t="str">
            <v>QCABE36</v>
          </cell>
          <cell r="AD2525">
            <v>18000</v>
          </cell>
        </row>
        <row r="2526">
          <cell r="W2526" t="str">
            <v>QCABE36</v>
          </cell>
          <cell r="AD2526">
            <v>21000</v>
          </cell>
        </row>
        <row r="2527">
          <cell r="W2527" t="str">
            <v>QCABE36</v>
          </cell>
          <cell r="AD2527">
            <v>21000</v>
          </cell>
        </row>
        <row r="2528">
          <cell r="W2528" t="str">
            <v>QCABE36</v>
          </cell>
          <cell r="AD2528">
            <v>21000</v>
          </cell>
        </row>
        <row r="2529">
          <cell r="W2529" t="str">
            <v>QCABE36</v>
          </cell>
          <cell r="AD2529">
            <v>22000</v>
          </cell>
        </row>
        <row r="2530">
          <cell r="W2530" t="str">
            <v>QCABE36</v>
          </cell>
          <cell r="AD2530">
            <v>22000</v>
          </cell>
        </row>
        <row r="2531">
          <cell r="W2531" t="str">
            <v>QCABE36</v>
          </cell>
          <cell r="AD2531">
            <v>22000</v>
          </cell>
        </row>
        <row r="2532">
          <cell r="W2532" t="str">
            <v>ACABE15</v>
          </cell>
          <cell r="AD2532">
            <v>17000</v>
          </cell>
        </row>
        <row r="2533">
          <cell r="W2533" t="str">
            <v>QCABE17</v>
          </cell>
          <cell r="AD2533">
            <v>17000</v>
          </cell>
        </row>
        <row r="2534">
          <cell r="W2534" t="str">
            <v>QCABE17</v>
          </cell>
          <cell r="AD2534">
            <v>18000</v>
          </cell>
        </row>
        <row r="2535">
          <cell r="W2535" t="str">
            <v>QCABE17</v>
          </cell>
          <cell r="AD2535">
            <v>18000</v>
          </cell>
        </row>
        <row r="2536">
          <cell r="W2536" t="str">
            <v>ACABE15</v>
          </cell>
          <cell r="AD2536">
            <v>18000</v>
          </cell>
        </row>
        <row r="2537">
          <cell r="W2537" t="str">
            <v>ACABE15</v>
          </cell>
          <cell r="AD2537">
            <v>18000</v>
          </cell>
        </row>
        <row r="2538">
          <cell r="W2538" t="str">
            <v>ACABE15</v>
          </cell>
          <cell r="AD2538">
            <v>18000</v>
          </cell>
        </row>
        <row r="2539">
          <cell r="W2539" t="str">
            <v>ACABE15</v>
          </cell>
          <cell r="AD2539">
            <v>18000</v>
          </cell>
        </row>
        <row r="2540">
          <cell r="W2540" t="str">
            <v>ACABE15</v>
          </cell>
          <cell r="AD2540">
            <v>18000</v>
          </cell>
        </row>
        <row r="2541">
          <cell r="W2541" t="str">
            <v>QCABE17</v>
          </cell>
          <cell r="AD2541">
            <v>18000</v>
          </cell>
        </row>
        <row r="2542">
          <cell r="W2542" t="str">
            <v>QCABE17</v>
          </cell>
          <cell r="AD2542">
            <v>18000</v>
          </cell>
        </row>
        <row r="2543">
          <cell r="W2543" t="str">
            <v>QCABE17</v>
          </cell>
          <cell r="AD2543">
            <v>18000</v>
          </cell>
        </row>
        <row r="2544">
          <cell r="W2544" t="str">
            <v>QCABE17</v>
          </cell>
          <cell r="AD2544">
            <v>18000</v>
          </cell>
        </row>
        <row r="2545">
          <cell r="W2545" t="str">
            <v>QCABR01</v>
          </cell>
          <cell r="AD2545">
            <v>160000</v>
          </cell>
        </row>
        <row r="2546">
          <cell r="W2546" t="str">
            <v>QCABR01</v>
          </cell>
          <cell r="AD2546">
            <v>163500</v>
          </cell>
        </row>
        <row r="2547">
          <cell r="W2547" t="str">
            <v>QCABR01</v>
          </cell>
          <cell r="AD2547">
            <v>163500</v>
          </cell>
        </row>
        <row r="2548">
          <cell r="W2548" t="str">
            <v>QCABR01</v>
          </cell>
          <cell r="AD2548">
            <v>163500</v>
          </cell>
        </row>
        <row r="2549">
          <cell r="W2549" t="str">
            <v>QCABR01</v>
          </cell>
          <cell r="AD2549">
            <v>163500</v>
          </cell>
        </row>
        <row r="2550">
          <cell r="W2550" t="str">
            <v>QCABR01</v>
          </cell>
          <cell r="AD2550">
            <v>163500</v>
          </cell>
        </row>
        <row r="2551">
          <cell r="W2551" t="str">
            <v>QCABR01</v>
          </cell>
          <cell r="AD2551">
            <v>164000</v>
          </cell>
        </row>
        <row r="2552">
          <cell r="W2552" t="str">
            <v>QCABR01</v>
          </cell>
          <cell r="AD2552">
            <v>164000</v>
          </cell>
        </row>
        <row r="2553">
          <cell r="W2553" t="str">
            <v>QCABR01</v>
          </cell>
          <cell r="AD2553">
            <v>164000</v>
          </cell>
        </row>
        <row r="2554">
          <cell r="W2554" t="str">
            <v>QCABR01</v>
          </cell>
          <cell r="AD2554">
            <v>164000</v>
          </cell>
        </row>
        <row r="2555">
          <cell r="W2555" t="str">
            <v>QCABR01</v>
          </cell>
          <cell r="AD2555">
            <v>164000</v>
          </cell>
        </row>
        <row r="2556">
          <cell r="W2556" t="str">
            <v>QCABR01</v>
          </cell>
          <cell r="AD2556">
            <v>164500</v>
          </cell>
        </row>
        <row r="2557">
          <cell r="W2557" t="str">
            <v>QCABR01</v>
          </cell>
          <cell r="AD2557">
            <v>164500</v>
          </cell>
        </row>
        <row r="2558">
          <cell r="W2558" t="str">
            <v>QCABR01</v>
          </cell>
          <cell r="AD2558">
            <v>165000</v>
          </cell>
        </row>
        <row r="2559">
          <cell r="W2559" t="str">
            <v>QCABR01</v>
          </cell>
          <cell r="AD2559">
            <v>165000</v>
          </cell>
        </row>
        <row r="2560">
          <cell r="W2560" t="str">
            <v>QCABR01</v>
          </cell>
          <cell r="AD2560">
            <v>165000</v>
          </cell>
        </row>
        <row r="2561">
          <cell r="W2561" t="str">
            <v>QCABR01</v>
          </cell>
          <cell r="AD2561">
            <v>165000</v>
          </cell>
        </row>
        <row r="2562">
          <cell r="W2562" t="str">
            <v>QCABR01</v>
          </cell>
          <cell r="AD2562">
            <v>165000</v>
          </cell>
        </row>
        <row r="2563">
          <cell r="W2563" t="str">
            <v>QCABR01</v>
          </cell>
          <cell r="AD2563">
            <v>165500</v>
          </cell>
        </row>
        <row r="2564">
          <cell r="W2564" t="str">
            <v>QCABR01</v>
          </cell>
          <cell r="AD2564">
            <v>165500</v>
          </cell>
        </row>
        <row r="2565">
          <cell r="W2565" t="str">
            <v>QCABR01</v>
          </cell>
          <cell r="AD2565">
            <v>167000</v>
          </cell>
        </row>
        <row r="2566">
          <cell r="W2566" t="str">
            <v>QCABR01</v>
          </cell>
          <cell r="AD2566">
            <v>167000</v>
          </cell>
        </row>
        <row r="2567">
          <cell r="W2567" t="str">
            <v>QCABR01</v>
          </cell>
          <cell r="AD2567">
            <v>167000</v>
          </cell>
        </row>
        <row r="2568">
          <cell r="W2568" t="str">
            <v>QCABR01</v>
          </cell>
          <cell r="AD2568">
            <v>167000</v>
          </cell>
        </row>
        <row r="2569">
          <cell r="W2569" t="str">
            <v>QCABR01</v>
          </cell>
          <cell r="AD2569">
            <v>167500</v>
          </cell>
        </row>
        <row r="2570">
          <cell r="W2570" t="str">
            <v>QCABR01</v>
          </cell>
          <cell r="AD2570">
            <v>168000</v>
          </cell>
        </row>
        <row r="2571">
          <cell r="W2571" t="str">
            <v>QCABR01</v>
          </cell>
          <cell r="AD2571">
            <v>168000</v>
          </cell>
        </row>
        <row r="2572">
          <cell r="W2572" t="str">
            <v>QCABR01</v>
          </cell>
          <cell r="AD2572">
            <v>168000</v>
          </cell>
        </row>
        <row r="2573">
          <cell r="W2573" t="str">
            <v>QCABR01</v>
          </cell>
          <cell r="AD2573">
            <v>168000</v>
          </cell>
        </row>
        <row r="2574">
          <cell r="W2574" t="str">
            <v>QCABR01</v>
          </cell>
          <cell r="AD2574">
            <v>184250</v>
          </cell>
        </row>
        <row r="2575">
          <cell r="W2575" t="str">
            <v>QCABR02</v>
          </cell>
          <cell r="AD2575">
            <v>70000</v>
          </cell>
        </row>
        <row r="2576">
          <cell r="W2576" t="str">
            <v>QCABR02</v>
          </cell>
          <cell r="AD2576">
            <v>71000</v>
          </cell>
        </row>
        <row r="2577">
          <cell r="W2577" t="str">
            <v>QCABR02</v>
          </cell>
          <cell r="AD2577">
            <v>71000</v>
          </cell>
        </row>
        <row r="2578">
          <cell r="W2578" t="str">
            <v>QCABR02</v>
          </cell>
          <cell r="AD2578">
            <v>71000</v>
          </cell>
        </row>
        <row r="2579">
          <cell r="W2579" t="str">
            <v>QCABR02</v>
          </cell>
          <cell r="AD2579">
            <v>71000</v>
          </cell>
        </row>
        <row r="2580">
          <cell r="W2580" t="str">
            <v>QCABR02</v>
          </cell>
          <cell r="AD2580">
            <v>71000</v>
          </cell>
        </row>
        <row r="2581">
          <cell r="W2581" t="str">
            <v>QCABR02</v>
          </cell>
          <cell r="AD2581">
            <v>71000</v>
          </cell>
        </row>
        <row r="2582">
          <cell r="W2582" t="str">
            <v>QCABR02</v>
          </cell>
          <cell r="AD2582">
            <v>71500</v>
          </cell>
        </row>
        <row r="2583">
          <cell r="W2583" t="str">
            <v>QCABR02</v>
          </cell>
          <cell r="AD2583">
            <v>71500</v>
          </cell>
        </row>
        <row r="2584">
          <cell r="W2584" t="str">
            <v>QCABR02</v>
          </cell>
          <cell r="AD2584">
            <v>71500</v>
          </cell>
        </row>
        <row r="2585">
          <cell r="W2585" t="str">
            <v>QCABR02</v>
          </cell>
          <cell r="AD2585">
            <v>71500</v>
          </cell>
        </row>
        <row r="2586">
          <cell r="W2586" t="str">
            <v>QCABR02</v>
          </cell>
          <cell r="AD2586">
            <v>71500</v>
          </cell>
        </row>
        <row r="2587">
          <cell r="W2587" t="str">
            <v>QCABR02</v>
          </cell>
          <cell r="AD2587">
            <v>71500</v>
          </cell>
        </row>
        <row r="2588">
          <cell r="W2588" t="str">
            <v>QCABR02</v>
          </cell>
          <cell r="AD2588">
            <v>71500</v>
          </cell>
        </row>
        <row r="2589">
          <cell r="W2589" t="str">
            <v>QCABR02</v>
          </cell>
          <cell r="AD2589">
            <v>71500</v>
          </cell>
        </row>
        <row r="2590">
          <cell r="W2590" t="str">
            <v>QCABR02</v>
          </cell>
          <cell r="AD2590">
            <v>72000</v>
          </cell>
        </row>
        <row r="2591">
          <cell r="W2591" t="str">
            <v>QCABR02</v>
          </cell>
          <cell r="AD2591">
            <v>72000</v>
          </cell>
        </row>
        <row r="2592">
          <cell r="W2592" t="str">
            <v>QCABR02</v>
          </cell>
          <cell r="AD2592">
            <v>72000</v>
          </cell>
        </row>
        <row r="2593">
          <cell r="W2593" t="str">
            <v>QCABR02</v>
          </cell>
          <cell r="AD2593">
            <v>72000</v>
          </cell>
        </row>
        <row r="2594">
          <cell r="W2594" t="str">
            <v>QCABR02</v>
          </cell>
          <cell r="AD2594">
            <v>72500</v>
          </cell>
        </row>
        <row r="2595">
          <cell r="W2595" t="str">
            <v>QCABR04</v>
          </cell>
          <cell r="AD2595">
            <v>115000</v>
          </cell>
        </row>
        <row r="2596">
          <cell r="W2596" t="str">
            <v>QCABR04</v>
          </cell>
          <cell r="AD2596">
            <v>115500</v>
          </cell>
        </row>
        <row r="2597">
          <cell r="W2597" t="str">
            <v>QCABR04</v>
          </cell>
          <cell r="AD2597">
            <v>115500</v>
          </cell>
        </row>
        <row r="2598">
          <cell r="W2598" t="str">
            <v>QCABR04</v>
          </cell>
          <cell r="AD2598">
            <v>115500</v>
          </cell>
        </row>
        <row r="2599">
          <cell r="W2599" t="str">
            <v>QCABR04</v>
          </cell>
          <cell r="AD2599">
            <v>115500</v>
          </cell>
        </row>
        <row r="2600">
          <cell r="W2600" t="str">
            <v>ACABR07</v>
          </cell>
          <cell r="AD2600">
            <v>115500</v>
          </cell>
        </row>
        <row r="2601">
          <cell r="W2601" t="str">
            <v>QCABR04</v>
          </cell>
          <cell r="AD2601">
            <v>116000</v>
          </cell>
        </row>
        <row r="2602">
          <cell r="W2602" t="str">
            <v>QCABR04</v>
          </cell>
          <cell r="AD2602">
            <v>116000</v>
          </cell>
        </row>
        <row r="2603">
          <cell r="W2603" t="str">
            <v>QCABR04</v>
          </cell>
          <cell r="AD2603">
            <v>116000</v>
          </cell>
        </row>
        <row r="2604">
          <cell r="W2604" t="str">
            <v>QCABR04</v>
          </cell>
          <cell r="AD2604">
            <v>116000</v>
          </cell>
        </row>
        <row r="2605">
          <cell r="W2605" t="str">
            <v>QCABR04</v>
          </cell>
          <cell r="AD2605">
            <v>116000</v>
          </cell>
        </row>
        <row r="2606">
          <cell r="W2606" t="str">
            <v>QCABR04</v>
          </cell>
          <cell r="AD2606">
            <v>116000</v>
          </cell>
        </row>
        <row r="2607">
          <cell r="W2607" t="str">
            <v>QCABR04</v>
          </cell>
          <cell r="AD2607">
            <v>116000</v>
          </cell>
        </row>
        <row r="2608">
          <cell r="W2608" t="str">
            <v>QCABR04</v>
          </cell>
          <cell r="AD2608">
            <v>116000</v>
          </cell>
        </row>
        <row r="2609">
          <cell r="W2609" t="str">
            <v>QCABR04</v>
          </cell>
          <cell r="AD2609">
            <v>116000</v>
          </cell>
        </row>
        <row r="2610">
          <cell r="W2610" t="str">
            <v>QCABR04</v>
          </cell>
          <cell r="AD2610">
            <v>116000</v>
          </cell>
        </row>
        <row r="2611">
          <cell r="W2611" t="str">
            <v>QCABR04</v>
          </cell>
          <cell r="AD2611">
            <v>116000</v>
          </cell>
        </row>
        <row r="2612">
          <cell r="W2612" t="str">
            <v>QCABR04</v>
          </cell>
          <cell r="AD2612">
            <v>116000</v>
          </cell>
        </row>
        <row r="2613">
          <cell r="W2613" t="str">
            <v>QCABR04</v>
          </cell>
          <cell r="AD2613">
            <v>116000</v>
          </cell>
        </row>
        <row r="2614">
          <cell r="W2614" t="str">
            <v>QCABR04</v>
          </cell>
          <cell r="AD2614">
            <v>116500</v>
          </cell>
        </row>
        <row r="2615">
          <cell r="W2615" t="str">
            <v>QCABR04</v>
          </cell>
          <cell r="AD2615">
            <v>116500</v>
          </cell>
        </row>
        <row r="2616">
          <cell r="W2616" t="str">
            <v>QCABR04</v>
          </cell>
          <cell r="AD2616">
            <v>116500</v>
          </cell>
        </row>
        <row r="2617">
          <cell r="W2617" t="str">
            <v>QCABR04</v>
          </cell>
          <cell r="AD2617">
            <v>116500</v>
          </cell>
        </row>
        <row r="2618">
          <cell r="W2618" t="str">
            <v>QCABR04</v>
          </cell>
          <cell r="AD2618">
            <v>116500</v>
          </cell>
        </row>
        <row r="2619">
          <cell r="W2619" t="str">
            <v>QCABR04</v>
          </cell>
          <cell r="AD2619">
            <v>117000</v>
          </cell>
        </row>
        <row r="2620">
          <cell r="W2620" t="str">
            <v>QCABR04</v>
          </cell>
          <cell r="AD2620">
            <v>117000</v>
          </cell>
        </row>
        <row r="2621">
          <cell r="W2621" t="str">
            <v>QCABR04</v>
          </cell>
          <cell r="AD2621">
            <v>117500</v>
          </cell>
        </row>
        <row r="2622">
          <cell r="W2622" t="str">
            <v>QCABR04</v>
          </cell>
          <cell r="AD2622">
            <v>120000</v>
          </cell>
        </row>
        <row r="2623">
          <cell r="W2623" t="str">
            <v>QCABR05</v>
          </cell>
          <cell r="AD2623">
            <v>55000</v>
          </cell>
        </row>
        <row r="2624">
          <cell r="W2624" t="str">
            <v>QCABR05</v>
          </cell>
          <cell r="AD2624">
            <v>55500</v>
          </cell>
        </row>
        <row r="2625">
          <cell r="W2625" t="str">
            <v>QCABR05</v>
          </cell>
          <cell r="AD2625">
            <v>55500</v>
          </cell>
        </row>
        <row r="2626">
          <cell r="W2626" t="str">
            <v>QCABR05</v>
          </cell>
          <cell r="AD2626">
            <v>55500</v>
          </cell>
        </row>
        <row r="2627">
          <cell r="W2627" t="str">
            <v>QCABR05</v>
          </cell>
          <cell r="AD2627">
            <v>56000</v>
          </cell>
        </row>
        <row r="2628">
          <cell r="W2628" t="str">
            <v>QCABR05</v>
          </cell>
          <cell r="AD2628">
            <v>56000</v>
          </cell>
        </row>
        <row r="2629">
          <cell r="W2629" t="str">
            <v>QCABR05</v>
          </cell>
          <cell r="AD2629">
            <v>56000</v>
          </cell>
        </row>
        <row r="2630">
          <cell r="W2630" t="str">
            <v>QCABR05</v>
          </cell>
          <cell r="AD2630">
            <v>56000</v>
          </cell>
        </row>
        <row r="2631">
          <cell r="W2631" t="str">
            <v>QCABR05</v>
          </cell>
          <cell r="AD2631">
            <v>56500</v>
          </cell>
        </row>
        <row r="2632">
          <cell r="W2632" t="str">
            <v>QCABR05</v>
          </cell>
          <cell r="AD2632">
            <v>56500</v>
          </cell>
        </row>
        <row r="2633">
          <cell r="W2633" t="str">
            <v>QCABZ01</v>
          </cell>
          <cell r="AD2633">
            <v>21000</v>
          </cell>
        </row>
        <row r="2634">
          <cell r="W2634" t="str">
            <v>QCALA01</v>
          </cell>
          <cell r="AD2634">
            <v>278000</v>
          </cell>
        </row>
        <row r="2635">
          <cell r="W2635" t="str">
            <v>QCALA01</v>
          </cell>
          <cell r="AD2635">
            <v>278000</v>
          </cell>
        </row>
        <row r="2636">
          <cell r="W2636" t="str">
            <v>QCALA01</v>
          </cell>
          <cell r="AD2636">
            <v>278900</v>
          </cell>
        </row>
        <row r="2637">
          <cell r="W2637" t="str">
            <v>QCALA01</v>
          </cell>
          <cell r="AD2637">
            <v>279000</v>
          </cell>
        </row>
        <row r="2638">
          <cell r="W2638" t="str">
            <v>QCALA01</v>
          </cell>
          <cell r="AD2638">
            <v>279000</v>
          </cell>
        </row>
        <row r="2639">
          <cell r="W2639" t="str">
            <v>QCALA01</v>
          </cell>
          <cell r="AD2639">
            <v>279000</v>
          </cell>
        </row>
        <row r="2640">
          <cell r="W2640" t="str">
            <v>QCALA01</v>
          </cell>
          <cell r="AD2640">
            <v>279000</v>
          </cell>
        </row>
        <row r="2641">
          <cell r="W2641" t="str">
            <v>QCALA01</v>
          </cell>
          <cell r="AD2641">
            <v>279500</v>
          </cell>
        </row>
        <row r="2642">
          <cell r="W2642" t="str">
            <v>QCALA01</v>
          </cell>
          <cell r="AD2642">
            <v>280000</v>
          </cell>
        </row>
        <row r="2643">
          <cell r="W2643" t="str">
            <v>QCALA01</v>
          </cell>
          <cell r="AD2643">
            <v>280000</v>
          </cell>
        </row>
        <row r="2644">
          <cell r="W2644" t="str">
            <v>QCALA01</v>
          </cell>
          <cell r="AD2644">
            <v>290000</v>
          </cell>
        </row>
        <row r="2645">
          <cell r="W2645" t="str">
            <v>QCALA01</v>
          </cell>
          <cell r="AD2645">
            <v>290000</v>
          </cell>
        </row>
        <row r="2646">
          <cell r="W2646" t="str">
            <v>QCALA01</v>
          </cell>
          <cell r="AD2646">
            <v>300000</v>
          </cell>
        </row>
        <row r="2647">
          <cell r="W2647" t="str">
            <v>QCALA01</v>
          </cell>
          <cell r="AD2647">
            <v>300000</v>
          </cell>
        </row>
        <row r="2648">
          <cell r="W2648" t="str">
            <v>QCALA02</v>
          </cell>
          <cell r="AD2648">
            <v>75000</v>
          </cell>
        </row>
        <row r="2649">
          <cell r="W2649" t="str">
            <v>QCALA02</v>
          </cell>
          <cell r="AD2649">
            <v>75000</v>
          </cell>
        </row>
        <row r="2650">
          <cell r="W2650" t="str">
            <v>QCALA02</v>
          </cell>
          <cell r="AD2650">
            <v>75000</v>
          </cell>
        </row>
        <row r="2651">
          <cell r="W2651" t="str">
            <v>QCALA02</v>
          </cell>
          <cell r="AD2651">
            <v>75000</v>
          </cell>
        </row>
        <row r="2652">
          <cell r="W2652" t="str">
            <v>QCALA02</v>
          </cell>
          <cell r="AD2652">
            <v>75000</v>
          </cell>
        </row>
        <row r="2653">
          <cell r="W2653" t="str">
            <v>QCALA02</v>
          </cell>
          <cell r="AD2653">
            <v>75000</v>
          </cell>
        </row>
        <row r="2654">
          <cell r="W2654" t="str">
            <v>QCALA02</v>
          </cell>
          <cell r="AD2654">
            <v>75500</v>
          </cell>
        </row>
        <row r="2655">
          <cell r="W2655" t="str">
            <v>QCALA02</v>
          </cell>
          <cell r="AD2655">
            <v>75500</v>
          </cell>
        </row>
        <row r="2656">
          <cell r="W2656" t="str">
            <v>QCALA02</v>
          </cell>
          <cell r="AD2656">
            <v>75500</v>
          </cell>
        </row>
        <row r="2657">
          <cell r="W2657" t="str">
            <v>QCALA02</v>
          </cell>
          <cell r="AD2657">
            <v>76000</v>
          </cell>
        </row>
        <row r="2658">
          <cell r="W2658" t="str">
            <v>QCALA02</v>
          </cell>
          <cell r="AD2658">
            <v>76000</v>
          </cell>
        </row>
        <row r="2659">
          <cell r="W2659" t="str">
            <v>QCALA02</v>
          </cell>
          <cell r="AD2659">
            <v>76000</v>
          </cell>
        </row>
        <row r="2660">
          <cell r="W2660" t="str">
            <v>QCALA02</v>
          </cell>
          <cell r="AD2660">
            <v>76000</v>
          </cell>
        </row>
        <row r="2661">
          <cell r="W2661" t="str">
            <v>QCALA02</v>
          </cell>
          <cell r="AD2661">
            <v>76000</v>
          </cell>
        </row>
        <row r="2662">
          <cell r="W2662" t="str">
            <v>QCALA02</v>
          </cell>
          <cell r="AD2662">
            <v>76000</v>
          </cell>
        </row>
        <row r="2663">
          <cell r="W2663" t="str">
            <v>QCALA02</v>
          </cell>
          <cell r="AD2663">
            <v>76000</v>
          </cell>
        </row>
        <row r="2664">
          <cell r="W2664" t="str">
            <v>QCALA02</v>
          </cell>
          <cell r="AD2664">
            <v>76000</v>
          </cell>
        </row>
        <row r="2665">
          <cell r="W2665" t="str">
            <v>QCALA02</v>
          </cell>
          <cell r="AD2665">
            <v>76000</v>
          </cell>
        </row>
        <row r="2666">
          <cell r="W2666" t="str">
            <v>QCALA02</v>
          </cell>
          <cell r="AD2666">
            <v>76000</v>
          </cell>
        </row>
        <row r="2667">
          <cell r="W2667" t="str">
            <v>QCALA02</v>
          </cell>
          <cell r="AD2667">
            <v>76000</v>
          </cell>
        </row>
        <row r="2668">
          <cell r="W2668" t="str">
            <v>QCALA02</v>
          </cell>
          <cell r="AD2668">
            <v>76000</v>
          </cell>
        </row>
        <row r="2669">
          <cell r="W2669" t="str">
            <v>QCALA02</v>
          </cell>
          <cell r="AD2669">
            <v>76000</v>
          </cell>
        </row>
        <row r="2670">
          <cell r="W2670" t="str">
            <v>QCALA02</v>
          </cell>
          <cell r="AD2670">
            <v>76000</v>
          </cell>
        </row>
        <row r="2671">
          <cell r="W2671" t="str">
            <v>QCALA02</v>
          </cell>
          <cell r="AD2671">
            <v>76000</v>
          </cell>
        </row>
        <row r="2672">
          <cell r="W2672" t="str">
            <v>QCALA02</v>
          </cell>
          <cell r="AD2672">
            <v>76000</v>
          </cell>
        </row>
        <row r="2673">
          <cell r="W2673" t="str">
            <v>QCALA02</v>
          </cell>
          <cell r="AD2673">
            <v>76000</v>
          </cell>
        </row>
        <row r="2674">
          <cell r="W2674" t="str">
            <v>QCALA02</v>
          </cell>
          <cell r="AD2674">
            <v>76000</v>
          </cell>
        </row>
        <row r="2675">
          <cell r="W2675" t="str">
            <v>QCALA02</v>
          </cell>
          <cell r="AD2675">
            <v>76000</v>
          </cell>
        </row>
        <row r="2676">
          <cell r="W2676" t="str">
            <v>QCALA02</v>
          </cell>
          <cell r="AD2676">
            <v>76000</v>
          </cell>
        </row>
        <row r="2677">
          <cell r="W2677" t="str">
            <v>QCALA02</v>
          </cell>
          <cell r="AD2677">
            <v>76000</v>
          </cell>
        </row>
        <row r="2678">
          <cell r="W2678" t="str">
            <v>QCALA02</v>
          </cell>
          <cell r="AD2678">
            <v>76000</v>
          </cell>
        </row>
        <row r="2679">
          <cell r="W2679" t="str">
            <v>QCALA02</v>
          </cell>
          <cell r="AD2679">
            <v>76000</v>
          </cell>
        </row>
        <row r="2680">
          <cell r="W2680" t="str">
            <v>QCALA02</v>
          </cell>
          <cell r="AD2680">
            <v>76000</v>
          </cell>
        </row>
        <row r="2681">
          <cell r="W2681" t="str">
            <v>QCALA02</v>
          </cell>
          <cell r="AD2681">
            <v>76000</v>
          </cell>
        </row>
        <row r="2682">
          <cell r="W2682" t="str">
            <v>QCALA02</v>
          </cell>
          <cell r="AD2682">
            <v>76000</v>
          </cell>
        </row>
        <row r="2683">
          <cell r="W2683" t="str">
            <v>QCALA02</v>
          </cell>
          <cell r="AD2683">
            <v>76000</v>
          </cell>
        </row>
        <row r="2684">
          <cell r="W2684" t="str">
            <v>QCALA02</v>
          </cell>
          <cell r="AD2684">
            <v>76000</v>
          </cell>
        </row>
        <row r="2685">
          <cell r="W2685" t="str">
            <v>QCALA02</v>
          </cell>
          <cell r="AD2685">
            <v>76000</v>
          </cell>
        </row>
        <row r="2686">
          <cell r="W2686" t="str">
            <v>QCALA02</v>
          </cell>
          <cell r="AD2686">
            <v>76000</v>
          </cell>
        </row>
        <row r="2687">
          <cell r="W2687" t="str">
            <v>QCALA02</v>
          </cell>
          <cell r="AD2687">
            <v>76000</v>
          </cell>
        </row>
        <row r="2688">
          <cell r="W2688" t="str">
            <v>QCALA02</v>
          </cell>
          <cell r="AD2688">
            <v>76000</v>
          </cell>
        </row>
        <row r="2689">
          <cell r="W2689" t="str">
            <v>QCALA02</v>
          </cell>
          <cell r="AD2689">
            <v>76000</v>
          </cell>
        </row>
        <row r="2690">
          <cell r="W2690" t="str">
            <v>QCALA02</v>
          </cell>
          <cell r="AD2690">
            <v>76000</v>
          </cell>
        </row>
        <row r="2691">
          <cell r="W2691" t="str">
            <v>QCALA02</v>
          </cell>
          <cell r="AD2691">
            <v>76000</v>
          </cell>
        </row>
        <row r="2692">
          <cell r="W2692" t="str">
            <v>QCALA02</v>
          </cell>
          <cell r="AD2692">
            <v>76000</v>
          </cell>
        </row>
        <row r="2693">
          <cell r="W2693" t="str">
            <v>QCALA02</v>
          </cell>
          <cell r="AD2693">
            <v>76000</v>
          </cell>
        </row>
        <row r="2694">
          <cell r="W2694" t="str">
            <v>QCALA02</v>
          </cell>
          <cell r="AD2694">
            <v>76000</v>
          </cell>
        </row>
        <row r="2695">
          <cell r="W2695" t="str">
            <v>QCALA02</v>
          </cell>
          <cell r="AD2695">
            <v>76000</v>
          </cell>
        </row>
        <row r="2696">
          <cell r="W2696" t="str">
            <v>QCALA02</v>
          </cell>
          <cell r="AD2696">
            <v>76000</v>
          </cell>
        </row>
        <row r="2697">
          <cell r="W2697" t="str">
            <v>QCALA02</v>
          </cell>
          <cell r="AD2697">
            <v>76000</v>
          </cell>
        </row>
        <row r="2698">
          <cell r="W2698" t="str">
            <v>QCALA02</v>
          </cell>
          <cell r="AD2698">
            <v>76250</v>
          </cell>
        </row>
        <row r="2699">
          <cell r="W2699" t="str">
            <v>QCALA02</v>
          </cell>
          <cell r="AD2699">
            <v>76500</v>
          </cell>
        </row>
        <row r="2700">
          <cell r="W2700" t="str">
            <v>QCALA02</v>
          </cell>
          <cell r="AD2700">
            <v>76500</v>
          </cell>
        </row>
        <row r="2701">
          <cell r="W2701" t="str">
            <v>QCALA02</v>
          </cell>
          <cell r="AD2701">
            <v>76500</v>
          </cell>
        </row>
        <row r="2702">
          <cell r="W2702" t="str">
            <v>QCALA02</v>
          </cell>
          <cell r="AD2702">
            <v>76500</v>
          </cell>
        </row>
        <row r="2703">
          <cell r="W2703" t="str">
            <v>QCALA02</v>
          </cell>
          <cell r="AD2703">
            <v>77000</v>
          </cell>
        </row>
        <row r="2704">
          <cell r="W2704" t="str">
            <v>QCALA02</v>
          </cell>
          <cell r="AD2704">
            <v>77000</v>
          </cell>
        </row>
        <row r="2705">
          <cell r="W2705" t="str">
            <v>QCALA02</v>
          </cell>
          <cell r="AD2705">
            <v>77000</v>
          </cell>
        </row>
        <row r="2706">
          <cell r="W2706" t="str">
            <v>QCALA02</v>
          </cell>
          <cell r="AD2706">
            <v>77000</v>
          </cell>
        </row>
        <row r="2707">
          <cell r="W2707" t="str">
            <v>QCALA02</v>
          </cell>
          <cell r="AD2707">
            <v>77000</v>
          </cell>
        </row>
        <row r="2708">
          <cell r="W2708" t="str">
            <v>QCALA02</v>
          </cell>
          <cell r="AD2708">
            <v>77000</v>
          </cell>
        </row>
        <row r="2709">
          <cell r="W2709" t="str">
            <v>QCALA02</v>
          </cell>
          <cell r="AD2709">
            <v>77000</v>
          </cell>
        </row>
        <row r="2710">
          <cell r="W2710" t="str">
            <v>QCALA02</v>
          </cell>
          <cell r="AD2710">
            <v>77000</v>
          </cell>
        </row>
        <row r="2711">
          <cell r="W2711" t="str">
            <v>QCALA02</v>
          </cell>
          <cell r="AD2711">
            <v>77500</v>
          </cell>
        </row>
        <row r="2712">
          <cell r="W2712" t="str">
            <v>QCALA02</v>
          </cell>
          <cell r="AD2712">
            <v>78000</v>
          </cell>
        </row>
        <row r="2713">
          <cell r="W2713" t="str">
            <v>QCALA02</v>
          </cell>
          <cell r="AD2713">
            <v>78000</v>
          </cell>
        </row>
        <row r="2714">
          <cell r="W2714" t="str">
            <v>QCALA02</v>
          </cell>
          <cell r="AD2714">
            <v>78000</v>
          </cell>
        </row>
        <row r="2715">
          <cell r="W2715" t="str">
            <v>QCALA02</v>
          </cell>
          <cell r="AD2715">
            <v>78000</v>
          </cell>
        </row>
        <row r="2716">
          <cell r="W2716" t="str">
            <v>QCALA02</v>
          </cell>
          <cell r="AD2716">
            <v>78000</v>
          </cell>
        </row>
        <row r="2717">
          <cell r="W2717" t="str">
            <v>QCALA02</v>
          </cell>
          <cell r="AD2717">
            <v>80500</v>
          </cell>
        </row>
        <row r="2718">
          <cell r="W2718" t="str">
            <v>QCALA02</v>
          </cell>
          <cell r="AD2718">
            <v>80500</v>
          </cell>
        </row>
        <row r="2719">
          <cell r="W2719" t="str">
            <v>QCALA02</v>
          </cell>
          <cell r="AD2719">
            <v>80500</v>
          </cell>
        </row>
        <row r="2720">
          <cell r="W2720" t="str">
            <v>QCALA02</v>
          </cell>
          <cell r="AD2720">
            <v>80500</v>
          </cell>
        </row>
        <row r="2721">
          <cell r="W2721" t="str">
            <v>QCALA02</v>
          </cell>
          <cell r="AD2721">
            <v>80500</v>
          </cell>
        </row>
        <row r="2722">
          <cell r="W2722" t="str">
            <v>QCALA02</v>
          </cell>
          <cell r="AD2722">
            <v>80500</v>
          </cell>
        </row>
        <row r="2723">
          <cell r="W2723" t="str">
            <v>QCALA02</v>
          </cell>
          <cell r="AD2723">
            <v>80500</v>
          </cell>
        </row>
        <row r="2724">
          <cell r="W2724" t="str">
            <v>QCALA02</v>
          </cell>
          <cell r="AD2724">
            <v>80500</v>
          </cell>
        </row>
        <row r="2725">
          <cell r="W2725" t="str">
            <v>QCALA02</v>
          </cell>
          <cell r="AD2725">
            <v>80500</v>
          </cell>
        </row>
        <row r="2726">
          <cell r="W2726" t="str">
            <v>QCALA02</v>
          </cell>
          <cell r="AD2726">
            <v>80500</v>
          </cell>
        </row>
        <row r="2727">
          <cell r="W2727" t="str">
            <v>QCALA02</v>
          </cell>
          <cell r="AD2727">
            <v>80500</v>
          </cell>
        </row>
        <row r="2728">
          <cell r="W2728" t="str">
            <v>QCALA02</v>
          </cell>
          <cell r="AD2728">
            <v>80500</v>
          </cell>
        </row>
        <row r="2729">
          <cell r="W2729" t="str">
            <v>QCALA02</v>
          </cell>
          <cell r="AD2729">
            <v>80500</v>
          </cell>
        </row>
        <row r="2730">
          <cell r="W2730" t="str">
            <v>QCALA02</v>
          </cell>
          <cell r="AD2730">
            <v>80500</v>
          </cell>
        </row>
        <row r="2731">
          <cell r="W2731" t="str">
            <v>QCALA02</v>
          </cell>
          <cell r="AD2731">
            <v>80500</v>
          </cell>
        </row>
        <row r="2732">
          <cell r="W2732" t="str">
            <v>QCALA02</v>
          </cell>
          <cell r="AD2732">
            <v>80500</v>
          </cell>
        </row>
        <row r="2733">
          <cell r="W2733" t="str">
            <v>QCALA02</v>
          </cell>
          <cell r="AD2733">
            <v>80500</v>
          </cell>
        </row>
        <row r="2734">
          <cell r="W2734" t="str">
            <v>QCALA02</v>
          </cell>
          <cell r="AD2734">
            <v>80500</v>
          </cell>
        </row>
        <row r="2735">
          <cell r="W2735" t="str">
            <v>QCALA02</v>
          </cell>
          <cell r="AD2735">
            <v>80500</v>
          </cell>
        </row>
        <row r="2736">
          <cell r="W2736" t="str">
            <v>QCALA02</v>
          </cell>
          <cell r="AD2736">
            <v>80500</v>
          </cell>
        </row>
        <row r="2737">
          <cell r="W2737" t="str">
            <v>QCALA03</v>
          </cell>
          <cell r="AD2737">
            <v>144000</v>
          </cell>
        </row>
        <row r="2738">
          <cell r="W2738" t="str">
            <v>QCALA03</v>
          </cell>
          <cell r="AD2738">
            <v>145000</v>
          </cell>
        </row>
        <row r="2739">
          <cell r="W2739" t="str">
            <v>QCALA03</v>
          </cell>
          <cell r="AD2739">
            <v>145750</v>
          </cell>
        </row>
        <row r="2740">
          <cell r="W2740" t="str">
            <v>QCALA03</v>
          </cell>
          <cell r="AD2740">
            <v>145750</v>
          </cell>
        </row>
        <row r="2741">
          <cell r="W2741" t="str">
            <v>QCALA03</v>
          </cell>
          <cell r="AD2741">
            <v>145750</v>
          </cell>
        </row>
        <row r="2742">
          <cell r="W2742" t="str">
            <v>QCALA03</v>
          </cell>
          <cell r="AD2742">
            <v>145750</v>
          </cell>
        </row>
        <row r="2743">
          <cell r="W2743" t="str">
            <v>QCALA03</v>
          </cell>
          <cell r="AD2743">
            <v>145750</v>
          </cell>
        </row>
        <row r="2744">
          <cell r="W2744" t="str">
            <v>QCALA03</v>
          </cell>
          <cell r="AD2744">
            <v>145750</v>
          </cell>
        </row>
        <row r="2745">
          <cell r="W2745" t="str">
            <v>QCALA03</v>
          </cell>
          <cell r="AD2745">
            <v>145800</v>
          </cell>
        </row>
        <row r="2746">
          <cell r="W2746" t="str">
            <v>QCALA03</v>
          </cell>
          <cell r="AD2746">
            <v>146000</v>
          </cell>
        </row>
        <row r="2747">
          <cell r="W2747" t="str">
            <v>QCALA03</v>
          </cell>
          <cell r="AD2747">
            <v>146000</v>
          </cell>
        </row>
        <row r="2748">
          <cell r="W2748" t="str">
            <v>QCALA03</v>
          </cell>
          <cell r="AD2748">
            <v>146000</v>
          </cell>
        </row>
        <row r="2749">
          <cell r="W2749" t="str">
            <v>QCALA03</v>
          </cell>
          <cell r="AD2749">
            <v>146000</v>
          </cell>
        </row>
        <row r="2750">
          <cell r="W2750" t="str">
            <v>QCALA03</v>
          </cell>
          <cell r="AD2750">
            <v>146000</v>
          </cell>
        </row>
        <row r="2751">
          <cell r="W2751" t="str">
            <v>QCALA03</v>
          </cell>
          <cell r="AD2751">
            <v>146000</v>
          </cell>
        </row>
        <row r="2752">
          <cell r="W2752" t="str">
            <v>QCALA03</v>
          </cell>
          <cell r="AD2752">
            <v>146000</v>
          </cell>
        </row>
        <row r="2753">
          <cell r="W2753" t="str">
            <v>QCALA03</v>
          </cell>
          <cell r="AD2753">
            <v>146000</v>
          </cell>
        </row>
        <row r="2754">
          <cell r="W2754" t="str">
            <v>QCALA03</v>
          </cell>
          <cell r="AD2754">
            <v>146000</v>
          </cell>
        </row>
        <row r="2755">
          <cell r="W2755" t="str">
            <v>QCALA03</v>
          </cell>
          <cell r="AD2755">
            <v>146000</v>
          </cell>
        </row>
        <row r="2756">
          <cell r="W2756" t="str">
            <v>QCALA03</v>
          </cell>
          <cell r="AD2756">
            <v>146000</v>
          </cell>
        </row>
        <row r="2757">
          <cell r="W2757" t="str">
            <v>QCALA03</v>
          </cell>
          <cell r="AD2757">
            <v>146000</v>
          </cell>
        </row>
        <row r="2758">
          <cell r="W2758" t="str">
            <v>QCALA03</v>
          </cell>
          <cell r="AD2758">
            <v>146000</v>
          </cell>
        </row>
        <row r="2759">
          <cell r="W2759" t="str">
            <v>QCALA03</v>
          </cell>
          <cell r="AD2759">
            <v>146000</v>
          </cell>
        </row>
        <row r="2760">
          <cell r="W2760" t="str">
            <v>QCALA03</v>
          </cell>
          <cell r="AD2760">
            <v>146000</v>
          </cell>
        </row>
        <row r="2761">
          <cell r="W2761" t="str">
            <v>QCALA03</v>
          </cell>
          <cell r="AD2761">
            <v>146000</v>
          </cell>
        </row>
        <row r="2762">
          <cell r="W2762" t="str">
            <v>QCALA03</v>
          </cell>
          <cell r="AD2762">
            <v>146000</v>
          </cell>
        </row>
        <row r="2763">
          <cell r="W2763" t="str">
            <v>QCALA03</v>
          </cell>
          <cell r="AD2763">
            <v>146000</v>
          </cell>
        </row>
        <row r="2764">
          <cell r="W2764" t="str">
            <v>QCALA03</v>
          </cell>
          <cell r="AD2764">
            <v>146500</v>
          </cell>
        </row>
        <row r="2765">
          <cell r="W2765" t="str">
            <v>QCALA03</v>
          </cell>
          <cell r="AD2765">
            <v>146500</v>
          </cell>
        </row>
        <row r="2766">
          <cell r="W2766" t="str">
            <v>QCALA03</v>
          </cell>
          <cell r="AD2766">
            <v>147000</v>
          </cell>
        </row>
        <row r="2767">
          <cell r="W2767" t="str">
            <v>QCALA03</v>
          </cell>
          <cell r="AD2767">
            <v>147000</v>
          </cell>
        </row>
        <row r="2768">
          <cell r="W2768" t="str">
            <v>QCALA03</v>
          </cell>
          <cell r="AD2768">
            <v>148000</v>
          </cell>
        </row>
        <row r="2769">
          <cell r="W2769" t="str">
            <v>QCALA03</v>
          </cell>
          <cell r="AD2769">
            <v>150000</v>
          </cell>
        </row>
        <row r="2770">
          <cell r="W2770" t="str">
            <v>QCALA03</v>
          </cell>
          <cell r="AD2770">
            <v>154000</v>
          </cell>
        </row>
        <row r="2771">
          <cell r="W2771" t="str">
            <v>QCALA03</v>
          </cell>
          <cell r="AD2771">
            <v>154000</v>
          </cell>
        </row>
        <row r="2772">
          <cell r="W2772" t="str">
            <v>QCALA03</v>
          </cell>
          <cell r="AD2772">
            <v>154000</v>
          </cell>
        </row>
        <row r="2773">
          <cell r="W2773" t="str">
            <v>QCALA03</v>
          </cell>
          <cell r="AD2773">
            <v>154000</v>
          </cell>
        </row>
        <row r="2774">
          <cell r="W2774" t="str">
            <v>QCALA03</v>
          </cell>
          <cell r="AD2774">
            <v>154000</v>
          </cell>
        </row>
        <row r="2775">
          <cell r="W2775" t="str">
            <v>QCALA03</v>
          </cell>
          <cell r="AD2775">
            <v>154000</v>
          </cell>
        </row>
        <row r="2776">
          <cell r="W2776" t="str">
            <v>QCALA03</v>
          </cell>
          <cell r="AD2776">
            <v>154000</v>
          </cell>
        </row>
        <row r="2777">
          <cell r="W2777" t="str">
            <v>QCALA03</v>
          </cell>
          <cell r="AD2777">
            <v>154000</v>
          </cell>
        </row>
        <row r="2778">
          <cell r="W2778" t="str">
            <v>QCALA03</v>
          </cell>
          <cell r="AD2778">
            <v>154000</v>
          </cell>
        </row>
        <row r="2779">
          <cell r="W2779" t="str">
            <v>QCALA03</v>
          </cell>
          <cell r="AD2779">
            <v>154000</v>
          </cell>
        </row>
        <row r="2780">
          <cell r="W2780" t="str">
            <v>QCALA03</v>
          </cell>
          <cell r="AD2780">
            <v>155000</v>
          </cell>
        </row>
        <row r="2781">
          <cell r="W2781" t="str">
            <v>QCALA03</v>
          </cell>
          <cell r="AD2781">
            <v>155000</v>
          </cell>
        </row>
        <row r="2782">
          <cell r="W2782" t="str">
            <v>ACALC01</v>
          </cell>
          <cell r="AD2782">
            <v>1</v>
          </cell>
        </row>
        <row r="2783">
          <cell r="W2783" t="str">
            <v>QCALC02</v>
          </cell>
          <cell r="AD2783">
            <v>15000</v>
          </cell>
        </row>
        <row r="2784">
          <cell r="W2784" t="str">
            <v>QCALC02</v>
          </cell>
          <cell r="AD2784">
            <v>15000</v>
          </cell>
        </row>
        <row r="2785">
          <cell r="W2785" t="str">
            <v>QCALC02</v>
          </cell>
          <cell r="AD2785">
            <v>15000</v>
          </cell>
        </row>
        <row r="2786">
          <cell r="W2786" t="str">
            <v>QCALC02</v>
          </cell>
          <cell r="AD2786">
            <v>15000</v>
          </cell>
        </row>
        <row r="2787">
          <cell r="W2787" t="str">
            <v>QCALC02</v>
          </cell>
          <cell r="AD2787">
            <v>15000</v>
          </cell>
        </row>
        <row r="2788">
          <cell r="W2788" t="str">
            <v>QCALC02</v>
          </cell>
          <cell r="AD2788">
            <v>15000</v>
          </cell>
        </row>
        <row r="2789">
          <cell r="W2789" t="str">
            <v>QCALC02</v>
          </cell>
          <cell r="AD2789">
            <v>15000</v>
          </cell>
        </row>
        <row r="2790">
          <cell r="W2790" t="str">
            <v>QCALC02</v>
          </cell>
          <cell r="AD2790">
            <v>15000</v>
          </cell>
        </row>
        <row r="2791">
          <cell r="W2791" t="str">
            <v>QCALC02</v>
          </cell>
          <cell r="AD2791">
            <v>15000</v>
          </cell>
        </row>
        <row r="2792">
          <cell r="W2792" t="str">
            <v>QCALC02</v>
          </cell>
          <cell r="AD2792">
            <v>15000</v>
          </cell>
        </row>
        <row r="2793">
          <cell r="W2793" t="str">
            <v>QCALC02</v>
          </cell>
          <cell r="AD2793">
            <v>15000</v>
          </cell>
        </row>
        <row r="2794">
          <cell r="W2794" t="str">
            <v>QCALC02</v>
          </cell>
          <cell r="AD2794">
            <v>15000</v>
          </cell>
        </row>
        <row r="2795">
          <cell r="W2795" t="str">
            <v>QCALC02</v>
          </cell>
          <cell r="AD2795">
            <v>15000</v>
          </cell>
        </row>
        <row r="2796">
          <cell r="W2796" t="str">
            <v>QCALC02</v>
          </cell>
          <cell r="AD2796">
            <v>15000</v>
          </cell>
        </row>
        <row r="2797">
          <cell r="W2797" t="str">
            <v>QCALC02</v>
          </cell>
          <cell r="AD2797">
            <v>15000</v>
          </cell>
        </row>
        <row r="2798">
          <cell r="W2798" t="str">
            <v>QCALC02</v>
          </cell>
          <cell r="AD2798">
            <v>15000</v>
          </cell>
        </row>
        <row r="2799">
          <cell r="W2799" t="str">
            <v>QCALC02</v>
          </cell>
          <cell r="AD2799">
            <v>15000</v>
          </cell>
        </row>
        <row r="2800">
          <cell r="W2800" t="str">
            <v>QCALC02</v>
          </cell>
          <cell r="AD2800">
            <v>15000</v>
          </cell>
        </row>
        <row r="2801">
          <cell r="W2801" t="str">
            <v>QCALC02</v>
          </cell>
          <cell r="AD2801">
            <v>16000</v>
          </cell>
        </row>
        <row r="2802">
          <cell r="W2802" t="str">
            <v>QCALC02</v>
          </cell>
          <cell r="AD2802">
            <v>16000</v>
          </cell>
        </row>
        <row r="2803">
          <cell r="W2803" t="str">
            <v>QCALC02</v>
          </cell>
          <cell r="AD2803">
            <v>18000</v>
          </cell>
        </row>
        <row r="2804">
          <cell r="W2804" t="str">
            <v>QCALC02</v>
          </cell>
          <cell r="AD2804">
            <v>18000</v>
          </cell>
        </row>
        <row r="2805">
          <cell r="W2805" t="str">
            <v>QCALC02</v>
          </cell>
          <cell r="AD2805">
            <v>18000</v>
          </cell>
        </row>
        <row r="2806">
          <cell r="W2806" t="str">
            <v>QCALP02</v>
          </cell>
          <cell r="AD2806">
            <v>31000</v>
          </cell>
        </row>
        <row r="2807">
          <cell r="W2807" t="str">
            <v>QCALP02</v>
          </cell>
          <cell r="AD2807">
            <v>31000</v>
          </cell>
        </row>
        <row r="2808">
          <cell r="W2808" t="str">
            <v>QCALP02</v>
          </cell>
          <cell r="AD2808">
            <v>31000</v>
          </cell>
        </row>
        <row r="2809">
          <cell r="W2809" t="str">
            <v>QCALP02</v>
          </cell>
          <cell r="AD2809">
            <v>31000</v>
          </cell>
        </row>
        <row r="2810">
          <cell r="W2810" t="str">
            <v>QCALP02</v>
          </cell>
          <cell r="AD2810">
            <v>31000</v>
          </cell>
        </row>
        <row r="2811">
          <cell r="W2811" t="str">
            <v>QCALP02</v>
          </cell>
          <cell r="AD2811">
            <v>31000</v>
          </cell>
        </row>
        <row r="2812">
          <cell r="W2812" t="str">
            <v>QCALP02</v>
          </cell>
          <cell r="AD2812">
            <v>31000</v>
          </cell>
        </row>
        <row r="2813">
          <cell r="W2813" t="str">
            <v>QCALP02</v>
          </cell>
          <cell r="AD2813">
            <v>31000</v>
          </cell>
        </row>
        <row r="2814">
          <cell r="W2814" t="str">
            <v>QCALP02</v>
          </cell>
          <cell r="AD2814">
            <v>31000</v>
          </cell>
        </row>
        <row r="2815">
          <cell r="W2815" t="str">
            <v>QCALP02</v>
          </cell>
          <cell r="AD2815">
            <v>31000</v>
          </cell>
        </row>
        <row r="2816">
          <cell r="W2816" t="str">
            <v>QCALP02</v>
          </cell>
          <cell r="AD2816">
            <v>31000</v>
          </cell>
        </row>
        <row r="2817">
          <cell r="W2817" t="str">
            <v>QCALP02</v>
          </cell>
          <cell r="AD2817">
            <v>31500</v>
          </cell>
        </row>
        <row r="2818">
          <cell r="W2818" t="str">
            <v>QCALP02</v>
          </cell>
          <cell r="AD2818">
            <v>31500</v>
          </cell>
        </row>
        <row r="2819">
          <cell r="W2819" t="str">
            <v>QCALP02</v>
          </cell>
          <cell r="AD2819">
            <v>31500</v>
          </cell>
        </row>
        <row r="2820">
          <cell r="W2820" t="str">
            <v>QCALP02</v>
          </cell>
          <cell r="AD2820">
            <v>31500</v>
          </cell>
        </row>
        <row r="2821">
          <cell r="W2821" t="str">
            <v>QCALP02</v>
          </cell>
          <cell r="AD2821">
            <v>31500</v>
          </cell>
        </row>
        <row r="2822">
          <cell r="W2822" t="str">
            <v>QCAUL02</v>
          </cell>
          <cell r="AD2822">
            <v>70000</v>
          </cell>
        </row>
        <row r="2823">
          <cell r="W2823" t="str">
            <v>QCAUL02</v>
          </cell>
          <cell r="AD2823">
            <v>75000</v>
          </cell>
        </row>
        <row r="2824">
          <cell r="W2824" t="str">
            <v>QCAUL02</v>
          </cell>
          <cell r="AD2824">
            <v>75000</v>
          </cell>
        </row>
        <row r="2825">
          <cell r="W2825" t="str">
            <v>QCAUL04</v>
          </cell>
          <cell r="AD2825">
            <v>80000</v>
          </cell>
        </row>
        <row r="2826">
          <cell r="W2826" t="str">
            <v>QCAUL03</v>
          </cell>
          <cell r="AD2826">
            <v>107500</v>
          </cell>
        </row>
        <row r="2827">
          <cell r="W2827" t="str">
            <v>QCAUL03</v>
          </cell>
          <cell r="AD2827">
            <v>110000</v>
          </cell>
        </row>
        <row r="2828">
          <cell r="W2828" t="str">
            <v>QCAUL03</v>
          </cell>
          <cell r="AD2828">
            <v>112500</v>
          </cell>
        </row>
        <row r="2829">
          <cell r="W2829" t="str">
            <v>QCAUL03</v>
          </cell>
          <cell r="AD2829">
            <v>112500</v>
          </cell>
        </row>
        <row r="2830">
          <cell r="W2830" t="str">
            <v>QCAUL03</v>
          </cell>
          <cell r="AD2830">
            <v>112500</v>
          </cell>
        </row>
        <row r="2831">
          <cell r="W2831" t="str">
            <v>QCAUL03</v>
          </cell>
          <cell r="AD2831">
            <v>112500</v>
          </cell>
        </row>
        <row r="2832">
          <cell r="W2832" t="str">
            <v>QCAUL03</v>
          </cell>
          <cell r="AD2832">
            <v>112500</v>
          </cell>
        </row>
        <row r="2833">
          <cell r="W2833" t="str">
            <v>QCAUL03</v>
          </cell>
          <cell r="AD2833">
            <v>112500</v>
          </cell>
        </row>
        <row r="2834">
          <cell r="W2834" t="str">
            <v>QCAUL03</v>
          </cell>
          <cell r="AD2834">
            <v>112500</v>
          </cell>
        </row>
        <row r="2835">
          <cell r="W2835" t="str">
            <v>QCAUL03</v>
          </cell>
          <cell r="AD2835">
            <v>112500</v>
          </cell>
        </row>
        <row r="2836">
          <cell r="W2836" t="str">
            <v>QCAUL03</v>
          </cell>
          <cell r="AD2836">
            <v>112500</v>
          </cell>
        </row>
        <row r="2837">
          <cell r="W2837" t="str">
            <v>QCEBA02</v>
          </cell>
          <cell r="AD2837">
            <v>96500</v>
          </cell>
        </row>
        <row r="2838">
          <cell r="W2838" t="str">
            <v>QCEBA02</v>
          </cell>
          <cell r="AD2838">
            <v>96500</v>
          </cell>
        </row>
        <row r="2839">
          <cell r="W2839" t="str">
            <v>QCEBA02</v>
          </cell>
          <cell r="AD2839">
            <v>96500</v>
          </cell>
        </row>
        <row r="2840">
          <cell r="W2840" t="str">
            <v>QCEBA03</v>
          </cell>
          <cell r="AD2840">
            <v>190000</v>
          </cell>
        </row>
        <row r="2841">
          <cell r="W2841" t="str">
            <v>QCEBA03</v>
          </cell>
          <cell r="AD2841">
            <v>190000</v>
          </cell>
        </row>
        <row r="2842">
          <cell r="W2842" t="str">
            <v>ACEBA03</v>
          </cell>
          <cell r="AD2842">
            <v>190000</v>
          </cell>
        </row>
        <row r="2843">
          <cell r="W2843" t="str">
            <v>ACEBA03</v>
          </cell>
          <cell r="AD2843">
            <v>190000</v>
          </cell>
        </row>
        <row r="2844">
          <cell r="W2844" t="str">
            <v>QCEBA01</v>
          </cell>
          <cell r="AD2844">
            <v>49500</v>
          </cell>
        </row>
        <row r="2845">
          <cell r="W2845" t="str">
            <v>QCEBA01</v>
          </cell>
          <cell r="AD2845">
            <v>49500</v>
          </cell>
        </row>
        <row r="2846">
          <cell r="W2846" t="str">
            <v>ACEBA01</v>
          </cell>
          <cell r="AD2846">
            <v>49500</v>
          </cell>
        </row>
        <row r="2847">
          <cell r="W2847" t="str">
            <v>ACEBA01</v>
          </cell>
          <cell r="AD2847">
            <v>49500</v>
          </cell>
        </row>
        <row r="2848">
          <cell r="W2848" t="str">
            <v>QCENT06</v>
          </cell>
          <cell r="AD2848">
            <v>130000</v>
          </cell>
        </row>
        <row r="2849">
          <cell r="W2849" t="str">
            <v>QCENT06</v>
          </cell>
          <cell r="AD2849">
            <v>130000</v>
          </cell>
        </row>
        <row r="2850">
          <cell r="W2850" t="str">
            <v>QCENT04</v>
          </cell>
          <cell r="AD2850">
            <v>800000</v>
          </cell>
        </row>
        <row r="2851">
          <cell r="W2851" t="str">
            <v>QCENT04</v>
          </cell>
          <cell r="AD2851">
            <v>800000</v>
          </cell>
        </row>
        <row r="2852">
          <cell r="W2852" t="str">
            <v>QCENT04</v>
          </cell>
          <cell r="AD2852">
            <v>830000</v>
          </cell>
        </row>
        <row r="2853">
          <cell r="W2853" t="str">
            <v>QCENT04</v>
          </cell>
          <cell r="AD2853">
            <v>840000</v>
          </cell>
        </row>
        <row r="2854">
          <cell r="W2854" t="str">
            <v>QCENT04</v>
          </cell>
          <cell r="AD2854">
            <v>840000</v>
          </cell>
        </row>
        <row r="2855">
          <cell r="W2855" t="str">
            <v>QCENT04</v>
          </cell>
          <cell r="AD2855">
            <v>840000</v>
          </cell>
        </row>
        <row r="2856">
          <cell r="W2856" t="str">
            <v>QCENT05</v>
          </cell>
          <cell r="AD2856">
            <v>45000</v>
          </cell>
        </row>
        <row r="2857">
          <cell r="W2857" t="str">
            <v>QCENT05</v>
          </cell>
          <cell r="AD2857">
            <v>48000</v>
          </cell>
        </row>
        <row r="2858">
          <cell r="W2858" t="str">
            <v>QCENT05</v>
          </cell>
          <cell r="AD2858">
            <v>48000</v>
          </cell>
        </row>
        <row r="2859">
          <cell r="W2859" t="str">
            <v>QCENT05</v>
          </cell>
          <cell r="AD2859">
            <v>48000</v>
          </cell>
        </row>
        <row r="2860">
          <cell r="W2860" t="str">
            <v>QCENT05</v>
          </cell>
          <cell r="AD2860">
            <v>48000</v>
          </cell>
        </row>
        <row r="2861">
          <cell r="W2861" t="str">
            <v>QCENT05</v>
          </cell>
          <cell r="AD2861">
            <v>48000</v>
          </cell>
        </row>
        <row r="2862">
          <cell r="W2862" t="str">
            <v>QCENT05</v>
          </cell>
          <cell r="AD2862">
            <v>48000</v>
          </cell>
        </row>
        <row r="2863">
          <cell r="W2863" t="str">
            <v>QCENT05</v>
          </cell>
          <cell r="AD2863">
            <v>48000</v>
          </cell>
        </row>
        <row r="2864">
          <cell r="W2864" t="str">
            <v>QCENT05</v>
          </cell>
          <cell r="AD2864">
            <v>48000</v>
          </cell>
        </row>
        <row r="2865">
          <cell r="W2865" t="str">
            <v>QCENT05</v>
          </cell>
          <cell r="AD2865">
            <v>48000</v>
          </cell>
        </row>
        <row r="2866">
          <cell r="W2866" t="str">
            <v>QCENT05</v>
          </cell>
          <cell r="AD2866">
            <v>48000</v>
          </cell>
        </row>
        <row r="2867">
          <cell r="W2867" t="str">
            <v>QCENT05</v>
          </cell>
          <cell r="AD2867">
            <v>48000</v>
          </cell>
        </row>
        <row r="2868">
          <cell r="W2868" t="str">
            <v>QCENT03</v>
          </cell>
          <cell r="AD2868">
            <v>215000</v>
          </cell>
        </row>
        <row r="2869">
          <cell r="W2869" t="str">
            <v>QCENT03</v>
          </cell>
          <cell r="AD2869">
            <v>215000</v>
          </cell>
        </row>
        <row r="2870">
          <cell r="W2870" t="str">
            <v>QCHAM01</v>
          </cell>
          <cell r="AD2870">
            <v>193500</v>
          </cell>
        </row>
        <row r="2871">
          <cell r="W2871" t="str">
            <v>QCHAM01</v>
          </cell>
          <cell r="AD2871">
            <v>193500</v>
          </cell>
        </row>
        <row r="2872">
          <cell r="W2872" t="str">
            <v>QCHAM01</v>
          </cell>
          <cell r="AD2872">
            <v>203000</v>
          </cell>
        </row>
        <row r="2873">
          <cell r="W2873" t="str">
            <v>QCHAM01</v>
          </cell>
          <cell r="AD2873">
            <v>203000</v>
          </cell>
        </row>
        <row r="2874">
          <cell r="W2874" t="str">
            <v>QCHAM01</v>
          </cell>
          <cell r="AD2874">
            <v>203000</v>
          </cell>
        </row>
        <row r="2875">
          <cell r="W2875" t="str">
            <v>QCHAM01</v>
          </cell>
          <cell r="AD2875">
            <v>203000</v>
          </cell>
        </row>
        <row r="2876">
          <cell r="W2876" t="str">
            <v>QCHAM01</v>
          </cell>
          <cell r="AD2876">
            <v>203000</v>
          </cell>
        </row>
        <row r="2877">
          <cell r="W2877" t="str">
            <v>QCHAM01</v>
          </cell>
          <cell r="AD2877">
            <v>203000</v>
          </cell>
        </row>
        <row r="2878">
          <cell r="W2878" t="str">
            <v>QCHAM01</v>
          </cell>
          <cell r="AD2878">
            <v>203000</v>
          </cell>
        </row>
        <row r="2879">
          <cell r="W2879" t="str">
            <v>QCHAM01</v>
          </cell>
          <cell r="AD2879">
            <v>203500</v>
          </cell>
        </row>
        <row r="2880">
          <cell r="W2880" t="str">
            <v>QCHAM01</v>
          </cell>
          <cell r="AD2880">
            <v>205000</v>
          </cell>
        </row>
        <row r="2881">
          <cell r="W2881" t="str">
            <v>QCHAM01</v>
          </cell>
          <cell r="AD2881">
            <v>205000</v>
          </cell>
        </row>
        <row r="2882">
          <cell r="W2882" t="str">
            <v>QCHAM01</v>
          </cell>
          <cell r="AD2882">
            <v>225000</v>
          </cell>
        </row>
        <row r="2883">
          <cell r="W2883" t="str">
            <v>QCLEA01</v>
          </cell>
          <cell r="AD2883">
            <v>70000</v>
          </cell>
        </row>
        <row r="2884">
          <cell r="W2884" t="str">
            <v>QCLEA01</v>
          </cell>
          <cell r="AD2884">
            <v>70000</v>
          </cell>
        </row>
        <row r="2885">
          <cell r="W2885" t="str">
            <v>QCLEA01</v>
          </cell>
          <cell r="AD2885">
            <v>70000</v>
          </cell>
        </row>
        <row r="2886">
          <cell r="W2886" t="str">
            <v>QCLEA01</v>
          </cell>
          <cell r="AD2886">
            <v>70000</v>
          </cell>
        </row>
        <row r="2887">
          <cell r="W2887" t="str">
            <v>QCLEA01</v>
          </cell>
          <cell r="AD2887">
            <v>70000</v>
          </cell>
        </row>
        <row r="2888">
          <cell r="W2888" t="str">
            <v>QCLEA01</v>
          </cell>
          <cell r="AD2888">
            <v>70000</v>
          </cell>
        </row>
        <row r="2889">
          <cell r="W2889" t="str">
            <v>QCLEA01</v>
          </cell>
          <cell r="AD2889">
            <v>70000</v>
          </cell>
        </row>
        <row r="2890">
          <cell r="W2890" t="str">
            <v>QCLEA01</v>
          </cell>
          <cell r="AD2890">
            <v>70000</v>
          </cell>
        </row>
        <row r="2891">
          <cell r="W2891" t="str">
            <v>QCLEA01</v>
          </cell>
          <cell r="AD2891">
            <v>70000</v>
          </cell>
        </row>
        <row r="2892">
          <cell r="W2892" t="str">
            <v>QCLEA01</v>
          </cell>
          <cell r="AD2892">
            <v>70000</v>
          </cell>
        </row>
        <row r="2893">
          <cell r="W2893" t="str">
            <v>QCLEA01</v>
          </cell>
          <cell r="AD2893">
            <v>70000</v>
          </cell>
        </row>
        <row r="2894">
          <cell r="W2894" t="str">
            <v>QCLEA01</v>
          </cell>
          <cell r="AD2894">
            <v>70000</v>
          </cell>
        </row>
        <row r="2895">
          <cell r="W2895" t="str">
            <v>QCLEA01</v>
          </cell>
          <cell r="AD2895">
            <v>70000</v>
          </cell>
        </row>
        <row r="2896">
          <cell r="W2896" t="str">
            <v>QCLEA01</v>
          </cell>
          <cell r="AD2896">
            <v>75000</v>
          </cell>
        </row>
        <row r="2897">
          <cell r="W2897" t="str">
            <v>QCLEA01</v>
          </cell>
          <cell r="AD2897">
            <v>75000</v>
          </cell>
        </row>
        <row r="2898">
          <cell r="W2898" t="str">
            <v>QCLEA01</v>
          </cell>
          <cell r="AD2898">
            <v>75000</v>
          </cell>
        </row>
        <row r="2899">
          <cell r="W2899" t="str">
            <v>QCLEA01</v>
          </cell>
          <cell r="AD2899">
            <v>75000</v>
          </cell>
        </row>
        <row r="2900">
          <cell r="W2900" t="str">
            <v>QCLEA01</v>
          </cell>
          <cell r="AD2900">
            <v>75000</v>
          </cell>
        </row>
        <row r="2901">
          <cell r="W2901" t="str">
            <v>QCLEA02</v>
          </cell>
          <cell r="AD2901">
            <v>510000</v>
          </cell>
        </row>
        <row r="2902">
          <cell r="W2902" t="str">
            <v>QCLIP03</v>
          </cell>
          <cell r="AD2902">
            <v>159000</v>
          </cell>
        </row>
        <row r="2903">
          <cell r="W2903" t="str">
            <v>QCLIP03</v>
          </cell>
          <cell r="AD2903">
            <v>160000</v>
          </cell>
        </row>
        <row r="2904">
          <cell r="W2904" t="str">
            <v>QCLIP03</v>
          </cell>
          <cell r="AD2904">
            <v>160000</v>
          </cell>
        </row>
        <row r="2905">
          <cell r="W2905" t="str">
            <v>QCLIP03</v>
          </cell>
          <cell r="AD2905">
            <v>160000</v>
          </cell>
        </row>
        <row r="2906">
          <cell r="W2906" t="str">
            <v>QCLIP03</v>
          </cell>
          <cell r="AD2906">
            <v>160000</v>
          </cell>
        </row>
        <row r="2907">
          <cell r="W2907" t="str">
            <v>QCLIP03</v>
          </cell>
          <cell r="AD2907">
            <v>160000</v>
          </cell>
        </row>
        <row r="2908">
          <cell r="W2908" t="str">
            <v>QCLIP03</v>
          </cell>
          <cell r="AD2908">
            <v>162500</v>
          </cell>
        </row>
        <row r="2909">
          <cell r="W2909" t="str">
            <v>QCLIP03</v>
          </cell>
          <cell r="AD2909">
            <v>163000</v>
          </cell>
        </row>
        <row r="2910">
          <cell r="W2910" t="str">
            <v>QCLIP01</v>
          </cell>
          <cell r="AD2910">
            <v>85500</v>
          </cell>
        </row>
        <row r="2911">
          <cell r="W2911" t="str">
            <v>QCLIP01</v>
          </cell>
          <cell r="AD2911">
            <v>85500</v>
          </cell>
        </row>
        <row r="2912">
          <cell r="W2912" t="str">
            <v>QCLIP01</v>
          </cell>
          <cell r="AD2912">
            <v>85500</v>
          </cell>
        </row>
        <row r="2913">
          <cell r="W2913" t="str">
            <v>QCLIP01</v>
          </cell>
          <cell r="AD2913">
            <v>85500</v>
          </cell>
        </row>
        <row r="2914">
          <cell r="W2914" t="str">
            <v>QCLIP01</v>
          </cell>
          <cell r="AD2914">
            <v>85500</v>
          </cell>
        </row>
        <row r="2915">
          <cell r="W2915" t="str">
            <v>QCLIP01</v>
          </cell>
          <cell r="AD2915">
            <v>85500</v>
          </cell>
        </row>
        <row r="2916">
          <cell r="W2916" t="str">
            <v>QCLIP01</v>
          </cell>
          <cell r="AD2916">
            <v>85500</v>
          </cell>
        </row>
        <row r="2917">
          <cell r="W2917" t="str">
            <v>QCLIP01</v>
          </cell>
          <cell r="AD2917">
            <v>85500</v>
          </cell>
        </row>
        <row r="2918">
          <cell r="W2918" t="str">
            <v>QCLIP01</v>
          </cell>
          <cell r="AD2918">
            <v>85500</v>
          </cell>
        </row>
        <row r="2919">
          <cell r="W2919" t="str">
            <v>QCLIP01</v>
          </cell>
          <cell r="AD2919">
            <v>85500</v>
          </cell>
        </row>
        <row r="2920">
          <cell r="W2920" t="str">
            <v>QCLIP01</v>
          </cell>
          <cell r="AD2920">
            <v>92500</v>
          </cell>
        </row>
        <row r="2921">
          <cell r="W2921" t="str">
            <v>ACOBR05</v>
          </cell>
          <cell r="AD2921">
            <v>75000</v>
          </cell>
        </row>
        <row r="2922">
          <cell r="W2922" t="str">
            <v>ACOBR02</v>
          </cell>
          <cell r="AD2922">
            <v>8000</v>
          </cell>
        </row>
        <row r="2923">
          <cell r="W2923" t="str">
            <v>ACOBR02</v>
          </cell>
          <cell r="AD2923">
            <v>8000</v>
          </cell>
        </row>
        <row r="2924">
          <cell r="W2924" t="str">
            <v>ACOBR02</v>
          </cell>
          <cell r="AD2924">
            <v>9000</v>
          </cell>
        </row>
        <row r="2925">
          <cell r="W2925" t="str">
            <v>ACOBR02</v>
          </cell>
          <cell r="AD2925">
            <v>10000</v>
          </cell>
        </row>
        <row r="2926">
          <cell r="W2926" t="str">
            <v>QCONF02</v>
          </cell>
          <cell r="AD2926">
            <v>45000</v>
          </cell>
        </row>
        <row r="2927">
          <cell r="W2927" t="str">
            <v>QCONF02</v>
          </cell>
          <cell r="AD2927">
            <v>45000</v>
          </cell>
        </row>
        <row r="2928">
          <cell r="W2928" t="str">
            <v>QCONF02</v>
          </cell>
          <cell r="AD2928">
            <v>45000</v>
          </cell>
        </row>
        <row r="2929">
          <cell r="W2929" t="str">
            <v>QCONF02</v>
          </cell>
          <cell r="AD2929">
            <v>45000</v>
          </cell>
        </row>
        <row r="2930">
          <cell r="W2930" t="str">
            <v>QCONF02</v>
          </cell>
          <cell r="AD2930">
            <v>45000</v>
          </cell>
        </row>
        <row r="2931">
          <cell r="W2931" t="str">
            <v>QCONF02</v>
          </cell>
          <cell r="AD2931">
            <v>45000</v>
          </cell>
        </row>
        <row r="2932">
          <cell r="W2932" t="str">
            <v>QCONF02</v>
          </cell>
          <cell r="AD2932">
            <v>45000</v>
          </cell>
        </row>
        <row r="2933">
          <cell r="W2933" t="str">
            <v>QCONF02</v>
          </cell>
          <cell r="AD2933">
            <v>45000</v>
          </cell>
        </row>
        <row r="2934">
          <cell r="W2934" t="str">
            <v>QCONF02</v>
          </cell>
          <cell r="AD2934">
            <v>45000</v>
          </cell>
        </row>
        <row r="2935">
          <cell r="W2935" t="str">
            <v>QCONF02</v>
          </cell>
          <cell r="AD2935">
            <v>45000</v>
          </cell>
        </row>
        <row r="2936">
          <cell r="W2936" t="str">
            <v>QCONF02</v>
          </cell>
          <cell r="AD2936">
            <v>45000</v>
          </cell>
        </row>
        <row r="2937">
          <cell r="W2937" t="str">
            <v>QCONF02</v>
          </cell>
          <cell r="AD2937">
            <v>45000</v>
          </cell>
        </row>
        <row r="2938">
          <cell r="W2938" t="str">
            <v>QCONF02</v>
          </cell>
          <cell r="AD2938">
            <v>45100</v>
          </cell>
        </row>
        <row r="2939">
          <cell r="W2939" t="str">
            <v>QCONF02</v>
          </cell>
          <cell r="AD2939">
            <v>45500</v>
          </cell>
        </row>
        <row r="2940">
          <cell r="W2940" t="str">
            <v>QCONF02</v>
          </cell>
          <cell r="AD2940">
            <v>48500</v>
          </cell>
        </row>
        <row r="2941">
          <cell r="W2941" t="str">
            <v>QCONF02</v>
          </cell>
          <cell r="AD2941">
            <v>48500</v>
          </cell>
        </row>
        <row r="2942">
          <cell r="W2942" t="str">
            <v>QCONF02</v>
          </cell>
          <cell r="AD2942">
            <v>48500</v>
          </cell>
        </row>
        <row r="2943">
          <cell r="W2943" t="str">
            <v>QCONF03</v>
          </cell>
          <cell r="AD2943">
            <v>27250</v>
          </cell>
        </row>
        <row r="2944">
          <cell r="W2944" t="str">
            <v>QCONF03</v>
          </cell>
          <cell r="AD2944">
            <v>27250</v>
          </cell>
        </row>
        <row r="2945">
          <cell r="W2945" t="str">
            <v>QCONF03</v>
          </cell>
          <cell r="AD2945">
            <v>27500</v>
          </cell>
        </row>
        <row r="2946">
          <cell r="W2946" t="str">
            <v>QCONF03</v>
          </cell>
          <cell r="AD2946">
            <v>27500</v>
          </cell>
        </row>
        <row r="2947">
          <cell r="W2947" t="str">
            <v>QCONF03</v>
          </cell>
          <cell r="AD2947">
            <v>27500</v>
          </cell>
        </row>
        <row r="2948">
          <cell r="W2948" t="str">
            <v>QCONF03</v>
          </cell>
          <cell r="AD2948">
            <v>27500</v>
          </cell>
        </row>
        <row r="2949">
          <cell r="W2949" t="str">
            <v>QCONF03</v>
          </cell>
          <cell r="AD2949">
            <v>27500</v>
          </cell>
        </row>
        <row r="2950">
          <cell r="W2950" t="str">
            <v>QCONF03</v>
          </cell>
          <cell r="AD2950">
            <v>27500</v>
          </cell>
        </row>
        <row r="2951">
          <cell r="W2951" t="str">
            <v>QCONF03</v>
          </cell>
          <cell r="AD2951">
            <v>27500</v>
          </cell>
        </row>
        <row r="2952">
          <cell r="W2952" t="str">
            <v>QCONF03</v>
          </cell>
          <cell r="AD2952">
            <v>27500</v>
          </cell>
        </row>
        <row r="2953">
          <cell r="W2953" t="str">
            <v>QCONF03</v>
          </cell>
          <cell r="AD2953">
            <v>27500</v>
          </cell>
        </row>
        <row r="2954">
          <cell r="W2954" t="str">
            <v>QCONF03</v>
          </cell>
          <cell r="AD2954">
            <v>27500</v>
          </cell>
        </row>
        <row r="2955">
          <cell r="W2955" t="str">
            <v>QCONF03</v>
          </cell>
          <cell r="AD2955">
            <v>27500</v>
          </cell>
        </row>
        <row r="2956">
          <cell r="W2956" t="str">
            <v>QCONF03</v>
          </cell>
          <cell r="AD2956">
            <v>27500</v>
          </cell>
        </row>
        <row r="2957">
          <cell r="W2957" t="str">
            <v>QCONF03</v>
          </cell>
          <cell r="AD2957">
            <v>27500</v>
          </cell>
        </row>
        <row r="2958">
          <cell r="W2958" t="str">
            <v>QCONF03</v>
          </cell>
          <cell r="AD2958">
            <v>27500</v>
          </cell>
        </row>
        <row r="2959">
          <cell r="W2959" t="str">
            <v>QCONF03</v>
          </cell>
          <cell r="AD2959">
            <v>27500</v>
          </cell>
        </row>
        <row r="2960">
          <cell r="W2960" t="str">
            <v>QCONF03</v>
          </cell>
          <cell r="AD2960">
            <v>27500</v>
          </cell>
        </row>
        <row r="2961">
          <cell r="W2961" t="str">
            <v>QCONF03</v>
          </cell>
          <cell r="AD2961">
            <v>27500</v>
          </cell>
        </row>
        <row r="2962">
          <cell r="W2962" t="str">
            <v>QCONF03</v>
          </cell>
          <cell r="AD2962">
            <v>27500</v>
          </cell>
        </row>
        <row r="2963">
          <cell r="W2963" t="str">
            <v>QCONF03</v>
          </cell>
          <cell r="AD2963">
            <v>27500</v>
          </cell>
        </row>
        <row r="2964">
          <cell r="W2964" t="str">
            <v>QCONF03</v>
          </cell>
          <cell r="AD2964">
            <v>27500</v>
          </cell>
        </row>
        <row r="2965">
          <cell r="W2965" t="str">
            <v>QCONF03</v>
          </cell>
          <cell r="AD2965">
            <v>27500</v>
          </cell>
        </row>
        <row r="2966">
          <cell r="W2966" t="str">
            <v>QCONF03</v>
          </cell>
          <cell r="AD2966">
            <v>27500</v>
          </cell>
        </row>
        <row r="2967">
          <cell r="W2967" t="str">
            <v>QCONF03</v>
          </cell>
          <cell r="AD2967">
            <v>27500</v>
          </cell>
        </row>
        <row r="2968">
          <cell r="W2968" t="str">
            <v>QCONF03</v>
          </cell>
          <cell r="AD2968">
            <v>27500</v>
          </cell>
        </row>
        <row r="2969">
          <cell r="W2969" t="str">
            <v>QCONF03</v>
          </cell>
          <cell r="AD2969">
            <v>27500</v>
          </cell>
        </row>
        <row r="2970">
          <cell r="W2970" t="str">
            <v>QCONF03</v>
          </cell>
          <cell r="AD2970">
            <v>27500</v>
          </cell>
        </row>
        <row r="2971">
          <cell r="W2971" t="str">
            <v>QCONF03</v>
          </cell>
          <cell r="AD2971">
            <v>27500</v>
          </cell>
        </row>
        <row r="2972">
          <cell r="W2972" t="str">
            <v>QCONF03</v>
          </cell>
          <cell r="AD2972">
            <v>27500</v>
          </cell>
        </row>
        <row r="2973">
          <cell r="W2973" t="str">
            <v>QCONF03</v>
          </cell>
          <cell r="AD2973">
            <v>27500</v>
          </cell>
        </row>
        <row r="2974">
          <cell r="W2974" t="str">
            <v>QCONF03</v>
          </cell>
          <cell r="AD2974">
            <v>27500</v>
          </cell>
        </row>
        <row r="2975">
          <cell r="W2975" t="str">
            <v>QCONF03</v>
          </cell>
          <cell r="AD2975">
            <v>28000</v>
          </cell>
        </row>
        <row r="2976">
          <cell r="W2976" t="str">
            <v>QCONF03</v>
          </cell>
          <cell r="AD2976">
            <v>28000</v>
          </cell>
        </row>
        <row r="2977">
          <cell r="W2977" t="str">
            <v>QCONF03</v>
          </cell>
          <cell r="AD2977">
            <v>28000</v>
          </cell>
        </row>
        <row r="2978">
          <cell r="W2978" t="str">
            <v>QCONF03</v>
          </cell>
          <cell r="AD2978">
            <v>28000</v>
          </cell>
        </row>
        <row r="2979">
          <cell r="W2979" t="str">
            <v>QCONF03</v>
          </cell>
          <cell r="AD2979">
            <v>28000</v>
          </cell>
        </row>
        <row r="2980">
          <cell r="W2980" t="str">
            <v>QCONF03</v>
          </cell>
          <cell r="AD2980">
            <v>28000</v>
          </cell>
        </row>
        <row r="2981">
          <cell r="W2981" t="str">
            <v>QCONF03</v>
          </cell>
          <cell r="AD2981">
            <v>28000</v>
          </cell>
        </row>
        <row r="2982">
          <cell r="W2982" t="str">
            <v>QCONF03</v>
          </cell>
          <cell r="AD2982">
            <v>28000</v>
          </cell>
        </row>
        <row r="2983">
          <cell r="W2983" t="str">
            <v>QCONF03</v>
          </cell>
          <cell r="AD2983">
            <v>28000</v>
          </cell>
        </row>
        <row r="2984">
          <cell r="W2984" t="str">
            <v>QCONF03</v>
          </cell>
          <cell r="AD2984">
            <v>28000</v>
          </cell>
        </row>
        <row r="2985">
          <cell r="W2985" t="str">
            <v>QCONF03</v>
          </cell>
          <cell r="AD2985">
            <v>28000</v>
          </cell>
        </row>
        <row r="2986">
          <cell r="W2986" t="str">
            <v>QCONF03</v>
          </cell>
          <cell r="AD2986">
            <v>28000</v>
          </cell>
        </row>
        <row r="2987">
          <cell r="W2987" t="str">
            <v>QCONF03</v>
          </cell>
          <cell r="AD2987">
            <v>28000</v>
          </cell>
        </row>
        <row r="2988">
          <cell r="W2988" t="str">
            <v>QCONF03</v>
          </cell>
          <cell r="AD2988">
            <v>28000</v>
          </cell>
        </row>
        <row r="2989">
          <cell r="W2989" t="str">
            <v>QCONF03</v>
          </cell>
          <cell r="AD2989">
            <v>28000</v>
          </cell>
        </row>
        <row r="2990">
          <cell r="W2990" t="str">
            <v>QCONF03</v>
          </cell>
          <cell r="AD2990">
            <v>28000</v>
          </cell>
        </row>
        <row r="2991">
          <cell r="W2991" t="str">
            <v>QCONF03</v>
          </cell>
          <cell r="AD2991">
            <v>28000</v>
          </cell>
        </row>
        <row r="2992">
          <cell r="W2992" t="str">
            <v>QCONF03</v>
          </cell>
          <cell r="AD2992">
            <v>28000</v>
          </cell>
        </row>
        <row r="2993">
          <cell r="W2993" t="str">
            <v>QCONF03</v>
          </cell>
          <cell r="AD2993">
            <v>28000</v>
          </cell>
        </row>
        <row r="2994">
          <cell r="W2994" t="str">
            <v>QCONF03</v>
          </cell>
          <cell r="AD2994">
            <v>28000</v>
          </cell>
        </row>
        <row r="2995">
          <cell r="W2995" t="str">
            <v>QCONF03</v>
          </cell>
          <cell r="AD2995">
            <v>28000</v>
          </cell>
        </row>
        <row r="2996">
          <cell r="W2996" t="str">
            <v>QCONF03</v>
          </cell>
          <cell r="AD2996">
            <v>28000</v>
          </cell>
        </row>
        <row r="2997">
          <cell r="W2997" t="str">
            <v>QCONF03</v>
          </cell>
          <cell r="AD2997">
            <v>28000</v>
          </cell>
        </row>
        <row r="2998">
          <cell r="W2998" t="str">
            <v>QCONF03</v>
          </cell>
          <cell r="AD2998">
            <v>28000</v>
          </cell>
        </row>
        <row r="2999">
          <cell r="W2999" t="str">
            <v>QCONF03</v>
          </cell>
          <cell r="AD2999">
            <v>28000</v>
          </cell>
        </row>
        <row r="3000">
          <cell r="W3000" t="str">
            <v>QCONF03</v>
          </cell>
          <cell r="AD3000">
            <v>28000</v>
          </cell>
        </row>
        <row r="3001">
          <cell r="W3001" t="str">
            <v>QCONF03</v>
          </cell>
          <cell r="AD3001">
            <v>28000</v>
          </cell>
        </row>
        <row r="3002">
          <cell r="W3002" t="str">
            <v>QCONF03</v>
          </cell>
          <cell r="AD3002">
            <v>28000</v>
          </cell>
        </row>
        <row r="3003">
          <cell r="W3003" t="str">
            <v>QCONF03</v>
          </cell>
          <cell r="AD3003">
            <v>28000</v>
          </cell>
        </row>
        <row r="3004">
          <cell r="W3004" t="str">
            <v>QCONF03</v>
          </cell>
          <cell r="AD3004">
            <v>28000</v>
          </cell>
        </row>
        <row r="3005">
          <cell r="W3005" t="str">
            <v>QCONF03</v>
          </cell>
          <cell r="AD3005">
            <v>28000</v>
          </cell>
        </row>
        <row r="3006">
          <cell r="W3006" t="str">
            <v>QCONF03</v>
          </cell>
          <cell r="AD3006">
            <v>28000</v>
          </cell>
        </row>
        <row r="3007">
          <cell r="W3007" t="str">
            <v>QCONF03</v>
          </cell>
          <cell r="AD3007">
            <v>28000</v>
          </cell>
        </row>
        <row r="3008">
          <cell r="W3008" t="str">
            <v>QCONF03</v>
          </cell>
          <cell r="AD3008">
            <v>28000</v>
          </cell>
        </row>
        <row r="3009">
          <cell r="W3009" t="str">
            <v>QCONF03</v>
          </cell>
          <cell r="AD3009">
            <v>28500</v>
          </cell>
        </row>
        <row r="3010">
          <cell r="W3010" t="str">
            <v>QCONF03</v>
          </cell>
          <cell r="AD3010">
            <v>28500</v>
          </cell>
        </row>
        <row r="3011">
          <cell r="W3011" t="str">
            <v>QCONF03</v>
          </cell>
          <cell r="AD3011">
            <v>28500</v>
          </cell>
        </row>
        <row r="3012">
          <cell r="W3012" t="str">
            <v>QCONF03</v>
          </cell>
          <cell r="AD3012">
            <v>28500</v>
          </cell>
        </row>
        <row r="3013">
          <cell r="W3013" t="str">
            <v>QCONF03</v>
          </cell>
          <cell r="AD3013">
            <v>28500</v>
          </cell>
        </row>
        <row r="3014">
          <cell r="W3014" t="str">
            <v>QCONF03</v>
          </cell>
          <cell r="AD3014">
            <v>28500</v>
          </cell>
        </row>
        <row r="3015">
          <cell r="W3015" t="str">
            <v>QCONF03</v>
          </cell>
          <cell r="AD3015">
            <v>28500</v>
          </cell>
        </row>
        <row r="3016">
          <cell r="W3016" t="str">
            <v>QCONF03</v>
          </cell>
          <cell r="AD3016">
            <v>28500</v>
          </cell>
        </row>
        <row r="3017">
          <cell r="W3017" t="str">
            <v>QCONF03</v>
          </cell>
          <cell r="AD3017">
            <v>28500</v>
          </cell>
        </row>
        <row r="3018">
          <cell r="W3018" t="str">
            <v>QCONF03</v>
          </cell>
          <cell r="AD3018">
            <v>28500</v>
          </cell>
        </row>
        <row r="3019">
          <cell r="W3019" t="str">
            <v>QCONF03</v>
          </cell>
          <cell r="AD3019">
            <v>28500</v>
          </cell>
        </row>
        <row r="3020">
          <cell r="W3020" t="str">
            <v>QCONF03</v>
          </cell>
          <cell r="AD3020">
            <v>28500</v>
          </cell>
        </row>
        <row r="3021">
          <cell r="W3021" t="str">
            <v>QCONF03</v>
          </cell>
          <cell r="AD3021">
            <v>28500</v>
          </cell>
        </row>
        <row r="3022">
          <cell r="W3022" t="str">
            <v>QCONF03</v>
          </cell>
          <cell r="AD3022">
            <v>28500</v>
          </cell>
        </row>
        <row r="3023">
          <cell r="W3023" t="str">
            <v>QCONF03</v>
          </cell>
          <cell r="AD3023">
            <v>28500</v>
          </cell>
        </row>
        <row r="3024">
          <cell r="W3024" t="str">
            <v>QCONF03</v>
          </cell>
          <cell r="AD3024">
            <v>28500</v>
          </cell>
        </row>
        <row r="3025">
          <cell r="W3025" t="str">
            <v>QCONF03</v>
          </cell>
          <cell r="AD3025">
            <v>28750</v>
          </cell>
        </row>
        <row r="3026">
          <cell r="W3026" t="str">
            <v>QCONF03</v>
          </cell>
          <cell r="AD3026">
            <v>29000</v>
          </cell>
        </row>
        <row r="3027">
          <cell r="W3027" t="str">
            <v>QCONF05</v>
          </cell>
          <cell r="AD3027">
            <v>75000</v>
          </cell>
        </row>
        <row r="3028">
          <cell r="W3028" t="str">
            <v>QCONF05</v>
          </cell>
          <cell r="AD3028">
            <v>75000</v>
          </cell>
        </row>
        <row r="3029">
          <cell r="W3029" t="str">
            <v>QCONF05</v>
          </cell>
          <cell r="AD3029">
            <v>75000</v>
          </cell>
        </row>
        <row r="3030">
          <cell r="W3030" t="str">
            <v>QCONF05</v>
          </cell>
          <cell r="AD3030">
            <v>75000</v>
          </cell>
        </row>
        <row r="3031">
          <cell r="W3031" t="str">
            <v>QCONF05</v>
          </cell>
          <cell r="AD3031">
            <v>80000</v>
          </cell>
        </row>
        <row r="3032">
          <cell r="W3032" t="str">
            <v>QCONF05</v>
          </cell>
          <cell r="AD3032">
            <v>80000</v>
          </cell>
        </row>
        <row r="3033">
          <cell r="W3033" t="str">
            <v>QCONF05</v>
          </cell>
          <cell r="AD3033">
            <v>80000</v>
          </cell>
        </row>
        <row r="3034">
          <cell r="W3034" t="str">
            <v>QCONF05</v>
          </cell>
          <cell r="AD3034">
            <v>80000</v>
          </cell>
        </row>
        <row r="3035">
          <cell r="W3035" t="str">
            <v>QCONF05</v>
          </cell>
          <cell r="AD3035">
            <v>82500</v>
          </cell>
        </row>
        <row r="3036">
          <cell r="W3036" t="str">
            <v>QCONF04</v>
          </cell>
          <cell r="AD3036">
            <v>42500</v>
          </cell>
        </row>
        <row r="3037">
          <cell r="W3037" t="str">
            <v>QCONF04</v>
          </cell>
          <cell r="AD3037">
            <v>42500</v>
          </cell>
        </row>
        <row r="3038">
          <cell r="W3038" t="str">
            <v>QCONF04</v>
          </cell>
          <cell r="AD3038">
            <v>42500</v>
          </cell>
        </row>
        <row r="3039">
          <cell r="W3039" t="str">
            <v>QCONF04</v>
          </cell>
          <cell r="AD3039">
            <v>42500</v>
          </cell>
        </row>
        <row r="3040">
          <cell r="W3040" t="str">
            <v>QCONF04</v>
          </cell>
          <cell r="AD3040">
            <v>42500</v>
          </cell>
        </row>
        <row r="3041">
          <cell r="W3041" t="str">
            <v>QCOPC06</v>
          </cell>
          <cell r="AD3041">
            <v>18500</v>
          </cell>
        </row>
        <row r="3042">
          <cell r="W3042" t="str">
            <v>QCOPC06</v>
          </cell>
          <cell r="AD3042">
            <v>18500</v>
          </cell>
        </row>
        <row r="3043">
          <cell r="W3043" t="str">
            <v>QCOPC06</v>
          </cell>
          <cell r="AD3043">
            <v>18500</v>
          </cell>
        </row>
        <row r="3044">
          <cell r="W3044" t="str">
            <v>QCOPC06</v>
          </cell>
          <cell r="AD3044">
            <v>24000</v>
          </cell>
        </row>
        <row r="3045">
          <cell r="W3045" t="str">
            <v>QCOPC06</v>
          </cell>
          <cell r="AD3045">
            <v>27500</v>
          </cell>
        </row>
        <row r="3046">
          <cell r="W3046" t="str">
            <v>QCOPC06</v>
          </cell>
          <cell r="AD3046">
            <v>27500</v>
          </cell>
        </row>
        <row r="3047">
          <cell r="W3047" t="str">
            <v>QCOPC06</v>
          </cell>
          <cell r="AD3047">
            <v>27500</v>
          </cell>
        </row>
        <row r="3048">
          <cell r="W3048" t="str">
            <v>QCOPC02</v>
          </cell>
          <cell r="AD3048">
            <v>150000</v>
          </cell>
        </row>
        <row r="3049">
          <cell r="W3049" t="str">
            <v>QCOPC03</v>
          </cell>
          <cell r="AD3049">
            <v>66000</v>
          </cell>
        </row>
        <row r="3050">
          <cell r="W3050" t="str">
            <v>QCOPC03</v>
          </cell>
          <cell r="AD3050">
            <v>75000</v>
          </cell>
        </row>
        <row r="3051">
          <cell r="W3051" t="str">
            <v>QCOUN03</v>
          </cell>
          <cell r="AD3051">
            <v>170000</v>
          </cell>
        </row>
        <row r="3052">
          <cell r="W3052" t="str">
            <v>QCOUN04</v>
          </cell>
          <cell r="AD3052">
            <v>88000</v>
          </cell>
        </row>
        <row r="3053">
          <cell r="W3053" t="str">
            <v>QCOUN04</v>
          </cell>
          <cell r="AD3053">
            <v>88000</v>
          </cell>
        </row>
        <row r="3054">
          <cell r="W3054" t="str">
            <v>QCRUI01</v>
          </cell>
          <cell r="AD3054">
            <v>26000</v>
          </cell>
        </row>
        <row r="3055">
          <cell r="W3055" t="str">
            <v>QCRUI01</v>
          </cell>
          <cell r="AD3055">
            <v>26000</v>
          </cell>
        </row>
        <row r="3056">
          <cell r="W3056" t="str">
            <v>QCRUI01</v>
          </cell>
          <cell r="AD3056">
            <v>26500</v>
          </cell>
        </row>
        <row r="3057">
          <cell r="W3057" t="str">
            <v>QCRUI01</v>
          </cell>
          <cell r="AD3057">
            <v>26500</v>
          </cell>
        </row>
        <row r="3058">
          <cell r="W3058" t="str">
            <v>QCRUI01</v>
          </cell>
          <cell r="AD3058">
            <v>26500</v>
          </cell>
        </row>
        <row r="3059">
          <cell r="W3059" t="str">
            <v>QCRUI01</v>
          </cell>
          <cell r="AD3059">
            <v>26500</v>
          </cell>
        </row>
        <row r="3060">
          <cell r="W3060" t="str">
            <v>QCRUI01</v>
          </cell>
          <cell r="AD3060">
            <v>26500</v>
          </cell>
        </row>
        <row r="3061">
          <cell r="W3061" t="str">
            <v>QCRUI01</v>
          </cell>
          <cell r="AD3061">
            <v>26500</v>
          </cell>
        </row>
        <row r="3062">
          <cell r="W3062" t="str">
            <v>QCRUI01</v>
          </cell>
          <cell r="AD3062">
            <v>27000</v>
          </cell>
        </row>
        <row r="3063">
          <cell r="W3063" t="str">
            <v>QCRUI01</v>
          </cell>
          <cell r="AD3063">
            <v>27000</v>
          </cell>
        </row>
        <row r="3064">
          <cell r="W3064" t="str">
            <v>QCURA01</v>
          </cell>
          <cell r="AD3064">
            <v>124500</v>
          </cell>
        </row>
        <row r="3065">
          <cell r="W3065" t="str">
            <v>QCURA01</v>
          </cell>
          <cell r="AD3065">
            <v>125000</v>
          </cell>
        </row>
        <row r="3066">
          <cell r="W3066" t="str">
            <v>QCURA01</v>
          </cell>
          <cell r="AD3066">
            <v>125000</v>
          </cell>
        </row>
        <row r="3067">
          <cell r="W3067" t="str">
            <v>QCURA01</v>
          </cell>
          <cell r="AD3067">
            <v>125500</v>
          </cell>
        </row>
        <row r="3068">
          <cell r="W3068" t="str">
            <v>QCURA01</v>
          </cell>
          <cell r="AD3068">
            <v>126000</v>
          </cell>
        </row>
        <row r="3069">
          <cell r="W3069" t="str">
            <v>QCURA01</v>
          </cell>
          <cell r="AD3069">
            <v>126000</v>
          </cell>
        </row>
        <row r="3070">
          <cell r="W3070" t="str">
            <v>QCURA01</v>
          </cell>
          <cell r="AD3070">
            <v>126000</v>
          </cell>
        </row>
        <row r="3071">
          <cell r="W3071" t="str">
            <v>QCURA01</v>
          </cell>
          <cell r="AD3071">
            <v>126000</v>
          </cell>
        </row>
        <row r="3072">
          <cell r="W3072" t="str">
            <v>QCURA01</v>
          </cell>
          <cell r="AD3072">
            <v>126500</v>
          </cell>
        </row>
        <row r="3073">
          <cell r="W3073" t="str">
            <v>QCURA01</v>
          </cell>
          <cell r="AD3073">
            <v>126750</v>
          </cell>
        </row>
        <row r="3074">
          <cell r="W3074" t="str">
            <v>QCURA01</v>
          </cell>
          <cell r="AD3074">
            <v>126750</v>
          </cell>
        </row>
        <row r="3075">
          <cell r="W3075" t="str">
            <v>QCURA01</v>
          </cell>
          <cell r="AD3075">
            <v>126750</v>
          </cell>
        </row>
        <row r="3076">
          <cell r="W3076" t="str">
            <v>QCURA01</v>
          </cell>
          <cell r="AD3076">
            <v>126750</v>
          </cell>
        </row>
        <row r="3077">
          <cell r="W3077" t="str">
            <v>QCURA01</v>
          </cell>
          <cell r="AD3077">
            <v>127000</v>
          </cell>
        </row>
        <row r="3078">
          <cell r="W3078" t="str">
            <v>QCURA01</v>
          </cell>
          <cell r="AD3078">
            <v>127750</v>
          </cell>
        </row>
        <row r="3079">
          <cell r="W3079" t="str">
            <v>QCURA01</v>
          </cell>
          <cell r="AD3079">
            <v>127750</v>
          </cell>
        </row>
        <row r="3080">
          <cell r="W3080" t="str">
            <v>QCURA01</v>
          </cell>
          <cell r="AD3080">
            <v>127750</v>
          </cell>
        </row>
        <row r="3081">
          <cell r="W3081" t="str">
            <v>QCURA01</v>
          </cell>
          <cell r="AD3081">
            <v>127750</v>
          </cell>
        </row>
        <row r="3082">
          <cell r="W3082" t="str">
            <v>QCURA01</v>
          </cell>
          <cell r="AD3082">
            <v>127800</v>
          </cell>
        </row>
        <row r="3083">
          <cell r="W3083" t="str">
            <v>QCURA01</v>
          </cell>
          <cell r="AD3083">
            <v>127800</v>
          </cell>
        </row>
        <row r="3084">
          <cell r="W3084" t="str">
            <v>QCURA01</v>
          </cell>
          <cell r="AD3084">
            <v>127800</v>
          </cell>
        </row>
        <row r="3085">
          <cell r="W3085" t="str">
            <v>QCURA01</v>
          </cell>
          <cell r="AD3085">
            <v>127800</v>
          </cell>
        </row>
        <row r="3086">
          <cell r="W3086" t="str">
            <v>QCURA01</v>
          </cell>
          <cell r="AD3086">
            <v>127800</v>
          </cell>
        </row>
        <row r="3087">
          <cell r="W3087" t="str">
            <v>QCURA01</v>
          </cell>
          <cell r="AD3087">
            <v>128000</v>
          </cell>
        </row>
        <row r="3088">
          <cell r="W3088" t="str">
            <v>QCURA01</v>
          </cell>
          <cell r="AD3088">
            <v>128000</v>
          </cell>
        </row>
        <row r="3089">
          <cell r="W3089" t="str">
            <v>QCURA01</v>
          </cell>
          <cell r="AD3089">
            <v>128000</v>
          </cell>
        </row>
        <row r="3090">
          <cell r="W3090" t="str">
            <v>QCURA01</v>
          </cell>
          <cell r="AD3090">
            <v>128000</v>
          </cell>
        </row>
        <row r="3091">
          <cell r="W3091" t="str">
            <v>QCURA01</v>
          </cell>
          <cell r="AD3091">
            <v>128000</v>
          </cell>
        </row>
        <row r="3092">
          <cell r="W3092" t="str">
            <v>QCURA01</v>
          </cell>
          <cell r="AD3092">
            <v>128500</v>
          </cell>
        </row>
        <row r="3093">
          <cell r="W3093" t="str">
            <v>QCURA01</v>
          </cell>
          <cell r="AD3093">
            <v>129000</v>
          </cell>
        </row>
        <row r="3094">
          <cell r="W3094" t="str">
            <v>ACURA01</v>
          </cell>
          <cell r="AD3094">
            <v>130000</v>
          </cell>
        </row>
        <row r="3095">
          <cell r="W3095" t="str">
            <v>QCURA02</v>
          </cell>
          <cell r="AD3095">
            <v>63500</v>
          </cell>
        </row>
        <row r="3096">
          <cell r="W3096" t="str">
            <v>QCURA02</v>
          </cell>
          <cell r="AD3096">
            <v>63500</v>
          </cell>
        </row>
        <row r="3097">
          <cell r="W3097" t="str">
            <v>QCURA02</v>
          </cell>
          <cell r="AD3097">
            <v>64000</v>
          </cell>
        </row>
        <row r="3098">
          <cell r="W3098" t="str">
            <v>QCURA02</v>
          </cell>
          <cell r="AD3098">
            <v>64000</v>
          </cell>
        </row>
        <row r="3099">
          <cell r="W3099" t="str">
            <v>QCURA02</v>
          </cell>
          <cell r="AD3099">
            <v>64000</v>
          </cell>
        </row>
        <row r="3100">
          <cell r="W3100" t="str">
            <v>QCURA02</v>
          </cell>
          <cell r="AD3100">
            <v>64500</v>
          </cell>
        </row>
        <row r="3101">
          <cell r="W3101" t="str">
            <v>QCURA02</v>
          </cell>
          <cell r="AD3101">
            <v>64500</v>
          </cell>
        </row>
        <row r="3102">
          <cell r="W3102" t="str">
            <v>QCURA02</v>
          </cell>
          <cell r="AD3102">
            <v>64500</v>
          </cell>
        </row>
        <row r="3103">
          <cell r="W3103" t="str">
            <v>QCURA02</v>
          </cell>
          <cell r="AD3103">
            <v>64500</v>
          </cell>
        </row>
        <row r="3104">
          <cell r="W3104" t="str">
            <v>QCURA02</v>
          </cell>
          <cell r="AD3104">
            <v>64500</v>
          </cell>
        </row>
        <row r="3105">
          <cell r="W3105" t="str">
            <v>QCURA02</v>
          </cell>
          <cell r="AD3105">
            <v>64500</v>
          </cell>
        </row>
        <row r="3106">
          <cell r="W3106" t="str">
            <v>QCURA02</v>
          </cell>
          <cell r="AD3106">
            <v>64750</v>
          </cell>
        </row>
        <row r="3107">
          <cell r="W3107" t="str">
            <v>QCURA02</v>
          </cell>
          <cell r="AD3107">
            <v>64750</v>
          </cell>
        </row>
        <row r="3108">
          <cell r="W3108" t="str">
            <v>QCURA02</v>
          </cell>
          <cell r="AD3108">
            <v>64750</v>
          </cell>
        </row>
        <row r="3109">
          <cell r="W3109" t="str">
            <v>QCURA02</v>
          </cell>
          <cell r="AD3109">
            <v>64750</v>
          </cell>
        </row>
        <row r="3110">
          <cell r="W3110" t="str">
            <v>QCURA02</v>
          </cell>
          <cell r="AD3110">
            <v>64750</v>
          </cell>
        </row>
        <row r="3111">
          <cell r="W3111" t="str">
            <v>QCURA02</v>
          </cell>
          <cell r="AD3111">
            <v>65000</v>
          </cell>
        </row>
        <row r="3112">
          <cell r="W3112" t="str">
            <v>QCURA02</v>
          </cell>
          <cell r="AD3112">
            <v>65000</v>
          </cell>
        </row>
        <row r="3113">
          <cell r="W3113" t="str">
            <v>QCURA02</v>
          </cell>
          <cell r="AD3113">
            <v>65000</v>
          </cell>
        </row>
        <row r="3114">
          <cell r="W3114" t="str">
            <v>QCURA02</v>
          </cell>
          <cell r="AD3114">
            <v>65000</v>
          </cell>
        </row>
        <row r="3115">
          <cell r="W3115" t="str">
            <v>QCURA02</v>
          </cell>
          <cell r="AD3115">
            <v>65000</v>
          </cell>
        </row>
        <row r="3116">
          <cell r="W3116" t="str">
            <v>QCURA02</v>
          </cell>
          <cell r="AD3116">
            <v>65000</v>
          </cell>
        </row>
        <row r="3117">
          <cell r="W3117" t="str">
            <v>QCURA02</v>
          </cell>
          <cell r="AD3117">
            <v>65200</v>
          </cell>
        </row>
        <row r="3118">
          <cell r="W3118" t="str">
            <v>QCURA02</v>
          </cell>
          <cell r="AD3118">
            <v>65250</v>
          </cell>
        </row>
        <row r="3119">
          <cell r="W3119" t="str">
            <v>QCURA02</v>
          </cell>
          <cell r="AD3119">
            <v>65250</v>
          </cell>
        </row>
        <row r="3120">
          <cell r="W3120" t="str">
            <v>QCURA02</v>
          </cell>
          <cell r="AD3120">
            <v>65250</v>
          </cell>
        </row>
        <row r="3121">
          <cell r="W3121" t="str">
            <v>QCURA02</v>
          </cell>
          <cell r="AD3121">
            <v>65250</v>
          </cell>
        </row>
        <row r="3122">
          <cell r="W3122" t="str">
            <v>QCURA02</v>
          </cell>
          <cell r="AD3122">
            <v>65250</v>
          </cell>
        </row>
        <row r="3123">
          <cell r="W3123" t="str">
            <v>QCURA02</v>
          </cell>
          <cell r="AD3123">
            <v>65300</v>
          </cell>
        </row>
        <row r="3124">
          <cell r="W3124" t="str">
            <v>QCURA02</v>
          </cell>
          <cell r="AD3124">
            <v>65500</v>
          </cell>
        </row>
        <row r="3125">
          <cell r="W3125" t="str">
            <v>QCURA02</v>
          </cell>
          <cell r="AD3125">
            <v>65500</v>
          </cell>
        </row>
        <row r="3126">
          <cell r="W3126" t="str">
            <v>QCURA02</v>
          </cell>
          <cell r="AD3126">
            <v>65500</v>
          </cell>
        </row>
        <row r="3127">
          <cell r="W3127" t="str">
            <v>QCURA02</v>
          </cell>
          <cell r="AD3127">
            <v>65500</v>
          </cell>
        </row>
        <row r="3128">
          <cell r="W3128" t="str">
            <v>QCURA02</v>
          </cell>
          <cell r="AD3128">
            <v>65500</v>
          </cell>
        </row>
        <row r="3129">
          <cell r="W3129" t="str">
            <v>QCURA02</v>
          </cell>
          <cell r="AD3129">
            <v>65500</v>
          </cell>
        </row>
        <row r="3130">
          <cell r="W3130" t="str">
            <v>QCURA02</v>
          </cell>
          <cell r="AD3130">
            <v>66000</v>
          </cell>
        </row>
        <row r="3131">
          <cell r="W3131" t="str">
            <v>QCURA02</v>
          </cell>
          <cell r="AD3131">
            <v>66000</v>
          </cell>
        </row>
        <row r="3132">
          <cell r="W3132" t="str">
            <v>QCURA03</v>
          </cell>
          <cell r="AD3132">
            <v>27270</v>
          </cell>
        </row>
        <row r="3133">
          <cell r="W3133" t="str">
            <v>QCURA03</v>
          </cell>
          <cell r="AD3133">
            <v>27500</v>
          </cell>
        </row>
        <row r="3134">
          <cell r="W3134" t="str">
            <v>QCURA03</v>
          </cell>
          <cell r="AD3134">
            <v>27500</v>
          </cell>
        </row>
        <row r="3135">
          <cell r="W3135" t="str">
            <v>QCURA03</v>
          </cell>
          <cell r="AD3135">
            <v>27500</v>
          </cell>
        </row>
        <row r="3136">
          <cell r="W3136" t="str">
            <v>QCURA03</v>
          </cell>
          <cell r="AD3136">
            <v>27500</v>
          </cell>
        </row>
        <row r="3137">
          <cell r="W3137" t="str">
            <v>QCURA03</v>
          </cell>
          <cell r="AD3137">
            <v>27750</v>
          </cell>
        </row>
        <row r="3138">
          <cell r="W3138" t="str">
            <v>QCURA03</v>
          </cell>
          <cell r="AD3138">
            <v>27750</v>
          </cell>
        </row>
        <row r="3139">
          <cell r="W3139" t="str">
            <v>QCURA03</v>
          </cell>
          <cell r="AD3139">
            <v>27750</v>
          </cell>
        </row>
        <row r="3140">
          <cell r="W3140" t="str">
            <v>QCURA03</v>
          </cell>
          <cell r="AD3140">
            <v>27750</v>
          </cell>
        </row>
        <row r="3141">
          <cell r="W3141" t="str">
            <v>QCURA03</v>
          </cell>
          <cell r="AD3141">
            <v>27750</v>
          </cell>
        </row>
        <row r="3142">
          <cell r="W3142" t="str">
            <v>QCURA03</v>
          </cell>
          <cell r="AD3142">
            <v>27750</v>
          </cell>
        </row>
        <row r="3143">
          <cell r="W3143" t="str">
            <v>QCURA03</v>
          </cell>
          <cell r="AD3143">
            <v>27750</v>
          </cell>
        </row>
        <row r="3144">
          <cell r="W3144" t="str">
            <v>QCURA03</v>
          </cell>
          <cell r="AD3144">
            <v>27750</v>
          </cell>
        </row>
        <row r="3145">
          <cell r="W3145" t="str">
            <v>QCURA03</v>
          </cell>
          <cell r="AD3145">
            <v>27750</v>
          </cell>
        </row>
        <row r="3146">
          <cell r="W3146" t="str">
            <v>QCURA03</v>
          </cell>
          <cell r="AD3146">
            <v>27750</v>
          </cell>
        </row>
        <row r="3147">
          <cell r="W3147" t="str">
            <v>QCURA03</v>
          </cell>
          <cell r="AD3147">
            <v>27750</v>
          </cell>
        </row>
        <row r="3148">
          <cell r="W3148" t="str">
            <v>QCURA03</v>
          </cell>
          <cell r="AD3148">
            <v>27750</v>
          </cell>
        </row>
        <row r="3149">
          <cell r="W3149" t="str">
            <v>QCURA03</v>
          </cell>
          <cell r="AD3149">
            <v>27750</v>
          </cell>
        </row>
        <row r="3150">
          <cell r="W3150" t="str">
            <v>QCURA03</v>
          </cell>
          <cell r="AD3150">
            <v>27750</v>
          </cell>
        </row>
        <row r="3151">
          <cell r="W3151" t="str">
            <v>QCURA03</v>
          </cell>
          <cell r="AD3151">
            <v>27750</v>
          </cell>
        </row>
        <row r="3152">
          <cell r="W3152" t="str">
            <v>QCURA03</v>
          </cell>
          <cell r="AD3152">
            <v>27800</v>
          </cell>
        </row>
        <row r="3153">
          <cell r="W3153" t="str">
            <v>QCURA03</v>
          </cell>
          <cell r="AD3153">
            <v>28000</v>
          </cell>
        </row>
        <row r="3154">
          <cell r="W3154" t="str">
            <v>QCURA03</v>
          </cell>
          <cell r="AD3154">
            <v>28000</v>
          </cell>
        </row>
        <row r="3155">
          <cell r="W3155" t="str">
            <v>QCURA03</v>
          </cell>
          <cell r="AD3155">
            <v>28000</v>
          </cell>
        </row>
        <row r="3156">
          <cell r="W3156" t="str">
            <v>QCURA03</v>
          </cell>
          <cell r="AD3156">
            <v>28000</v>
          </cell>
        </row>
        <row r="3157">
          <cell r="W3157" t="str">
            <v>QCURA03</v>
          </cell>
          <cell r="AD3157">
            <v>28000</v>
          </cell>
        </row>
        <row r="3158">
          <cell r="W3158" t="str">
            <v>QCURA03</v>
          </cell>
          <cell r="AD3158">
            <v>28000</v>
          </cell>
        </row>
        <row r="3159">
          <cell r="W3159" t="str">
            <v>QCURA03</v>
          </cell>
          <cell r="AD3159">
            <v>28000</v>
          </cell>
        </row>
        <row r="3160">
          <cell r="W3160" t="str">
            <v>QCURA03</v>
          </cell>
          <cell r="AD3160">
            <v>28000</v>
          </cell>
        </row>
        <row r="3161">
          <cell r="W3161" t="str">
            <v>QCURA03</v>
          </cell>
          <cell r="AD3161">
            <v>28000</v>
          </cell>
        </row>
        <row r="3162">
          <cell r="W3162" t="str">
            <v>QCURA03</v>
          </cell>
          <cell r="AD3162">
            <v>28000</v>
          </cell>
        </row>
        <row r="3163">
          <cell r="W3163" t="str">
            <v>QCURA03</v>
          </cell>
          <cell r="AD3163">
            <v>28000</v>
          </cell>
        </row>
        <row r="3164">
          <cell r="W3164" t="str">
            <v>QCURA03</v>
          </cell>
          <cell r="AD3164">
            <v>28000</v>
          </cell>
        </row>
        <row r="3165">
          <cell r="W3165" t="str">
            <v>QCURA03</v>
          </cell>
          <cell r="AD3165">
            <v>28000</v>
          </cell>
        </row>
        <row r="3166">
          <cell r="W3166" t="str">
            <v>QCURA03</v>
          </cell>
          <cell r="AD3166">
            <v>28000</v>
          </cell>
        </row>
        <row r="3167">
          <cell r="W3167" t="str">
            <v>QCURA03</v>
          </cell>
          <cell r="AD3167">
            <v>28000</v>
          </cell>
        </row>
        <row r="3168">
          <cell r="W3168" t="str">
            <v>QCURA03</v>
          </cell>
          <cell r="AD3168">
            <v>28000</v>
          </cell>
        </row>
        <row r="3169">
          <cell r="W3169" t="str">
            <v>QCURA03</v>
          </cell>
          <cell r="AD3169">
            <v>28000</v>
          </cell>
        </row>
        <row r="3170">
          <cell r="W3170" t="str">
            <v>QCURA03</v>
          </cell>
          <cell r="AD3170">
            <v>28000</v>
          </cell>
        </row>
        <row r="3171">
          <cell r="W3171" t="str">
            <v>QCURA03</v>
          </cell>
          <cell r="AD3171">
            <v>28000</v>
          </cell>
        </row>
        <row r="3172">
          <cell r="W3172" t="str">
            <v>QCURA03</v>
          </cell>
          <cell r="AD3172">
            <v>28000</v>
          </cell>
        </row>
        <row r="3173">
          <cell r="W3173" t="str">
            <v>QCURA03</v>
          </cell>
          <cell r="AD3173">
            <v>28000</v>
          </cell>
        </row>
        <row r="3174">
          <cell r="W3174" t="str">
            <v>QCURA03</v>
          </cell>
          <cell r="AD3174">
            <v>28000</v>
          </cell>
        </row>
        <row r="3175">
          <cell r="W3175" t="str">
            <v>QCURA03</v>
          </cell>
          <cell r="AD3175">
            <v>28000</v>
          </cell>
        </row>
        <row r="3176">
          <cell r="W3176" t="str">
            <v>QCURA03</v>
          </cell>
          <cell r="AD3176">
            <v>28000</v>
          </cell>
        </row>
        <row r="3177">
          <cell r="W3177" t="str">
            <v>QCURA03</v>
          </cell>
          <cell r="AD3177">
            <v>28000</v>
          </cell>
        </row>
        <row r="3178">
          <cell r="W3178" t="str">
            <v>QCURA03</v>
          </cell>
          <cell r="AD3178">
            <v>28000</v>
          </cell>
        </row>
        <row r="3179">
          <cell r="W3179" t="str">
            <v>QCURA03</v>
          </cell>
          <cell r="AD3179">
            <v>28000</v>
          </cell>
        </row>
        <row r="3180">
          <cell r="W3180" t="str">
            <v>QCURA03</v>
          </cell>
          <cell r="AD3180">
            <v>28000</v>
          </cell>
        </row>
        <row r="3181">
          <cell r="W3181" t="str">
            <v>QCURA03</v>
          </cell>
          <cell r="AD3181">
            <v>28250</v>
          </cell>
        </row>
        <row r="3182">
          <cell r="W3182" t="str">
            <v>QCURA03</v>
          </cell>
          <cell r="AD3182">
            <v>28250</v>
          </cell>
        </row>
        <row r="3183">
          <cell r="W3183" t="str">
            <v>QCURA03</v>
          </cell>
          <cell r="AD3183">
            <v>28250</v>
          </cell>
        </row>
        <row r="3184">
          <cell r="W3184" t="str">
            <v>QCURA03</v>
          </cell>
          <cell r="AD3184">
            <v>28500</v>
          </cell>
        </row>
        <row r="3185">
          <cell r="W3185" t="str">
            <v>QCURA03</v>
          </cell>
          <cell r="AD3185">
            <v>28500</v>
          </cell>
        </row>
        <row r="3186">
          <cell r="W3186" t="str">
            <v>QCURA03</v>
          </cell>
          <cell r="AD3186">
            <v>28500</v>
          </cell>
        </row>
        <row r="3187">
          <cell r="W3187" t="str">
            <v>QCURA04</v>
          </cell>
          <cell r="AD3187">
            <v>41000</v>
          </cell>
        </row>
        <row r="3188">
          <cell r="W3188" t="str">
            <v>QCURA04</v>
          </cell>
          <cell r="AD3188">
            <v>41000</v>
          </cell>
        </row>
        <row r="3189">
          <cell r="W3189" t="str">
            <v>QCYMA02</v>
          </cell>
          <cell r="AD3189">
            <v>52500</v>
          </cell>
        </row>
        <row r="3190">
          <cell r="W3190" t="str">
            <v>QCYMA02</v>
          </cell>
          <cell r="AD3190">
            <v>52500</v>
          </cell>
        </row>
        <row r="3191">
          <cell r="W3191" t="str">
            <v>QCYMA02</v>
          </cell>
          <cell r="AD3191">
            <v>52500</v>
          </cell>
        </row>
        <row r="3192">
          <cell r="W3192" t="str">
            <v>QCYMA01</v>
          </cell>
          <cell r="AD3192">
            <v>31500</v>
          </cell>
        </row>
        <row r="3193">
          <cell r="W3193" t="str">
            <v>QCYMB01</v>
          </cell>
          <cell r="AD3193">
            <v>18450</v>
          </cell>
        </row>
        <row r="3194">
          <cell r="W3194" t="str">
            <v>QCYMB01</v>
          </cell>
          <cell r="AD3194">
            <v>18450</v>
          </cell>
        </row>
        <row r="3195">
          <cell r="W3195" t="str">
            <v>QCYMB01</v>
          </cell>
          <cell r="AD3195">
            <v>19000</v>
          </cell>
        </row>
        <row r="3196">
          <cell r="W3196" t="str">
            <v>QCYMB03</v>
          </cell>
          <cell r="AD3196">
            <v>45700</v>
          </cell>
        </row>
        <row r="3197">
          <cell r="W3197" t="str">
            <v>QCYMO02</v>
          </cell>
          <cell r="AD3197">
            <v>34000</v>
          </cell>
        </row>
        <row r="3198">
          <cell r="W3198" t="str">
            <v>QCYMO02</v>
          </cell>
          <cell r="AD3198">
            <v>34500</v>
          </cell>
        </row>
        <row r="3199">
          <cell r="W3199" t="str">
            <v>QCYMO02</v>
          </cell>
          <cell r="AD3199">
            <v>34500</v>
          </cell>
        </row>
        <row r="3200">
          <cell r="W3200" t="str">
            <v>QCYMO02</v>
          </cell>
          <cell r="AD3200">
            <v>34500</v>
          </cell>
        </row>
        <row r="3201">
          <cell r="W3201" t="str">
            <v>QCYMO02</v>
          </cell>
          <cell r="AD3201">
            <v>35000</v>
          </cell>
        </row>
        <row r="3202">
          <cell r="W3202" t="str">
            <v>QCYMO02</v>
          </cell>
          <cell r="AD3202">
            <v>36500</v>
          </cell>
        </row>
        <row r="3203">
          <cell r="W3203" t="str">
            <v>QCYPR01</v>
          </cell>
          <cell r="AD3203">
            <v>190000</v>
          </cell>
        </row>
        <row r="3204">
          <cell r="W3204" t="str">
            <v>QDAME01</v>
          </cell>
          <cell r="AD3204">
            <v>200000</v>
          </cell>
        </row>
        <row r="3205">
          <cell r="W3205" t="str">
            <v>QDAME01</v>
          </cell>
          <cell r="AD3205">
            <v>200000</v>
          </cell>
        </row>
        <row r="3206">
          <cell r="W3206" t="str">
            <v>QDAME01</v>
          </cell>
          <cell r="AD3206">
            <v>208000</v>
          </cell>
        </row>
        <row r="3207">
          <cell r="W3207" t="str">
            <v>QDAME01</v>
          </cell>
          <cell r="AD3207">
            <v>210000</v>
          </cell>
        </row>
        <row r="3208">
          <cell r="W3208" t="str">
            <v>QDAME01</v>
          </cell>
          <cell r="AD3208">
            <v>210000</v>
          </cell>
        </row>
        <row r="3209">
          <cell r="W3209" t="str">
            <v>QDAME01</v>
          </cell>
          <cell r="AD3209">
            <v>210000</v>
          </cell>
        </row>
        <row r="3210">
          <cell r="W3210" t="str">
            <v>QDAME01</v>
          </cell>
          <cell r="AD3210">
            <v>210000</v>
          </cell>
        </row>
        <row r="3211">
          <cell r="W3211" t="str">
            <v>QDAME01</v>
          </cell>
          <cell r="AD3211">
            <v>210000</v>
          </cell>
        </row>
        <row r="3212">
          <cell r="W3212" t="str">
            <v>QDAME01</v>
          </cell>
          <cell r="AD3212">
            <v>210000</v>
          </cell>
        </row>
        <row r="3213">
          <cell r="W3213" t="str">
            <v>QDAME01</v>
          </cell>
          <cell r="AD3213">
            <v>210000</v>
          </cell>
        </row>
        <row r="3214">
          <cell r="W3214" t="str">
            <v>QDAME01</v>
          </cell>
          <cell r="AD3214">
            <v>210000</v>
          </cell>
        </row>
        <row r="3215">
          <cell r="W3215" t="str">
            <v>QDAME01</v>
          </cell>
          <cell r="AD3215">
            <v>210000</v>
          </cell>
        </row>
        <row r="3216">
          <cell r="W3216" t="str">
            <v>QDAME01</v>
          </cell>
          <cell r="AD3216">
            <v>210000</v>
          </cell>
        </row>
        <row r="3217">
          <cell r="W3217" t="str">
            <v>QDAME02</v>
          </cell>
          <cell r="AD3217">
            <v>115000</v>
          </cell>
        </row>
        <row r="3218">
          <cell r="W3218" t="str">
            <v>QDAME02</v>
          </cell>
          <cell r="AD3218">
            <v>115000</v>
          </cell>
        </row>
        <row r="3219">
          <cell r="W3219" t="str">
            <v>QDAPP01</v>
          </cell>
          <cell r="AD3219">
            <v>77000</v>
          </cell>
        </row>
        <row r="3220">
          <cell r="W3220" t="str">
            <v>QDAPP01</v>
          </cell>
          <cell r="AD3220">
            <v>77000</v>
          </cell>
        </row>
        <row r="3221">
          <cell r="W3221" t="str">
            <v>QDAPP01</v>
          </cell>
          <cell r="AD3221">
            <v>86000</v>
          </cell>
        </row>
        <row r="3222">
          <cell r="W3222" t="str">
            <v>QDAPP01</v>
          </cell>
          <cell r="AD3222">
            <v>88500</v>
          </cell>
        </row>
        <row r="3223">
          <cell r="W3223" t="str">
            <v>QDECI01</v>
          </cell>
          <cell r="AD3223">
            <v>23300</v>
          </cell>
        </row>
        <row r="3224">
          <cell r="W3224" t="str">
            <v>QDECI01</v>
          </cell>
          <cell r="AD3224">
            <v>23300</v>
          </cell>
        </row>
        <row r="3225">
          <cell r="W3225" t="str">
            <v>QDECI01</v>
          </cell>
          <cell r="AD3225">
            <v>23300</v>
          </cell>
        </row>
        <row r="3226">
          <cell r="W3226" t="str">
            <v>QDECI01</v>
          </cell>
          <cell r="AD3226">
            <v>23300</v>
          </cell>
        </row>
        <row r="3227">
          <cell r="W3227" t="str">
            <v>QDECI01</v>
          </cell>
          <cell r="AD3227">
            <v>23500</v>
          </cell>
        </row>
        <row r="3228">
          <cell r="W3228" t="str">
            <v>QDECI01</v>
          </cell>
          <cell r="AD3228">
            <v>23500</v>
          </cell>
        </row>
        <row r="3229">
          <cell r="W3229" t="str">
            <v>QDECI01</v>
          </cell>
          <cell r="AD3229">
            <v>23500</v>
          </cell>
        </row>
        <row r="3230">
          <cell r="W3230" t="str">
            <v>QDECI01</v>
          </cell>
          <cell r="AD3230">
            <v>23500</v>
          </cell>
        </row>
        <row r="3231">
          <cell r="W3231" t="str">
            <v>QDECI01</v>
          </cell>
          <cell r="AD3231">
            <v>23500</v>
          </cell>
        </row>
        <row r="3232">
          <cell r="W3232" t="str">
            <v>QDECI01</v>
          </cell>
          <cell r="AD3232">
            <v>23500</v>
          </cell>
        </row>
        <row r="3233">
          <cell r="W3233" t="str">
            <v>QDECI01</v>
          </cell>
          <cell r="AD3233">
            <v>23500</v>
          </cell>
        </row>
        <row r="3234">
          <cell r="W3234" t="str">
            <v>QDECI01</v>
          </cell>
          <cell r="AD3234">
            <v>23500</v>
          </cell>
        </row>
        <row r="3235">
          <cell r="W3235" t="str">
            <v>QDECI01</v>
          </cell>
          <cell r="AD3235">
            <v>23500</v>
          </cell>
        </row>
        <row r="3236">
          <cell r="W3236" t="str">
            <v>QDECI01</v>
          </cell>
          <cell r="AD3236">
            <v>23500</v>
          </cell>
        </row>
        <row r="3237">
          <cell r="W3237" t="str">
            <v>QDECI01</v>
          </cell>
          <cell r="AD3237">
            <v>23500</v>
          </cell>
        </row>
        <row r="3238">
          <cell r="W3238" t="str">
            <v>QDECI01</v>
          </cell>
          <cell r="AD3238">
            <v>23500</v>
          </cell>
        </row>
        <row r="3239">
          <cell r="W3239" t="str">
            <v>QDECI01</v>
          </cell>
          <cell r="AD3239">
            <v>23500</v>
          </cell>
        </row>
        <row r="3240">
          <cell r="W3240" t="str">
            <v>QDECI01</v>
          </cell>
          <cell r="AD3240">
            <v>23500</v>
          </cell>
        </row>
        <row r="3241">
          <cell r="W3241" t="str">
            <v>QDECI01</v>
          </cell>
          <cell r="AD3241">
            <v>23500</v>
          </cell>
        </row>
        <row r="3242">
          <cell r="W3242" t="str">
            <v>QDECI01</v>
          </cell>
          <cell r="AD3242">
            <v>23500</v>
          </cell>
        </row>
        <row r="3243">
          <cell r="W3243" t="str">
            <v>QDECI01</v>
          </cell>
          <cell r="AD3243">
            <v>23500</v>
          </cell>
        </row>
        <row r="3244">
          <cell r="W3244" t="str">
            <v>QDECI01</v>
          </cell>
          <cell r="AD3244">
            <v>23500</v>
          </cell>
        </row>
        <row r="3245">
          <cell r="W3245" t="str">
            <v>QDECI01</v>
          </cell>
          <cell r="AD3245">
            <v>23500</v>
          </cell>
        </row>
        <row r="3246">
          <cell r="W3246" t="str">
            <v>QDECI01</v>
          </cell>
          <cell r="AD3246">
            <v>23500</v>
          </cell>
        </row>
        <row r="3247">
          <cell r="W3247" t="str">
            <v>QDECI01</v>
          </cell>
          <cell r="AD3247">
            <v>23500</v>
          </cell>
        </row>
        <row r="3248">
          <cell r="W3248" t="str">
            <v>QDECI01</v>
          </cell>
          <cell r="AD3248">
            <v>23500</v>
          </cell>
        </row>
        <row r="3249">
          <cell r="W3249" t="str">
            <v>QDECI01</v>
          </cell>
          <cell r="AD3249">
            <v>23500</v>
          </cell>
        </row>
        <row r="3250">
          <cell r="W3250" t="str">
            <v>QDECI01</v>
          </cell>
          <cell r="AD3250">
            <v>23500</v>
          </cell>
        </row>
        <row r="3251">
          <cell r="W3251" t="str">
            <v>QDECI01</v>
          </cell>
          <cell r="AD3251">
            <v>23500</v>
          </cell>
        </row>
        <row r="3252">
          <cell r="W3252" t="str">
            <v>QDECI01</v>
          </cell>
          <cell r="AD3252">
            <v>23500</v>
          </cell>
        </row>
        <row r="3253">
          <cell r="W3253" t="str">
            <v>QDECI01</v>
          </cell>
          <cell r="AD3253">
            <v>23500</v>
          </cell>
        </row>
        <row r="3254">
          <cell r="W3254" t="str">
            <v>QDECI01</v>
          </cell>
          <cell r="AD3254">
            <v>23500</v>
          </cell>
        </row>
        <row r="3255">
          <cell r="W3255" t="str">
            <v>QDECI01</v>
          </cell>
          <cell r="AD3255">
            <v>23500</v>
          </cell>
        </row>
        <row r="3256">
          <cell r="W3256" t="str">
            <v>QDECI01</v>
          </cell>
          <cell r="AD3256">
            <v>23500</v>
          </cell>
        </row>
        <row r="3257">
          <cell r="W3257" t="str">
            <v>QDECI01</v>
          </cell>
          <cell r="AD3257">
            <v>23500</v>
          </cell>
        </row>
        <row r="3258">
          <cell r="W3258" t="str">
            <v>QDECI01</v>
          </cell>
          <cell r="AD3258">
            <v>23500</v>
          </cell>
        </row>
        <row r="3259">
          <cell r="W3259" t="str">
            <v>QDECI01</v>
          </cell>
          <cell r="AD3259">
            <v>23500</v>
          </cell>
        </row>
        <row r="3260">
          <cell r="W3260" t="str">
            <v>QDECI01</v>
          </cell>
          <cell r="AD3260">
            <v>23500</v>
          </cell>
        </row>
        <row r="3261">
          <cell r="W3261" t="str">
            <v>QDECI01</v>
          </cell>
          <cell r="AD3261">
            <v>23500</v>
          </cell>
        </row>
        <row r="3262">
          <cell r="W3262" t="str">
            <v>QDECI01</v>
          </cell>
          <cell r="AD3262">
            <v>23500</v>
          </cell>
        </row>
        <row r="3263">
          <cell r="W3263" t="str">
            <v>QDECI01</v>
          </cell>
          <cell r="AD3263">
            <v>23500</v>
          </cell>
        </row>
        <row r="3264">
          <cell r="W3264" t="str">
            <v>QDECI01</v>
          </cell>
          <cell r="AD3264">
            <v>23500</v>
          </cell>
        </row>
        <row r="3265">
          <cell r="W3265" t="str">
            <v>QDECI01</v>
          </cell>
          <cell r="AD3265">
            <v>23500</v>
          </cell>
        </row>
        <row r="3266">
          <cell r="W3266" t="str">
            <v>QDECI01</v>
          </cell>
          <cell r="AD3266">
            <v>23500</v>
          </cell>
        </row>
        <row r="3267">
          <cell r="W3267" t="str">
            <v>QDECI01</v>
          </cell>
          <cell r="AD3267">
            <v>23500</v>
          </cell>
        </row>
        <row r="3268">
          <cell r="W3268" t="str">
            <v>QDECI01</v>
          </cell>
          <cell r="AD3268">
            <v>23500</v>
          </cell>
        </row>
        <row r="3269">
          <cell r="W3269" t="str">
            <v>QDECI01</v>
          </cell>
          <cell r="AD3269">
            <v>23500</v>
          </cell>
        </row>
        <row r="3270">
          <cell r="W3270" t="str">
            <v>QDECI01</v>
          </cell>
          <cell r="AD3270">
            <v>23500</v>
          </cell>
        </row>
        <row r="3271">
          <cell r="W3271" t="str">
            <v>QDECI01</v>
          </cell>
          <cell r="AD3271">
            <v>23500</v>
          </cell>
        </row>
        <row r="3272">
          <cell r="W3272" t="str">
            <v>QDECI01</v>
          </cell>
          <cell r="AD3272">
            <v>23500</v>
          </cell>
        </row>
        <row r="3273">
          <cell r="W3273" t="str">
            <v>QDECI01</v>
          </cell>
          <cell r="AD3273">
            <v>23500</v>
          </cell>
        </row>
        <row r="3274">
          <cell r="W3274" t="str">
            <v>QDECI01</v>
          </cell>
          <cell r="AD3274">
            <v>23500</v>
          </cell>
        </row>
        <row r="3275">
          <cell r="W3275" t="str">
            <v>QDECI01</v>
          </cell>
          <cell r="AD3275">
            <v>23500</v>
          </cell>
        </row>
        <row r="3276">
          <cell r="W3276" t="str">
            <v>QDECI01</v>
          </cell>
          <cell r="AD3276">
            <v>23500</v>
          </cell>
        </row>
        <row r="3277">
          <cell r="W3277" t="str">
            <v>QDECI01</v>
          </cell>
          <cell r="AD3277">
            <v>23500</v>
          </cell>
        </row>
        <row r="3278">
          <cell r="W3278" t="str">
            <v>QDECI01</v>
          </cell>
          <cell r="AD3278">
            <v>23500</v>
          </cell>
        </row>
        <row r="3279">
          <cell r="W3279" t="str">
            <v>QDECI01</v>
          </cell>
          <cell r="AD3279">
            <v>23500</v>
          </cell>
        </row>
        <row r="3280">
          <cell r="W3280" t="str">
            <v>QDECI01</v>
          </cell>
          <cell r="AD3280">
            <v>23500</v>
          </cell>
        </row>
        <row r="3281">
          <cell r="W3281" t="str">
            <v>QDECI01</v>
          </cell>
          <cell r="AD3281">
            <v>23500</v>
          </cell>
        </row>
        <row r="3282">
          <cell r="W3282" t="str">
            <v>QDECI01</v>
          </cell>
          <cell r="AD3282">
            <v>23500</v>
          </cell>
        </row>
        <row r="3283">
          <cell r="W3283" t="str">
            <v>QDECI01</v>
          </cell>
          <cell r="AD3283">
            <v>23500</v>
          </cell>
        </row>
        <row r="3284">
          <cell r="W3284" t="str">
            <v>QDECI01</v>
          </cell>
          <cell r="AD3284">
            <v>23500</v>
          </cell>
        </row>
        <row r="3285">
          <cell r="W3285" t="str">
            <v>QDECI01</v>
          </cell>
          <cell r="AD3285">
            <v>23750</v>
          </cell>
        </row>
        <row r="3286">
          <cell r="W3286" t="str">
            <v>QDECI01</v>
          </cell>
          <cell r="AD3286">
            <v>23750</v>
          </cell>
        </row>
        <row r="3287">
          <cell r="W3287" t="str">
            <v>QDECI01</v>
          </cell>
          <cell r="AD3287">
            <v>23750</v>
          </cell>
        </row>
        <row r="3288">
          <cell r="W3288" t="str">
            <v>QDECI01</v>
          </cell>
          <cell r="AD3288">
            <v>23750</v>
          </cell>
        </row>
        <row r="3289">
          <cell r="W3289" t="str">
            <v>QDECI01</v>
          </cell>
          <cell r="AD3289">
            <v>23750</v>
          </cell>
        </row>
        <row r="3290">
          <cell r="W3290" t="str">
            <v>QDECI01</v>
          </cell>
          <cell r="AD3290">
            <v>23750</v>
          </cell>
        </row>
        <row r="3291">
          <cell r="W3291" t="str">
            <v>QDECI01</v>
          </cell>
          <cell r="AD3291">
            <v>23750</v>
          </cell>
        </row>
        <row r="3292">
          <cell r="W3292" t="str">
            <v>QDECI01</v>
          </cell>
          <cell r="AD3292">
            <v>23750</v>
          </cell>
        </row>
        <row r="3293">
          <cell r="W3293" t="str">
            <v>QDECI01</v>
          </cell>
          <cell r="AD3293">
            <v>23750</v>
          </cell>
        </row>
        <row r="3294">
          <cell r="W3294" t="str">
            <v>QDECI01</v>
          </cell>
          <cell r="AD3294">
            <v>23750</v>
          </cell>
        </row>
        <row r="3295">
          <cell r="W3295" t="str">
            <v>QDECI01</v>
          </cell>
          <cell r="AD3295">
            <v>23750</v>
          </cell>
        </row>
        <row r="3296">
          <cell r="W3296" t="str">
            <v>QDECI01</v>
          </cell>
          <cell r="AD3296">
            <v>23800</v>
          </cell>
        </row>
        <row r="3297">
          <cell r="W3297" t="str">
            <v>QDECI02</v>
          </cell>
          <cell r="AD3297">
            <v>12900</v>
          </cell>
        </row>
        <row r="3298">
          <cell r="W3298" t="str">
            <v>QDECI02</v>
          </cell>
          <cell r="AD3298">
            <v>12900</v>
          </cell>
        </row>
        <row r="3299">
          <cell r="W3299" t="str">
            <v>QDECI02</v>
          </cell>
          <cell r="AD3299">
            <v>12950</v>
          </cell>
        </row>
        <row r="3300">
          <cell r="W3300" t="str">
            <v>QDECI02</v>
          </cell>
          <cell r="AD3300">
            <v>13000</v>
          </cell>
        </row>
        <row r="3301">
          <cell r="W3301" t="str">
            <v>QDECI02</v>
          </cell>
          <cell r="AD3301">
            <v>13000</v>
          </cell>
        </row>
        <row r="3302">
          <cell r="W3302" t="str">
            <v>QDECI02</v>
          </cell>
          <cell r="AD3302">
            <v>13000</v>
          </cell>
        </row>
        <row r="3303">
          <cell r="W3303" t="str">
            <v>QDECI02</v>
          </cell>
          <cell r="AD3303">
            <v>13000</v>
          </cell>
        </row>
        <row r="3304">
          <cell r="W3304" t="str">
            <v>QDECI02</v>
          </cell>
          <cell r="AD3304">
            <v>13000</v>
          </cell>
        </row>
        <row r="3305">
          <cell r="W3305" t="str">
            <v>QDECI02</v>
          </cell>
          <cell r="AD3305">
            <v>13000</v>
          </cell>
        </row>
        <row r="3306">
          <cell r="W3306" t="str">
            <v>QDECI02</v>
          </cell>
          <cell r="AD3306">
            <v>13050</v>
          </cell>
        </row>
        <row r="3307">
          <cell r="W3307" t="str">
            <v>QDECI02</v>
          </cell>
          <cell r="AD3307">
            <v>13050</v>
          </cell>
        </row>
        <row r="3308">
          <cell r="W3308" t="str">
            <v>QDECI02</v>
          </cell>
          <cell r="AD3308">
            <v>13050</v>
          </cell>
        </row>
        <row r="3309">
          <cell r="W3309" t="str">
            <v>QDECI02</v>
          </cell>
          <cell r="AD3309">
            <v>13050</v>
          </cell>
        </row>
        <row r="3310">
          <cell r="W3310" t="str">
            <v>QDECI02</v>
          </cell>
          <cell r="AD3310">
            <v>13050</v>
          </cell>
        </row>
        <row r="3311">
          <cell r="W3311" t="str">
            <v>QDECI02</v>
          </cell>
          <cell r="AD3311">
            <v>13050</v>
          </cell>
        </row>
        <row r="3312">
          <cell r="W3312" t="str">
            <v>QDECI02</v>
          </cell>
          <cell r="AD3312">
            <v>13050</v>
          </cell>
        </row>
        <row r="3313">
          <cell r="W3313" t="str">
            <v>QDECI02</v>
          </cell>
          <cell r="AD3313">
            <v>13050</v>
          </cell>
        </row>
        <row r="3314">
          <cell r="W3314" t="str">
            <v>QDECI02</v>
          </cell>
          <cell r="AD3314">
            <v>13050</v>
          </cell>
        </row>
        <row r="3315">
          <cell r="W3315" t="str">
            <v>QDECI02</v>
          </cell>
          <cell r="AD3315">
            <v>13050</v>
          </cell>
        </row>
        <row r="3316">
          <cell r="W3316" t="str">
            <v>QDECI02</v>
          </cell>
          <cell r="AD3316">
            <v>13050</v>
          </cell>
        </row>
        <row r="3317">
          <cell r="W3317" t="str">
            <v>QDECI02</v>
          </cell>
          <cell r="AD3317">
            <v>13050</v>
          </cell>
        </row>
        <row r="3318">
          <cell r="W3318" t="str">
            <v>QDECI02</v>
          </cell>
          <cell r="AD3318">
            <v>13050</v>
          </cell>
        </row>
        <row r="3319">
          <cell r="W3319" t="str">
            <v>QDECI02</v>
          </cell>
          <cell r="AD3319">
            <v>13050</v>
          </cell>
        </row>
        <row r="3320">
          <cell r="W3320" t="str">
            <v>QDECI02</v>
          </cell>
          <cell r="AD3320">
            <v>13050</v>
          </cell>
        </row>
        <row r="3321">
          <cell r="W3321" t="str">
            <v>QDECI02</v>
          </cell>
          <cell r="AD3321">
            <v>13050</v>
          </cell>
        </row>
        <row r="3322">
          <cell r="W3322" t="str">
            <v>QDECI02</v>
          </cell>
          <cell r="AD3322">
            <v>13050</v>
          </cell>
        </row>
        <row r="3323">
          <cell r="W3323" t="str">
            <v>QDECI02</v>
          </cell>
          <cell r="AD3323">
            <v>13050</v>
          </cell>
        </row>
        <row r="3324">
          <cell r="W3324" t="str">
            <v>QDECI02</v>
          </cell>
          <cell r="AD3324">
            <v>13050</v>
          </cell>
        </row>
        <row r="3325">
          <cell r="W3325" t="str">
            <v>QDECI02</v>
          </cell>
          <cell r="AD3325">
            <v>13050</v>
          </cell>
        </row>
        <row r="3326">
          <cell r="W3326" t="str">
            <v>QDECI02</v>
          </cell>
          <cell r="AD3326">
            <v>13050</v>
          </cell>
        </row>
        <row r="3327">
          <cell r="W3327" t="str">
            <v>QDECI02</v>
          </cell>
          <cell r="AD3327">
            <v>13050</v>
          </cell>
        </row>
        <row r="3328">
          <cell r="W3328" t="str">
            <v>QDECI02</v>
          </cell>
          <cell r="AD3328">
            <v>13050</v>
          </cell>
        </row>
        <row r="3329">
          <cell r="W3329" t="str">
            <v>QDECI02</v>
          </cell>
          <cell r="AD3329">
            <v>13050</v>
          </cell>
        </row>
        <row r="3330">
          <cell r="W3330" t="str">
            <v>QDECI02</v>
          </cell>
          <cell r="AD3330">
            <v>13050</v>
          </cell>
        </row>
        <row r="3331">
          <cell r="W3331" t="str">
            <v>QDECI02</v>
          </cell>
          <cell r="AD3331">
            <v>13050</v>
          </cell>
        </row>
        <row r="3332">
          <cell r="W3332" t="str">
            <v>QDECI02</v>
          </cell>
          <cell r="AD3332">
            <v>13050</v>
          </cell>
        </row>
        <row r="3333">
          <cell r="W3333" t="str">
            <v>QDECI02</v>
          </cell>
          <cell r="AD3333">
            <v>13050</v>
          </cell>
        </row>
        <row r="3334">
          <cell r="W3334" t="str">
            <v>QDECI02</v>
          </cell>
          <cell r="AD3334">
            <v>13050</v>
          </cell>
        </row>
        <row r="3335">
          <cell r="W3335" t="str">
            <v>QDECI02</v>
          </cell>
          <cell r="AD3335">
            <v>13050</v>
          </cell>
        </row>
        <row r="3336">
          <cell r="W3336" t="str">
            <v>QDECI02</v>
          </cell>
          <cell r="AD3336">
            <v>13050</v>
          </cell>
        </row>
        <row r="3337">
          <cell r="W3337" t="str">
            <v>QDECI02</v>
          </cell>
          <cell r="AD3337">
            <v>13050</v>
          </cell>
        </row>
        <row r="3338">
          <cell r="W3338" t="str">
            <v>QDECI02</v>
          </cell>
          <cell r="AD3338">
            <v>13050</v>
          </cell>
        </row>
        <row r="3339">
          <cell r="W3339" t="str">
            <v>QDECI02</v>
          </cell>
          <cell r="AD3339">
            <v>13050</v>
          </cell>
        </row>
        <row r="3340">
          <cell r="W3340" t="str">
            <v>QDECI02</v>
          </cell>
          <cell r="AD3340">
            <v>13050</v>
          </cell>
        </row>
        <row r="3341">
          <cell r="W3341" t="str">
            <v>QDECI02</v>
          </cell>
          <cell r="AD3341">
            <v>13050</v>
          </cell>
        </row>
        <row r="3342">
          <cell r="W3342" t="str">
            <v>QDECI02</v>
          </cell>
          <cell r="AD3342">
            <v>13050</v>
          </cell>
        </row>
        <row r="3343">
          <cell r="W3343" t="str">
            <v>QDECI02</v>
          </cell>
          <cell r="AD3343">
            <v>13050</v>
          </cell>
        </row>
        <row r="3344">
          <cell r="W3344" t="str">
            <v>QDECI02</v>
          </cell>
          <cell r="AD3344">
            <v>13050</v>
          </cell>
        </row>
        <row r="3345">
          <cell r="W3345" t="str">
            <v>QDECI02</v>
          </cell>
          <cell r="AD3345">
            <v>13050</v>
          </cell>
        </row>
        <row r="3346">
          <cell r="W3346" t="str">
            <v>QDECI02</v>
          </cell>
          <cell r="AD3346">
            <v>13050</v>
          </cell>
        </row>
        <row r="3347">
          <cell r="W3347" t="str">
            <v>QDECI02</v>
          </cell>
          <cell r="AD3347">
            <v>13050</v>
          </cell>
        </row>
        <row r="3348">
          <cell r="W3348" t="str">
            <v>QDECI02</v>
          </cell>
          <cell r="AD3348">
            <v>13050</v>
          </cell>
        </row>
        <row r="3349">
          <cell r="W3349" t="str">
            <v>QDECI02</v>
          </cell>
          <cell r="AD3349">
            <v>13050</v>
          </cell>
        </row>
        <row r="3350">
          <cell r="W3350" t="str">
            <v>QDECI02</v>
          </cell>
          <cell r="AD3350">
            <v>13050</v>
          </cell>
        </row>
        <row r="3351">
          <cell r="W3351" t="str">
            <v>QDECI02</v>
          </cell>
          <cell r="AD3351">
            <v>13050</v>
          </cell>
        </row>
        <row r="3352">
          <cell r="W3352" t="str">
            <v>QDECI02</v>
          </cell>
          <cell r="AD3352">
            <v>13050</v>
          </cell>
        </row>
        <row r="3353">
          <cell r="W3353" t="str">
            <v>QDECI02</v>
          </cell>
          <cell r="AD3353">
            <v>13050</v>
          </cell>
        </row>
        <row r="3354">
          <cell r="W3354" t="str">
            <v>QDECI02</v>
          </cell>
          <cell r="AD3354">
            <v>13100</v>
          </cell>
        </row>
        <row r="3355">
          <cell r="W3355" t="str">
            <v>QDECI02</v>
          </cell>
          <cell r="AD3355">
            <v>13100</v>
          </cell>
        </row>
        <row r="3356">
          <cell r="W3356" t="str">
            <v>QDECI02</v>
          </cell>
          <cell r="AD3356">
            <v>13100</v>
          </cell>
        </row>
        <row r="3357">
          <cell r="W3357" t="str">
            <v>QDECI02</v>
          </cell>
          <cell r="AD3357">
            <v>13100</v>
          </cell>
        </row>
        <row r="3358">
          <cell r="W3358" t="str">
            <v>QDECI02</v>
          </cell>
          <cell r="AD3358">
            <v>13100</v>
          </cell>
        </row>
        <row r="3359">
          <cell r="W3359" t="str">
            <v>QDECI02</v>
          </cell>
          <cell r="AD3359">
            <v>13100</v>
          </cell>
        </row>
        <row r="3360">
          <cell r="W3360" t="str">
            <v>QDECI02</v>
          </cell>
          <cell r="AD3360">
            <v>13100</v>
          </cell>
        </row>
        <row r="3361">
          <cell r="W3361" t="str">
            <v>QDECI02</v>
          </cell>
          <cell r="AD3361">
            <v>13100</v>
          </cell>
        </row>
        <row r="3362">
          <cell r="W3362" t="str">
            <v>QDECI02</v>
          </cell>
          <cell r="AD3362">
            <v>13100</v>
          </cell>
        </row>
        <row r="3363">
          <cell r="W3363" t="str">
            <v>QDECI02</v>
          </cell>
          <cell r="AD3363">
            <v>13100</v>
          </cell>
        </row>
        <row r="3364">
          <cell r="W3364" t="str">
            <v>QDECI02</v>
          </cell>
          <cell r="AD3364">
            <v>13100</v>
          </cell>
        </row>
        <row r="3365">
          <cell r="W3365" t="str">
            <v>QDECI02</v>
          </cell>
          <cell r="AD3365">
            <v>13100</v>
          </cell>
        </row>
        <row r="3366">
          <cell r="W3366" t="str">
            <v>QDECI02</v>
          </cell>
          <cell r="AD3366">
            <v>13100</v>
          </cell>
        </row>
        <row r="3367">
          <cell r="W3367" t="str">
            <v>QDECI02</v>
          </cell>
          <cell r="AD3367">
            <v>13100</v>
          </cell>
        </row>
        <row r="3368">
          <cell r="W3368" t="str">
            <v>QDECI02</v>
          </cell>
          <cell r="AD3368">
            <v>13100</v>
          </cell>
        </row>
        <row r="3369">
          <cell r="W3369" t="str">
            <v>QDECI02</v>
          </cell>
          <cell r="AD3369">
            <v>13100</v>
          </cell>
        </row>
        <row r="3370">
          <cell r="W3370" t="str">
            <v>QDECI02</v>
          </cell>
          <cell r="AD3370">
            <v>13100</v>
          </cell>
        </row>
        <row r="3371">
          <cell r="W3371" t="str">
            <v>QDECI02</v>
          </cell>
          <cell r="AD3371">
            <v>13100</v>
          </cell>
        </row>
        <row r="3372">
          <cell r="W3372" t="str">
            <v>QDECI02</v>
          </cell>
          <cell r="AD3372">
            <v>13100</v>
          </cell>
        </row>
        <row r="3373">
          <cell r="W3373" t="str">
            <v>QDECI02</v>
          </cell>
          <cell r="AD3373">
            <v>13100</v>
          </cell>
        </row>
        <row r="3374">
          <cell r="W3374" t="str">
            <v>QDECI02</v>
          </cell>
          <cell r="AD3374">
            <v>13100</v>
          </cell>
        </row>
        <row r="3375">
          <cell r="W3375" t="str">
            <v>QDECI02</v>
          </cell>
          <cell r="AD3375">
            <v>13100</v>
          </cell>
        </row>
        <row r="3376">
          <cell r="W3376" t="str">
            <v>QDECI02</v>
          </cell>
          <cell r="AD3376">
            <v>13100</v>
          </cell>
        </row>
        <row r="3377">
          <cell r="W3377" t="str">
            <v>QDECI02</v>
          </cell>
          <cell r="AD3377">
            <v>13100</v>
          </cell>
        </row>
        <row r="3378">
          <cell r="W3378" t="str">
            <v>QDECI02</v>
          </cell>
          <cell r="AD3378">
            <v>13100</v>
          </cell>
        </row>
        <row r="3379">
          <cell r="W3379" t="str">
            <v>QDECI02</v>
          </cell>
          <cell r="AD3379">
            <v>13100</v>
          </cell>
        </row>
        <row r="3380">
          <cell r="W3380" t="str">
            <v>QDECI02</v>
          </cell>
          <cell r="AD3380">
            <v>13100</v>
          </cell>
        </row>
        <row r="3381">
          <cell r="W3381" t="str">
            <v>QDECI02</v>
          </cell>
          <cell r="AD3381">
            <v>13100</v>
          </cell>
        </row>
        <row r="3382">
          <cell r="W3382" t="str">
            <v>QDECI02</v>
          </cell>
          <cell r="AD3382">
            <v>13150</v>
          </cell>
        </row>
        <row r="3383">
          <cell r="W3383" t="str">
            <v>QDECI02</v>
          </cell>
          <cell r="AD3383">
            <v>13250</v>
          </cell>
        </row>
        <row r="3384">
          <cell r="W3384" t="str">
            <v>QDECI02</v>
          </cell>
          <cell r="AD3384">
            <v>13250</v>
          </cell>
        </row>
        <row r="3385">
          <cell r="W3385" t="str">
            <v>QDECI02</v>
          </cell>
          <cell r="AD3385">
            <v>13250</v>
          </cell>
        </row>
        <row r="3386">
          <cell r="W3386" t="str">
            <v>QDECI02</v>
          </cell>
          <cell r="AD3386">
            <v>13250</v>
          </cell>
        </row>
        <row r="3387">
          <cell r="W3387" t="str">
            <v>QDECI02</v>
          </cell>
          <cell r="AD3387">
            <v>13250</v>
          </cell>
        </row>
        <row r="3388">
          <cell r="W3388" t="str">
            <v>QDECI02</v>
          </cell>
          <cell r="AD3388">
            <v>13250</v>
          </cell>
        </row>
        <row r="3389">
          <cell r="W3389" t="str">
            <v>QDECI02</v>
          </cell>
          <cell r="AD3389">
            <v>13250</v>
          </cell>
        </row>
        <row r="3390">
          <cell r="W3390" t="str">
            <v>QDECI02</v>
          </cell>
          <cell r="AD3390">
            <v>13250</v>
          </cell>
        </row>
        <row r="3391">
          <cell r="W3391" t="str">
            <v>QDECI02</v>
          </cell>
          <cell r="AD3391">
            <v>13250</v>
          </cell>
        </row>
        <row r="3392">
          <cell r="W3392" t="str">
            <v>QDECI02</v>
          </cell>
          <cell r="AD3392">
            <v>13500</v>
          </cell>
        </row>
        <row r="3393">
          <cell r="W3393" t="str">
            <v>QDECI03</v>
          </cell>
          <cell r="AD3393">
            <v>106500</v>
          </cell>
        </row>
        <row r="3394">
          <cell r="W3394" t="str">
            <v>QDECI03</v>
          </cell>
          <cell r="AD3394">
            <v>107250</v>
          </cell>
        </row>
        <row r="3395">
          <cell r="W3395" t="str">
            <v>QDECI03</v>
          </cell>
          <cell r="AD3395">
            <v>107500</v>
          </cell>
        </row>
        <row r="3396">
          <cell r="W3396" t="str">
            <v>QDECI03</v>
          </cell>
          <cell r="AD3396">
            <v>107500</v>
          </cell>
        </row>
        <row r="3397">
          <cell r="W3397" t="str">
            <v>QDECI03</v>
          </cell>
          <cell r="AD3397">
            <v>107500</v>
          </cell>
        </row>
        <row r="3398">
          <cell r="W3398" t="str">
            <v>QDECI03</v>
          </cell>
          <cell r="AD3398">
            <v>107500</v>
          </cell>
        </row>
        <row r="3399">
          <cell r="W3399" t="str">
            <v>QDECI03</v>
          </cell>
          <cell r="AD3399">
            <v>107500</v>
          </cell>
        </row>
        <row r="3400">
          <cell r="W3400" t="str">
            <v>QDECI03</v>
          </cell>
          <cell r="AD3400">
            <v>107500</v>
          </cell>
        </row>
        <row r="3401">
          <cell r="W3401" t="str">
            <v>QDECI03</v>
          </cell>
          <cell r="AD3401">
            <v>107500</v>
          </cell>
        </row>
        <row r="3402">
          <cell r="W3402" t="str">
            <v>QDECI03</v>
          </cell>
          <cell r="AD3402">
            <v>107500</v>
          </cell>
        </row>
        <row r="3403">
          <cell r="W3403" t="str">
            <v>QDECI03</v>
          </cell>
          <cell r="AD3403">
            <v>107500</v>
          </cell>
        </row>
        <row r="3404">
          <cell r="W3404" t="str">
            <v>QDECI03</v>
          </cell>
          <cell r="AD3404">
            <v>107500</v>
          </cell>
        </row>
        <row r="3405">
          <cell r="W3405" t="str">
            <v>QDECI03</v>
          </cell>
          <cell r="AD3405">
            <v>107500</v>
          </cell>
        </row>
        <row r="3406">
          <cell r="W3406" t="str">
            <v>QDECI03</v>
          </cell>
          <cell r="AD3406">
            <v>107500</v>
          </cell>
        </row>
        <row r="3407">
          <cell r="W3407" t="str">
            <v>QDECI03</v>
          </cell>
          <cell r="AD3407">
            <v>107500</v>
          </cell>
        </row>
        <row r="3408">
          <cell r="W3408" t="str">
            <v>QDECI03</v>
          </cell>
          <cell r="AD3408">
            <v>107500</v>
          </cell>
        </row>
        <row r="3409">
          <cell r="W3409" t="str">
            <v>QDECI03</v>
          </cell>
          <cell r="AD3409">
            <v>107500</v>
          </cell>
        </row>
        <row r="3410">
          <cell r="W3410" t="str">
            <v>QDECI03</v>
          </cell>
          <cell r="AD3410">
            <v>107500</v>
          </cell>
        </row>
        <row r="3411">
          <cell r="W3411" t="str">
            <v>QDECI03</v>
          </cell>
          <cell r="AD3411">
            <v>107500</v>
          </cell>
        </row>
        <row r="3412">
          <cell r="W3412" t="str">
            <v>QDECI03</v>
          </cell>
          <cell r="AD3412">
            <v>107500</v>
          </cell>
        </row>
        <row r="3413">
          <cell r="W3413" t="str">
            <v>QDECI03</v>
          </cell>
          <cell r="AD3413">
            <v>107500</v>
          </cell>
        </row>
        <row r="3414">
          <cell r="W3414" t="str">
            <v>QDECI03</v>
          </cell>
          <cell r="AD3414">
            <v>107500</v>
          </cell>
        </row>
        <row r="3415">
          <cell r="W3415" t="str">
            <v>QDECI03</v>
          </cell>
          <cell r="AD3415">
            <v>107500</v>
          </cell>
        </row>
        <row r="3416">
          <cell r="W3416" t="str">
            <v>QDECI03</v>
          </cell>
          <cell r="AD3416">
            <v>107500</v>
          </cell>
        </row>
        <row r="3417">
          <cell r="W3417" t="str">
            <v>QDECI03</v>
          </cell>
          <cell r="AD3417">
            <v>107500</v>
          </cell>
        </row>
        <row r="3418">
          <cell r="W3418" t="str">
            <v>QDECI03</v>
          </cell>
          <cell r="AD3418">
            <v>107500</v>
          </cell>
        </row>
        <row r="3419">
          <cell r="W3419" t="str">
            <v>QDECI03</v>
          </cell>
          <cell r="AD3419">
            <v>107500</v>
          </cell>
        </row>
        <row r="3420">
          <cell r="W3420" t="str">
            <v>QDECI03</v>
          </cell>
          <cell r="AD3420">
            <v>108000</v>
          </cell>
        </row>
        <row r="3421">
          <cell r="W3421" t="str">
            <v>QDECI03</v>
          </cell>
          <cell r="AD3421">
            <v>108000</v>
          </cell>
        </row>
        <row r="3422">
          <cell r="W3422" t="str">
            <v>QDECI03</v>
          </cell>
          <cell r="AD3422">
            <v>110000</v>
          </cell>
        </row>
        <row r="3423">
          <cell r="W3423" t="str">
            <v>QDECI03</v>
          </cell>
          <cell r="AD3423">
            <v>110500</v>
          </cell>
        </row>
        <row r="3424">
          <cell r="W3424" t="str">
            <v>QDECI05</v>
          </cell>
          <cell r="AD3424">
            <v>57500</v>
          </cell>
        </row>
        <row r="3425">
          <cell r="W3425" t="str">
            <v>QDECI05</v>
          </cell>
          <cell r="AD3425">
            <v>57500</v>
          </cell>
        </row>
        <row r="3426">
          <cell r="W3426" t="str">
            <v>QDECI05</v>
          </cell>
          <cell r="AD3426">
            <v>57500</v>
          </cell>
        </row>
        <row r="3427">
          <cell r="W3427" t="str">
            <v>QDECI05</v>
          </cell>
          <cell r="AD3427">
            <v>57750</v>
          </cell>
        </row>
        <row r="3428">
          <cell r="W3428" t="str">
            <v>QDECI05</v>
          </cell>
          <cell r="AD3428">
            <v>58000</v>
          </cell>
        </row>
        <row r="3429">
          <cell r="W3429" t="str">
            <v>QDECI05</v>
          </cell>
          <cell r="AD3429">
            <v>58000</v>
          </cell>
        </row>
        <row r="3430">
          <cell r="W3430" t="str">
            <v>QDECI05</v>
          </cell>
          <cell r="AD3430">
            <v>58000</v>
          </cell>
        </row>
        <row r="3431">
          <cell r="W3431" t="str">
            <v>QDECI05</v>
          </cell>
          <cell r="AD3431">
            <v>58000</v>
          </cell>
        </row>
        <row r="3432">
          <cell r="W3432" t="str">
            <v>QDECI05</v>
          </cell>
          <cell r="AD3432">
            <v>58000</v>
          </cell>
        </row>
        <row r="3433">
          <cell r="W3433" t="str">
            <v>QDECI05</v>
          </cell>
          <cell r="AD3433">
            <v>58000</v>
          </cell>
        </row>
        <row r="3434">
          <cell r="W3434" t="str">
            <v>QDECI05</v>
          </cell>
          <cell r="AD3434">
            <v>58000</v>
          </cell>
        </row>
        <row r="3435">
          <cell r="W3435" t="str">
            <v>QDECI05</v>
          </cell>
          <cell r="AD3435">
            <v>58000</v>
          </cell>
        </row>
        <row r="3436">
          <cell r="W3436" t="str">
            <v>QDECI05</v>
          </cell>
          <cell r="AD3436">
            <v>58000</v>
          </cell>
        </row>
        <row r="3437">
          <cell r="W3437" t="str">
            <v>QDECI05</v>
          </cell>
          <cell r="AD3437">
            <v>58000</v>
          </cell>
        </row>
        <row r="3438">
          <cell r="W3438" t="str">
            <v>QDECI05</v>
          </cell>
          <cell r="AD3438">
            <v>58000</v>
          </cell>
        </row>
        <row r="3439">
          <cell r="W3439" t="str">
            <v>QDECI05</v>
          </cell>
          <cell r="AD3439">
            <v>58000</v>
          </cell>
        </row>
        <row r="3440">
          <cell r="W3440" t="str">
            <v>QDECI05</v>
          </cell>
          <cell r="AD3440">
            <v>58000</v>
          </cell>
        </row>
        <row r="3441">
          <cell r="W3441" t="str">
            <v>QDECI05</v>
          </cell>
          <cell r="AD3441">
            <v>58000</v>
          </cell>
        </row>
        <row r="3442">
          <cell r="W3442" t="str">
            <v>QDECI05</v>
          </cell>
          <cell r="AD3442">
            <v>58000</v>
          </cell>
        </row>
        <row r="3443">
          <cell r="W3443" t="str">
            <v>QDECI05</v>
          </cell>
          <cell r="AD3443">
            <v>58000</v>
          </cell>
        </row>
        <row r="3444">
          <cell r="W3444" t="str">
            <v>QDECI05</v>
          </cell>
          <cell r="AD3444">
            <v>58000</v>
          </cell>
        </row>
        <row r="3445">
          <cell r="W3445" t="str">
            <v>QDECI05</v>
          </cell>
          <cell r="AD3445">
            <v>58000</v>
          </cell>
        </row>
        <row r="3446">
          <cell r="W3446" t="str">
            <v>QDECI05</v>
          </cell>
          <cell r="AD3446">
            <v>58000</v>
          </cell>
        </row>
        <row r="3447">
          <cell r="W3447" t="str">
            <v>QDECI05</v>
          </cell>
          <cell r="AD3447">
            <v>58000</v>
          </cell>
        </row>
        <row r="3448">
          <cell r="W3448" t="str">
            <v>QDECI05</v>
          </cell>
          <cell r="AD3448">
            <v>58000</v>
          </cell>
        </row>
        <row r="3449">
          <cell r="W3449" t="str">
            <v>QDECI05</v>
          </cell>
          <cell r="AD3449">
            <v>58000</v>
          </cell>
        </row>
        <row r="3450">
          <cell r="W3450" t="str">
            <v>QDECI05</v>
          </cell>
          <cell r="AD3450">
            <v>58000</v>
          </cell>
        </row>
        <row r="3451">
          <cell r="W3451" t="str">
            <v>QDECI05</v>
          </cell>
          <cell r="AD3451">
            <v>58000</v>
          </cell>
        </row>
        <row r="3452">
          <cell r="W3452" t="str">
            <v>QDECI05</v>
          </cell>
          <cell r="AD3452">
            <v>58000</v>
          </cell>
        </row>
        <row r="3453">
          <cell r="W3453" t="str">
            <v>QDECI05</v>
          </cell>
          <cell r="AD3453">
            <v>58000</v>
          </cell>
        </row>
        <row r="3454">
          <cell r="W3454" t="str">
            <v>QDECI05</v>
          </cell>
          <cell r="AD3454">
            <v>58000</v>
          </cell>
        </row>
        <row r="3455">
          <cell r="W3455" t="str">
            <v>QDECI05</v>
          </cell>
          <cell r="AD3455">
            <v>58000</v>
          </cell>
        </row>
        <row r="3456">
          <cell r="W3456" t="str">
            <v>QDECI05</v>
          </cell>
          <cell r="AD3456">
            <v>58000</v>
          </cell>
        </row>
        <row r="3457">
          <cell r="W3457" t="str">
            <v>QDECI05</v>
          </cell>
          <cell r="AD3457">
            <v>58000</v>
          </cell>
        </row>
        <row r="3458">
          <cell r="W3458" t="str">
            <v>QDECI05</v>
          </cell>
          <cell r="AD3458">
            <v>58000</v>
          </cell>
        </row>
        <row r="3459">
          <cell r="W3459" t="str">
            <v>QDECI05</v>
          </cell>
          <cell r="AD3459">
            <v>58000</v>
          </cell>
        </row>
        <row r="3460">
          <cell r="W3460" t="str">
            <v>QDECI05</v>
          </cell>
          <cell r="AD3460">
            <v>58000</v>
          </cell>
        </row>
        <row r="3461">
          <cell r="W3461" t="str">
            <v>QDECI05</v>
          </cell>
          <cell r="AD3461">
            <v>58000</v>
          </cell>
        </row>
        <row r="3462">
          <cell r="W3462" t="str">
            <v>QDECI05</v>
          </cell>
          <cell r="AD3462">
            <v>58300</v>
          </cell>
        </row>
        <row r="3463">
          <cell r="W3463" t="str">
            <v>QDECI05</v>
          </cell>
          <cell r="AD3463">
            <v>58500</v>
          </cell>
        </row>
        <row r="3464">
          <cell r="W3464" t="str">
            <v>QDECI05</v>
          </cell>
          <cell r="AD3464">
            <v>58500</v>
          </cell>
        </row>
        <row r="3465">
          <cell r="W3465" t="str">
            <v>QDECI05</v>
          </cell>
          <cell r="AD3465">
            <v>58500</v>
          </cell>
        </row>
        <row r="3466">
          <cell r="W3466" t="str">
            <v>QDECI05</v>
          </cell>
          <cell r="AD3466">
            <v>58500</v>
          </cell>
        </row>
        <row r="3467">
          <cell r="W3467" t="str">
            <v>QDECI05</v>
          </cell>
          <cell r="AD3467">
            <v>59500</v>
          </cell>
        </row>
        <row r="3468">
          <cell r="W3468" t="str">
            <v>QDEKA01</v>
          </cell>
          <cell r="AD3468">
            <v>47000</v>
          </cell>
        </row>
        <row r="3469">
          <cell r="W3469" t="str">
            <v>QDEKA01</v>
          </cell>
          <cell r="AD3469">
            <v>49000</v>
          </cell>
        </row>
        <row r="3470">
          <cell r="W3470" t="str">
            <v>QDEKA01</v>
          </cell>
          <cell r="AD3470">
            <v>49000</v>
          </cell>
        </row>
        <row r="3471">
          <cell r="W3471" t="str">
            <v>QDEKA01</v>
          </cell>
          <cell r="AD3471">
            <v>49500</v>
          </cell>
        </row>
        <row r="3472">
          <cell r="W3472" t="str">
            <v>QDEKA01</v>
          </cell>
          <cell r="AD3472">
            <v>50000</v>
          </cell>
        </row>
        <row r="3473">
          <cell r="W3473" t="str">
            <v>QDEKA01</v>
          </cell>
          <cell r="AD3473">
            <v>50000</v>
          </cell>
        </row>
        <row r="3474">
          <cell r="W3474" t="str">
            <v>QDEKA01</v>
          </cell>
          <cell r="AD3474">
            <v>50000</v>
          </cell>
        </row>
        <row r="3475">
          <cell r="W3475" t="str">
            <v>QDEKA01</v>
          </cell>
          <cell r="AD3475">
            <v>50000</v>
          </cell>
        </row>
        <row r="3476">
          <cell r="W3476" t="str">
            <v>QDEKA01</v>
          </cell>
          <cell r="AD3476">
            <v>50000</v>
          </cell>
        </row>
        <row r="3477">
          <cell r="W3477" t="str">
            <v>QDEKA01</v>
          </cell>
          <cell r="AD3477">
            <v>50000</v>
          </cell>
        </row>
        <row r="3478">
          <cell r="W3478" t="str">
            <v>QDEKA01</v>
          </cell>
          <cell r="AD3478">
            <v>50000</v>
          </cell>
        </row>
        <row r="3479">
          <cell r="W3479" t="str">
            <v>QDEKA01</v>
          </cell>
          <cell r="AD3479">
            <v>50000</v>
          </cell>
        </row>
        <row r="3480">
          <cell r="W3480" t="str">
            <v>QDEKA01</v>
          </cell>
          <cell r="AD3480">
            <v>50000</v>
          </cell>
        </row>
        <row r="3481">
          <cell r="W3481" t="str">
            <v>QDEKA01</v>
          </cell>
          <cell r="AD3481">
            <v>50000</v>
          </cell>
        </row>
        <row r="3482">
          <cell r="W3482" t="str">
            <v>QDEKA01</v>
          </cell>
          <cell r="AD3482">
            <v>50000</v>
          </cell>
        </row>
        <row r="3483">
          <cell r="W3483" t="str">
            <v>QDEKA01</v>
          </cell>
          <cell r="AD3483">
            <v>50000</v>
          </cell>
        </row>
        <row r="3484">
          <cell r="W3484" t="str">
            <v>QDEKA01</v>
          </cell>
          <cell r="AD3484">
            <v>50000</v>
          </cell>
        </row>
        <row r="3485">
          <cell r="W3485" t="str">
            <v>QDEKA01</v>
          </cell>
          <cell r="AD3485">
            <v>50000</v>
          </cell>
        </row>
        <row r="3486">
          <cell r="W3486" t="str">
            <v>QDEKA01</v>
          </cell>
          <cell r="AD3486">
            <v>50000</v>
          </cell>
        </row>
        <row r="3487">
          <cell r="W3487" t="str">
            <v>QDEKA01</v>
          </cell>
          <cell r="AD3487">
            <v>50000</v>
          </cell>
        </row>
        <row r="3488">
          <cell r="W3488" t="str">
            <v>QDEKA01</v>
          </cell>
          <cell r="AD3488">
            <v>50000</v>
          </cell>
        </row>
        <row r="3489">
          <cell r="W3489" t="str">
            <v>QDEKA01</v>
          </cell>
          <cell r="AD3489">
            <v>50000</v>
          </cell>
        </row>
        <row r="3490">
          <cell r="W3490" t="str">
            <v>QDEKA01</v>
          </cell>
          <cell r="AD3490">
            <v>50000</v>
          </cell>
        </row>
        <row r="3491">
          <cell r="W3491" t="str">
            <v>QDEKA01</v>
          </cell>
          <cell r="AD3491">
            <v>50500</v>
          </cell>
        </row>
        <row r="3492">
          <cell r="W3492" t="str">
            <v>QDEKA01</v>
          </cell>
          <cell r="AD3492">
            <v>50500</v>
          </cell>
        </row>
        <row r="3493">
          <cell r="W3493" t="str">
            <v>QDEKA01</v>
          </cell>
          <cell r="AD3493">
            <v>50500</v>
          </cell>
        </row>
        <row r="3494">
          <cell r="W3494" t="str">
            <v>QDEKA01</v>
          </cell>
          <cell r="AD3494">
            <v>50500</v>
          </cell>
        </row>
        <row r="3495">
          <cell r="W3495" t="str">
            <v>QDEKA01</v>
          </cell>
          <cell r="AD3495">
            <v>50500</v>
          </cell>
        </row>
        <row r="3496">
          <cell r="W3496" t="str">
            <v>QDEKA01</v>
          </cell>
          <cell r="AD3496">
            <v>50500</v>
          </cell>
        </row>
        <row r="3497">
          <cell r="W3497" t="str">
            <v>QDEKA01</v>
          </cell>
          <cell r="AD3497">
            <v>50500</v>
          </cell>
        </row>
        <row r="3498">
          <cell r="W3498" t="str">
            <v>QDEKA01</v>
          </cell>
          <cell r="AD3498">
            <v>50500</v>
          </cell>
        </row>
        <row r="3499">
          <cell r="W3499" t="str">
            <v>QDEKA01</v>
          </cell>
          <cell r="AD3499">
            <v>50500</v>
          </cell>
        </row>
        <row r="3500">
          <cell r="W3500" t="str">
            <v>QDEKA01</v>
          </cell>
          <cell r="AD3500">
            <v>50500</v>
          </cell>
        </row>
        <row r="3501">
          <cell r="W3501" t="str">
            <v>QDEKA01</v>
          </cell>
          <cell r="AD3501">
            <v>50500</v>
          </cell>
        </row>
        <row r="3502">
          <cell r="W3502" t="str">
            <v>QDEKA01</v>
          </cell>
          <cell r="AD3502">
            <v>50500</v>
          </cell>
        </row>
        <row r="3503">
          <cell r="W3503" t="str">
            <v>QDEKA01</v>
          </cell>
          <cell r="AD3503">
            <v>50500</v>
          </cell>
        </row>
        <row r="3504">
          <cell r="W3504" t="str">
            <v>QDEKA01</v>
          </cell>
          <cell r="AD3504">
            <v>50750</v>
          </cell>
        </row>
        <row r="3505">
          <cell r="W3505" t="str">
            <v>QDEKA02</v>
          </cell>
          <cell r="AD3505">
            <v>11400</v>
          </cell>
        </row>
        <row r="3506">
          <cell r="W3506" t="str">
            <v>QDEKA02</v>
          </cell>
          <cell r="AD3506">
            <v>11400</v>
          </cell>
        </row>
        <row r="3507">
          <cell r="W3507" t="str">
            <v>QDEKA02</v>
          </cell>
          <cell r="AD3507">
            <v>11500</v>
          </cell>
        </row>
        <row r="3508">
          <cell r="W3508" t="str">
            <v>QDEKA02</v>
          </cell>
          <cell r="AD3508">
            <v>12000</v>
          </cell>
        </row>
        <row r="3509">
          <cell r="W3509" t="str">
            <v>QDEKA02</v>
          </cell>
          <cell r="AD3509">
            <v>12000</v>
          </cell>
        </row>
        <row r="3510">
          <cell r="W3510" t="str">
            <v>QDEKA02</v>
          </cell>
          <cell r="AD3510">
            <v>12000</v>
          </cell>
        </row>
        <row r="3511">
          <cell r="W3511" t="str">
            <v>QDEKA02</v>
          </cell>
          <cell r="AD3511">
            <v>12000</v>
          </cell>
        </row>
        <row r="3512">
          <cell r="W3512" t="str">
            <v>QDEKA02</v>
          </cell>
          <cell r="AD3512">
            <v>12000</v>
          </cell>
        </row>
        <row r="3513">
          <cell r="W3513" t="str">
            <v>QDEKA02</v>
          </cell>
          <cell r="AD3513">
            <v>12500</v>
          </cell>
        </row>
        <row r="3514">
          <cell r="W3514" t="str">
            <v>QDEKA04</v>
          </cell>
          <cell r="AD3514">
            <v>425000</v>
          </cell>
        </row>
        <row r="3515">
          <cell r="W3515" t="str">
            <v>QDEKA04</v>
          </cell>
          <cell r="AD3515">
            <v>425000</v>
          </cell>
        </row>
        <row r="3516">
          <cell r="W3516" t="str">
            <v>QDEKA05</v>
          </cell>
          <cell r="AD3516">
            <v>92500</v>
          </cell>
        </row>
        <row r="3517">
          <cell r="W3517" t="str">
            <v>QDEKA05</v>
          </cell>
          <cell r="AD3517">
            <v>92500</v>
          </cell>
        </row>
        <row r="3518">
          <cell r="W3518" t="str">
            <v>QDEKA05</v>
          </cell>
          <cell r="AD3518">
            <v>92500</v>
          </cell>
        </row>
        <row r="3519">
          <cell r="W3519" t="str">
            <v>QDEKA05</v>
          </cell>
          <cell r="AD3519">
            <v>92500</v>
          </cell>
        </row>
        <row r="3520">
          <cell r="W3520" t="str">
            <v>QDEKA05</v>
          </cell>
          <cell r="AD3520">
            <v>92500</v>
          </cell>
        </row>
        <row r="3521">
          <cell r="W3521" t="str">
            <v>QDEKA05</v>
          </cell>
          <cell r="AD3521">
            <v>92500</v>
          </cell>
        </row>
        <row r="3522">
          <cell r="W3522" t="str">
            <v>QDEKA05</v>
          </cell>
          <cell r="AD3522">
            <v>92500</v>
          </cell>
        </row>
        <row r="3523">
          <cell r="W3523" t="str">
            <v>QDEKA05</v>
          </cell>
          <cell r="AD3523">
            <v>92500</v>
          </cell>
        </row>
        <row r="3524">
          <cell r="W3524" t="str">
            <v>QDEKA05</v>
          </cell>
          <cell r="AD3524">
            <v>92500</v>
          </cell>
        </row>
        <row r="3525">
          <cell r="W3525" t="str">
            <v>QDEKT02</v>
          </cell>
          <cell r="AD3525">
            <v>75000</v>
          </cell>
        </row>
        <row r="3526">
          <cell r="W3526" t="str">
            <v>QDEKT02</v>
          </cell>
          <cell r="AD3526">
            <v>75000</v>
          </cell>
        </row>
        <row r="3527">
          <cell r="W3527" t="str">
            <v>QDEKT02</v>
          </cell>
          <cell r="AD3527">
            <v>75000</v>
          </cell>
        </row>
        <row r="3528">
          <cell r="W3528" t="str">
            <v>QDEKT02</v>
          </cell>
          <cell r="AD3528">
            <v>75000</v>
          </cell>
        </row>
        <row r="3529">
          <cell r="W3529" t="str">
            <v>QDEKT02</v>
          </cell>
          <cell r="AD3529">
            <v>75000</v>
          </cell>
        </row>
        <row r="3530">
          <cell r="W3530" t="str">
            <v>QDEKT02</v>
          </cell>
          <cell r="AD3530">
            <v>75000</v>
          </cell>
        </row>
        <row r="3531">
          <cell r="W3531" t="str">
            <v>QDEKT02</v>
          </cell>
          <cell r="AD3531">
            <v>75000</v>
          </cell>
        </row>
        <row r="3532">
          <cell r="W3532" t="str">
            <v>QDEKT02</v>
          </cell>
          <cell r="AD3532">
            <v>75000</v>
          </cell>
        </row>
        <row r="3533">
          <cell r="W3533" t="str">
            <v>QDEKT02</v>
          </cell>
          <cell r="AD3533">
            <v>75000</v>
          </cell>
        </row>
        <row r="3534">
          <cell r="W3534" t="str">
            <v>QDEKT02</v>
          </cell>
          <cell r="AD3534">
            <v>75000</v>
          </cell>
        </row>
        <row r="3535">
          <cell r="W3535" t="str">
            <v>QDEKT02</v>
          </cell>
          <cell r="AD3535">
            <v>75000</v>
          </cell>
        </row>
        <row r="3536">
          <cell r="W3536" t="str">
            <v>QDEKT02</v>
          </cell>
          <cell r="AD3536">
            <v>75000</v>
          </cell>
        </row>
        <row r="3537">
          <cell r="W3537" t="str">
            <v>QDEKT02</v>
          </cell>
          <cell r="AD3537">
            <v>75000</v>
          </cell>
        </row>
        <row r="3538">
          <cell r="W3538" t="str">
            <v>QDEKT02</v>
          </cell>
          <cell r="AD3538">
            <v>75000</v>
          </cell>
        </row>
        <row r="3539">
          <cell r="W3539" t="str">
            <v>QDEKT02</v>
          </cell>
          <cell r="AD3539">
            <v>75000</v>
          </cell>
        </row>
        <row r="3540">
          <cell r="W3540" t="str">
            <v>QDEKT02</v>
          </cell>
          <cell r="AD3540">
            <v>75000</v>
          </cell>
        </row>
        <row r="3541">
          <cell r="W3541" t="str">
            <v>QDELL03</v>
          </cell>
          <cell r="AD3541">
            <v>140000</v>
          </cell>
        </row>
        <row r="3542">
          <cell r="W3542" t="str">
            <v>QDELL03</v>
          </cell>
          <cell r="AD3542">
            <v>140000</v>
          </cell>
        </row>
        <row r="3543">
          <cell r="W3543" t="str">
            <v>QDELL03</v>
          </cell>
          <cell r="AD3543">
            <v>140000</v>
          </cell>
        </row>
        <row r="3544">
          <cell r="W3544" t="str">
            <v>QDELL03</v>
          </cell>
          <cell r="AD3544">
            <v>140000</v>
          </cell>
        </row>
        <row r="3545">
          <cell r="W3545" t="str">
            <v>QDELL03</v>
          </cell>
          <cell r="AD3545">
            <v>140000</v>
          </cell>
        </row>
        <row r="3546">
          <cell r="W3546" t="str">
            <v>QDELL03</v>
          </cell>
          <cell r="AD3546">
            <v>143000</v>
          </cell>
        </row>
        <row r="3547">
          <cell r="W3547" t="str">
            <v>QDELL04</v>
          </cell>
          <cell r="AD3547">
            <v>73500</v>
          </cell>
        </row>
        <row r="3548">
          <cell r="W3548" t="str">
            <v>QDELL04</v>
          </cell>
          <cell r="AD3548">
            <v>73500</v>
          </cell>
        </row>
        <row r="3549">
          <cell r="W3549" t="str">
            <v>QDELL04</v>
          </cell>
          <cell r="AD3549">
            <v>73500</v>
          </cell>
        </row>
        <row r="3550">
          <cell r="W3550" t="str">
            <v>QDELL04</v>
          </cell>
          <cell r="AD3550">
            <v>74000</v>
          </cell>
        </row>
        <row r="3551">
          <cell r="W3551" t="str">
            <v>QDELL04</v>
          </cell>
          <cell r="AD3551">
            <v>74000</v>
          </cell>
        </row>
        <row r="3552">
          <cell r="W3552" t="str">
            <v>QDELL04</v>
          </cell>
          <cell r="AD3552">
            <v>74000</v>
          </cell>
        </row>
        <row r="3553">
          <cell r="W3553" t="str">
            <v>QDELL04</v>
          </cell>
          <cell r="AD3553">
            <v>74000</v>
          </cell>
        </row>
        <row r="3554">
          <cell r="W3554" t="str">
            <v>QDELL04</v>
          </cell>
          <cell r="AD3554">
            <v>74000</v>
          </cell>
        </row>
        <row r="3555">
          <cell r="W3555" t="str">
            <v>QDELL04</v>
          </cell>
          <cell r="AD3555">
            <v>74000</v>
          </cell>
        </row>
        <row r="3556">
          <cell r="W3556" t="str">
            <v>QDELL04</v>
          </cell>
          <cell r="AD3556">
            <v>74000</v>
          </cell>
        </row>
        <row r="3557">
          <cell r="W3557" t="str">
            <v>QDELL04</v>
          </cell>
          <cell r="AD3557">
            <v>74000</v>
          </cell>
        </row>
        <row r="3558">
          <cell r="W3558" t="str">
            <v>QDELL01</v>
          </cell>
          <cell r="AD3558">
            <v>31500</v>
          </cell>
        </row>
        <row r="3559">
          <cell r="W3559" t="str">
            <v>QDELL01</v>
          </cell>
          <cell r="AD3559">
            <v>31500</v>
          </cell>
        </row>
        <row r="3560">
          <cell r="W3560" t="str">
            <v>QDELL01</v>
          </cell>
          <cell r="AD3560">
            <v>31500</v>
          </cell>
        </row>
        <row r="3561">
          <cell r="W3561" t="str">
            <v>QDELL01</v>
          </cell>
          <cell r="AD3561">
            <v>31500</v>
          </cell>
        </row>
        <row r="3562">
          <cell r="W3562" t="str">
            <v>QDELL01</v>
          </cell>
          <cell r="AD3562">
            <v>31500</v>
          </cell>
        </row>
        <row r="3563">
          <cell r="W3563" t="str">
            <v>QDELL01</v>
          </cell>
          <cell r="AD3563">
            <v>31500</v>
          </cell>
        </row>
        <row r="3564">
          <cell r="W3564" t="str">
            <v>QDELL01</v>
          </cell>
          <cell r="AD3564">
            <v>31500</v>
          </cell>
        </row>
        <row r="3565">
          <cell r="W3565" t="str">
            <v>QDELL01</v>
          </cell>
          <cell r="AD3565">
            <v>31500</v>
          </cell>
        </row>
        <row r="3566">
          <cell r="W3566" t="str">
            <v>ADESA01</v>
          </cell>
          <cell r="AD3566">
            <v>1</v>
          </cell>
        </row>
        <row r="3567">
          <cell r="W3567" t="str">
            <v>QDESA01</v>
          </cell>
          <cell r="AD3567">
            <v>35500</v>
          </cell>
        </row>
        <row r="3568">
          <cell r="W3568" t="str">
            <v>QDESA01</v>
          </cell>
          <cell r="AD3568">
            <v>35500</v>
          </cell>
        </row>
        <row r="3569">
          <cell r="W3569" t="str">
            <v>QDESA01</v>
          </cell>
          <cell r="AD3569">
            <v>35500</v>
          </cell>
        </row>
        <row r="3570">
          <cell r="W3570" t="str">
            <v>QDESA01</v>
          </cell>
          <cell r="AD3570">
            <v>35500</v>
          </cell>
        </row>
        <row r="3571">
          <cell r="W3571" t="str">
            <v>QDESA01</v>
          </cell>
          <cell r="AD3571">
            <v>35500</v>
          </cell>
        </row>
        <row r="3572">
          <cell r="W3572" t="str">
            <v>QDESA01</v>
          </cell>
          <cell r="AD3572">
            <v>35500</v>
          </cell>
        </row>
        <row r="3573">
          <cell r="W3573" t="str">
            <v>QDESA01</v>
          </cell>
          <cell r="AD3573">
            <v>35500</v>
          </cell>
        </row>
        <row r="3574">
          <cell r="W3574" t="str">
            <v>QDESA01</v>
          </cell>
          <cell r="AD3574">
            <v>44000</v>
          </cell>
        </row>
        <row r="3575">
          <cell r="W3575" t="str">
            <v>ADESA01</v>
          </cell>
          <cell r="AD3575">
            <v>44000</v>
          </cell>
        </row>
        <row r="3576">
          <cell r="W3576" t="str">
            <v>QDESA01</v>
          </cell>
          <cell r="AD3576">
            <v>46000</v>
          </cell>
        </row>
        <row r="3577">
          <cell r="W3577" t="str">
            <v>QDESA01</v>
          </cell>
          <cell r="AD3577">
            <v>46000</v>
          </cell>
        </row>
        <row r="3578">
          <cell r="W3578" t="str">
            <v>QDESA01</v>
          </cell>
          <cell r="AD3578">
            <v>46000</v>
          </cell>
        </row>
        <row r="3579">
          <cell r="W3579" t="str">
            <v>QDESA01</v>
          </cell>
          <cell r="AD3579">
            <v>48000</v>
          </cell>
        </row>
        <row r="3580">
          <cell r="W3580" t="str">
            <v>QDESA01</v>
          </cell>
          <cell r="AD3580">
            <v>48000</v>
          </cell>
        </row>
        <row r="3581">
          <cell r="W3581" t="str">
            <v>QDESA01</v>
          </cell>
          <cell r="AD3581">
            <v>48000</v>
          </cell>
        </row>
        <row r="3582">
          <cell r="W3582" t="str">
            <v>QDESA01</v>
          </cell>
          <cell r="AD3582">
            <v>48000</v>
          </cell>
        </row>
        <row r="3583">
          <cell r="W3583" t="str">
            <v>QDESA01</v>
          </cell>
          <cell r="AD3583">
            <v>48000</v>
          </cell>
        </row>
        <row r="3584">
          <cell r="W3584" t="str">
            <v>QDESA01</v>
          </cell>
          <cell r="AD3584">
            <v>48000</v>
          </cell>
        </row>
        <row r="3585">
          <cell r="W3585" t="str">
            <v>QDESA01</v>
          </cell>
          <cell r="AD3585">
            <v>48000</v>
          </cell>
        </row>
        <row r="3586">
          <cell r="W3586" t="str">
            <v>QDESA01</v>
          </cell>
          <cell r="AD3586">
            <v>48000</v>
          </cell>
        </row>
        <row r="3587">
          <cell r="W3587" t="str">
            <v>QDESA01</v>
          </cell>
          <cell r="AD3587">
            <v>48000</v>
          </cell>
        </row>
        <row r="3588">
          <cell r="W3588" t="str">
            <v>QDESA01</v>
          </cell>
          <cell r="AD3588">
            <v>48000</v>
          </cell>
        </row>
        <row r="3589">
          <cell r="W3589" t="str">
            <v>QDESA01</v>
          </cell>
          <cell r="AD3589">
            <v>48000</v>
          </cell>
        </row>
        <row r="3590">
          <cell r="W3590" t="str">
            <v>QDESA01</v>
          </cell>
          <cell r="AD3590">
            <v>48000</v>
          </cell>
        </row>
        <row r="3591">
          <cell r="W3591" t="str">
            <v>QDESA01</v>
          </cell>
          <cell r="AD3591">
            <v>48000</v>
          </cell>
        </row>
        <row r="3592">
          <cell r="W3592" t="str">
            <v>QDESA01</v>
          </cell>
          <cell r="AD3592">
            <v>48000</v>
          </cell>
        </row>
        <row r="3593">
          <cell r="W3593" t="str">
            <v>QDESA01</v>
          </cell>
          <cell r="AD3593">
            <v>48000</v>
          </cell>
        </row>
        <row r="3594">
          <cell r="W3594" t="str">
            <v>QDESA01</v>
          </cell>
          <cell r="AD3594">
            <v>48000</v>
          </cell>
        </row>
        <row r="3595">
          <cell r="W3595" t="str">
            <v>QDESA01</v>
          </cell>
          <cell r="AD3595">
            <v>48000</v>
          </cell>
        </row>
        <row r="3596">
          <cell r="W3596" t="str">
            <v>QDESA01</v>
          </cell>
          <cell r="AD3596">
            <v>48000</v>
          </cell>
        </row>
        <row r="3597">
          <cell r="W3597" t="str">
            <v>QDESA01</v>
          </cell>
          <cell r="AD3597">
            <v>48000</v>
          </cell>
        </row>
        <row r="3598">
          <cell r="W3598" t="str">
            <v>QDESA01</v>
          </cell>
          <cell r="AD3598">
            <v>48000</v>
          </cell>
        </row>
        <row r="3599">
          <cell r="W3599" t="str">
            <v>QDESA01</v>
          </cell>
          <cell r="AD3599">
            <v>48000</v>
          </cell>
        </row>
        <row r="3600">
          <cell r="W3600" t="str">
            <v>QDESA01</v>
          </cell>
          <cell r="AD3600">
            <v>48000</v>
          </cell>
        </row>
        <row r="3601">
          <cell r="W3601" t="str">
            <v>QDESA01</v>
          </cell>
          <cell r="AD3601">
            <v>48000</v>
          </cell>
        </row>
        <row r="3602">
          <cell r="W3602" t="str">
            <v>QDESA01</v>
          </cell>
          <cell r="AD3602">
            <v>48000</v>
          </cell>
        </row>
        <row r="3603">
          <cell r="W3603" t="str">
            <v>ADESA01</v>
          </cell>
          <cell r="AD3603">
            <v>48000</v>
          </cell>
        </row>
        <row r="3604">
          <cell r="W3604" t="str">
            <v>QDESA01</v>
          </cell>
          <cell r="AD3604">
            <v>48000</v>
          </cell>
        </row>
        <row r="3605">
          <cell r="W3605" t="str">
            <v>QDESA01</v>
          </cell>
          <cell r="AD3605">
            <v>48000</v>
          </cell>
        </row>
        <row r="3606">
          <cell r="W3606" t="str">
            <v>QDESA01</v>
          </cell>
          <cell r="AD3606">
            <v>48000</v>
          </cell>
        </row>
        <row r="3607">
          <cell r="W3607" t="str">
            <v>ADESA01</v>
          </cell>
          <cell r="AD3607">
            <v>48000</v>
          </cell>
        </row>
        <row r="3608">
          <cell r="W3608" t="str">
            <v>QDESA01</v>
          </cell>
          <cell r="AD3608">
            <v>48000</v>
          </cell>
        </row>
        <row r="3609">
          <cell r="W3609" t="str">
            <v>ADESA01</v>
          </cell>
          <cell r="AD3609">
            <v>48000</v>
          </cell>
        </row>
        <row r="3610">
          <cell r="W3610" t="str">
            <v>QDESA01</v>
          </cell>
          <cell r="AD3610">
            <v>48500</v>
          </cell>
        </row>
        <row r="3611">
          <cell r="W3611" t="str">
            <v>QDESA01</v>
          </cell>
          <cell r="AD3611">
            <v>48500</v>
          </cell>
        </row>
        <row r="3612">
          <cell r="W3612" t="str">
            <v>QDESA01</v>
          </cell>
          <cell r="AD3612">
            <v>50000</v>
          </cell>
        </row>
        <row r="3613">
          <cell r="W3613" t="str">
            <v>QDESA01</v>
          </cell>
          <cell r="AD3613">
            <v>50000</v>
          </cell>
        </row>
        <row r="3614">
          <cell r="W3614" t="str">
            <v>QDESA01</v>
          </cell>
          <cell r="AD3614">
            <v>50000</v>
          </cell>
        </row>
        <row r="3615">
          <cell r="W3615" t="str">
            <v>QDESA01</v>
          </cell>
          <cell r="AD3615">
            <v>50000</v>
          </cell>
        </row>
        <row r="3616">
          <cell r="W3616" t="str">
            <v>ADESA01</v>
          </cell>
          <cell r="AD3616">
            <v>55000</v>
          </cell>
        </row>
        <row r="3617">
          <cell r="W3617" t="str">
            <v>ADESA02</v>
          </cell>
          <cell r="AD3617">
            <v>115000</v>
          </cell>
        </row>
        <row r="3618">
          <cell r="W3618" t="str">
            <v>ADESA02</v>
          </cell>
          <cell r="AD3618">
            <v>115000</v>
          </cell>
        </row>
        <row r="3619">
          <cell r="W3619" t="str">
            <v>QDESA02</v>
          </cell>
          <cell r="AD3619">
            <v>115000</v>
          </cell>
        </row>
        <row r="3620">
          <cell r="W3620" t="str">
            <v>QDESA02</v>
          </cell>
          <cell r="AD3620">
            <v>115000</v>
          </cell>
        </row>
        <row r="3621">
          <cell r="W3621" t="str">
            <v>QDESA02</v>
          </cell>
          <cell r="AD3621">
            <v>115000</v>
          </cell>
        </row>
        <row r="3622">
          <cell r="W3622" t="str">
            <v>QDESA02</v>
          </cell>
          <cell r="AD3622">
            <v>115000</v>
          </cell>
        </row>
        <row r="3623">
          <cell r="W3623" t="str">
            <v>QDESA02</v>
          </cell>
          <cell r="AD3623">
            <v>115000</v>
          </cell>
        </row>
        <row r="3624">
          <cell r="W3624" t="str">
            <v>QDESA02</v>
          </cell>
          <cell r="AD3624">
            <v>115000</v>
          </cell>
        </row>
        <row r="3625">
          <cell r="W3625" t="str">
            <v>QDESA02</v>
          </cell>
          <cell r="AD3625">
            <v>115000</v>
          </cell>
        </row>
        <row r="3626">
          <cell r="W3626" t="str">
            <v>QDESA02</v>
          </cell>
          <cell r="AD3626">
            <v>115000</v>
          </cell>
        </row>
        <row r="3627">
          <cell r="W3627" t="str">
            <v>QDESA02</v>
          </cell>
          <cell r="AD3627">
            <v>115000</v>
          </cell>
        </row>
        <row r="3628">
          <cell r="W3628" t="str">
            <v>QDESA02</v>
          </cell>
          <cell r="AD3628">
            <v>115000</v>
          </cell>
        </row>
        <row r="3629">
          <cell r="W3629" t="str">
            <v>QDESA02</v>
          </cell>
          <cell r="AD3629">
            <v>115000</v>
          </cell>
        </row>
        <row r="3630">
          <cell r="W3630" t="str">
            <v>QDESA02</v>
          </cell>
          <cell r="AD3630">
            <v>115000</v>
          </cell>
        </row>
        <row r="3631">
          <cell r="W3631" t="str">
            <v>QDESA02</v>
          </cell>
          <cell r="AD3631">
            <v>115000</v>
          </cell>
        </row>
        <row r="3632">
          <cell r="W3632" t="str">
            <v>QDESA02</v>
          </cell>
          <cell r="AD3632">
            <v>115000</v>
          </cell>
        </row>
        <row r="3633">
          <cell r="W3633" t="str">
            <v>QDESA02</v>
          </cell>
          <cell r="AD3633">
            <v>115000</v>
          </cell>
        </row>
        <row r="3634">
          <cell r="W3634" t="str">
            <v>QDESA02</v>
          </cell>
          <cell r="AD3634">
            <v>115000</v>
          </cell>
        </row>
        <row r="3635">
          <cell r="W3635" t="str">
            <v>QDESA02</v>
          </cell>
          <cell r="AD3635">
            <v>115000</v>
          </cell>
        </row>
        <row r="3636">
          <cell r="W3636" t="str">
            <v>QDESA02</v>
          </cell>
          <cell r="AD3636">
            <v>115000</v>
          </cell>
        </row>
        <row r="3637">
          <cell r="W3637" t="str">
            <v>QDESA02</v>
          </cell>
          <cell r="AD3637">
            <v>115000</v>
          </cell>
        </row>
        <row r="3638">
          <cell r="W3638" t="str">
            <v>QDESA02</v>
          </cell>
          <cell r="AD3638">
            <v>115000</v>
          </cell>
        </row>
        <row r="3639">
          <cell r="W3639" t="str">
            <v>QDESA02</v>
          </cell>
          <cell r="AD3639">
            <v>115000</v>
          </cell>
        </row>
        <row r="3640">
          <cell r="W3640" t="str">
            <v>QDESA02</v>
          </cell>
          <cell r="AD3640">
            <v>115000</v>
          </cell>
        </row>
        <row r="3641">
          <cell r="W3641" t="str">
            <v>QDEST04</v>
          </cell>
          <cell r="AD3641">
            <v>46500</v>
          </cell>
        </row>
        <row r="3642">
          <cell r="W3642" t="str">
            <v>QDEST04</v>
          </cell>
          <cell r="AD3642">
            <v>46500</v>
          </cell>
        </row>
        <row r="3643">
          <cell r="W3643" t="str">
            <v>QDEST04</v>
          </cell>
          <cell r="AD3643">
            <v>46500</v>
          </cell>
        </row>
        <row r="3644">
          <cell r="W3644" t="str">
            <v>QDEST04</v>
          </cell>
          <cell r="AD3644">
            <v>46500</v>
          </cell>
        </row>
        <row r="3645">
          <cell r="W3645" t="str">
            <v>QDEWA01</v>
          </cell>
          <cell r="AD3645">
            <v>40000</v>
          </cell>
        </row>
        <row r="3646">
          <cell r="W3646" t="str">
            <v>QDEWA01</v>
          </cell>
          <cell r="AD3646">
            <v>40000</v>
          </cell>
        </row>
        <row r="3647">
          <cell r="W3647" t="str">
            <v>QDEWA01</v>
          </cell>
          <cell r="AD3647">
            <v>40000</v>
          </cell>
        </row>
        <row r="3648">
          <cell r="W3648" t="str">
            <v>QDEWA01</v>
          </cell>
          <cell r="AD3648">
            <v>40000</v>
          </cell>
        </row>
        <row r="3649">
          <cell r="W3649" t="str">
            <v>QDEWA01</v>
          </cell>
          <cell r="AD3649">
            <v>40000</v>
          </cell>
        </row>
        <row r="3650">
          <cell r="W3650" t="str">
            <v>QDEWA01</v>
          </cell>
          <cell r="AD3650">
            <v>40000</v>
          </cell>
        </row>
        <row r="3651">
          <cell r="W3651" t="str">
            <v>QDEWA01</v>
          </cell>
          <cell r="AD3651">
            <v>40000</v>
          </cell>
        </row>
        <row r="3652">
          <cell r="W3652" t="str">
            <v>QDEWA01</v>
          </cell>
          <cell r="AD3652">
            <v>40000</v>
          </cell>
        </row>
        <row r="3653">
          <cell r="W3653" t="str">
            <v>QDEWA01</v>
          </cell>
          <cell r="AD3653">
            <v>40000</v>
          </cell>
        </row>
        <row r="3654">
          <cell r="W3654" t="str">
            <v>QDEWA01</v>
          </cell>
          <cell r="AD3654">
            <v>40000</v>
          </cell>
        </row>
        <row r="3655">
          <cell r="W3655" t="str">
            <v>QDEWA01</v>
          </cell>
          <cell r="AD3655">
            <v>40000</v>
          </cell>
        </row>
        <row r="3656">
          <cell r="W3656" t="str">
            <v>QDEWA01</v>
          </cell>
          <cell r="AD3656">
            <v>40000</v>
          </cell>
        </row>
        <row r="3657">
          <cell r="W3657" t="str">
            <v>QDEWA01</v>
          </cell>
          <cell r="AD3657">
            <v>40000</v>
          </cell>
        </row>
        <row r="3658">
          <cell r="W3658" t="str">
            <v>QDEWA01</v>
          </cell>
          <cell r="AD3658">
            <v>40000</v>
          </cell>
        </row>
        <row r="3659">
          <cell r="W3659" t="str">
            <v>QDEWA01</v>
          </cell>
          <cell r="AD3659">
            <v>40000</v>
          </cell>
        </row>
        <row r="3660">
          <cell r="W3660" t="str">
            <v>QDEWA01</v>
          </cell>
          <cell r="AD3660">
            <v>40000</v>
          </cell>
        </row>
        <row r="3661">
          <cell r="W3661" t="str">
            <v>QDEWA01</v>
          </cell>
          <cell r="AD3661">
            <v>40000</v>
          </cell>
        </row>
        <row r="3662">
          <cell r="W3662" t="str">
            <v>QDEWA01</v>
          </cell>
          <cell r="AD3662">
            <v>40000</v>
          </cell>
        </row>
        <row r="3663">
          <cell r="W3663" t="str">
            <v>QDEWA01</v>
          </cell>
          <cell r="AD3663">
            <v>40000</v>
          </cell>
        </row>
        <row r="3664">
          <cell r="W3664" t="str">
            <v>QDEWA01</v>
          </cell>
          <cell r="AD3664">
            <v>40000</v>
          </cell>
        </row>
        <row r="3665">
          <cell r="W3665" t="str">
            <v>QDEWA01</v>
          </cell>
          <cell r="AD3665">
            <v>40000</v>
          </cell>
        </row>
        <row r="3666">
          <cell r="W3666" t="str">
            <v>QDEWA01</v>
          </cell>
          <cell r="AD3666">
            <v>40000</v>
          </cell>
        </row>
        <row r="3667">
          <cell r="W3667" t="str">
            <v>QDEWA01</v>
          </cell>
          <cell r="AD3667">
            <v>40000</v>
          </cell>
        </row>
        <row r="3668">
          <cell r="W3668" t="str">
            <v>QDEWA01</v>
          </cell>
          <cell r="AD3668">
            <v>40000</v>
          </cell>
        </row>
        <row r="3669">
          <cell r="W3669" t="str">
            <v>QDEWA01</v>
          </cell>
          <cell r="AD3669">
            <v>40000</v>
          </cell>
        </row>
        <row r="3670">
          <cell r="W3670" t="str">
            <v>QDEWA01</v>
          </cell>
          <cell r="AD3670">
            <v>40000</v>
          </cell>
        </row>
        <row r="3671">
          <cell r="W3671" t="str">
            <v>QDEWA01</v>
          </cell>
          <cell r="AD3671">
            <v>40000</v>
          </cell>
        </row>
        <row r="3672">
          <cell r="W3672" t="str">
            <v>QDEWA01</v>
          </cell>
          <cell r="AD3672">
            <v>40000</v>
          </cell>
        </row>
        <row r="3673">
          <cell r="W3673" t="str">
            <v>QDEWA01</v>
          </cell>
          <cell r="AD3673">
            <v>40000</v>
          </cell>
        </row>
        <row r="3674">
          <cell r="W3674" t="str">
            <v>QDEWA01</v>
          </cell>
          <cell r="AD3674">
            <v>40000</v>
          </cell>
        </row>
        <row r="3675">
          <cell r="W3675" t="str">
            <v>QDEWA01</v>
          </cell>
          <cell r="AD3675">
            <v>40000</v>
          </cell>
        </row>
        <row r="3676">
          <cell r="W3676" t="str">
            <v>QDEWA01</v>
          </cell>
          <cell r="AD3676">
            <v>40000</v>
          </cell>
        </row>
        <row r="3677">
          <cell r="W3677" t="str">
            <v>QDEWA01</v>
          </cell>
          <cell r="AD3677">
            <v>40000</v>
          </cell>
        </row>
        <row r="3678">
          <cell r="W3678" t="str">
            <v>QDEWA01</v>
          </cell>
          <cell r="AD3678">
            <v>40000</v>
          </cell>
        </row>
        <row r="3679">
          <cell r="W3679" t="str">
            <v>QDEWA01</v>
          </cell>
          <cell r="AD3679">
            <v>40000</v>
          </cell>
        </row>
        <row r="3680">
          <cell r="W3680" t="str">
            <v>QDEWA01</v>
          </cell>
          <cell r="AD3680">
            <v>40000</v>
          </cell>
        </row>
        <row r="3681">
          <cell r="W3681" t="str">
            <v>QDEWA01</v>
          </cell>
          <cell r="AD3681">
            <v>40000</v>
          </cell>
        </row>
        <row r="3682">
          <cell r="W3682" t="str">
            <v>QDEWA01</v>
          </cell>
          <cell r="AD3682">
            <v>40000</v>
          </cell>
        </row>
        <row r="3683">
          <cell r="W3683" t="str">
            <v>QDEWA01</v>
          </cell>
          <cell r="AD3683">
            <v>43000</v>
          </cell>
        </row>
        <row r="3684">
          <cell r="W3684" t="str">
            <v>QDEWA01</v>
          </cell>
          <cell r="AD3684">
            <v>43000</v>
          </cell>
        </row>
        <row r="3685">
          <cell r="W3685" t="str">
            <v>QDEWA01</v>
          </cell>
          <cell r="AD3685">
            <v>43000</v>
          </cell>
        </row>
        <row r="3686">
          <cell r="W3686" t="str">
            <v>QDEWA01</v>
          </cell>
          <cell r="AD3686">
            <v>43000</v>
          </cell>
        </row>
        <row r="3687">
          <cell r="W3687" t="str">
            <v>QDEWA01</v>
          </cell>
          <cell r="AD3687">
            <v>43000</v>
          </cell>
        </row>
        <row r="3688">
          <cell r="W3688" t="str">
            <v>QDEWA01</v>
          </cell>
          <cell r="AD3688">
            <v>43000</v>
          </cell>
        </row>
        <row r="3689">
          <cell r="W3689" t="str">
            <v>QDEWA01</v>
          </cell>
          <cell r="AD3689">
            <v>43000</v>
          </cell>
        </row>
        <row r="3690">
          <cell r="W3690" t="str">
            <v>QDEWA01</v>
          </cell>
          <cell r="AD3690">
            <v>43000</v>
          </cell>
        </row>
        <row r="3691">
          <cell r="W3691" t="str">
            <v>QDKDU01</v>
          </cell>
          <cell r="AD3691">
            <v>80000</v>
          </cell>
        </row>
        <row r="3692">
          <cell r="W3692" t="str">
            <v>QDKDU01</v>
          </cell>
          <cell r="AD3692">
            <v>80000</v>
          </cell>
        </row>
        <row r="3693">
          <cell r="W3693" t="str">
            <v>QDKDU01</v>
          </cell>
          <cell r="AD3693">
            <v>115000</v>
          </cell>
        </row>
        <row r="3694">
          <cell r="W3694" t="str">
            <v>QDKFE02</v>
          </cell>
          <cell r="AD3694">
            <v>150000</v>
          </cell>
        </row>
        <row r="3695">
          <cell r="W3695" t="str">
            <v>QDKFE02</v>
          </cell>
          <cell r="AD3695">
            <v>175000</v>
          </cell>
        </row>
        <row r="3696">
          <cell r="W3696" t="str">
            <v>QDKFE01</v>
          </cell>
          <cell r="AD3696">
            <v>77500</v>
          </cell>
        </row>
        <row r="3697">
          <cell r="W3697" t="str">
            <v>ADKFE01</v>
          </cell>
          <cell r="AD3697">
            <v>115000</v>
          </cell>
        </row>
        <row r="3698">
          <cell r="W3698" t="str">
            <v>QDKFE01</v>
          </cell>
          <cell r="AD3698">
            <v>115000</v>
          </cell>
        </row>
        <row r="3699">
          <cell r="W3699" t="str">
            <v>QDKFE01</v>
          </cell>
          <cell r="AD3699">
            <v>115000</v>
          </cell>
        </row>
        <row r="3700">
          <cell r="W3700" t="str">
            <v>QDKFE01</v>
          </cell>
          <cell r="AD3700">
            <v>115000</v>
          </cell>
        </row>
        <row r="3701">
          <cell r="W3701" t="str">
            <v>QDKFE01</v>
          </cell>
          <cell r="AD3701">
            <v>115000</v>
          </cell>
        </row>
        <row r="3702">
          <cell r="W3702" t="str">
            <v>QDKFE01</v>
          </cell>
          <cell r="AD3702">
            <v>115000</v>
          </cell>
        </row>
        <row r="3703">
          <cell r="W3703" t="str">
            <v>QDKFE01</v>
          </cell>
          <cell r="AD3703">
            <v>115000</v>
          </cell>
        </row>
        <row r="3704">
          <cell r="W3704" t="str">
            <v>QDKFE01</v>
          </cell>
          <cell r="AD3704">
            <v>115000</v>
          </cell>
        </row>
        <row r="3705">
          <cell r="W3705" t="str">
            <v>QDKFE01</v>
          </cell>
          <cell r="AD3705">
            <v>115000</v>
          </cell>
        </row>
        <row r="3706">
          <cell r="W3706" t="str">
            <v>QDKFE01</v>
          </cell>
          <cell r="AD3706">
            <v>115000</v>
          </cell>
        </row>
        <row r="3707">
          <cell r="W3707" t="str">
            <v>QDKFE01</v>
          </cell>
          <cell r="AD3707">
            <v>115000</v>
          </cell>
        </row>
        <row r="3708">
          <cell r="W3708" t="str">
            <v>QDKFE03</v>
          </cell>
          <cell r="AD3708">
            <v>35000</v>
          </cell>
        </row>
        <row r="3709">
          <cell r="W3709" t="str">
            <v>QDKFE03</v>
          </cell>
          <cell r="AD3709">
            <v>35000</v>
          </cell>
        </row>
        <row r="3710">
          <cell r="W3710" t="str">
            <v>QDKFE03</v>
          </cell>
          <cell r="AD3710">
            <v>51000</v>
          </cell>
        </row>
        <row r="3711">
          <cell r="W3711" t="str">
            <v>ADKFE03</v>
          </cell>
          <cell r="AD3711">
            <v>51000</v>
          </cell>
        </row>
        <row r="3712">
          <cell r="W3712" t="str">
            <v>ADKFE03</v>
          </cell>
          <cell r="AD3712">
            <v>51000</v>
          </cell>
        </row>
        <row r="3713">
          <cell r="W3713" t="str">
            <v>QDKFE03</v>
          </cell>
          <cell r="AD3713">
            <v>51000</v>
          </cell>
        </row>
        <row r="3714">
          <cell r="W3714" t="str">
            <v>QDKFE03</v>
          </cell>
          <cell r="AD3714">
            <v>51000</v>
          </cell>
        </row>
        <row r="3715">
          <cell r="W3715" t="str">
            <v>QDKFE03</v>
          </cell>
          <cell r="AD3715">
            <v>51000</v>
          </cell>
        </row>
        <row r="3716">
          <cell r="W3716" t="str">
            <v>QDKFI06</v>
          </cell>
          <cell r="AD3716">
            <v>24000</v>
          </cell>
        </row>
        <row r="3717">
          <cell r="W3717" t="str">
            <v>ADKFI01</v>
          </cell>
          <cell r="AD3717">
            <v>48000</v>
          </cell>
        </row>
        <row r="3718">
          <cell r="W3718" t="str">
            <v>ADKFI01</v>
          </cell>
          <cell r="AD3718">
            <v>50000</v>
          </cell>
        </row>
        <row r="3719">
          <cell r="W3719" t="str">
            <v>QDKGL10</v>
          </cell>
          <cell r="AD3719">
            <v>720000</v>
          </cell>
        </row>
        <row r="3720">
          <cell r="W3720" t="str">
            <v>QDKGL10</v>
          </cell>
          <cell r="AD3720">
            <v>740000</v>
          </cell>
        </row>
        <row r="3721">
          <cell r="W3721" t="str">
            <v>QDKGL10</v>
          </cell>
          <cell r="AD3721">
            <v>750000</v>
          </cell>
        </row>
        <row r="3722">
          <cell r="W3722" t="str">
            <v>QDKGL09</v>
          </cell>
          <cell r="AD3722">
            <v>215000</v>
          </cell>
        </row>
        <row r="3723">
          <cell r="W3723" t="str">
            <v>QDKME10</v>
          </cell>
          <cell r="AD3723">
            <v>30000</v>
          </cell>
        </row>
        <row r="3724">
          <cell r="W3724" t="str">
            <v>QDKME10</v>
          </cell>
          <cell r="AD3724">
            <v>30000</v>
          </cell>
        </row>
        <row r="3725">
          <cell r="W3725" t="str">
            <v>QDKME10</v>
          </cell>
          <cell r="AD3725">
            <v>30000</v>
          </cell>
        </row>
        <row r="3726">
          <cell r="W3726" t="str">
            <v>QDKME10</v>
          </cell>
          <cell r="AD3726">
            <v>30000</v>
          </cell>
        </row>
        <row r="3727">
          <cell r="W3727" t="str">
            <v>QDKME10</v>
          </cell>
          <cell r="AD3727">
            <v>30000</v>
          </cell>
        </row>
        <row r="3728">
          <cell r="W3728" t="str">
            <v>QDKME09</v>
          </cell>
          <cell r="AD3728">
            <v>105000</v>
          </cell>
        </row>
        <row r="3729">
          <cell r="W3729" t="str">
            <v>ADKME07</v>
          </cell>
          <cell r="AD3729">
            <v>105000</v>
          </cell>
        </row>
        <row r="3730">
          <cell r="W3730" t="str">
            <v>ADKME07</v>
          </cell>
          <cell r="AD3730">
            <v>105000</v>
          </cell>
        </row>
        <row r="3731">
          <cell r="W3731" t="str">
            <v>ADKME07</v>
          </cell>
          <cell r="AD3731">
            <v>105000</v>
          </cell>
        </row>
        <row r="3732">
          <cell r="W3732" t="str">
            <v>QDKME06</v>
          </cell>
          <cell r="AD3732">
            <v>180000</v>
          </cell>
        </row>
        <row r="3733">
          <cell r="W3733" t="str">
            <v>QDKME05</v>
          </cell>
          <cell r="AD3733">
            <v>95000</v>
          </cell>
        </row>
        <row r="3734">
          <cell r="W3734" t="str">
            <v>ADKME03</v>
          </cell>
          <cell r="AD3734">
            <v>95000</v>
          </cell>
        </row>
        <row r="3735">
          <cell r="W3735" t="str">
            <v>QDKME07</v>
          </cell>
          <cell r="AD3735">
            <v>50000</v>
          </cell>
        </row>
        <row r="3736">
          <cell r="W3736" t="str">
            <v>QDKME07</v>
          </cell>
          <cell r="AD3736">
            <v>50000</v>
          </cell>
        </row>
        <row r="3737">
          <cell r="W3737" t="str">
            <v>ADKME06</v>
          </cell>
          <cell r="AD3737">
            <v>50000</v>
          </cell>
        </row>
        <row r="3738">
          <cell r="W3738" t="str">
            <v>ADKME06</v>
          </cell>
          <cell r="AD3738">
            <v>50000</v>
          </cell>
        </row>
        <row r="3739">
          <cell r="W3739" t="str">
            <v>QDKME07</v>
          </cell>
          <cell r="AD3739">
            <v>55000</v>
          </cell>
        </row>
        <row r="3740">
          <cell r="W3740" t="str">
            <v>QDKME07</v>
          </cell>
          <cell r="AD3740">
            <v>55000</v>
          </cell>
        </row>
        <row r="3741">
          <cell r="W3741" t="str">
            <v>QDKME07</v>
          </cell>
          <cell r="AD3741">
            <v>55000</v>
          </cell>
        </row>
        <row r="3742">
          <cell r="W3742" t="str">
            <v>QDKME07</v>
          </cell>
          <cell r="AD3742">
            <v>55000</v>
          </cell>
        </row>
        <row r="3743">
          <cell r="W3743" t="str">
            <v>ADKME06</v>
          </cell>
          <cell r="AD3743">
            <v>55000</v>
          </cell>
        </row>
        <row r="3744">
          <cell r="W3744" t="str">
            <v>ADKME06</v>
          </cell>
          <cell r="AD3744">
            <v>55000</v>
          </cell>
        </row>
        <row r="3745">
          <cell r="W3745" t="str">
            <v>QDKME07</v>
          </cell>
          <cell r="AD3745">
            <v>55000</v>
          </cell>
        </row>
        <row r="3746">
          <cell r="W3746" t="str">
            <v>QDKME03</v>
          </cell>
          <cell r="AD3746">
            <v>1400000</v>
          </cell>
        </row>
        <row r="3747">
          <cell r="W3747" t="str">
            <v>QDKPR01</v>
          </cell>
          <cell r="AD3747">
            <v>22000</v>
          </cell>
        </row>
        <row r="3748">
          <cell r="W3748" t="str">
            <v>QDKPR01</v>
          </cell>
          <cell r="AD3748">
            <v>24000</v>
          </cell>
        </row>
        <row r="3749">
          <cell r="W3749" t="str">
            <v>QDKPR02</v>
          </cell>
          <cell r="AD3749">
            <v>48000</v>
          </cell>
        </row>
        <row r="3750">
          <cell r="W3750" t="str">
            <v>ADKPR02</v>
          </cell>
          <cell r="AD3750">
            <v>48000</v>
          </cell>
        </row>
        <row r="3751">
          <cell r="W3751" t="str">
            <v>QDKST03</v>
          </cell>
          <cell r="AD3751">
            <v>65000</v>
          </cell>
        </row>
        <row r="3752">
          <cell r="W3752" t="str">
            <v>QDKST03</v>
          </cell>
          <cell r="AD3752">
            <v>65000</v>
          </cell>
        </row>
        <row r="3753">
          <cell r="W3753" t="str">
            <v>QDKST03</v>
          </cell>
          <cell r="AD3753">
            <v>85000</v>
          </cell>
        </row>
        <row r="3754">
          <cell r="W3754" t="str">
            <v>QDKST03</v>
          </cell>
          <cell r="AD3754">
            <v>85000</v>
          </cell>
        </row>
        <row r="3755">
          <cell r="W3755" t="str">
            <v>QDKST03</v>
          </cell>
          <cell r="AD3755">
            <v>85000</v>
          </cell>
        </row>
        <row r="3756">
          <cell r="W3756" t="str">
            <v>QDKST03</v>
          </cell>
          <cell r="AD3756">
            <v>85000</v>
          </cell>
        </row>
        <row r="3757">
          <cell r="W3757" t="str">
            <v>QDKST03</v>
          </cell>
          <cell r="AD3757">
            <v>85000</v>
          </cell>
        </row>
        <row r="3758">
          <cell r="W3758" t="str">
            <v>QDKZO01</v>
          </cell>
          <cell r="AD3758">
            <v>31500</v>
          </cell>
        </row>
        <row r="3759">
          <cell r="W3759" t="str">
            <v>QDKZO01</v>
          </cell>
          <cell r="AD3759">
            <v>32000</v>
          </cell>
        </row>
        <row r="3760">
          <cell r="W3760" t="str">
            <v>QDKZO01</v>
          </cell>
          <cell r="AD3760">
            <v>35100</v>
          </cell>
        </row>
        <row r="3761">
          <cell r="W3761" t="str">
            <v>ADKZO02</v>
          </cell>
          <cell r="AD3761">
            <v>35100</v>
          </cell>
        </row>
        <row r="3762">
          <cell r="W3762" t="str">
            <v>QDKZO01</v>
          </cell>
          <cell r="AD3762">
            <v>35100</v>
          </cell>
        </row>
        <row r="3763">
          <cell r="W3763" t="str">
            <v>QDKZO01</v>
          </cell>
          <cell r="AD3763">
            <v>35100</v>
          </cell>
        </row>
        <row r="3764">
          <cell r="W3764" t="str">
            <v>ADKZO02</v>
          </cell>
          <cell r="AD3764">
            <v>35100</v>
          </cell>
        </row>
        <row r="3765">
          <cell r="W3765" t="str">
            <v>QDMA601</v>
          </cell>
          <cell r="AD3765">
            <v>52000</v>
          </cell>
        </row>
        <row r="3766">
          <cell r="W3766" t="str">
            <v>QDMA601</v>
          </cell>
          <cell r="AD3766">
            <v>52000</v>
          </cell>
        </row>
        <row r="3767">
          <cell r="W3767" t="str">
            <v>QDMA601</v>
          </cell>
          <cell r="AD3767">
            <v>52000</v>
          </cell>
        </row>
        <row r="3768">
          <cell r="W3768" t="str">
            <v>QDMA601</v>
          </cell>
          <cell r="AD3768">
            <v>52000</v>
          </cell>
        </row>
        <row r="3769">
          <cell r="W3769" t="str">
            <v>QDMA601</v>
          </cell>
          <cell r="AD3769">
            <v>52500</v>
          </cell>
        </row>
        <row r="3770">
          <cell r="W3770" t="str">
            <v>QDMA602</v>
          </cell>
          <cell r="AD3770">
            <v>27500</v>
          </cell>
        </row>
        <row r="3771">
          <cell r="W3771" t="str">
            <v>QDMA602</v>
          </cell>
          <cell r="AD3771">
            <v>27500</v>
          </cell>
        </row>
        <row r="3772">
          <cell r="W3772" t="str">
            <v>QDMA602</v>
          </cell>
          <cell r="AD3772">
            <v>27500</v>
          </cell>
        </row>
        <row r="3773">
          <cell r="W3773" t="str">
            <v>QDMA602</v>
          </cell>
          <cell r="AD3773">
            <v>27750</v>
          </cell>
        </row>
        <row r="3774">
          <cell r="W3774" t="str">
            <v>QDMA602</v>
          </cell>
          <cell r="AD3774">
            <v>27750</v>
          </cell>
        </row>
        <row r="3775">
          <cell r="W3775" t="str">
            <v>QDMA602</v>
          </cell>
          <cell r="AD3775">
            <v>27750</v>
          </cell>
        </row>
        <row r="3776">
          <cell r="W3776" t="str">
            <v>QDMA602</v>
          </cell>
          <cell r="AD3776">
            <v>27750</v>
          </cell>
        </row>
        <row r="3777">
          <cell r="W3777" t="str">
            <v>QDMA602</v>
          </cell>
          <cell r="AD3777">
            <v>27750</v>
          </cell>
        </row>
        <row r="3778">
          <cell r="W3778" t="str">
            <v>QDMA602</v>
          </cell>
          <cell r="AD3778">
            <v>27750</v>
          </cell>
        </row>
        <row r="3779">
          <cell r="W3779" t="str">
            <v>QDMA602</v>
          </cell>
          <cell r="AD3779">
            <v>27750</v>
          </cell>
        </row>
        <row r="3780">
          <cell r="W3780" t="str">
            <v>QDMA602</v>
          </cell>
          <cell r="AD3780">
            <v>27750</v>
          </cell>
        </row>
        <row r="3781">
          <cell r="W3781" t="str">
            <v>QDMA602</v>
          </cell>
          <cell r="AD3781">
            <v>27750</v>
          </cell>
        </row>
        <row r="3782">
          <cell r="W3782" t="str">
            <v>QDMA602</v>
          </cell>
          <cell r="AD3782">
            <v>27750</v>
          </cell>
        </row>
        <row r="3783">
          <cell r="W3783" t="str">
            <v>QDMA602</v>
          </cell>
          <cell r="AD3783">
            <v>27750</v>
          </cell>
        </row>
        <row r="3784">
          <cell r="W3784" t="str">
            <v>QDMA602</v>
          </cell>
          <cell r="AD3784">
            <v>28000</v>
          </cell>
        </row>
        <row r="3785">
          <cell r="W3785" t="str">
            <v>QDMA602</v>
          </cell>
          <cell r="AD3785">
            <v>28000</v>
          </cell>
        </row>
        <row r="3786">
          <cell r="W3786" t="str">
            <v>QDMA602</v>
          </cell>
          <cell r="AD3786">
            <v>28000</v>
          </cell>
        </row>
        <row r="3787">
          <cell r="W3787" t="str">
            <v>QDMA602</v>
          </cell>
          <cell r="AD3787">
            <v>28000</v>
          </cell>
        </row>
        <row r="3788">
          <cell r="W3788" t="str">
            <v>QDMA602</v>
          </cell>
          <cell r="AD3788">
            <v>28000</v>
          </cell>
        </row>
        <row r="3789">
          <cell r="W3789" t="str">
            <v>QDMA602</v>
          </cell>
          <cell r="AD3789">
            <v>28000</v>
          </cell>
        </row>
        <row r="3790">
          <cell r="W3790" t="str">
            <v>QDMA602</v>
          </cell>
          <cell r="AD3790">
            <v>28000</v>
          </cell>
        </row>
        <row r="3791">
          <cell r="W3791" t="str">
            <v>QDONK01</v>
          </cell>
          <cell r="AD3791">
            <v>13272.73</v>
          </cell>
        </row>
        <row r="3792">
          <cell r="W3792" t="str">
            <v>QDONK01</v>
          </cell>
          <cell r="AD3792">
            <v>13272.73</v>
          </cell>
        </row>
        <row r="3793">
          <cell r="W3793" t="str">
            <v>QDONK01</v>
          </cell>
          <cell r="AD3793">
            <v>18000</v>
          </cell>
        </row>
        <row r="3794">
          <cell r="W3794" t="str">
            <v>QDONK01</v>
          </cell>
          <cell r="AD3794">
            <v>18000</v>
          </cell>
        </row>
        <row r="3795">
          <cell r="W3795" t="str">
            <v>QDONK01</v>
          </cell>
          <cell r="AD3795">
            <v>18000</v>
          </cell>
        </row>
        <row r="3796">
          <cell r="W3796" t="str">
            <v>QDONK01</v>
          </cell>
          <cell r="AD3796">
            <v>18000</v>
          </cell>
        </row>
        <row r="3797">
          <cell r="W3797" t="str">
            <v>QDONK01</v>
          </cell>
          <cell r="AD3797">
            <v>18000</v>
          </cell>
        </row>
        <row r="3798">
          <cell r="W3798" t="str">
            <v>QDONK01</v>
          </cell>
          <cell r="AD3798">
            <v>18000</v>
          </cell>
        </row>
        <row r="3799">
          <cell r="W3799" t="str">
            <v>QDONK01</v>
          </cell>
          <cell r="AD3799">
            <v>18000</v>
          </cell>
        </row>
        <row r="3800">
          <cell r="W3800" t="str">
            <v>QDONK01</v>
          </cell>
          <cell r="AD3800">
            <v>18000</v>
          </cell>
        </row>
        <row r="3801">
          <cell r="W3801" t="str">
            <v>QDONK01</v>
          </cell>
          <cell r="AD3801">
            <v>18000</v>
          </cell>
        </row>
        <row r="3802">
          <cell r="W3802" t="str">
            <v>QDONK01</v>
          </cell>
          <cell r="AD3802">
            <v>18000</v>
          </cell>
        </row>
        <row r="3803">
          <cell r="W3803" t="str">
            <v>QDONK01</v>
          </cell>
          <cell r="AD3803">
            <v>18000</v>
          </cell>
        </row>
        <row r="3804">
          <cell r="W3804" t="str">
            <v>QDONK01</v>
          </cell>
          <cell r="AD3804">
            <v>18000</v>
          </cell>
        </row>
        <row r="3805">
          <cell r="W3805" t="str">
            <v>QDONK01</v>
          </cell>
          <cell r="AD3805">
            <v>18000</v>
          </cell>
        </row>
        <row r="3806">
          <cell r="W3806" t="str">
            <v>QDONK01</v>
          </cell>
          <cell r="AD3806">
            <v>18000</v>
          </cell>
        </row>
        <row r="3807">
          <cell r="W3807" t="str">
            <v>QDONK01</v>
          </cell>
          <cell r="AD3807">
            <v>18000</v>
          </cell>
        </row>
        <row r="3808">
          <cell r="W3808" t="str">
            <v>QDONK01</v>
          </cell>
          <cell r="AD3808">
            <v>18000</v>
          </cell>
        </row>
        <row r="3809">
          <cell r="W3809" t="str">
            <v>QDONK01</v>
          </cell>
          <cell r="AD3809">
            <v>18000</v>
          </cell>
        </row>
        <row r="3810">
          <cell r="W3810" t="str">
            <v>QDONK01</v>
          </cell>
          <cell r="AD3810">
            <v>18000</v>
          </cell>
        </row>
        <row r="3811">
          <cell r="W3811" t="str">
            <v>QDONK01</v>
          </cell>
          <cell r="AD3811">
            <v>18000</v>
          </cell>
        </row>
        <row r="3812">
          <cell r="W3812" t="str">
            <v>QDONK01</v>
          </cell>
          <cell r="AD3812">
            <v>18000</v>
          </cell>
        </row>
        <row r="3813">
          <cell r="W3813" t="str">
            <v>QDONK01</v>
          </cell>
          <cell r="AD3813">
            <v>18000</v>
          </cell>
        </row>
        <row r="3814">
          <cell r="W3814" t="str">
            <v>QDONK01</v>
          </cell>
          <cell r="AD3814">
            <v>18000</v>
          </cell>
        </row>
        <row r="3815">
          <cell r="W3815" t="str">
            <v>QDONK01</v>
          </cell>
          <cell r="AD3815">
            <v>18500</v>
          </cell>
        </row>
        <row r="3816">
          <cell r="W3816" t="str">
            <v>QDONK01</v>
          </cell>
          <cell r="AD3816">
            <v>18500</v>
          </cell>
        </row>
        <row r="3817">
          <cell r="W3817" t="str">
            <v>QDONK02</v>
          </cell>
          <cell r="AD3817">
            <v>35000</v>
          </cell>
        </row>
        <row r="3818">
          <cell r="W3818" t="str">
            <v>QDONK02</v>
          </cell>
          <cell r="AD3818">
            <v>35500</v>
          </cell>
        </row>
        <row r="3819">
          <cell r="W3819" t="str">
            <v>QDONK02</v>
          </cell>
          <cell r="AD3819">
            <v>35500</v>
          </cell>
        </row>
        <row r="3820">
          <cell r="W3820" t="str">
            <v>QDONK02</v>
          </cell>
          <cell r="AD3820">
            <v>35500</v>
          </cell>
        </row>
        <row r="3821">
          <cell r="W3821" t="str">
            <v>QDONK02</v>
          </cell>
          <cell r="AD3821">
            <v>35500</v>
          </cell>
        </row>
        <row r="3822">
          <cell r="W3822" t="str">
            <v>QDONK02</v>
          </cell>
          <cell r="AD3822">
            <v>35500</v>
          </cell>
        </row>
        <row r="3823">
          <cell r="W3823" t="str">
            <v>QDONK02</v>
          </cell>
          <cell r="AD3823">
            <v>35500</v>
          </cell>
        </row>
        <row r="3824">
          <cell r="W3824" t="str">
            <v>QDONK02</v>
          </cell>
          <cell r="AD3824">
            <v>35500</v>
          </cell>
        </row>
        <row r="3825">
          <cell r="W3825" t="str">
            <v>QDONK02</v>
          </cell>
          <cell r="AD3825">
            <v>35500</v>
          </cell>
        </row>
        <row r="3826">
          <cell r="W3826" t="str">
            <v>QDONK02</v>
          </cell>
          <cell r="AD3826">
            <v>35500</v>
          </cell>
        </row>
        <row r="3827">
          <cell r="W3827" t="str">
            <v>ADONK02</v>
          </cell>
          <cell r="AD3827">
            <v>35500</v>
          </cell>
        </row>
        <row r="3828">
          <cell r="W3828" t="str">
            <v>QDONK02</v>
          </cell>
          <cell r="AD3828">
            <v>35500</v>
          </cell>
        </row>
        <row r="3829">
          <cell r="W3829" t="str">
            <v>QDONK02</v>
          </cell>
          <cell r="AD3829">
            <v>35500</v>
          </cell>
        </row>
        <row r="3830">
          <cell r="W3830" t="str">
            <v>QDONK02</v>
          </cell>
          <cell r="AD3830">
            <v>35500</v>
          </cell>
        </row>
        <row r="3831">
          <cell r="W3831" t="str">
            <v>QDONK02</v>
          </cell>
          <cell r="AD3831">
            <v>35500</v>
          </cell>
        </row>
        <row r="3832">
          <cell r="W3832" t="str">
            <v>QDONK02</v>
          </cell>
          <cell r="AD3832">
            <v>35500</v>
          </cell>
        </row>
        <row r="3833">
          <cell r="W3833" t="str">
            <v>QDONK02</v>
          </cell>
          <cell r="AD3833">
            <v>35500</v>
          </cell>
        </row>
        <row r="3834">
          <cell r="W3834" t="str">
            <v>QDONK02</v>
          </cell>
          <cell r="AD3834">
            <v>35500</v>
          </cell>
        </row>
        <row r="3835">
          <cell r="W3835" t="str">
            <v>QDONK02</v>
          </cell>
          <cell r="AD3835">
            <v>35500</v>
          </cell>
        </row>
        <row r="3836">
          <cell r="W3836" t="str">
            <v>ADONK02</v>
          </cell>
          <cell r="AD3836">
            <v>35500</v>
          </cell>
        </row>
        <row r="3837">
          <cell r="W3837" t="str">
            <v>QDONK02</v>
          </cell>
          <cell r="AD3837">
            <v>35500</v>
          </cell>
        </row>
        <row r="3838">
          <cell r="W3838" t="str">
            <v>ADONK02</v>
          </cell>
          <cell r="AD3838">
            <v>35500</v>
          </cell>
        </row>
        <row r="3839">
          <cell r="W3839" t="str">
            <v>QDONK02</v>
          </cell>
          <cell r="AD3839">
            <v>35500</v>
          </cell>
        </row>
        <row r="3840">
          <cell r="W3840" t="str">
            <v>QDONK02</v>
          </cell>
          <cell r="AD3840">
            <v>35500</v>
          </cell>
        </row>
        <row r="3841">
          <cell r="W3841" t="str">
            <v>QDONK03</v>
          </cell>
          <cell r="AD3841">
            <v>68500</v>
          </cell>
        </row>
        <row r="3842">
          <cell r="W3842" t="str">
            <v>QDONK03</v>
          </cell>
          <cell r="AD3842">
            <v>68500</v>
          </cell>
        </row>
        <row r="3843">
          <cell r="W3843" t="str">
            <v>QDONK03</v>
          </cell>
          <cell r="AD3843">
            <v>68500</v>
          </cell>
        </row>
        <row r="3844">
          <cell r="W3844" t="str">
            <v>QDONK03</v>
          </cell>
          <cell r="AD3844">
            <v>68500</v>
          </cell>
        </row>
        <row r="3845">
          <cell r="W3845" t="str">
            <v>QDONK03</v>
          </cell>
          <cell r="AD3845">
            <v>68500</v>
          </cell>
        </row>
        <row r="3846">
          <cell r="W3846" t="str">
            <v>QDONK03</v>
          </cell>
          <cell r="AD3846">
            <v>68500</v>
          </cell>
        </row>
        <row r="3847">
          <cell r="W3847" t="str">
            <v>QDONK03</v>
          </cell>
          <cell r="AD3847">
            <v>68500</v>
          </cell>
        </row>
        <row r="3848">
          <cell r="W3848" t="str">
            <v>QDONK03</v>
          </cell>
          <cell r="AD3848">
            <v>68500</v>
          </cell>
        </row>
        <row r="3849">
          <cell r="W3849" t="str">
            <v>ADONK03</v>
          </cell>
          <cell r="AD3849">
            <v>68500</v>
          </cell>
        </row>
        <row r="3850">
          <cell r="W3850" t="str">
            <v>QDONK03</v>
          </cell>
          <cell r="AD3850">
            <v>68500</v>
          </cell>
        </row>
        <row r="3851">
          <cell r="W3851" t="str">
            <v>QDONK03</v>
          </cell>
          <cell r="AD3851">
            <v>68500</v>
          </cell>
        </row>
        <row r="3852">
          <cell r="W3852" t="str">
            <v>QDONK03</v>
          </cell>
          <cell r="AD3852">
            <v>68500</v>
          </cell>
        </row>
        <row r="3853">
          <cell r="W3853" t="str">
            <v>QDONK03</v>
          </cell>
          <cell r="AD3853">
            <v>68500</v>
          </cell>
        </row>
        <row r="3854">
          <cell r="W3854" t="str">
            <v>QDONK03</v>
          </cell>
          <cell r="AD3854">
            <v>68500</v>
          </cell>
        </row>
        <row r="3855">
          <cell r="W3855" t="str">
            <v>ADONK03</v>
          </cell>
          <cell r="AD3855">
            <v>68500</v>
          </cell>
        </row>
        <row r="3856">
          <cell r="W3856" t="str">
            <v>ADONK03</v>
          </cell>
          <cell r="AD3856">
            <v>68500</v>
          </cell>
        </row>
        <row r="3857">
          <cell r="W3857" t="str">
            <v>QDRYU02</v>
          </cell>
          <cell r="AD3857">
            <v>245000</v>
          </cell>
        </row>
        <row r="3858">
          <cell r="W3858" t="str">
            <v>QDUMI01</v>
          </cell>
          <cell r="AD3858">
            <v>19000</v>
          </cell>
        </row>
        <row r="3859">
          <cell r="W3859" t="str">
            <v>QDUMI01</v>
          </cell>
          <cell r="AD3859">
            <v>19000</v>
          </cell>
        </row>
        <row r="3860">
          <cell r="W3860" t="str">
            <v>QDUMI02</v>
          </cell>
          <cell r="AD3860">
            <v>76500</v>
          </cell>
        </row>
        <row r="3861">
          <cell r="W3861" t="str">
            <v>QDUMI02</v>
          </cell>
          <cell r="AD3861">
            <v>76500</v>
          </cell>
        </row>
        <row r="3862">
          <cell r="W3862" t="str">
            <v>QDUMI02</v>
          </cell>
          <cell r="AD3862">
            <v>76500</v>
          </cell>
        </row>
        <row r="3863">
          <cell r="W3863" t="str">
            <v>QDUMI02</v>
          </cell>
          <cell r="AD3863">
            <v>80000</v>
          </cell>
        </row>
        <row r="3864">
          <cell r="W3864" t="str">
            <v>QDUMI02</v>
          </cell>
          <cell r="AD3864">
            <v>80000</v>
          </cell>
        </row>
        <row r="3865">
          <cell r="W3865" t="str">
            <v>QDUMI02</v>
          </cell>
          <cell r="AD3865">
            <v>80000</v>
          </cell>
        </row>
        <row r="3866">
          <cell r="W3866" t="str">
            <v>QDUMI02</v>
          </cell>
          <cell r="AD3866">
            <v>80000</v>
          </cell>
        </row>
        <row r="3867">
          <cell r="W3867" t="str">
            <v>QDUMI02</v>
          </cell>
          <cell r="AD3867">
            <v>80000</v>
          </cell>
        </row>
        <row r="3868">
          <cell r="W3868" t="str">
            <v>QDUMI02</v>
          </cell>
          <cell r="AD3868">
            <v>80000</v>
          </cell>
        </row>
        <row r="3869">
          <cell r="W3869" t="str">
            <v>QDUMI02</v>
          </cell>
          <cell r="AD3869">
            <v>81000</v>
          </cell>
        </row>
        <row r="3870">
          <cell r="W3870" t="str">
            <v>QDUMI02</v>
          </cell>
          <cell r="AD3870">
            <v>83000</v>
          </cell>
        </row>
        <row r="3871">
          <cell r="W3871" t="str">
            <v>QDURS01</v>
          </cell>
          <cell r="AD3871">
            <v>85000</v>
          </cell>
        </row>
        <row r="3872">
          <cell r="W3872" t="str">
            <v>QDURS01</v>
          </cell>
          <cell r="AD3872">
            <v>85000</v>
          </cell>
        </row>
        <row r="3873">
          <cell r="W3873" t="str">
            <v>QDURS01</v>
          </cell>
          <cell r="AD3873">
            <v>85000</v>
          </cell>
        </row>
        <row r="3874">
          <cell r="W3874" t="str">
            <v>QDURS01</v>
          </cell>
          <cell r="AD3874">
            <v>85000</v>
          </cell>
        </row>
        <row r="3875">
          <cell r="W3875" t="str">
            <v>QDURS01</v>
          </cell>
          <cell r="AD3875">
            <v>85000</v>
          </cell>
        </row>
        <row r="3876">
          <cell r="W3876" t="str">
            <v>QDURS01</v>
          </cell>
          <cell r="AD3876">
            <v>85000</v>
          </cell>
        </row>
        <row r="3877">
          <cell r="W3877" t="str">
            <v>QDURS01</v>
          </cell>
          <cell r="AD3877">
            <v>85000</v>
          </cell>
        </row>
        <row r="3878">
          <cell r="W3878" t="str">
            <v>QDURS01</v>
          </cell>
          <cell r="AD3878">
            <v>85000</v>
          </cell>
        </row>
        <row r="3879">
          <cell r="W3879" t="str">
            <v>QDURS01</v>
          </cell>
          <cell r="AD3879">
            <v>85000</v>
          </cell>
        </row>
        <row r="3880">
          <cell r="W3880" t="str">
            <v>QDURS01</v>
          </cell>
          <cell r="AD3880">
            <v>85000</v>
          </cell>
        </row>
        <row r="3881">
          <cell r="W3881" t="str">
            <v>QDURS01</v>
          </cell>
          <cell r="AD3881">
            <v>85000</v>
          </cell>
        </row>
        <row r="3882">
          <cell r="W3882" t="str">
            <v>QDURS01</v>
          </cell>
          <cell r="AD3882">
            <v>85000</v>
          </cell>
        </row>
        <row r="3883">
          <cell r="W3883" t="str">
            <v>QDURS01</v>
          </cell>
          <cell r="AD3883">
            <v>85000</v>
          </cell>
        </row>
        <row r="3884">
          <cell r="W3884" t="str">
            <v>QDURS01</v>
          </cell>
          <cell r="AD3884">
            <v>85000</v>
          </cell>
        </row>
        <row r="3885">
          <cell r="W3885" t="str">
            <v>QDURS01</v>
          </cell>
          <cell r="AD3885">
            <v>85000</v>
          </cell>
        </row>
        <row r="3886">
          <cell r="W3886" t="str">
            <v>QDURS01</v>
          </cell>
          <cell r="AD3886">
            <v>85000</v>
          </cell>
        </row>
        <row r="3887">
          <cell r="W3887" t="str">
            <v>QDURS01</v>
          </cell>
          <cell r="AD3887">
            <v>85000</v>
          </cell>
        </row>
        <row r="3888">
          <cell r="W3888" t="str">
            <v>QDURS01</v>
          </cell>
          <cell r="AD3888">
            <v>85000</v>
          </cell>
        </row>
        <row r="3889">
          <cell r="W3889" t="str">
            <v>QDURS01</v>
          </cell>
          <cell r="AD3889">
            <v>85000</v>
          </cell>
        </row>
        <row r="3890">
          <cell r="W3890" t="str">
            <v>QDURS01</v>
          </cell>
          <cell r="AD3890">
            <v>85000</v>
          </cell>
        </row>
        <row r="3891">
          <cell r="W3891" t="str">
            <v>QDURS01</v>
          </cell>
          <cell r="AD3891">
            <v>85000</v>
          </cell>
        </row>
        <row r="3892">
          <cell r="W3892" t="str">
            <v>QDURS01</v>
          </cell>
          <cell r="AD3892">
            <v>85000</v>
          </cell>
        </row>
        <row r="3893">
          <cell r="W3893" t="str">
            <v>QDURS01</v>
          </cell>
          <cell r="AD3893">
            <v>85000</v>
          </cell>
        </row>
        <row r="3894">
          <cell r="W3894" t="str">
            <v>QDURS01</v>
          </cell>
          <cell r="AD3894">
            <v>85000</v>
          </cell>
        </row>
        <row r="3895">
          <cell r="W3895" t="str">
            <v>QDURS01</v>
          </cell>
          <cell r="AD3895">
            <v>85000</v>
          </cell>
        </row>
        <row r="3896">
          <cell r="W3896" t="str">
            <v>QDURS01</v>
          </cell>
          <cell r="AD3896">
            <v>85000</v>
          </cell>
        </row>
        <row r="3897">
          <cell r="W3897" t="str">
            <v>QDURS01</v>
          </cell>
          <cell r="AD3897">
            <v>85000</v>
          </cell>
        </row>
        <row r="3898">
          <cell r="W3898" t="str">
            <v>QDURS01</v>
          </cell>
          <cell r="AD3898">
            <v>85000</v>
          </cell>
        </row>
        <row r="3899">
          <cell r="W3899" t="str">
            <v>QDURS01</v>
          </cell>
          <cell r="AD3899">
            <v>85000</v>
          </cell>
        </row>
        <row r="3900">
          <cell r="W3900" t="str">
            <v>QDURS01</v>
          </cell>
          <cell r="AD3900">
            <v>85000</v>
          </cell>
        </row>
        <row r="3901">
          <cell r="W3901" t="str">
            <v>QDURS01</v>
          </cell>
          <cell r="AD3901">
            <v>85000</v>
          </cell>
        </row>
        <row r="3902">
          <cell r="W3902" t="str">
            <v>QDURS01</v>
          </cell>
          <cell r="AD3902">
            <v>85000</v>
          </cell>
        </row>
        <row r="3903">
          <cell r="W3903" t="str">
            <v>QDURS01</v>
          </cell>
          <cell r="AD3903">
            <v>85000</v>
          </cell>
        </row>
        <row r="3904">
          <cell r="W3904" t="str">
            <v>QDURS01</v>
          </cell>
          <cell r="AD3904">
            <v>85000</v>
          </cell>
        </row>
        <row r="3905">
          <cell r="W3905" t="str">
            <v>QDURS01</v>
          </cell>
          <cell r="AD3905">
            <v>85000</v>
          </cell>
        </row>
        <row r="3906">
          <cell r="W3906" t="str">
            <v>QDURS01</v>
          </cell>
          <cell r="AD3906">
            <v>85000</v>
          </cell>
        </row>
        <row r="3907">
          <cell r="W3907" t="str">
            <v>QDURS01</v>
          </cell>
          <cell r="AD3907">
            <v>85000</v>
          </cell>
        </row>
        <row r="3908">
          <cell r="W3908" t="str">
            <v>QDURS01</v>
          </cell>
          <cell r="AD3908">
            <v>85000</v>
          </cell>
        </row>
        <row r="3909">
          <cell r="W3909" t="str">
            <v>QDURS01</v>
          </cell>
          <cell r="AD3909">
            <v>85000</v>
          </cell>
        </row>
        <row r="3910">
          <cell r="W3910" t="str">
            <v>QDURS01</v>
          </cell>
          <cell r="AD3910">
            <v>85000</v>
          </cell>
        </row>
        <row r="3911">
          <cell r="W3911" t="str">
            <v>QDURS01</v>
          </cell>
          <cell r="AD3911">
            <v>85000</v>
          </cell>
        </row>
        <row r="3912">
          <cell r="W3912" t="str">
            <v>QDURS01</v>
          </cell>
          <cell r="AD3912">
            <v>85000</v>
          </cell>
        </row>
        <row r="3913">
          <cell r="W3913" t="str">
            <v>QDURS01</v>
          </cell>
          <cell r="AD3913">
            <v>85000</v>
          </cell>
        </row>
        <row r="3914">
          <cell r="W3914" t="str">
            <v>QDURS01</v>
          </cell>
          <cell r="AD3914">
            <v>85000</v>
          </cell>
        </row>
        <row r="3915">
          <cell r="W3915" t="str">
            <v>QDURS01</v>
          </cell>
          <cell r="AD3915">
            <v>85000</v>
          </cell>
        </row>
        <row r="3916">
          <cell r="W3916" t="str">
            <v>QDURS01</v>
          </cell>
          <cell r="AD3916">
            <v>85000</v>
          </cell>
        </row>
        <row r="3917">
          <cell r="W3917" t="str">
            <v>QDURS01</v>
          </cell>
          <cell r="AD3917">
            <v>85000</v>
          </cell>
        </row>
        <row r="3918">
          <cell r="W3918" t="str">
            <v>QDURS01</v>
          </cell>
          <cell r="AD3918">
            <v>85000</v>
          </cell>
        </row>
        <row r="3919">
          <cell r="W3919" t="str">
            <v>QDURS01</v>
          </cell>
          <cell r="AD3919">
            <v>85000</v>
          </cell>
        </row>
        <row r="3920">
          <cell r="W3920" t="str">
            <v>QDURS01</v>
          </cell>
          <cell r="AD3920">
            <v>85000</v>
          </cell>
        </row>
        <row r="3921">
          <cell r="W3921" t="str">
            <v>QDURS01</v>
          </cell>
          <cell r="AD3921">
            <v>85000</v>
          </cell>
        </row>
        <row r="3922">
          <cell r="W3922" t="str">
            <v>QDURS01</v>
          </cell>
          <cell r="AD3922">
            <v>85000</v>
          </cell>
        </row>
        <row r="3923">
          <cell r="W3923" t="str">
            <v>QDURS01</v>
          </cell>
          <cell r="AD3923">
            <v>85000</v>
          </cell>
        </row>
        <row r="3924">
          <cell r="W3924" t="str">
            <v>QDURS01</v>
          </cell>
          <cell r="AD3924">
            <v>85000</v>
          </cell>
        </row>
        <row r="3925">
          <cell r="W3925" t="str">
            <v>QDURS01</v>
          </cell>
          <cell r="AD3925">
            <v>85000</v>
          </cell>
        </row>
        <row r="3926">
          <cell r="W3926" t="str">
            <v>QDURS01</v>
          </cell>
          <cell r="AD3926">
            <v>85000</v>
          </cell>
        </row>
        <row r="3927">
          <cell r="W3927" t="str">
            <v>QDURS01</v>
          </cell>
          <cell r="AD3927">
            <v>85000</v>
          </cell>
        </row>
        <row r="3928">
          <cell r="W3928" t="str">
            <v>QDURS01</v>
          </cell>
          <cell r="AD3928">
            <v>85000</v>
          </cell>
        </row>
        <row r="3929">
          <cell r="W3929" t="str">
            <v>QDURS01</v>
          </cell>
          <cell r="AD3929">
            <v>85000</v>
          </cell>
        </row>
        <row r="3930">
          <cell r="W3930" t="str">
            <v>QDURS01</v>
          </cell>
          <cell r="AD3930">
            <v>85000</v>
          </cell>
        </row>
        <row r="3931">
          <cell r="W3931" t="str">
            <v>QDURS01</v>
          </cell>
          <cell r="AD3931">
            <v>85000</v>
          </cell>
        </row>
        <row r="3932">
          <cell r="W3932" t="str">
            <v>QDURS01</v>
          </cell>
          <cell r="AD3932">
            <v>85000</v>
          </cell>
        </row>
        <row r="3933">
          <cell r="W3933" t="str">
            <v>QDURS01</v>
          </cell>
          <cell r="AD3933">
            <v>85000</v>
          </cell>
        </row>
        <row r="3934">
          <cell r="W3934" t="str">
            <v>QDURS01</v>
          </cell>
          <cell r="AD3934">
            <v>85000</v>
          </cell>
        </row>
        <row r="3935">
          <cell r="W3935" t="str">
            <v>QDURS01</v>
          </cell>
          <cell r="AD3935">
            <v>85000</v>
          </cell>
        </row>
        <row r="3936">
          <cell r="W3936" t="str">
            <v>QDURS01</v>
          </cell>
          <cell r="AD3936">
            <v>85000</v>
          </cell>
        </row>
        <row r="3937">
          <cell r="W3937" t="str">
            <v>QDURS01</v>
          </cell>
          <cell r="AD3937">
            <v>85000</v>
          </cell>
        </row>
        <row r="3938">
          <cell r="W3938" t="str">
            <v>QDURS01</v>
          </cell>
          <cell r="AD3938">
            <v>86000</v>
          </cell>
        </row>
        <row r="3939">
          <cell r="W3939" t="str">
            <v>QDURS01</v>
          </cell>
          <cell r="AD3939">
            <v>86000</v>
          </cell>
        </row>
        <row r="3940">
          <cell r="W3940" t="str">
            <v>QDURS01</v>
          </cell>
          <cell r="AD3940">
            <v>86000</v>
          </cell>
        </row>
        <row r="3941">
          <cell r="W3941" t="str">
            <v>QDURS01</v>
          </cell>
          <cell r="AD3941">
            <v>90000</v>
          </cell>
        </row>
        <row r="3942">
          <cell r="W3942" t="str">
            <v>QDURS02</v>
          </cell>
          <cell r="AD3942">
            <v>44000</v>
          </cell>
        </row>
        <row r="3943">
          <cell r="W3943" t="str">
            <v>QDURS02</v>
          </cell>
          <cell r="AD3943">
            <v>44000</v>
          </cell>
        </row>
        <row r="3944">
          <cell r="W3944" t="str">
            <v>QDURS02</v>
          </cell>
          <cell r="AD3944">
            <v>44000</v>
          </cell>
        </row>
        <row r="3945">
          <cell r="W3945" t="str">
            <v>QDURS02</v>
          </cell>
          <cell r="AD3945">
            <v>45000</v>
          </cell>
        </row>
        <row r="3946">
          <cell r="W3946" t="str">
            <v>QDURS02</v>
          </cell>
          <cell r="AD3946">
            <v>45000</v>
          </cell>
        </row>
        <row r="3947">
          <cell r="W3947" t="str">
            <v>QDURS02</v>
          </cell>
          <cell r="AD3947">
            <v>45000</v>
          </cell>
        </row>
        <row r="3948">
          <cell r="W3948" t="str">
            <v>QDURS02</v>
          </cell>
          <cell r="AD3948">
            <v>45000</v>
          </cell>
        </row>
        <row r="3949">
          <cell r="W3949" t="str">
            <v>QDURS02</v>
          </cell>
          <cell r="AD3949">
            <v>45000</v>
          </cell>
        </row>
        <row r="3950">
          <cell r="W3950" t="str">
            <v>QDURS02</v>
          </cell>
          <cell r="AD3950">
            <v>45000</v>
          </cell>
        </row>
        <row r="3951">
          <cell r="W3951" t="str">
            <v>QDURS02</v>
          </cell>
          <cell r="AD3951">
            <v>45000</v>
          </cell>
        </row>
        <row r="3952">
          <cell r="W3952" t="str">
            <v>QDURS02</v>
          </cell>
          <cell r="AD3952">
            <v>45000</v>
          </cell>
        </row>
        <row r="3953">
          <cell r="W3953" t="str">
            <v>QDURS02</v>
          </cell>
          <cell r="AD3953">
            <v>45000</v>
          </cell>
        </row>
        <row r="3954">
          <cell r="W3954" t="str">
            <v>QDURS02</v>
          </cell>
          <cell r="AD3954">
            <v>45000</v>
          </cell>
        </row>
        <row r="3955">
          <cell r="W3955" t="str">
            <v>QDURS02</v>
          </cell>
          <cell r="AD3955">
            <v>45000</v>
          </cell>
        </row>
        <row r="3956">
          <cell r="W3956" t="str">
            <v>QDURS02</v>
          </cell>
          <cell r="AD3956">
            <v>45000</v>
          </cell>
        </row>
        <row r="3957">
          <cell r="W3957" t="str">
            <v>QDURS02</v>
          </cell>
          <cell r="AD3957">
            <v>45000</v>
          </cell>
        </row>
        <row r="3958">
          <cell r="W3958" t="str">
            <v>QDURS02</v>
          </cell>
          <cell r="AD3958">
            <v>45000</v>
          </cell>
        </row>
        <row r="3959">
          <cell r="W3959" t="str">
            <v>QDURS02</v>
          </cell>
          <cell r="AD3959">
            <v>45000</v>
          </cell>
        </row>
        <row r="3960">
          <cell r="W3960" t="str">
            <v>QDURS02</v>
          </cell>
          <cell r="AD3960">
            <v>45000</v>
          </cell>
        </row>
        <row r="3961">
          <cell r="W3961" t="str">
            <v>QDURS02</v>
          </cell>
          <cell r="AD3961">
            <v>45000</v>
          </cell>
        </row>
        <row r="3962">
          <cell r="W3962" t="str">
            <v>QDURS02</v>
          </cell>
          <cell r="AD3962">
            <v>45000</v>
          </cell>
        </row>
        <row r="3963">
          <cell r="W3963" t="str">
            <v>QDURS02</v>
          </cell>
          <cell r="AD3963">
            <v>45000</v>
          </cell>
        </row>
        <row r="3964">
          <cell r="W3964" t="str">
            <v>QDURS02</v>
          </cell>
          <cell r="AD3964">
            <v>45000</v>
          </cell>
        </row>
        <row r="3965">
          <cell r="W3965" t="str">
            <v>QDURS02</v>
          </cell>
          <cell r="AD3965">
            <v>45000</v>
          </cell>
        </row>
        <row r="3966">
          <cell r="W3966" t="str">
            <v>QDURS02</v>
          </cell>
          <cell r="AD3966">
            <v>45000</v>
          </cell>
        </row>
        <row r="3967">
          <cell r="W3967" t="str">
            <v>QDURS02</v>
          </cell>
          <cell r="AD3967">
            <v>45000</v>
          </cell>
        </row>
        <row r="3968">
          <cell r="W3968" t="str">
            <v>QDURS02</v>
          </cell>
          <cell r="AD3968">
            <v>45000</v>
          </cell>
        </row>
        <row r="3969">
          <cell r="W3969" t="str">
            <v>QDURS02</v>
          </cell>
          <cell r="AD3969">
            <v>45000</v>
          </cell>
        </row>
        <row r="3970">
          <cell r="W3970" t="str">
            <v>QDURS02</v>
          </cell>
          <cell r="AD3970">
            <v>45000</v>
          </cell>
        </row>
        <row r="3971">
          <cell r="W3971" t="str">
            <v>QDURS02</v>
          </cell>
          <cell r="AD3971">
            <v>45000</v>
          </cell>
        </row>
        <row r="3972">
          <cell r="W3972" t="str">
            <v>QDURS02</v>
          </cell>
          <cell r="AD3972">
            <v>45000</v>
          </cell>
        </row>
        <row r="3973">
          <cell r="W3973" t="str">
            <v>QDURS02</v>
          </cell>
          <cell r="AD3973">
            <v>45000</v>
          </cell>
        </row>
        <row r="3974">
          <cell r="W3974" t="str">
            <v>QDURS02</v>
          </cell>
          <cell r="AD3974">
            <v>45000</v>
          </cell>
        </row>
        <row r="3975">
          <cell r="W3975" t="str">
            <v>QDURS02</v>
          </cell>
          <cell r="AD3975">
            <v>45000</v>
          </cell>
        </row>
        <row r="3976">
          <cell r="W3976" t="str">
            <v>QDURS02</v>
          </cell>
          <cell r="AD3976">
            <v>45000</v>
          </cell>
        </row>
        <row r="3977">
          <cell r="W3977" t="str">
            <v>QDURS02</v>
          </cell>
          <cell r="AD3977">
            <v>45000</v>
          </cell>
        </row>
        <row r="3978">
          <cell r="W3978" t="str">
            <v>QDURS02</v>
          </cell>
          <cell r="AD3978">
            <v>45000</v>
          </cell>
        </row>
        <row r="3979">
          <cell r="W3979" t="str">
            <v>QDURS02</v>
          </cell>
          <cell r="AD3979">
            <v>45000</v>
          </cell>
        </row>
        <row r="3980">
          <cell r="W3980" t="str">
            <v>QDURS02</v>
          </cell>
          <cell r="AD3980">
            <v>45000</v>
          </cell>
        </row>
        <row r="3981">
          <cell r="W3981" t="str">
            <v>QDURS02</v>
          </cell>
          <cell r="AD3981">
            <v>45000</v>
          </cell>
        </row>
        <row r="3982">
          <cell r="W3982" t="str">
            <v>QDURS02</v>
          </cell>
          <cell r="AD3982">
            <v>45000</v>
          </cell>
        </row>
        <row r="3983">
          <cell r="W3983" t="str">
            <v>QDURS02</v>
          </cell>
          <cell r="AD3983">
            <v>45000</v>
          </cell>
        </row>
        <row r="3984">
          <cell r="W3984" t="str">
            <v>QDURS02</v>
          </cell>
          <cell r="AD3984">
            <v>45000</v>
          </cell>
        </row>
        <row r="3985">
          <cell r="W3985" t="str">
            <v>QDURS02</v>
          </cell>
          <cell r="AD3985">
            <v>45000</v>
          </cell>
        </row>
        <row r="3986">
          <cell r="W3986" t="str">
            <v>QDURS02</v>
          </cell>
          <cell r="AD3986">
            <v>45000</v>
          </cell>
        </row>
        <row r="3987">
          <cell r="W3987" t="str">
            <v>QDURS02</v>
          </cell>
          <cell r="AD3987">
            <v>45000</v>
          </cell>
        </row>
        <row r="3988">
          <cell r="W3988" t="str">
            <v>QDURS02</v>
          </cell>
          <cell r="AD3988">
            <v>45000</v>
          </cell>
        </row>
        <row r="3989">
          <cell r="W3989" t="str">
            <v>QDURS02</v>
          </cell>
          <cell r="AD3989">
            <v>45000</v>
          </cell>
        </row>
        <row r="3990">
          <cell r="W3990" t="str">
            <v>QDURS02</v>
          </cell>
          <cell r="AD3990">
            <v>45000</v>
          </cell>
        </row>
        <row r="3991">
          <cell r="W3991" t="str">
            <v>QDURS02</v>
          </cell>
          <cell r="AD3991">
            <v>45000</v>
          </cell>
        </row>
        <row r="3992">
          <cell r="W3992" t="str">
            <v>QDURS02</v>
          </cell>
          <cell r="AD3992">
            <v>45000</v>
          </cell>
        </row>
        <row r="3993">
          <cell r="W3993" t="str">
            <v>QDURS02</v>
          </cell>
          <cell r="AD3993">
            <v>45000</v>
          </cell>
        </row>
        <row r="3994">
          <cell r="W3994" t="str">
            <v>QDURS02</v>
          </cell>
          <cell r="AD3994">
            <v>45000</v>
          </cell>
        </row>
        <row r="3995">
          <cell r="W3995" t="str">
            <v>QDURS02</v>
          </cell>
          <cell r="AD3995">
            <v>45000</v>
          </cell>
        </row>
        <row r="3996">
          <cell r="W3996" t="str">
            <v>QDURS02</v>
          </cell>
          <cell r="AD3996">
            <v>45000</v>
          </cell>
        </row>
        <row r="3997">
          <cell r="W3997" t="str">
            <v>QDURS02</v>
          </cell>
          <cell r="AD3997">
            <v>45000</v>
          </cell>
        </row>
        <row r="3998">
          <cell r="W3998" t="str">
            <v>QDURS02</v>
          </cell>
          <cell r="AD3998">
            <v>45000</v>
          </cell>
        </row>
        <row r="3999">
          <cell r="W3999" t="str">
            <v>QDURS02</v>
          </cell>
          <cell r="AD3999">
            <v>45000</v>
          </cell>
        </row>
        <row r="4000">
          <cell r="W4000" t="str">
            <v>QDURS02</v>
          </cell>
          <cell r="AD4000">
            <v>45000</v>
          </cell>
        </row>
        <row r="4001">
          <cell r="W4001" t="str">
            <v>QDURS02</v>
          </cell>
          <cell r="AD4001">
            <v>45000</v>
          </cell>
        </row>
        <row r="4002">
          <cell r="W4002" t="str">
            <v>QDURS02</v>
          </cell>
          <cell r="AD4002">
            <v>45000</v>
          </cell>
        </row>
        <row r="4003">
          <cell r="W4003" t="str">
            <v>QDURS02</v>
          </cell>
          <cell r="AD4003">
            <v>45000</v>
          </cell>
        </row>
        <row r="4004">
          <cell r="W4004" t="str">
            <v>QDURS02</v>
          </cell>
          <cell r="AD4004">
            <v>45000</v>
          </cell>
        </row>
        <row r="4005">
          <cell r="W4005" t="str">
            <v>QDURS02</v>
          </cell>
          <cell r="AD4005">
            <v>45000</v>
          </cell>
        </row>
        <row r="4006">
          <cell r="W4006" t="str">
            <v>QDURS02</v>
          </cell>
          <cell r="AD4006">
            <v>46000</v>
          </cell>
        </row>
        <row r="4007">
          <cell r="W4007" t="str">
            <v>QDURS02</v>
          </cell>
          <cell r="AD4007">
            <v>46000</v>
          </cell>
        </row>
        <row r="4008">
          <cell r="W4008" t="str">
            <v>QDURS02</v>
          </cell>
          <cell r="AD4008">
            <v>46000</v>
          </cell>
        </row>
        <row r="4009">
          <cell r="W4009" t="str">
            <v>QDURS02</v>
          </cell>
          <cell r="AD4009">
            <v>46000</v>
          </cell>
        </row>
        <row r="4010">
          <cell r="W4010" t="str">
            <v>QDURS02</v>
          </cell>
          <cell r="AD4010">
            <v>46000</v>
          </cell>
        </row>
        <row r="4011">
          <cell r="W4011" t="str">
            <v>QDURS02</v>
          </cell>
          <cell r="AD4011">
            <v>46000</v>
          </cell>
        </row>
        <row r="4012">
          <cell r="W4012" t="str">
            <v>QDURS02</v>
          </cell>
          <cell r="AD4012">
            <v>46000</v>
          </cell>
        </row>
        <row r="4013">
          <cell r="W4013" t="str">
            <v>QDURS02</v>
          </cell>
          <cell r="AD4013">
            <v>46000</v>
          </cell>
        </row>
        <row r="4014">
          <cell r="W4014" t="str">
            <v>QDURS02</v>
          </cell>
          <cell r="AD4014">
            <v>46000</v>
          </cell>
        </row>
        <row r="4015">
          <cell r="W4015" t="str">
            <v>QDURS02</v>
          </cell>
          <cell r="AD4015">
            <v>46000</v>
          </cell>
        </row>
        <row r="4016">
          <cell r="W4016" t="str">
            <v>QDURS02</v>
          </cell>
          <cell r="AD4016">
            <v>46500</v>
          </cell>
        </row>
        <row r="4017">
          <cell r="W4017" t="str">
            <v>QDURS05</v>
          </cell>
          <cell r="AD4017">
            <v>30000</v>
          </cell>
        </row>
        <row r="4018">
          <cell r="W4018" t="str">
            <v>QDURS05</v>
          </cell>
          <cell r="AD4018">
            <v>30000</v>
          </cell>
        </row>
        <row r="4019">
          <cell r="W4019" t="str">
            <v>QDURS05</v>
          </cell>
          <cell r="AD4019">
            <v>30000</v>
          </cell>
        </row>
        <row r="4020">
          <cell r="W4020" t="str">
            <v>QDURS05</v>
          </cell>
          <cell r="AD4020">
            <v>30000</v>
          </cell>
        </row>
        <row r="4021">
          <cell r="W4021" t="str">
            <v>QDURS05</v>
          </cell>
          <cell r="AD4021">
            <v>30000</v>
          </cell>
        </row>
        <row r="4022">
          <cell r="W4022" t="str">
            <v>QDURS05</v>
          </cell>
          <cell r="AD4022">
            <v>30000</v>
          </cell>
        </row>
        <row r="4023">
          <cell r="W4023" t="str">
            <v>QDURS05</v>
          </cell>
          <cell r="AD4023">
            <v>30000</v>
          </cell>
        </row>
        <row r="4024">
          <cell r="W4024" t="str">
            <v>QDURS05</v>
          </cell>
          <cell r="AD4024">
            <v>30000</v>
          </cell>
        </row>
        <row r="4025">
          <cell r="W4025" t="str">
            <v>QDURS05</v>
          </cell>
          <cell r="AD4025">
            <v>30000</v>
          </cell>
        </row>
        <row r="4026">
          <cell r="W4026" t="str">
            <v>QDURS05</v>
          </cell>
          <cell r="AD4026">
            <v>30000</v>
          </cell>
        </row>
        <row r="4027">
          <cell r="W4027" t="str">
            <v>QDURS05</v>
          </cell>
          <cell r="AD4027">
            <v>30000</v>
          </cell>
        </row>
        <row r="4028">
          <cell r="W4028" t="str">
            <v>QDURS05</v>
          </cell>
          <cell r="AD4028">
            <v>30000</v>
          </cell>
        </row>
        <row r="4029">
          <cell r="W4029" t="str">
            <v>QDURS05</v>
          </cell>
          <cell r="AD4029">
            <v>30000</v>
          </cell>
        </row>
        <row r="4030">
          <cell r="W4030" t="str">
            <v>QDURS05</v>
          </cell>
          <cell r="AD4030">
            <v>30000</v>
          </cell>
        </row>
        <row r="4031">
          <cell r="W4031" t="str">
            <v>QDURS05</v>
          </cell>
          <cell r="AD4031">
            <v>30000</v>
          </cell>
        </row>
        <row r="4032">
          <cell r="W4032" t="str">
            <v>QDURS05</v>
          </cell>
          <cell r="AD4032">
            <v>30000</v>
          </cell>
        </row>
        <row r="4033">
          <cell r="W4033" t="str">
            <v>QDURS05</v>
          </cell>
          <cell r="AD4033">
            <v>30000</v>
          </cell>
        </row>
        <row r="4034">
          <cell r="W4034" t="str">
            <v>QDURS05</v>
          </cell>
          <cell r="AD4034">
            <v>30000</v>
          </cell>
        </row>
        <row r="4035">
          <cell r="W4035" t="str">
            <v>QDURS05</v>
          </cell>
          <cell r="AD4035">
            <v>30000</v>
          </cell>
        </row>
        <row r="4036">
          <cell r="W4036" t="str">
            <v>QDURS05</v>
          </cell>
          <cell r="AD4036">
            <v>30000</v>
          </cell>
        </row>
        <row r="4037">
          <cell r="W4037" t="str">
            <v>QDURS05</v>
          </cell>
          <cell r="AD4037">
            <v>30000</v>
          </cell>
        </row>
        <row r="4038">
          <cell r="W4038" t="str">
            <v>QDURS05</v>
          </cell>
          <cell r="AD4038">
            <v>30000</v>
          </cell>
        </row>
        <row r="4039">
          <cell r="W4039" t="str">
            <v>QDURS05</v>
          </cell>
          <cell r="AD4039">
            <v>30000</v>
          </cell>
        </row>
        <row r="4040">
          <cell r="W4040" t="str">
            <v>QDURS05</v>
          </cell>
          <cell r="AD4040">
            <v>30000</v>
          </cell>
        </row>
        <row r="4041">
          <cell r="W4041" t="str">
            <v>QDURS05</v>
          </cell>
          <cell r="AD4041">
            <v>30000</v>
          </cell>
        </row>
        <row r="4042">
          <cell r="W4042" t="str">
            <v>QDURS05</v>
          </cell>
          <cell r="AD4042">
            <v>30000</v>
          </cell>
        </row>
        <row r="4043">
          <cell r="W4043" t="str">
            <v>QDURS05</v>
          </cell>
          <cell r="AD4043">
            <v>30000</v>
          </cell>
        </row>
        <row r="4044">
          <cell r="W4044" t="str">
            <v>QDURS05</v>
          </cell>
          <cell r="AD4044">
            <v>30500</v>
          </cell>
        </row>
        <row r="4045">
          <cell r="W4045" t="str">
            <v>QDURS05</v>
          </cell>
          <cell r="AD4045">
            <v>30500</v>
          </cell>
        </row>
        <row r="4046">
          <cell r="W4046" t="str">
            <v>QDURS05</v>
          </cell>
          <cell r="AD4046">
            <v>30500</v>
          </cell>
        </row>
        <row r="4047">
          <cell r="W4047" t="str">
            <v>QDURS05</v>
          </cell>
          <cell r="AD4047">
            <v>30500</v>
          </cell>
        </row>
        <row r="4048">
          <cell r="W4048" t="str">
            <v>QDURS05</v>
          </cell>
          <cell r="AD4048">
            <v>30500</v>
          </cell>
        </row>
        <row r="4049">
          <cell r="W4049" t="str">
            <v>QDURS04</v>
          </cell>
          <cell r="AD4049">
            <v>13350</v>
          </cell>
        </row>
        <row r="4050">
          <cell r="W4050" t="str">
            <v>QDURS04</v>
          </cell>
          <cell r="AD4050">
            <v>13350</v>
          </cell>
        </row>
        <row r="4051">
          <cell r="W4051" t="str">
            <v>QDURS04</v>
          </cell>
          <cell r="AD4051">
            <v>13500</v>
          </cell>
        </row>
        <row r="4052">
          <cell r="W4052" t="str">
            <v>QDURS04</v>
          </cell>
          <cell r="AD4052">
            <v>13500</v>
          </cell>
        </row>
        <row r="4053">
          <cell r="W4053" t="str">
            <v>QDURS04</v>
          </cell>
          <cell r="AD4053">
            <v>13500</v>
          </cell>
        </row>
        <row r="4054">
          <cell r="W4054" t="str">
            <v>QDURS04</v>
          </cell>
          <cell r="AD4054">
            <v>13500</v>
          </cell>
        </row>
        <row r="4055">
          <cell r="W4055" t="str">
            <v>QDURS04</v>
          </cell>
          <cell r="AD4055">
            <v>13500</v>
          </cell>
        </row>
        <row r="4056">
          <cell r="W4056" t="str">
            <v>QDURS04</v>
          </cell>
          <cell r="AD4056">
            <v>13500</v>
          </cell>
        </row>
        <row r="4057">
          <cell r="W4057" t="str">
            <v>QDURS04</v>
          </cell>
          <cell r="AD4057">
            <v>13500</v>
          </cell>
        </row>
        <row r="4058">
          <cell r="W4058" t="str">
            <v>QDURS04</v>
          </cell>
          <cell r="AD4058">
            <v>13500</v>
          </cell>
        </row>
        <row r="4059">
          <cell r="W4059" t="str">
            <v>QDURS04</v>
          </cell>
          <cell r="AD4059">
            <v>13500</v>
          </cell>
        </row>
        <row r="4060">
          <cell r="W4060" t="str">
            <v>QDURS04</v>
          </cell>
          <cell r="AD4060">
            <v>13500</v>
          </cell>
        </row>
        <row r="4061">
          <cell r="W4061" t="str">
            <v>QDURS04</v>
          </cell>
          <cell r="AD4061">
            <v>13500</v>
          </cell>
        </row>
        <row r="4062">
          <cell r="W4062" t="str">
            <v>QDURS04</v>
          </cell>
          <cell r="AD4062">
            <v>13500</v>
          </cell>
        </row>
        <row r="4063">
          <cell r="W4063" t="str">
            <v>QDURS04</v>
          </cell>
          <cell r="AD4063">
            <v>13500</v>
          </cell>
        </row>
        <row r="4064">
          <cell r="W4064" t="str">
            <v>QDURS04</v>
          </cell>
          <cell r="AD4064">
            <v>13500</v>
          </cell>
        </row>
        <row r="4065">
          <cell r="W4065" t="str">
            <v>QDURS04</v>
          </cell>
          <cell r="AD4065">
            <v>13500</v>
          </cell>
        </row>
        <row r="4066">
          <cell r="W4066" t="str">
            <v>QDURS04</v>
          </cell>
          <cell r="AD4066">
            <v>13500</v>
          </cell>
        </row>
        <row r="4067">
          <cell r="W4067" t="str">
            <v>QDURS04</v>
          </cell>
          <cell r="AD4067">
            <v>13500</v>
          </cell>
        </row>
        <row r="4068">
          <cell r="W4068" t="str">
            <v>QDURS04</v>
          </cell>
          <cell r="AD4068">
            <v>13500</v>
          </cell>
        </row>
        <row r="4069">
          <cell r="W4069" t="str">
            <v>QDURS04</v>
          </cell>
          <cell r="AD4069">
            <v>13600</v>
          </cell>
        </row>
        <row r="4070">
          <cell r="W4070" t="str">
            <v>QDURS04</v>
          </cell>
          <cell r="AD4070">
            <v>13750</v>
          </cell>
        </row>
        <row r="4071">
          <cell r="W4071" t="str">
            <v>QELEC01</v>
          </cell>
          <cell r="AD4071">
            <v>135000</v>
          </cell>
        </row>
        <row r="4072">
          <cell r="W4072" t="str">
            <v>QELEC01</v>
          </cell>
          <cell r="AD4072">
            <v>135000</v>
          </cell>
        </row>
        <row r="4073">
          <cell r="W4073" t="str">
            <v>QELEC01</v>
          </cell>
          <cell r="AD4073">
            <v>135000</v>
          </cell>
        </row>
        <row r="4074">
          <cell r="W4074" t="str">
            <v>QELEC01</v>
          </cell>
          <cell r="AD4074">
            <v>135000</v>
          </cell>
        </row>
        <row r="4075">
          <cell r="W4075" t="str">
            <v>QELEC01</v>
          </cell>
          <cell r="AD4075">
            <v>135000</v>
          </cell>
        </row>
        <row r="4076">
          <cell r="W4076" t="str">
            <v>QELEC01</v>
          </cell>
          <cell r="AD4076">
            <v>135000</v>
          </cell>
        </row>
        <row r="4077">
          <cell r="W4077" t="str">
            <v>QELEC01</v>
          </cell>
          <cell r="AD4077">
            <v>135000</v>
          </cell>
        </row>
        <row r="4078">
          <cell r="W4078" t="str">
            <v>QELEC01</v>
          </cell>
          <cell r="AD4078">
            <v>135000</v>
          </cell>
        </row>
        <row r="4079">
          <cell r="W4079" t="str">
            <v>QELEC01</v>
          </cell>
          <cell r="AD4079">
            <v>135000</v>
          </cell>
        </row>
        <row r="4080">
          <cell r="W4080" t="str">
            <v>QELEC01</v>
          </cell>
          <cell r="AD4080">
            <v>135000</v>
          </cell>
        </row>
        <row r="4081">
          <cell r="W4081" t="str">
            <v>QELEC02</v>
          </cell>
          <cell r="AD4081">
            <v>150000</v>
          </cell>
        </row>
        <row r="4082">
          <cell r="W4082" t="str">
            <v>QELEC02</v>
          </cell>
          <cell r="AD4082">
            <v>150000</v>
          </cell>
        </row>
        <row r="4083">
          <cell r="W4083" t="str">
            <v>QELEC02</v>
          </cell>
          <cell r="AD4083">
            <v>150000</v>
          </cell>
        </row>
        <row r="4084">
          <cell r="W4084" t="str">
            <v>QELEC02</v>
          </cell>
          <cell r="AD4084">
            <v>150000</v>
          </cell>
        </row>
        <row r="4085">
          <cell r="W4085" t="str">
            <v>QELEC02</v>
          </cell>
          <cell r="AD4085">
            <v>150000</v>
          </cell>
        </row>
        <row r="4086">
          <cell r="W4086" t="str">
            <v>QELEC02</v>
          </cell>
          <cell r="AD4086">
            <v>150000</v>
          </cell>
        </row>
        <row r="4087">
          <cell r="W4087" t="str">
            <v>QELEC02</v>
          </cell>
          <cell r="AD4087">
            <v>150000</v>
          </cell>
        </row>
        <row r="4088">
          <cell r="W4088" t="str">
            <v>QELEC04</v>
          </cell>
          <cell r="AD4088">
            <v>61000</v>
          </cell>
        </row>
        <row r="4089">
          <cell r="W4089" t="str">
            <v>QELEC04</v>
          </cell>
          <cell r="AD4089">
            <v>61000</v>
          </cell>
        </row>
        <row r="4090">
          <cell r="W4090" t="str">
            <v>QELEC04</v>
          </cell>
          <cell r="AD4090">
            <v>61000</v>
          </cell>
        </row>
        <row r="4091">
          <cell r="W4091" t="str">
            <v>QELEC04</v>
          </cell>
          <cell r="AD4091">
            <v>61000</v>
          </cell>
        </row>
        <row r="4092">
          <cell r="W4092" t="str">
            <v>QELEC04</v>
          </cell>
          <cell r="AD4092">
            <v>61000</v>
          </cell>
        </row>
        <row r="4093">
          <cell r="W4093" t="str">
            <v>QELEC04</v>
          </cell>
          <cell r="AD4093">
            <v>64000</v>
          </cell>
        </row>
        <row r="4094">
          <cell r="W4094" t="str">
            <v>QELEC04</v>
          </cell>
          <cell r="AD4094">
            <v>64000</v>
          </cell>
        </row>
        <row r="4095">
          <cell r="W4095" t="str">
            <v>QELEC04</v>
          </cell>
          <cell r="AD4095">
            <v>64000</v>
          </cell>
        </row>
        <row r="4096">
          <cell r="W4096" t="str">
            <v>QELEC03</v>
          </cell>
          <cell r="AD4096">
            <v>32000</v>
          </cell>
        </row>
        <row r="4097">
          <cell r="W4097" t="str">
            <v>QELEC03</v>
          </cell>
          <cell r="AD4097">
            <v>32000</v>
          </cell>
        </row>
        <row r="4098">
          <cell r="W4098" t="str">
            <v>QELEC03</v>
          </cell>
          <cell r="AD4098">
            <v>32000</v>
          </cell>
        </row>
        <row r="4099">
          <cell r="W4099" t="str">
            <v>QELEC03</v>
          </cell>
          <cell r="AD4099">
            <v>34000</v>
          </cell>
        </row>
        <row r="4100">
          <cell r="W4100" t="str">
            <v>QEM-403</v>
          </cell>
          <cell r="AD4100">
            <v>16000</v>
          </cell>
        </row>
        <row r="4101">
          <cell r="W4101" t="str">
            <v>QEM-403</v>
          </cell>
          <cell r="AD4101">
            <v>16000</v>
          </cell>
        </row>
        <row r="4102">
          <cell r="W4102" t="str">
            <v>QEM-403</v>
          </cell>
          <cell r="AD4102">
            <v>16250</v>
          </cell>
        </row>
        <row r="4103">
          <cell r="W4103" t="str">
            <v>QEM-403</v>
          </cell>
          <cell r="AD4103">
            <v>16250</v>
          </cell>
        </row>
        <row r="4104">
          <cell r="W4104" t="str">
            <v>QEM-403</v>
          </cell>
          <cell r="AD4104">
            <v>16250</v>
          </cell>
        </row>
        <row r="4105">
          <cell r="W4105" t="str">
            <v>QEM-403</v>
          </cell>
          <cell r="AD4105">
            <v>16250</v>
          </cell>
        </row>
        <row r="4106">
          <cell r="W4106" t="str">
            <v>QEM-403</v>
          </cell>
          <cell r="AD4106">
            <v>16250</v>
          </cell>
        </row>
        <row r="4107">
          <cell r="W4107" t="str">
            <v>QEM-403</v>
          </cell>
          <cell r="AD4107">
            <v>16250</v>
          </cell>
        </row>
        <row r="4108">
          <cell r="W4108" t="str">
            <v>QEM-403</v>
          </cell>
          <cell r="AD4108">
            <v>16250</v>
          </cell>
        </row>
        <row r="4109">
          <cell r="W4109" t="str">
            <v>QEM-403</v>
          </cell>
          <cell r="AD4109">
            <v>16250</v>
          </cell>
        </row>
        <row r="4110">
          <cell r="W4110" t="str">
            <v>QEM-403</v>
          </cell>
          <cell r="AD4110">
            <v>16250</v>
          </cell>
        </row>
        <row r="4111">
          <cell r="W4111" t="str">
            <v>QEM-403</v>
          </cell>
          <cell r="AD4111">
            <v>16250</v>
          </cell>
        </row>
        <row r="4112">
          <cell r="W4112" t="str">
            <v>QEM-403</v>
          </cell>
          <cell r="AD4112">
            <v>16250</v>
          </cell>
        </row>
        <row r="4113">
          <cell r="W4113" t="str">
            <v>QEM-403</v>
          </cell>
          <cell r="AD4113">
            <v>16250</v>
          </cell>
        </row>
        <row r="4114">
          <cell r="W4114" t="str">
            <v>QEM-403</v>
          </cell>
          <cell r="AD4114">
            <v>16250</v>
          </cell>
        </row>
        <row r="4115">
          <cell r="W4115" t="str">
            <v>QEM-403</v>
          </cell>
          <cell r="AD4115">
            <v>16250</v>
          </cell>
        </row>
        <row r="4116">
          <cell r="W4116" t="str">
            <v>QEM-403</v>
          </cell>
          <cell r="AD4116">
            <v>16250</v>
          </cell>
        </row>
        <row r="4117">
          <cell r="W4117" t="str">
            <v>QEM-403</v>
          </cell>
          <cell r="AD4117">
            <v>16250</v>
          </cell>
        </row>
        <row r="4118">
          <cell r="W4118" t="str">
            <v>QEM-403</v>
          </cell>
          <cell r="AD4118">
            <v>16250</v>
          </cell>
        </row>
        <row r="4119">
          <cell r="W4119" t="str">
            <v>QEM-403</v>
          </cell>
          <cell r="AD4119">
            <v>16250</v>
          </cell>
        </row>
        <row r="4120">
          <cell r="W4120" t="str">
            <v>QEM-403</v>
          </cell>
          <cell r="AD4120">
            <v>16250</v>
          </cell>
        </row>
        <row r="4121">
          <cell r="W4121" t="str">
            <v>QEM-403</v>
          </cell>
          <cell r="AD4121">
            <v>16250</v>
          </cell>
        </row>
        <row r="4122">
          <cell r="W4122" t="str">
            <v>QEM-403</v>
          </cell>
          <cell r="AD4122">
            <v>16500</v>
          </cell>
        </row>
        <row r="4123">
          <cell r="W4123" t="str">
            <v>QEM-403</v>
          </cell>
          <cell r="AD4123">
            <v>16500</v>
          </cell>
        </row>
        <row r="4124">
          <cell r="W4124" t="str">
            <v>QEM-403</v>
          </cell>
          <cell r="AD4124">
            <v>16500</v>
          </cell>
        </row>
        <row r="4125">
          <cell r="W4125" t="str">
            <v>QEM-403</v>
          </cell>
          <cell r="AD4125">
            <v>16500</v>
          </cell>
        </row>
        <row r="4126">
          <cell r="W4126" t="str">
            <v>QEM-403</v>
          </cell>
          <cell r="AD4126">
            <v>16500</v>
          </cell>
        </row>
        <row r="4127">
          <cell r="W4127" t="str">
            <v>QEM-403</v>
          </cell>
          <cell r="AD4127">
            <v>16500</v>
          </cell>
        </row>
        <row r="4128">
          <cell r="W4128" t="str">
            <v>QEM-403</v>
          </cell>
          <cell r="AD4128">
            <v>16500</v>
          </cell>
        </row>
        <row r="4129">
          <cell r="W4129" t="str">
            <v>QEM-403</v>
          </cell>
          <cell r="AD4129">
            <v>16500</v>
          </cell>
        </row>
        <row r="4130">
          <cell r="W4130" t="str">
            <v>QEM-403</v>
          </cell>
          <cell r="AD4130">
            <v>16500</v>
          </cell>
        </row>
        <row r="4131">
          <cell r="W4131" t="str">
            <v>QEM-403</v>
          </cell>
          <cell r="AD4131">
            <v>16500</v>
          </cell>
        </row>
        <row r="4132">
          <cell r="W4132" t="str">
            <v>QEM-403</v>
          </cell>
          <cell r="AD4132">
            <v>16500</v>
          </cell>
        </row>
        <row r="4133">
          <cell r="W4133" t="str">
            <v>QEM-403</v>
          </cell>
          <cell r="AD4133">
            <v>16500</v>
          </cell>
        </row>
        <row r="4134">
          <cell r="W4134" t="str">
            <v>QEM-403</v>
          </cell>
          <cell r="AD4134">
            <v>16500</v>
          </cell>
        </row>
        <row r="4135">
          <cell r="W4135" t="str">
            <v>QEM-403</v>
          </cell>
          <cell r="AD4135">
            <v>16500</v>
          </cell>
        </row>
        <row r="4136">
          <cell r="W4136" t="str">
            <v>QEM-403</v>
          </cell>
          <cell r="AD4136">
            <v>16500</v>
          </cell>
        </row>
        <row r="4137">
          <cell r="W4137" t="str">
            <v>QEM-403</v>
          </cell>
          <cell r="AD4137">
            <v>16500</v>
          </cell>
        </row>
        <row r="4138">
          <cell r="W4138" t="str">
            <v>QEM-403</v>
          </cell>
          <cell r="AD4138">
            <v>16500</v>
          </cell>
        </row>
        <row r="4139">
          <cell r="W4139" t="str">
            <v>QEM-403</v>
          </cell>
          <cell r="AD4139">
            <v>16500</v>
          </cell>
        </row>
        <row r="4140">
          <cell r="W4140" t="str">
            <v>QEM-403</v>
          </cell>
          <cell r="AD4140">
            <v>16500</v>
          </cell>
        </row>
        <row r="4141">
          <cell r="W4141" t="str">
            <v>QEM-403</v>
          </cell>
          <cell r="AD4141">
            <v>16500</v>
          </cell>
        </row>
        <row r="4142">
          <cell r="W4142" t="str">
            <v>QEM-403</v>
          </cell>
          <cell r="AD4142">
            <v>16500</v>
          </cell>
        </row>
        <row r="4143">
          <cell r="W4143" t="str">
            <v>QEM-403</v>
          </cell>
          <cell r="AD4143">
            <v>16500</v>
          </cell>
        </row>
        <row r="4144">
          <cell r="W4144" t="str">
            <v>QEM-403</v>
          </cell>
          <cell r="AD4144">
            <v>16500</v>
          </cell>
        </row>
        <row r="4145">
          <cell r="W4145" t="str">
            <v>QEM-403</v>
          </cell>
          <cell r="AD4145">
            <v>16500</v>
          </cell>
        </row>
        <row r="4146">
          <cell r="W4146" t="str">
            <v>QEM-403</v>
          </cell>
          <cell r="AD4146">
            <v>16500</v>
          </cell>
        </row>
        <row r="4147">
          <cell r="W4147" t="str">
            <v>QEM-403</v>
          </cell>
          <cell r="AD4147">
            <v>16500</v>
          </cell>
        </row>
        <row r="4148">
          <cell r="W4148" t="str">
            <v>QEM-403</v>
          </cell>
          <cell r="AD4148">
            <v>16500</v>
          </cell>
        </row>
        <row r="4149">
          <cell r="W4149" t="str">
            <v>QEM-403</v>
          </cell>
          <cell r="AD4149">
            <v>16500</v>
          </cell>
        </row>
        <row r="4150">
          <cell r="W4150" t="str">
            <v>QEM-403</v>
          </cell>
          <cell r="AD4150">
            <v>16500</v>
          </cell>
        </row>
        <row r="4151">
          <cell r="W4151" t="str">
            <v>QEM-403</v>
          </cell>
          <cell r="AD4151">
            <v>16500</v>
          </cell>
        </row>
        <row r="4152">
          <cell r="W4152" t="str">
            <v>QEM-403</v>
          </cell>
          <cell r="AD4152">
            <v>16500</v>
          </cell>
        </row>
        <row r="4153">
          <cell r="W4153" t="str">
            <v>QEM-403</v>
          </cell>
          <cell r="AD4153">
            <v>16500</v>
          </cell>
        </row>
        <row r="4154">
          <cell r="W4154" t="str">
            <v>QEM-403</v>
          </cell>
          <cell r="AD4154">
            <v>16500</v>
          </cell>
        </row>
        <row r="4155">
          <cell r="W4155" t="str">
            <v>QEM-403</v>
          </cell>
          <cell r="AD4155">
            <v>16500</v>
          </cell>
        </row>
        <row r="4156">
          <cell r="W4156" t="str">
            <v>QEM-403</v>
          </cell>
          <cell r="AD4156">
            <v>16500</v>
          </cell>
        </row>
        <row r="4157">
          <cell r="W4157" t="str">
            <v>QEM-403</v>
          </cell>
          <cell r="AD4157">
            <v>16500</v>
          </cell>
        </row>
        <row r="4158">
          <cell r="W4158" t="str">
            <v>QEM-403</v>
          </cell>
          <cell r="AD4158">
            <v>16500</v>
          </cell>
        </row>
        <row r="4159">
          <cell r="W4159" t="str">
            <v>QEM-403</v>
          </cell>
          <cell r="AD4159">
            <v>16500</v>
          </cell>
        </row>
        <row r="4160">
          <cell r="W4160" t="str">
            <v>QEM-403</v>
          </cell>
          <cell r="AD4160">
            <v>16500</v>
          </cell>
        </row>
        <row r="4161">
          <cell r="W4161" t="str">
            <v>QEM-403</v>
          </cell>
          <cell r="AD4161">
            <v>16500</v>
          </cell>
        </row>
        <row r="4162">
          <cell r="W4162" t="str">
            <v>QEM-403</v>
          </cell>
          <cell r="AD4162">
            <v>16500</v>
          </cell>
        </row>
        <row r="4163">
          <cell r="W4163" t="str">
            <v>QEM-403</v>
          </cell>
          <cell r="AD4163">
            <v>16500</v>
          </cell>
        </row>
        <row r="4164">
          <cell r="W4164" t="str">
            <v>QEM-403</v>
          </cell>
          <cell r="AD4164">
            <v>16500</v>
          </cell>
        </row>
        <row r="4165">
          <cell r="W4165" t="str">
            <v>QEM-403</v>
          </cell>
          <cell r="AD4165">
            <v>16500</v>
          </cell>
        </row>
        <row r="4166">
          <cell r="W4166" t="str">
            <v>QEM-403</v>
          </cell>
          <cell r="AD4166">
            <v>16500</v>
          </cell>
        </row>
        <row r="4167">
          <cell r="W4167" t="str">
            <v>QEM-403</v>
          </cell>
          <cell r="AD4167">
            <v>16500</v>
          </cell>
        </row>
        <row r="4168">
          <cell r="W4168" t="str">
            <v>QEM-403</v>
          </cell>
          <cell r="AD4168">
            <v>16500</v>
          </cell>
        </row>
        <row r="4169">
          <cell r="W4169" t="str">
            <v>QEM-403</v>
          </cell>
          <cell r="AD4169">
            <v>16500</v>
          </cell>
        </row>
        <row r="4170">
          <cell r="W4170" t="str">
            <v>QEM-403</v>
          </cell>
          <cell r="AD4170">
            <v>16500</v>
          </cell>
        </row>
        <row r="4171">
          <cell r="W4171" t="str">
            <v>QEM-403</v>
          </cell>
          <cell r="AD4171">
            <v>16500</v>
          </cell>
        </row>
        <row r="4172">
          <cell r="W4172" t="str">
            <v>QEM-403</v>
          </cell>
          <cell r="AD4172">
            <v>17000</v>
          </cell>
        </row>
        <row r="4173">
          <cell r="W4173" t="str">
            <v>QEM-403</v>
          </cell>
          <cell r="AD4173">
            <v>17000</v>
          </cell>
        </row>
        <row r="4174">
          <cell r="W4174" t="str">
            <v>QEM-403</v>
          </cell>
          <cell r="AD4174">
            <v>17000</v>
          </cell>
        </row>
        <row r="4175">
          <cell r="W4175" t="str">
            <v>QEM-403</v>
          </cell>
          <cell r="AD4175">
            <v>17000</v>
          </cell>
        </row>
        <row r="4176">
          <cell r="W4176" t="str">
            <v>QEM-403</v>
          </cell>
          <cell r="AD4176">
            <v>17000</v>
          </cell>
        </row>
        <row r="4177">
          <cell r="W4177" t="str">
            <v>QEM-403</v>
          </cell>
          <cell r="AD4177">
            <v>17000</v>
          </cell>
        </row>
        <row r="4178">
          <cell r="W4178" t="str">
            <v>QEM-403</v>
          </cell>
          <cell r="AD4178">
            <v>17000</v>
          </cell>
        </row>
        <row r="4179">
          <cell r="W4179" t="str">
            <v>QEM-403</v>
          </cell>
          <cell r="AD4179">
            <v>17000</v>
          </cell>
        </row>
        <row r="4180">
          <cell r="W4180" t="str">
            <v>QEM-403</v>
          </cell>
          <cell r="AD4180">
            <v>17000</v>
          </cell>
        </row>
        <row r="4181">
          <cell r="W4181" t="str">
            <v>QEM-403</v>
          </cell>
          <cell r="AD4181">
            <v>17000</v>
          </cell>
        </row>
        <row r="4182">
          <cell r="W4182" t="str">
            <v>QEM-403</v>
          </cell>
          <cell r="AD4182">
            <v>17000</v>
          </cell>
        </row>
        <row r="4183">
          <cell r="W4183" t="str">
            <v>QEM-403</v>
          </cell>
          <cell r="AD4183">
            <v>17000</v>
          </cell>
        </row>
        <row r="4184">
          <cell r="W4184" t="str">
            <v>QEM-403</v>
          </cell>
          <cell r="AD4184">
            <v>17000</v>
          </cell>
        </row>
        <row r="4185">
          <cell r="W4185" t="str">
            <v>QEM-403</v>
          </cell>
          <cell r="AD4185">
            <v>17000</v>
          </cell>
        </row>
        <row r="4186">
          <cell r="W4186" t="str">
            <v>QEM-403</v>
          </cell>
          <cell r="AD4186">
            <v>17000</v>
          </cell>
        </row>
        <row r="4187">
          <cell r="W4187" t="str">
            <v>QEM-403</v>
          </cell>
          <cell r="AD4187">
            <v>17000</v>
          </cell>
        </row>
        <row r="4188">
          <cell r="W4188" t="str">
            <v>QEM-403</v>
          </cell>
          <cell r="AD4188">
            <v>17000</v>
          </cell>
        </row>
        <row r="4189">
          <cell r="W4189" t="str">
            <v>QEM-403</v>
          </cell>
          <cell r="AD4189">
            <v>17000</v>
          </cell>
        </row>
        <row r="4190">
          <cell r="W4190" t="str">
            <v>QEM-403</v>
          </cell>
          <cell r="AD4190">
            <v>17000</v>
          </cell>
        </row>
        <row r="4191">
          <cell r="W4191" t="str">
            <v>QEM-403</v>
          </cell>
          <cell r="AD4191">
            <v>17000</v>
          </cell>
        </row>
        <row r="4192">
          <cell r="W4192" t="str">
            <v>QEM-403</v>
          </cell>
          <cell r="AD4192">
            <v>17000</v>
          </cell>
        </row>
        <row r="4193">
          <cell r="W4193" t="str">
            <v>QEM-403</v>
          </cell>
          <cell r="AD4193">
            <v>17000</v>
          </cell>
        </row>
        <row r="4194">
          <cell r="W4194" t="str">
            <v>QEM-403</v>
          </cell>
          <cell r="AD4194">
            <v>17000</v>
          </cell>
        </row>
        <row r="4195">
          <cell r="W4195" t="str">
            <v>QEM-403</v>
          </cell>
          <cell r="AD4195">
            <v>17000</v>
          </cell>
        </row>
        <row r="4196">
          <cell r="W4196" t="str">
            <v>QEM-403</v>
          </cell>
          <cell r="AD4196">
            <v>17000</v>
          </cell>
        </row>
        <row r="4197">
          <cell r="W4197" t="str">
            <v>QEM-403</v>
          </cell>
          <cell r="AD4197">
            <v>17000</v>
          </cell>
        </row>
        <row r="4198">
          <cell r="W4198" t="str">
            <v>QEM-403</v>
          </cell>
          <cell r="AD4198">
            <v>17000</v>
          </cell>
        </row>
        <row r="4199">
          <cell r="W4199" t="str">
            <v>QEM-402</v>
          </cell>
          <cell r="AD4199">
            <v>16000</v>
          </cell>
        </row>
        <row r="4200">
          <cell r="W4200" t="str">
            <v>QEM-402</v>
          </cell>
          <cell r="AD4200">
            <v>16000</v>
          </cell>
        </row>
        <row r="4201">
          <cell r="W4201" t="str">
            <v>QEM-402</v>
          </cell>
          <cell r="AD4201">
            <v>16000</v>
          </cell>
        </row>
        <row r="4202">
          <cell r="W4202" t="str">
            <v>QEM-402</v>
          </cell>
          <cell r="AD4202">
            <v>16250</v>
          </cell>
        </row>
        <row r="4203">
          <cell r="W4203" t="str">
            <v>QEM-402</v>
          </cell>
          <cell r="AD4203">
            <v>16250</v>
          </cell>
        </row>
        <row r="4204">
          <cell r="W4204" t="str">
            <v>QEM-402</v>
          </cell>
          <cell r="AD4204">
            <v>16250</v>
          </cell>
        </row>
        <row r="4205">
          <cell r="W4205" t="str">
            <v>QEM-402</v>
          </cell>
          <cell r="AD4205">
            <v>16250</v>
          </cell>
        </row>
        <row r="4206">
          <cell r="W4206" t="str">
            <v>QEM-402</v>
          </cell>
          <cell r="AD4206">
            <v>16250</v>
          </cell>
        </row>
        <row r="4207">
          <cell r="W4207" t="str">
            <v>QEM-402</v>
          </cell>
          <cell r="AD4207">
            <v>16250</v>
          </cell>
        </row>
        <row r="4208">
          <cell r="W4208" t="str">
            <v>QEM-402</v>
          </cell>
          <cell r="AD4208">
            <v>16250</v>
          </cell>
        </row>
        <row r="4209">
          <cell r="W4209" t="str">
            <v>QEM-402</v>
          </cell>
          <cell r="AD4209">
            <v>16250</v>
          </cell>
        </row>
        <row r="4210">
          <cell r="W4210" t="str">
            <v>QEM-402</v>
          </cell>
          <cell r="AD4210">
            <v>16250</v>
          </cell>
        </row>
        <row r="4211">
          <cell r="W4211" t="str">
            <v>QEM-402</v>
          </cell>
          <cell r="AD4211">
            <v>16250</v>
          </cell>
        </row>
        <row r="4212">
          <cell r="W4212" t="str">
            <v>QEM-402</v>
          </cell>
          <cell r="AD4212">
            <v>16250</v>
          </cell>
        </row>
        <row r="4213">
          <cell r="W4213" t="str">
            <v>QEM-402</v>
          </cell>
          <cell r="AD4213">
            <v>16500</v>
          </cell>
        </row>
        <row r="4214">
          <cell r="W4214" t="str">
            <v>QEM-402</v>
          </cell>
          <cell r="AD4214">
            <v>16500</v>
          </cell>
        </row>
        <row r="4215">
          <cell r="W4215" t="str">
            <v>QEM-402</v>
          </cell>
          <cell r="AD4215">
            <v>16500</v>
          </cell>
        </row>
        <row r="4216">
          <cell r="W4216" t="str">
            <v>QEM-402</v>
          </cell>
          <cell r="AD4216">
            <v>16500</v>
          </cell>
        </row>
        <row r="4217">
          <cell r="W4217" t="str">
            <v>QEM-402</v>
          </cell>
          <cell r="AD4217">
            <v>16500</v>
          </cell>
        </row>
        <row r="4218">
          <cell r="W4218" t="str">
            <v>QEM-402</v>
          </cell>
          <cell r="AD4218">
            <v>16500</v>
          </cell>
        </row>
        <row r="4219">
          <cell r="W4219" t="str">
            <v>QEM-402</v>
          </cell>
          <cell r="AD4219">
            <v>16500</v>
          </cell>
        </row>
        <row r="4220">
          <cell r="W4220" t="str">
            <v>QEM-402</v>
          </cell>
          <cell r="AD4220">
            <v>16500</v>
          </cell>
        </row>
        <row r="4221">
          <cell r="W4221" t="str">
            <v>QEM-402</v>
          </cell>
          <cell r="AD4221">
            <v>16500</v>
          </cell>
        </row>
        <row r="4222">
          <cell r="W4222" t="str">
            <v>QEM-402</v>
          </cell>
          <cell r="AD4222">
            <v>16500</v>
          </cell>
        </row>
        <row r="4223">
          <cell r="W4223" t="str">
            <v>QEM-402</v>
          </cell>
          <cell r="AD4223">
            <v>16500</v>
          </cell>
        </row>
        <row r="4224">
          <cell r="W4224" t="str">
            <v>QEM-402</v>
          </cell>
          <cell r="AD4224">
            <v>16500</v>
          </cell>
        </row>
        <row r="4225">
          <cell r="W4225" t="str">
            <v>QEM-402</v>
          </cell>
          <cell r="AD4225">
            <v>16500</v>
          </cell>
        </row>
        <row r="4226">
          <cell r="W4226" t="str">
            <v>QEM-402</v>
          </cell>
          <cell r="AD4226">
            <v>16500</v>
          </cell>
        </row>
        <row r="4227">
          <cell r="W4227" t="str">
            <v>QEM-402</v>
          </cell>
          <cell r="AD4227">
            <v>16500</v>
          </cell>
        </row>
        <row r="4228">
          <cell r="W4228" t="str">
            <v>QEM-402</v>
          </cell>
          <cell r="AD4228">
            <v>16500</v>
          </cell>
        </row>
        <row r="4229">
          <cell r="W4229" t="str">
            <v>QEM-402</v>
          </cell>
          <cell r="AD4229">
            <v>16500</v>
          </cell>
        </row>
        <row r="4230">
          <cell r="W4230" t="str">
            <v>QEM-402</v>
          </cell>
          <cell r="AD4230">
            <v>16500</v>
          </cell>
        </row>
        <row r="4231">
          <cell r="W4231" t="str">
            <v>QEM-402</v>
          </cell>
          <cell r="AD4231">
            <v>16500</v>
          </cell>
        </row>
        <row r="4232">
          <cell r="W4232" t="str">
            <v>QEM-402</v>
          </cell>
          <cell r="AD4232">
            <v>16500</v>
          </cell>
        </row>
        <row r="4233">
          <cell r="W4233" t="str">
            <v>QEM-402</v>
          </cell>
          <cell r="AD4233">
            <v>16500</v>
          </cell>
        </row>
        <row r="4234">
          <cell r="W4234" t="str">
            <v>QEM-402</v>
          </cell>
          <cell r="AD4234">
            <v>16500</v>
          </cell>
        </row>
        <row r="4235">
          <cell r="W4235" t="str">
            <v>QEM-402</v>
          </cell>
          <cell r="AD4235">
            <v>16500</v>
          </cell>
        </row>
        <row r="4236">
          <cell r="W4236" t="str">
            <v>QEM-402</v>
          </cell>
          <cell r="AD4236">
            <v>16500</v>
          </cell>
        </row>
        <row r="4237">
          <cell r="W4237" t="str">
            <v>QEM-402</v>
          </cell>
          <cell r="AD4237">
            <v>16500</v>
          </cell>
        </row>
        <row r="4238">
          <cell r="W4238" t="str">
            <v>QEM-402</v>
          </cell>
          <cell r="AD4238">
            <v>16500</v>
          </cell>
        </row>
        <row r="4239">
          <cell r="W4239" t="str">
            <v>QEM-402</v>
          </cell>
          <cell r="AD4239">
            <v>17000</v>
          </cell>
        </row>
        <row r="4240">
          <cell r="W4240" t="str">
            <v>QEM-402</v>
          </cell>
          <cell r="AD4240">
            <v>17000</v>
          </cell>
        </row>
        <row r="4241">
          <cell r="W4241" t="str">
            <v>QEM-402</v>
          </cell>
          <cell r="AD4241">
            <v>17000</v>
          </cell>
        </row>
        <row r="4242">
          <cell r="W4242" t="str">
            <v>QEM-402</v>
          </cell>
          <cell r="AD4242">
            <v>17000</v>
          </cell>
        </row>
        <row r="4243">
          <cell r="W4243" t="str">
            <v>QEM-402</v>
          </cell>
          <cell r="AD4243">
            <v>17000</v>
          </cell>
        </row>
        <row r="4244">
          <cell r="W4244" t="str">
            <v>QEM-402</v>
          </cell>
          <cell r="AD4244">
            <v>17000</v>
          </cell>
        </row>
        <row r="4245">
          <cell r="W4245" t="str">
            <v>QEM-402</v>
          </cell>
          <cell r="AD4245">
            <v>17000</v>
          </cell>
        </row>
        <row r="4246">
          <cell r="W4246" t="str">
            <v>QEM-402</v>
          </cell>
          <cell r="AD4246">
            <v>17000</v>
          </cell>
        </row>
        <row r="4247">
          <cell r="W4247" t="str">
            <v>QEM-402</v>
          </cell>
          <cell r="AD4247">
            <v>17000</v>
          </cell>
        </row>
        <row r="4248">
          <cell r="W4248" t="str">
            <v>QEM-402</v>
          </cell>
          <cell r="AD4248">
            <v>17000</v>
          </cell>
        </row>
        <row r="4249">
          <cell r="W4249" t="str">
            <v>QEM-401</v>
          </cell>
          <cell r="AD4249">
            <v>16000</v>
          </cell>
        </row>
        <row r="4250">
          <cell r="W4250" t="str">
            <v>QEM-401</v>
          </cell>
          <cell r="AD4250">
            <v>16000</v>
          </cell>
        </row>
        <row r="4251">
          <cell r="W4251" t="str">
            <v>QEM-401</v>
          </cell>
          <cell r="AD4251">
            <v>16250</v>
          </cell>
        </row>
        <row r="4252">
          <cell r="W4252" t="str">
            <v>QEM-401</v>
          </cell>
          <cell r="AD4252">
            <v>16250</v>
          </cell>
        </row>
        <row r="4253">
          <cell r="W4253" t="str">
            <v>QEM-401</v>
          </cell>
          <cell r="AD4253">
            <v>16250</v>
          </cell>
        </row>
        <row r="4254">
          <cell r="W4254" t="str">
            <v>QEM-401</v>
          </cell>
          <cell r="AD4254">
            <v>16250</v>
          </cell>
        </row>
        <row r="4255">
          <cell r="W4255" t="str">
            <v>QEM-401</v>
          </cell>
          <cell r="AD4255">
            <v>16250</v>
          </cell>
        </row>
        <row r="4256">
          <cell r="W4256" t="str">
            <v>QEM-401</v>
          </cell>
          <cell r="AD4256">
            <v>16250</v>
          </cell>
        </row>
        <row r="4257">
          <cell r="W4257" t="str">
            <v>QEM-401</v>
          </cell>
          <cell r="AD4257">
            <v>16250</v>
          </cell>
        </row>
        <row r="4258">
          <cell r="W4258" t="str">
            <v>QEM-401</v>
          </cell>
          <cell r="AD4258">
            <v>16250</v>
          </cell>
        </row>
        <row r="4259">
          <cell r="W4259" t="str">
            <v>QEM-401</v>
          </cell>
          <cell r="AD4259">
            <v>16250</v>
          </cell>
        </row>
        <row r="4260">
          <cell r="W4260" t="str">
            <v>QEM-401</v>
          </cell>
          <cell r="AD4260">
            <v>16250</v>
          </cell>
        </row>
        <row r="4261">
          <cell r="W4261" t="str">
            <v>QEM-401</v>
          </cell>
          <cell r="AD4261">
            <v>16250</v>
          </cell>
        </row>
        <row r="4262">
          <cell r="W4262" t="str">
            <v>QEM-401</v>
          </cell>
          <cell r="AD4262">
            <v>16250</v>
          </cell>
        </row>
        <row r="4263">
          <cell r="W4263" t="str">
            <v>QEM-401</v>
          </cell>
          <cell r="AD4263">
            <v>16250</v>
          </cell>
        </row>
        <row r="4264">
          <cell r="W4264" t="str">
            <v>QEM-401</v>
          </cell>
          <cell r="AD4264">
            <v>16250</v>
          </cell>
        </row>
        <row r="4265">
          <cell r="W4265" t="str">
            <v>QEM-401</v>
          </cell>
          <cell r="AD4265">
            <v>16500</v>
          </cell>
        </row>
        <row r="4266">
          <cell r="W4266" t="str">
            <v>QEM-401</v>
          </cell>
          <cell r="AD4266">
            <v>16500</v>
          </cell>
        </row>
        <row r="4267">
          <cell r="W4267" t="str">
            <v>QEM-401</v>
          </cell>
          <cell r="AD4267">
            <v>16500</v>
          </cell>
        </row>
        <row r="4268">
          <cell r="W4268" t="str">
            <v>QEM-401</v>
          </cell>
          <cell r="AD4268">
            <v>16500</v>
          </cell>
        </row>
        <row r="4269">
          <cell r="W4269" t="str">
            <v>QEM-401</v>
          </cell>
          <cell r="AD4269">
            <v>16500</v>
          </cell>
        </row>
        <row r="4270">
          <cell r="W4270" t="str">
            <v>QEM-401</v>
          </cell>
          <cell r="AD4270">
            <v>16500</v>
          </cell>
        </row>
        <row r="4271">
          <cell r="W4271" t="str">
            <v>QEM-401</v>
          </cell>
          <cell r="AD4271">
            <v>16500</v>
          </cell>
        </row>
        <row r="4272">
          <cell r="W4272" t="str">
            <v>QEM-401</v>
          </cell>
          <cell r="AD4272">
            <v>16500</v>
          </cell>
        </row>
        <row r="4273">
          <cell r="W4273" t="str">
            <v>QEM-401</v>
          </cell>
          <cell r="AD4273">
            <v>16500</v>
          </cell>
        </row>
        <row r="4274">
          <cell r="W4274" t="str">
            <v>QEM-401</v>
          </cell>
          <cell r="AD4274">
            <v>16500</v>
          </cell>
        </row>
        <row r="4275">
          <cell r="W4275" t="str">
            <v>QEM-401</v>
          </cell>
          <cell r="AD4275">
            <v>16500</v>
          </cell>
        </row>
        <row r="4276">
          <cell r="W4276" t="str">
            <v>QEM-401</v>
          </cell>
          <cell r="AD4276">
            <v>16500</v>
          </cell>
        </row>
        <row r="4277">
          <cell r="W4277" t="str">
            <v>QEM-401</v>
          </cell>
          <cell r="AD4277">
            <v>16500</v>
          </cell>
        </row>
        <row r="4278">
          <cell r="W4278" t="str">
            <v>QEM-401</v>
          </cell>
          <cell r="AD4278">
            <v>16500</v>
          </cell>
        </row>
        <row r="4279">
          <cell r="W4279" t="str">
            <v>QEM-401</v>
          </cell>
          <cell r="AD4279">
            <v>16500</v>
          </cell>
        </row>
        <row r="4280">
          <cell r="W4280" t="str">
            <v>QEM-401</v>
          </cell>
          <cell r="AD4280">
            <v>16500</v>
          </cell>
        </row>
        <row r="4281">
          <cell r="W4281" t="str">
            <v>QEM-401</v>
          </cell>
          <cell r="AD4281">
            <v>16500</v>
          </cell>
        </row>
        <row r="4282">
          <cell r="W4282" t="str">
            <v>QEM-401</v>
          </cell>
          <cell r="AD4282">
            <v>16500</v>
          </cell>
        </row>
        <row r="4283">
          <cell r="W4283" t="str">
            <v>QEM-401</v>
          </cell>
          <cell r="AD4283">
            <v>16500</v>
          </cell>
        </row>
        <row r="4284">
          <cell r="W4284" t="str">
            <v>QEM-401</v>
          </cell>
          <cell r="AD4284">
            <v>16500</v>
          </cell>
        </row>
        <row r="4285">
          <cell r="W4285" t="str">
            <v>QEM-401</v>
          </cell>
          <cell r="AD4285">
            <v>16500</v>
          </cell>
        </row>
        <row r="4286">
          <cell r="W4286" t="str">
            <v>QEM-401</v>
          </cell>
          <cell r="AD4286">
            <v>16500</v>
          </cell>
        </row>
        <row r="4287">
          <cell r="W4287" t="str">
            <v>QEM-401</v>
          </cell>
          <cell r="AD4287">
            <v>16500</v>
          </cell>
        </row>
        <row r="4288">
          <cell r="W4288" t="str">
            <v>QEM-401</v>
          </cell>
          <cell r="AD4288">
            <v>16500</v>
          </cell>
        </row>
        <row r="4289">
          <cell r="W4289" t="str">
            <v>QEM-401</v>
          </cell>
          <cell r="AD4289">
            <v>16500</v>
          </cell>
        </row>
        <row r="4290">
          <cell r="W4290" t="str">
            <v>QEM-401</v>
          </cell>
          <cell r="AD4290">
            <v>16500</v>
          </cell>
        </row>
        <row r="4291">
          <cell r="W4291" t="str">
            <v>QEM-401</v>
          </cell>
          <cell r="AD4291">
            <v>16500</v>
          </cell>
        </row>
        <row r="4292">
          <cell r="W4292" t="str">
            <v>QEM-401</v>
          </cell>
          <cell r="AD4292">
            <v>16500</v>
          </cell>
        </row>
        <row r="4293">
          <cell r="W4293" t="str">
            <v>QEM-401</v>
          </cell>
          <cell r="AD4293">
            <v>16500</v>
          </cell>
        </row>
        <row r="4294">
          <cell r="W4294" t="str">
            <v>QEM-401</v>
          </cell>
          <cell r="AD4294">
            <v>16500</v>
          </cell>
        </row>
        <row r="4295">
          <cell r="W4295" t="str">
            <v>QEM-401</v>
          </cell>
          <cell r="AD4295">
            <v>16500</v>
          </cell>
        </row>
        <row r="4296">
          <cell r="W4296" t="str">
            <v>QEM-401</v>
          </cell>
          <cell r="AD4296">
            <v>16500</v>
          </cell>
        </row>
        <row r="4297">
          <cell r="W4297" t="str">
            <v>QEM-401</v>
          </cell>
          <cell r="AD4297">
            <v>16500</v>
          </cell>
        </row>
        <row r="4298">
          <cell r="W4298" t="str">
            <v>QEM-401</v>
          </cell>
          <cell r="AD4298">
            <v>16500</v>
          </cell>
        </row>
        <row r="4299">
          <cell r="W4299" t="str">
            <v>QEM-401</v>
          </cell>
          <cell r="AD4299">
            <v>16500</v>
          </cell>
        </row>
        <row r="4300">
          <cell r="W4300" t="str">
            <v>QEM-401</v>
          </cell>
          <cell r="AD4300">
            <v>16500</v>
          </cell>
        </row>
        <row r="4301">
          <cell r="W4301" t="str">
            <v>QEM-401</v>
          </cell>
          <cell r="AD4301">
            <v>16500</v>
          </cell>
        </row>
        <row r="4302">
          <cell r="W4302" t="str">
            <v>QEM-401</v>
          </cell>
          <cell r="AD4302">
            <v>16500</v>
          </cell>
        </row>
        <row r="4303">
          <cell r="W4303" t="str">
            <v>QEM-401</v>
          </cell>
          <cell r="AD4303">
            <v>17000</v>
          </cell>
        </row>
        <row r="4304">
          <cell r="W4304" t="str">
            <v>QEM-401</v>
          </cell>
          <cell r="AD4304">
            <v>17000</v>
          </cell>
        </row>
        <row r="4305">
          <cell r="W4305" t="str">
            <v>QEM-401</v>
          </cell>
          <cell r="AD4305">
            <v>17000</v>
          </cell>
        </row>
        <row r="4306">
          <cell r="W4306" t="str">
            <v>QEM-401</v>
          </cell>
          <cell r="AD4306">
            <v>17000</v>
          </cell>
        </row>
        <row r="4307">
          <cell r="W4307" t="str">
            <v>QEM-401</v>
          </cell>
          <cell r="AD4307">
            <v>17000</v>
          </cell>
        </row>
        <row r="4308">
          <cell r="W4308" t="str">
            <v>QEM-401</v>
          </cell>
          <cell r="AD4308">
            <v>17000</v>
          </cell>
        </row>
        <row r="4309">
          <cell r="W4309" t="str">
            <v>QEM-401</v>
          </cell>
          <cell r="AD4309">
            <v>17000</v>
          </cell>
        </row>
        <row r="4310">
          <cell r="W4310" t="str">
            <v>QEM-401</v>
          </cell>
          <cell r="AD4310">
            <v>17000</v>
          </cell>
        </row>
        <row r="4311">
          <cell r="W4311" t="str">
            <v>QEM-401</v>
          </cell>
          <cell r="AD4311">
            <v>17000</v>
          </cell>
        </row>
        <row r="4312">
          <cell r="W4312" t="str">
            <v>QEM-401</v>
          </cell>
          <cell r="AD4312">
            <v>17000</v>
          </cell>
        </row>
        <row r="4313">
          <cell r="W4313" t="str">
            <v>QEM-401</v>
          </cell>
          <cell r="AD4313">
            <v>17000</v>
          </cell>
        </row>
        <row r="4314">
          <cell r="W4314" t="str">
            <v>QEM-401</v>
          </cell>
          <cell r="AD4314">
            <v>17000</v>
          </cell>
        </row>
        <row r="4315">
          <cell r="W4315" t="str">
            <v>QEM-401</v>
          </cell>
          <cell r="AD4315">
            <v>17000</v>
          </cell>
        </row>
        <row r="4316">
          <cell r="W4316" t="str">
            <v>QEM-401</v>
          </cell>
          <cell r="AD4316">
            <v>17000</v>
          </cell>
        </row>
        <row r="4317">
          <cell r="W4317" t="str">
            <v>QEM-401</v>
          </cell>
          <cell r="AD4317">
            <v>17000</v>
          </cell>
        </row>
        <row r="4318">
          <cell r="W4318" t="str">
            <v>QEM-401</v>
          </cell>
          <cell r="AD4318">
            <v>17000</v>
          </cell>
        </row>
        <row r="4319">
          <cell r="W4319" t="str">
            <v>QEM-401</v>
          </cell>
          <cell r="AD4319">
            <v>17000</v>
          </cell>
        </row>
        <row r="4320">
          <cell r="W4320" t="str">
            <v>QEM-401</v>
          </cell>
          <cell r="AD4320">
            <v>17000</v>
          </cell>
        </row>
        <row r="4321">
          <cell r="W4321" t="str">
            <v>QEM-401</v>
          </cell>
          <cell r="AD4321">
            <v>17000</v>
          </cell>
        </row>
        <row r="4322">
          <cell r="W4322" t="str">
            <v>QEM-404</v>
          </cell>
          <cell r="AD4322">
            <v>16250</v>
          </cell>
        </row>
        <row r="4323">
          <cell r="W4323" t="str">
            <v>QEM-404</v>
          </cell>
          <cell r="AD4323">
            <v>16500</v>
          </cell>
        </row>
        <row r="4324">
          <cell r="W4324" t="str">
            <v>QEMAC04</v>
          </cell>
          <cell r="AD4324">
            <v>265000</v>
          </cell>
        </row>
        <row r="4325">
          <cell r="W4325" t="str">
            <v>QEMAC04</v>
          </cell>
          <cell r="AD4325">
            <v>267000</v>
          </cell>
        </row>
        <row r="4326">
          <cell r="W4326" t="str">
            <v>QEMAC04</v>
          </cell>
          <cell r="AD4326">
            <v>267000</v>
          </cell>
        </row>
        <row r="4327">
          <cell r="W4327" t="str">
            <v>QEMAC04</v>
          </cell>
          <cell r="AD4327">
            <v>295000</v>
          </cell>
        </row>
        <row r="4328">
          <cell r="W4328" t="str">
            <v>QEMAC03</v>
          </cell>
          <cell r="AD4328">
            <v>138000</v>
          </cell>
        </row>
        <row r="4329">
          <cell r="W4329" t="str">
            <v>QEMAC03</v>
          </cell>
          <cell r="AD4329">
            <v>138000</v>
          </cell>
        </row>
        <row r="4330">
          <cell r="W4330" t="str">
            <v>QEMAC03</v>
          </cell>
          <cell r="AD4330">
            <v>140000</v>
          </cell>
        </row>
        <row r="4331">
          <cell r="W4331" t="str">
            <v>QEMAC03</v>
          </cell>
          <cell r="AD4331">
            <v>150000</v>
          </cell>
        </row>
        <row r="4332">
          <cell r="W4332" t="str">
            <v>QEMAC03</v>
          </cell>
          <cell r="AD4332">
            <v>150000</v>
          </cell>
        </row>
        <row r="4333">
          <cell r="W4333" t="str">
            <v>QEMAC03</v>
          </cell>
          <cell r="AD4333">
            <v>150000</v>
          </cell>
        </row>
        <row r="4334">
          <cell r="W4334" t="str">
            <v>QEMAC03</v>
          </cell>
          <cell r="AD4334">
            <v>150000</v>
          </cell>
        </row>
        <row r="4335">
          <cell r="W4335" t="str">
            <v>QEMAC03</v>
          </cell>
          <cell r="AD4335">
            <v>150000</v>
          </cell>
        </row>
        <row r="4336">
          <cell r="W4336" t="str">
            <v>QEMAC03</v>
          </cell>
          <cell r="AD4336">
            <v>150000</v>
          </cell>
        </row>
        <row r="4337">
          <cell r="W4337" t="str">
            <v>QEMAC03</v>
          </cell>
          <cell r="AD4337">
            <v>150000</v>
          </cell>
        </row>
        <row r="4338">
          <cell r="W4338" t="str">
            <v>QEMAC03</v>
          </cell>
          <cell r="AD4338">
            <v>150000</v>
          </cell>
        </row>
        <row r="4339">
          <cell r="W4339" t="str">
            <v>QEMAC03</v>
          </cell>
          <cell r="AD4339">
            <v>150000</v>
          </cell>
        </row>
        <row r="4340">
          <cell r="W4340" t="str">
            <v>QEMAC03</v>
          </cell>
          <cell r="AD4340">
            <v>150000</v>
          </cell>
        </row>
        <row r="4341">
          <cell r="W4341" t="str">
            <v>QEMAC03</v>
          </cell>
          <cell r="AD4341">
            <v>150000</v>
          </cell>
        </row>
        <row r="4342">
          <cell r="W4342" t="str">
            <v>QEMAC03</v>
          </cell>
          <cell r="AD4342">
            <v>165000</v>
          </cell>
        </row>
        <row r="4343">
          <cell r="W4343" t="str">
            <v>QEMAC03</v>
          </cell>
          <cell r="AD4343">
            <v>165000</v>
          </cell>
        </row>
        <row r="4344">
          <cell r="W4344" t="str">
            <v>QEMAC03</v>
          </cell>
          <cell r="AD4344">
            <v>170000</v>
          </cell>
        </row>
        <row r="4345">
          <cell r="W4345" t="str">
            <v>QEMAC03</v>
          </cell>
          <cell r="AD4345">
            <v>170000</v>
          </cell>
        </row>
        <row r="4346">
          <cell r="W4346" t="str">
            <v>QEMAC03</v>
          </cell>
          <cell r="AD4346">
            <v>180000</v>
          </cell>
        </row>
        <row r="4347">
          <cell r="W4347" t="str">
            <v>QEMAC03</v>
          </cell>
          <cell r="AD4347">
            <v>180000</v>
          </cell>
        </row>
        <row r="4348">
          <cell r="W4348" t="str">
            <v>QEMAC03</v>
          </cell>
          <cell r="AD4348">
            <v>180000</v>
          </cell>
        </row>
        <row r="4349">
          <cell r="W4349" t="str">
            <v>QEMAC03</v>
          </cell>
          <cell r="AD4349">
            <v>180000</v>
          </cell>
        </row>
        <row r="4350">
          <cell r="W4350" t="str">
            <v>QEMAC03</v>
          </cell>
          <cell r="AD4350">
            <v>180000</v>
          </cell>
        </row>
        <row r="4351">
          <cell r="W4351" t="str">
            <v>QEMAC03</v>
          </cell>
          <cell r="AD4351">
            <v>180000</v>
          </cell>
        </row>
        <row r="4352">
          <cell r="W4352" t="str">
            <v>QEMAC03</v>
          </cell>
          <cell r="AD4352">
            <v>180000</v>
          </cell>
        </row>
        <row r="4353">
          <cell r="W4353" t="str">
            <v>QEMAC03</v>
          </cell>
          <cell r="AD4353">
            <v>180000</v>
          </cell>
        </row>
        <row r="4354">
          <cell r="W4354" t="str">
            <v>QEMAC03</v>
          </cell>
          <cell r="AD4354">
            <v>180000</v>
          </cell>
        </row>
        <row r="4355">
          <cell r="W4355" t="str">
            <v>QEMAC03</v>
          </cell>
          <cell r="AD4355">
            <v>180000</v>
          </cell>
        </row>
        <row r="4356">
          <cell r="W4356" t="str">
            <v>QEMAC03</v>
          </cell>
          <cell r="AD4356">
            <v>180000</v>
          </cell>
        </row>
        <row r="4357">
          <cell r="W4357" t="str">
            <v>QEMAC03</v>
          </cell>
          <cell r="AD4357">
            <v>180000</v>
          </cell>
        </row>
        <row r="4358">
          <cell r="W4358" t="str">
            <v>QEMAC03</v>
          </cell>
          <cell r="AD4358">
            <v>180000</v>
          </cell>
        </row>
        <row r="4359">
          <cell r="W4359" t="str">
            <v>QEMAC03</v>
          </cell>
          <cell r="AD4359">
            <v>180000</v>
          </cell>
        </row>
        <row r="4360">
          <cell r="W4360" t="str">
            <v>QEMAC05</v>
          </cell>
          <cell r="AD4360">
            <v>72500</v>
          </cell>
        </row>
        <row r="4361">
          <cell r="W4361" t="str">
            <v>QEMAC05</v>
          </cell>
          <cell r="AD4361">
            <v>75000</v>
          </cell>
        </row>
        <row r="4362">
          <cell r="W4362" t="str">
            <v>QEMAC05</v>
          </cell>
          <cell r="AD4362">
            <v>75000</v>
          </cell>
        </row>
        <row r="4363">
          <cell r="W4363" t="str">
            <v>QEMAC05</v>
          </cell>
          <cell r="AD4363">
            <v>77500</v>
          </cell>
        </row>
        <row r="4364">
          <cell r="W4364" t="str">
            <v>QEMAC05</v>
          </cell>
          <cell r="AD4364">
            <v>78000</v>
          </cell>
        </row>
        <row r="4365">
          <cell r="W4365" t="str">
            <v>QEMAC05</v>
          </cell>
          <cell r="AD4365">
            <v>82000</v>
          </cell>
        </row>
        <row r="4366">
          <cell r="W4366" t="str">
            <v>QEMAC05</v>
          </cell>
          <cell r="AD4366">
            <v>82000</v>
          </cell>
        </row>
        <row r="4367">
          <cell r="W4367" t="str">
            <v>QEMAC05</v>
          </cell>
          <cell r="AD4367">
            <v>82000</v>
          </cell>
        </row>
        <row r="4368">
          <cell r="W4368" t="str">
            <v>QEMAC05</v>
          </cell>
          <cell r="AD4368">
            <v>82000</v>
          </cell>
        </row>
        <row r="4369">
          <cell r="W4369" t="str">
            <v>QEMAC05</v>
          </cell>
          <cell r="AD4369">
            <v>82000</v>
          </cell>
        </row>
        <row r="4370">
          <cell r="W4370" t="str">
            <v>QEMAC05</v>
          </cell>
          <cell r="AD4370">
            <v>82000</v>
          </cell>
        </row>
        <row r="4371">
          <cell r="W4371" t="str">
            <v>QEMAC05</v>
          </cell>
          <cell r="AD4371">
            <v>82000</v>
          </cell>
        </row>
        <row r="4372">
          <cell r="W4372" t="str">
            <v>QEMAC05</v>
          </cell>
          <cell r="AD4372">
            <v>85000</v>
          </cell>
        </row>
        <row r="4373">
          <cell r="W4373" t="str">
            <v>QEMAC05</v>
          </cell>
          <cell r="AD4373">
            <v>85000</v>
          </cell>
        </row>
        <row r="4374">
          <cell r="W4374" t="str">
            <v>QEMAC05</v>
          </cell>
          <cell r="AD4374">
            <v>85000</v>
          </cell>
        </row>
        <row r="4375">
          <cell r="W4375" t="str">
            <v>QEMAC05</v>
          </cell>
          <cell r="AD4375">
            <v>88000</v>
          </cell>
        </row>
        <row r="4376">
          <cell r="W4376" t="str">
            <v>QEMAC05</v>
          </cell>
          <cell r="AD4376">
            <v>90000</v>
          </cell>
        </row>
        <row r="4377">
          <cell r="W4377" t="str">
            <v>QEMAC05</v>
          </cell>
          <cell r="AD4377">
            <v>95000</v>
          </cell>
        </row>
        <row r="4378">
          <cell r="W4378" t="str">
            <v>QEMAC05</v>
          </cell>
          <cell r="AD4378">
            <v>95000</v>
          </cell>
        </row>
        <row r="4379">
          <cell r="W4379" t="str">
            <v>QEMAC05</v>
          </cell>
          <cell r="AD4379">
            <v>95000</v>
          </cell>
        </row>
        <row r="4380">
          <cell r="W4380" t="str">
            <v>QEMAC05</v>
          </cell>
          <cell r="AD4380">
            <v>95000</v>
          </cell>
        </row>
        <row r="4381">
          <cell r="W4381" t="str">
            <v>QEMAC05</v>
          </cell>
          <cell r="AD4381">
            <v>95000</v>
          </cell>
        </row>
        <row r="4382">
          <cell r="W4382" t="str">
            <v>QEMAC05</v>
          </cell>
          <cell r="AD4382">
            <v>95000</v>
          </cell>
        </row>
        <row r="4383">
          <cell r="W4383" t="str">
            <v>QEMAC05</v>
          </cell>
          <cell r="AD4383">
            <v>95000</v>
          </cell>
        </row>
        <row r="4384">
          <cell r="W4384" t="str">
            <v>QEMAC05</v>
          </cell>
          <cell r="AD4384">
            <v>95000</v>
          </cell>
        </row>
        <row r="4385">
          <cell r="W4385" t="str">
            <v>QEMAC05</v>
          </cell>
          <cell r="AD4385">
            <v>95000</v>
          </cell>
        </row>
        <row r="4386">
          <cell r="W4386" t="str">
            <v>QEMAC05</v>
          </cell>
          <cell r="AD4386">
            <v>95000</v>
          </cell>
        </row>
        <row r="4387">
          <cell r="W4387" t="str">
            <v>QEMAC05</v>
          </cell>
          <cell r="AD4387">
            <v>95000</v>
          </cell>
        </row>
        <row r="4388">
          <cell r="W4388" t="str">
            <v>QEMAC05</v>
          </cell>
          <cell r="AD4388">
            <v>95000</v>
          </cell>
        </row>
        <row r="4389">
          <cell r="W4389" t="str">
            <v>QEMAC05</v>
          </cell>
          <cell r="AD4389">
            <v>95000</v>
          </cell>
        </row>
        <row r="4390">
          <cell r="W4390" t="str">
            <v>QEMAP04</v>
          </cell>
          <cell r="AD4390">
            <v>110000</v>
          </cell>
        </row>
        <row r="4391">
          <cell r="W4391" t="str">
            <v>QEMAP04</v>
          </cell>
          <cell r="AD4391">
            <v>115000</v>
          </cell>
        </row>
        <row r="4392">
          <cell r="W4392" t="str">
            <v>QEMAP04</v>
          </cell>
          <cell r="AD4392">
            <v>115000</v>
          </cell>
        </row>
        <row r="4393">
          <cell r="W4393" t="str">
            <v>QEMAP04</v>
          </cell>
          <cell r="AD4393">
            <v>115000</v>
          </cell>
        </row>
        <row r="4394">
          <cell r="W4394" t="str">
            <v>QEMAP04</v>
          </cell>
          <cell r="AD4394">
            <v>115000</v>
          </cell>
        </row>
        <row r="4395">
          <cell r="W4395" t="str">
            <v>QEMAP04</v>
          </cell>
          <cell r="AD4395">
            <v>115000</v>
          </cell>
        </row>
        <row r="4396">
          <cell r="W4396" t="str">
            <v>QEMAP04</v>
          </cell>
          <cell r="AD4396">
            <v>115000</v>
          </cell>
        </row>
        <row r="4397">
          <cell r="W4397" t="str">
            <v>QEMAP04</v>
          </cell>
          <cell r="AD4397">
            <v>115000</v>
          </cell>
        </row>
        <row r="4398">
          <cell r="W4398" t="str">
            <v>QEMAP04</v>
          </cell>
          <cell r="AD4398">
            <v>115000</v>
          </cell>
        </row>
        <row r="4399">
          <cell r="W4399" t="str">
            <v>QEMAP04</v>
          </cell>
          <cell r="AD4399">
            <v>115000</v>
          </cell>
        </row>
        <row r="4400">
          <cell r="W4400" t="str">
            <v>QEMAP04</v>
          </cell>
          <cell r="AD4400">
            <v>115000</v>
          </cell>
        </row>
        <row r="4401">
          <cell r="W4401" t="str">
            <v>QEMAP04</v>
          </cell>
          <cell r="AD4401">
            <v>115000</v>
          </cell>
        </row>
        <row r="4402">
          <cell r="W4402" t="str">
            <v>QEMAP04</v>
          </cell>
          <cell r="AD4402">
            <v>115000</v>
          </cell>
        </row>
        <row r="4403">
          <cell r="W4403" t="str">
            <v>AEMAP01</v>
          </cell>
          <cell r="AD4403">
            <v>1</v>
          </cell>
        </row>
        <row r="4404">
          <cell r="W4404" t="str">
            <v>QEMAP03</v>
          </cell>
          <cell r="AD4404">
            <v>49000</v>
          </cell>
        </row>
        <row r="4405">
          <cell r="W4405" t="str">
            <v>QEMAP03</v>
          </cell>
          <cell r="AD4405">
            <v>49000</v>
          </cell>
        </row>
        <row r="4406">
          <cell r="W4406" t="str">
            <v>QEMAP03</v>
          </cell>
          <cell r="AD4406">
            <v>49000</v>
          </cell>
        </row>
        <row r="4407">
          <cell r="W4407" t="str">
            <v>QEMAP03</v>
          </cell>
          <cell r="AD4407">
            <v>49000</v>
          </cell>
        </row>
        <row r="4408">
          <cell r="W4408" t="str">
            <v>QEMAP03</v>
          </cell>
          <cell r="AD4408">
            <v>49000</v>
          </cell>
        </row>
        <row r="4409">
          <cell r="W4409" t="str">
            <v>QEMAP03</v>
          </cell>
          <cell r="AD4409">
            <v>49000</v>
          </cell>
        </row>
        <row r="4410">
          <cell r="W4410" t="str">
            <v>QEMAP03</v>
          </cell>
          <cell r="AD4410">
            <v>49000</v>
          </cell>
        </row>
        <row r="4411">
          <cell r="W4411" t="str">
            <v>QEMAP03</v>
          </cell>
          <cell r="AD4411">
            <v>49000</v>
          </cell>
        </row>
        <row r="4412">
          <cell r="W4412" t="str">
            <v>QEMAP03</v>
          </cell>
          <cell r="AD4412">
            <v>49000</v>
          </cell>
        </row>
        <row r="4413">
          <cell r="W4413" t="str">
            <v>QEMAP03</v>
          </cell>
          <cell r="AD4413">
            <v>49000</v>
          </cell>
        </row>
        <row r="4414">
          <cell r="W4414" t="str">
            <v>QEMCL01</v>
          </cell>
          <cell r="AD4414">
            <v>165000</v>
          </cell>
        </row>
        <row r="4415">
          <cell r="W4415" t="str">
            <v>QEMCL01</v>
          </cell>
          <cell r="AD4415">
            <v>165000</v>
          </cell>
        </row>
        <row r="4416">
          <cell r="W4416" t="str">
            <v>QEMCL01</v>
          </cell>
          <cell r="AD4416">
            <v>165000</v>
          </cell>
        </row>
        <row r="4417">
          <cell r="W4417" t="str">
            <v>QEMCL01</v>
          </cell>
          <cell r="AD4417">
            <v>165000</v>
          </cell>
        </row>
        <row r="4418">
          <cell r="W4418" t="str">
            <v>QEMCL01</v>
          </cell>
          <cell r="AD4418">
            <v>165000</v>
          </cell>
        </row>
        <row r="4419">
          <cell r="W4419" t="str">
            <v>QEMCL01</v>
          </cell>
          <cell r="AD4419">
            <v>165000</v>
          </cell>
        </row>
        <row r="4420">
          <cell r="W4420" t="str">
            <v>QEMCL02</v>
          </cell>
          <cell r="AD4420">
            <v>82500</v>
          </cell>
        </row>
        <row r="4421">
          <cell r="W4421" t="str">
            <v>QEMCL02</v>
          </cell>
          <cell r="AD4421">
            <v>82500</v>
          </cell>
        </row>
        <row r="4422">
          <cell r="W4422" t="str">
            <v>QEMCL02</v>
          </cell>
          <cell r="AD4422">
            <v>82500</v>
          </cell>
        </row>
        <row r="4423">
          <cell r="W4423" t="str">
            <v>QENDU02</v>
          </cell>
          <cell r="AD4423">
            <v>160000</v>
          </cell>
        </row>
        <row r="4424">
          <cell r="W4424" t="str">
            <v>QENDU02</v>
          </cell>
          <cell r="AD4424">
            <v>160000</v>
          </cell>
        </row>
        <row r="4425">
          <cell r="W4425" t="str">
            <v>QENDU02</v>
          </cell>
          <cell r="AD4425">
            <v>161000</v>
          </cell>
        </row>
        <row r="4426">
          <cell r="W4426" t="str">
            <v>QENDU02</v>
          </cell>
          <cell r="AD4426">
            <v>161000</v>
          </cell>
        </row>
        <row r="4427">
          <cell r="W4427" t="str">
            <v>QENDU02</v>
          </cell>
          <cell r="AD4427">
            <v>161000</v>
          </cell>
        </row>
        <row r="4428">
          <cell r="W4428" t="str">
            <v>QENDU02</v>
          </cell>
          <cell r="AD4428">
            <v>161000</v>
          </cell>
        </row>
        <row r="4429">
          <cell r="W4429" t="str">
            <v>QENDU02</v>
          </cell>
          <cell r="AD4429">
            <v>161500</v>
          </cell>
        </row>
        <row r="4430">
          <cell r="W4430" t="str">
            <v>QENDU02</v>
          </cell>
          <cell r="AD4430">
            <v>163000</v>
          </cell>
        </row>
        <row r="4431">
          <cell r="W4431" t="str">
            <v>AERGO02</v>
          </cell>
          <cell r="AD4431">
            <v>28900</v>
          </cell>
        </row>
        <row r="4432">
          <cell r="W4432" t="str">
            <v>QETHR02</v>
          </cell>
          <cell r="AD4432">
            <v>34000</v>
          </cell>
        </row>
        <row r="4433">
          <cell r="W4433" t="str">
            <v>QETHR02</v>
          </cell>
          <cell r="AD4433">
            <v>34500</v>
          </cell>
        </row>
        <row r="4434">
          <cell r="W4434" t="str">
            <v>QETHR02</v>
          </cell>
          <cell r="AD4434">
            <v>34500</v>
          </cell>
        </row>
        <row r="4435">
          <cell r="W4435" t="str">
            <v>QETHR02</v>
          </cell>
          <cell r="AD4435">
            <v>34500</v>
          </cell>
        </row>
        <row r="4436">
          <cell r="W4436" t="str">
            <v>QETHR02</v>
          </cell>
          <cell r="AD4436">
            <v>34500</v>
          </cell>
        </row>
        <row r="4437">
          <cell r="W4437" t="str">
            <v>QETHR02</v>
          </cell>
          <cell r="AD4437">
            <v>34500</v>
          </cell>
        </row>
        <row r="4438">
          <cell r="W4438" t="str">
            <v>QETHR02</v>
          </cell>
          <cell r="AD4438">
            <v>34500</v>
          </cell>
        </row>
        <row r="4439">
          <cell r="W4439" t="str">
            <v>QETHR02</v>
          </cell>
          <cell r="AD4439">
            <v>34500</v>
          </cell>
        </row>
        <row r="4440">
          <cell r="W4440" t="str">
            <v>QETHR02</v>
          </cell>
          <cell r="AD4440">
            <v>34500</v>
          </cell>
        </row>
        <row r="4441">
          <cell r="W4441" t="str">
            <v>QETHR02</v>
          </cell>
          <cell r="AD4441">
            <v>34500</v>
          </cell>
        </row>
        <row r="4442">
          <cell r="W4442" t="str">
            <v>QETHR02</v>
          </cell>
          <cell r="AD4442">
            <v>34500</v>
          </cell>
        </row>
        <row r="4443">
          <cell r="W4443" t="str">
            <v>QETHR02</v>
          </cell>
          <cell r="AD4443">
            <v>34500</v>
          </cell>
        </row>
        <row r="4444">
          <cell r="W4444" t="str">
            <v>QETHR02</v>
          </cell>
          <cell r="AD4444">
            <v>34500</v>
          </cell>
        </row>
        <row r="4445">
          <cell r="W4445" t="str">
            <v>QETHR02</v>
          </cell>
          <cell r="AD4445">
            <v>34500</v>
          </cell>
        </row>
        <row r="4446">
          <cell r="W4446" t="str">
            <v>QETHR02</v>
          </cell>
          <cell r="AD4446">
            <v>34500</v>
          </cell>
        </row>
        <row r="4447">
          <cell r="W4447" t="str">
            <v>QETHR02</v>
          </cell>
          <cell r="AD4447">
            <v>34500</v>
          </cell>
        </row>
        <row r="4448">
          <cell r="W4448" t="str">
            <v>QETHR02</v>
          </cell>
          <cell r="AD4448">
            <v>34500</v>
          </cell>
        </row>
        <row r="4449">
          <cell r="W4449" t="str">
            <v>QETHR02</v>
          </cell>
          <cell r="AD4449">
            <v>34500</v>
          </cell>
        </row>
        <row r="4450">
          <cell r="W4450" t="str">
            <v>QETHR02</v>
          </cell>
          <cell r="AD4450">
            <v>34500</v>
          </cell>
        </row>
        <row r="4451">
          <cell r="W4451" t="str">
            <v>QETHR02</v>
          </cell>
          <cell r="AD4451">
            <v>34500</v>
          </cell>
        </row>
        <row r="4452">
          <cell r="W4452" t="str">
            <v>QETHR02</v>
          </cell>
          <cell r="AD4452">
            <v>34500</v>
          </cell>
        </row>
        <row r="4453">
          <cell r="W4453" t="str">
            <v>QETHR02</v>
          </cell>
          <cell r="AD4453">
            <v>34500</v>
          </cell>
        </row>
        <row r="4454">
          <cell r="W4454" t="str">
            <v>QETHR02</v>
          </cell>
          <cell r="AD4454">
            <v>34500</v>
          </cell>
        </row>
        <row r="4455">
          <cell r="W4455" t="str">
            <v>QETHR02</v>
          </cell>
          <cell r="AD4455">
            <v>34500</v>
          </cell>
        </row>
        <row r="4456">
          <cell r="W4456" t="str">
            <v>QETHR02</v>
          </cell>
          <cell r="AD4456">
            <v>34500</v>
          </cell>
        </row>
        <row r="4457">
          <cell r="W4457" t="str">
            <v>QETHR02</v>
          </cell>
          <cell r="AD4457">
            <v>34500</v>
          </cell>
        </row>
        <row r="4458">
          <cell r="W4458" t="str">
            <v>QETHR02</v>
          </cell>
          <cell r="AD4458">
            <v>34500</v>
          </cell>
        </row>
        <row r="4459">
          <cell r="W4459" t="str">
            <v>QETHR02</v>
          </cell>
          <cell r="AD4459">
            <v>34500</v>
          </cell>
        </row>
        <row r="4460">
          <cell r="W4460" t="str">
            <v>QETHR02</v>
          </cell>
          <cell r="AD4460">
            <v>34500</v>
          </cell>
        </row>
        <row r="4461">
          <cell r="W4461" t="str">
            <v>QETHR02</v>
          </cell>
          <cell r="AD4461">
            <v>34500</v>
          </cell>
        </row>
        <row r="4462">
          <cell r="W4462" t="str">
            <v>QETHR02</v>
          </cell>
          <cell r="AD4462">
            <v>34500</v>
          </cell>
        </row>
        <row r="4463">
          <cell r="W4463" t="str">
            <v>QETHR02</v>
          </cell>
          <cell r="AD4463">
            <v>34500</v>
          </cell>
        </row>
        <row r="4464">
          <cell r="W4464" t="str">
            <v>QETHR02</v>
          </cell>
          <cell r="AD4464">
            <v>34500</v>
          </cell>
        </row>
        <row r="4465">
          <cell r="W4465" t="str">
            <v>QETHR02</v>
          </cell>
          <cell r="AD4465">
            <v>34500</v>
          </cell>
        </row>
        <row r="4466">
          <cell r="W4466" t="str">
            <v>QETHR02</v>
          </cell>
          <cell r="AD4466">
            <v>34500</v>
          </cell>
        </row>
        <row r="4467">
          <cell r="W4467" t="str">
            <v>QETHR02</v>
          </cell>
          <cell r="AD4467">
            <v>34500</v>
          </cell>
        </row>
        <row r="4468">
          <cell r="W4468" t="str">
            <v>QETHR02</v>
          </cell>
          <cell r="AD4468">
            <v>34500</v>
          </cell>
        </row>
        <row r="4469">
          <cell r="W4469" t="str">
            <v>QETHR02</v>
          </cell>
          <cell r="AD4469">
            <v>34500</v>
          </cell>
        </row>
        <row r="4470">
          <cell r="W4470" t="str">
            <v>QETHR02</v>
          </cell>
          <cell r="AD4470">
            <v>34500</v>
          </cell>
        </row>
        <row r="4471">
          <cell r="W4471" t="str">
            <v>QETHR02</v>
          </cell>
          <cell r="AD4471">
            <v>34650</v>
          </cell>
        </row>
        <row r="4472">
          <cell r="W4472" t="str">
            <v>QETHR02</v>
          </cell>
          <cell r="AD4472">
            <v>34730</v>
          </cell>
        </row>
        <row r="4473">
          <cell r="W4473" t="str">
            <v>QETHR02</v>
          </cell>
          <cell r="AD4473">
            <v>35000</v>
          </cell>
        </row>
        <row r="4474">
          <cell r="W4474" t="str">
            <v>QETHR02</v>
          </cell>
          <cell r="AD4474">
            <v>35000</v>
          </cell>
        </row>
        <row r="4475">
          <cell r="W4475" t="str">
            <v>QETHR02</v>
          </cell>
          <cell r="AD4475">
            <v>35000</v>
          </cell>
        </row>
        <row r="4476">
          <cell r="W4476" t="str">
            <v>QETHR02</v>
          </cell>
          <cell r="AD4476">
            <v>35000</v>
          </cell>
        </row>
        <row r="4477">
          <cell r="W4477" t="str">
            <v>QETHR02</v>
          </cell>
          <cell r="AD4477">
            <v>35000</v>
          </cell>
        </row>
        <row r="4478">
          <cell r="W4478" t="str">
            <v>QETHR02</v>
          </cell>
          <cell r="AD4478">
            <v>35000</v>
          </cell>
        </row>
        <row r="4479">
          <cell r="W4479" t="str">
            <v>QETHR02</v>
          </cell>
          <cell r="AD4479">
            <v>35000</v>
          </cell>
        </row>
        <row r="4480">
          <cell r="W4480" t="str">
            <v>QETHR02</v>
          </cell>
          <cell r="AD4480">
            <v>35000</v>
          </cell>
        </row>
        <row r="4481">
          <cell r="W4481" t="str">
            <v>QETHR02</v>
          </cell>
          <cell r="AD4481">
            <v>35000</v>
          </cell>
        </row>
        <row r="4482">
          <cell r="W4482" t="str">
            <v>QETHR02</v>
          </cell>
          <cell r="AD4482">
            <v>35000</v>
          </cell>
        </row>
        <row r="4483">
          <cell r="W4483" t="str">
            <v>QETHR02</v>
          </cell>
          <cell r="AD4483">
            <v>35000</v>
          </cell>
        </row>
        <row r="4484">
          <cell r="W4484" t="str">
            <v>QETHR02</v>
          </cell>
          <cell r="AD4484">
            <v>35000</v>
          </cell>
        </row>
        <row r="4485">
          <cell r="W4485" t="str">
            <v>QETHR02</v>
          </cell>
          <cell r="AD4485">
            <v>35000</v>
          </cell>
        </row>
        <row r="4486">
          <cell r="W4486" t="str">
            <v>QETHR02</v>
          </cell>
          <cell r="AD4486">
            <v>35000</v>
          </cell>
        </row>
        <row r="4487">
          <cell r="W4487" t="str">
            <v>QETHR02</v>
          </cell>
          <cell r="AD4487">
            <v>35000</v>
          </cell>
        </row>
        <row r="4488">
          <cell r="W4488" t="str">
            <v>QETHR02</v>
          </cell>
          <cell r="AD4488">
            <v>35000</v>
          </cell>
        </row>
        <row r="4489">
          <cell r="W4489" t="str">
            <v>QETHR02</v>
          </cell>
          <cell r="AD4489">
            <v>35000</v>
          </cell>
        </row>
        <row r="4490">
          <cell r="W4490" t="str">
            <v>QETHR02</v>
          </cell>
          <cell r="AD4490">
            <v>35000</v>
          </cell>
        </row>
        <row r="4491">
          <cell r="W4491" t="str">
            <v>QETHR02</v>
          </cell>
          <cell r="AD4491">
            <v>35000</v>
          </cell>
        </row>
        <row r="4492">
          <cell r="W4492" t="str">
            <v>QETHR02</v>
          </cell>
          <cell r="AD4492">
            <v>35000</v>
          </cell>
        </row>
        <row r="4493">
          <cell r="W4493" t="str">
            <v>QETHR02</v>
          </cell>
          <cell r="AD4493">
            <v>35000</v>
          </cell>
        </row>
        <row r="4494">
          <cell r="W4494" t="str">
            <v>QETHR02</v>
          </cell>
          <cell r="AD4494">
            <v>35000</v>
          </cell>
        </row>
        <row r="4495">
          <cell r="W4495" t="str">
            <v>QETHR02</v>
          </cell>
          <cell r="AD4495">
            <v>35000</v>
          </cell>
        </row>
        <row r="4496">
          <cell r="W4496" t="str">
            <v>QETHR02</v>
          </cell>
          <cell r="AD4496">
            <v>35000</v>
          </cell>
        </row>
        <row r="4497">
          <cell r="W4497" t="str">
            <v>QETHR02</v>
          </cell>
          <cell r="AD4497">
            <v>35000</v>
          </cell>
        </row>
        <row r="4498">
          <cell r="W4498" t="str">
            <v>QETHR02</v>
          </cell>
          <cell r="AD4498">
            <v>35500</v>
          </cell>
        </row>
        <row r="4499">
          <cell r="W4499" t="str">
            <v>QETHR02</v>
          </cell>
          <cell r="AD4499">
            <v>36000</v>
          </cell>
        </row>
        <row r="4500">
          <cell r="W4500" t="str">
            <v>QETHR02</v>
          </cell>
          <cell r="AD4500">
            <v>36000</v>
          </cell>
        </row>
        <row r="4501">
          <cell r="W4501" t="str">
            <v>QETHR02</v>
          </cell>
          <cell r="AD4501">
            <v>36000</v>
          </cell>
        </row>
        <row r="4502">
          <cell r="W4502" t="str">
            <v>QETHR02</v>
          </cell>
          <cell r="AD4502">
            <v>36000</v>
          </cell>
        </row>
        <row r="4503">
          <cell r="W4503" t="str">
            <v>QETHR02</v>
          </cell>
          <cell r="AD4503">
            <v>36500</v>
          </cell>
        </row>
        <row r="4504">
          <cell r="W4504" t="str">
            <v>QEXTR02</v>
          </cell>
          <cell r="AD4504">
            <v>140000</v>
          </cell>
        </row>
        <row r="4505">
          <cell r="W4505" t="str">
            <v>QEXTR02</v>
          </cell>
          <cell r="AD4505">
            <v>155000</v>
          </cell>
        </row>
        <row r="4506">
          <cell r="W4506" t="str">
            <v>QFENV01</v>
          </cell>
          <cell r="AD4506">
            <v>126500</v>
          </cell>
        </row>
        <row r="4507">
          <cell r="W4507" t="str">
            <v>QFENV01</v>
          </cell>
          <cell r="AD4507">
            <v>134500</v>
          </cell>
        </row>
        <row r="4508">
          <cell r="W4508" t="str">
            <v>QFENV05</v>
          </cell>
          <cell r="AD4508">
            <v>44500</v>
          </cell>
        </row>
        <row r="4509">
          <cell r="W4509" t="str">
            <v>QFENV03</v>
          </cell>
          <cell r="AD4509">
            <v>62500</v>
          </cell>
        </row>
        <row r="4510">
          <cell r="W4510" t="str">
            <v>QFENV03</v>
          </cell>
          <cell r="AD4510">
            <v>62500</v>
          </cell>
        </row>
        <row r="4511">
          <cell r="W4511" t="str">
            <v>QFENV03</v>
          </cell>
          <cell r="AD4511">
            <v>64000</v>
          </cell>
        </row>
        <row r="4512">
          <cell r="W4512" t="str">
            <v>QFENV03</v>
          </cell>
          <cell r="AD4512">
            <v>64000</v>
          </cell>
        </row>
        <row r="4513">
          <cell r="W4513" t="str">
            <v>QFENV03</v>
          </cell>
          <cell r="AD4513">
            <v>64000</v>
          </cell>
        </row>
        <row r="4514">
          <cell r="W4514" t="str">
            <v>QFENV03</v>
          </cell>
          <cell r="AD4514">
            <v>64000</v>
          </cell>
        </row>
        <row r="4515">
          <cell r="W4515" t="str">
            <v>QFENV03</v>
          </cell>
          <cell r="AD4515">
            <v>64000</v>
          </cell>
        </row>
        <row r="4516">
          <cell r="W4516" t="str">
            <v>QFENV03</v>
          </cell>
          <cell r="AD4516">
            <v>64000</v>
          </cell>
        </row>
        <row r="4517">
          <cell r="W4517" t="str">
            <v>QFENV03</v>
          </cell>
          <cell r="AD4517">
            <v>64000</v>
          </cell>
        </row>
        <row r="4518">
          <cell r="W4518" t="str">
            <v>QFENV03</v>
          </cell>
          <cell r="AD4518">
            <v>65000</v>
          </cell>
        </row>
        <row r="4519">
          <cell r="W4519" t="str">
            <v>QFENV03</v>
          </cell>
          <cell r="AD4519">
            <v>68000</v>
          </cell>
        </row>
        <row r="4520">
          <cell r="W4520" t="str">
            <v>QFENV03</v>
          </cell>
          <cell r="AD4520">
            <v>68000</v>
          </cell>
        </row>
        <row r="4521">
          <cell r="W4521" t="str">
            <v>QFENV03</v>
          </cell>
          <cell r="AD4521">
            <v>70000</v>
          </cell>
        </row>
        <row r="4522">
          <cell r="W4522" t="str">
            <v>QFENV04</v>
          </cell>
          <cell r="AD4522">
            <v>16000</v>
          </cell>
        </row>
        <row r="4523">
          <cell r="W4523" t="str">
            <v>QFENV04</v>
          </cell>
          <cell r="AD4523">
            <v>16000</v>
          </cell>
        </row>
        <row r="4524">
          <cell r="W4524" t="str">
            <v>QFERA02</v>
          </cell>
          <cell r="AD4524">
            <v>54000</v>
          </cell>
        </row>
        <row r="4525">
          <cell r="W4525" t="str">
            <v>QFERA02</v>
          </cell>
          <cell r="AD4525">
            <v>55000</v>
          </cell>
        </row>
        <row r="4526">
          <cell r="W4526" t="str">
            <v>QFERA02</v>
          </cell>
          <cell r="AD4526">
            <v>55000</v>
          </cell>
        </row>
        <row r="4527">
          <cell r="W4527" t="str">
            <v>QFERA02</v>
          </cell>
          <cell r="AD4527">
            <v>55000</v>
          </cell>
        </row>
        <row r="4528">
          <cell r="W4528" t="str">
            <v>QFERA02</v>
          </cell>
          <cell r="AD4528">
            <v>55000</v>
          </cell>
        </row>
        <row r="4529">
          <cell r="W4529" t="str">
            <v>QFERA02</v>
          </cell>
          <cell r="AD4529">
            <v>55000</v>
          </cell>
        </row>
        <row r="4530">
          <cell r="W4530" t="str">
            <v>QFERA02</v>
          </cell>
          <cell r="AD4530">
            <v>55000</v>
          </cell>
        </row>
        <row r="4531">
          <cell r="W4531" t="str">
            <v>QFERT05</v>
          </cell>
          <cell r="AD4531">
            <v>80000</v>
          </cell>
        </row>
        <row r="4532">
          <cell r="W4532" t="str">
            <v>QFERT05</v>
          </cell>
          <cell r="AD4532">
            <v>80000</v>
          </cell>
        </row>
        <row r="4533">
          <cell r="W4533" t="str">
            <v>QFERT05</v>
          </cell>
          <cell r="AD4533">
            <v>80000</v>
          </cell>
        </row>
        <row r="4534">
          <cell r="W4534" t="str">
            <v>QFERT05</v>
          </cell>
          <cell r="AD4534">
            <v>80000</v>
          </cell>
        </row>
        <row r="4535">
          <cell r="W4535" t="str">
            <v>QFERT05</v>
          </cell>
          <cell r="AD4535">
            <v>80000</v>
          </cell>
        </row>
        <row r="4536">
          <cell r="W4536" t="str">
            <v>QFERT05</v>
          </cell>
          <cell r="AD4536">
            <v>80000</v>
          </cell>
        </row>
        <row r="4537">
          <cell r="W4537" t="str">
            <v>QFERT05</v>
          </cell>
          <cell r="AD4537">
            <v>80000</v>
          </cell>
        </row>
        <row r="4538">
          <cell r="W4538" t="str">
            <v>QFERT05</v>
          </cell>
          <cell r="AD4538">
            <v>80000</v>
          </cell>
        </row>
        <row r="4539">
          <cell r="W4539" t="str">
            <v>QFETR01</v>
          </cell>
          <cell r="AD4539">
            <v>2000</v>
          </cell>
        </row>
        <row r="4540">
          <cell r="W4540" t="str">
            <v>QFETR01</v>
          </cell>
          <cell r="AD4540">
            <v>2000</v>
          </cell>
        </row>
        <row r="4541">
          <cell r="W4541" t="str">
            <v>QFETR01</v>
          </cell>
          <cell r="AD4541">
            <v>2000</v>
          </cell>
        </row>
        <row r="4542">
          <cell r="W4542" t="str">
            <v>QFETR01</v>
          </cell>
          <cell r="AD4542">
            <v>2000</v>
          </cell>
        </row>
        <row r="4543">
          <cell r="W4543" t="str">
            <v>QFETR01</v>
          </cell>
          <cell r="AD4543">
            <v>2500</v>
          </cell>
        </row>
        <row r="4544">
          <cell r="W4544" t="str">
            <v>QFILI01</v>
          </cell>
          <cell r="AD4544">
            <v>24200</v>
          </cell>
        </row>
        <row r="4545">
          <cell r="W4545" t="str">
            <v>QFILI01</v>
          </cell>
          <cell r="AD4545">
            <v>24250</v>
          </cell>
        </row>
        <row r="4546">
          <cell r="W4546" t="str">
            <v>QFILI01</v>
          </cell>
          <cell r="AD4546">
            <v>24250</v>
          </cell>
        </row>
        <row r="4547">
          <cell r="W4547" t="str">
            <v>QFILI01</v>
          </cell>
          <cell r="AD4547">
            <v>24250</v>
          </cell>
        </row>
        <row r="4548">
          <cell r="W4548" t="str">
            <v>QFILI01</v>
          </cell>
          <cell r="AD4548">
            <v>24250</v>
          </cell>
        </row>
        <row r="4549">
          <cell r="W4549" t="str">
            <v>QFILI01</v>
          </cell>
          <cell r="AD4549">
            <v>24250</v>
          </cell>
        </row>
        <row r="4550">
          <cell r="W4550" t="str">
            <v>QFILI01</v>
          </cell>
          <cell r="AD4550">
            <v>24300</v>
          </cell>
        </row>
        <row r="4551">
          <cell r="W4551" t="str">
            <v>QFILI01</v>
          </cell>
          <cell r="AD4551">
            <v>24300</v>
          </cell>
        </row>
        <row r="4552">
          <cell r="W4552" t="str">
            <v>QFILI01</v>
          </cell>
          <cell r="AD4552">
            <v>24300</v>
          </cell>
        </row>
        <row r="4553">
          <cell r="W4553" t="str">
            <v>QFILI01</v>
          </cell>
          <cell r="AD4553">
            <v>24300</v>
          </cell>
        </row>
        <row r="4554">
          <cell r="W4554" t="str">
            <v>QFILI01</v>
          </cell>
          <cell r="AD4554">
            <v>24300</v>
          </cell>
        </row>
        <row r="4555">
          <cell r="W4555" t="str">
            <v>QFILI01</v>
          </cell>
          <cell r="AD4555">
            <v>24300</v>
          </cell>
        </row>
        <row r="4556">
          <cell r="W4556" t="str">
            <v>QFILI01</v>
          </cell>
          <cell r="AD4556">
            <v>24300</v>
          </cell>
        </row>
        <row r="4557">
          <cell r="W4557" t="str">
            <v>QFILI01</v>
          </cell>
          <cell r="AD4557">
            <v>24300</v>
          </cell>
        </row>
        <row r="4558">
          <cell r="W4558" t="str">
            <v>QFILI01</v>
          </cell>
          <cell r="AD4558">
            <v>24500</v>
          </cell>
        </row>
        <row r="4559">
          <cell r="W4559" t="str">
            <v>QFILI01</v>
          </cell>
          <cell r="AD4559">
            <v>24500</v>
          </cell>
        </row>
        <row r="4560">
          <cell r="W4560" t="str">
            <v>QFILI01</v>
          </cell>
          <cell r="AD4560">
            <v>24500</v>
          </cell>
        </row>
        <row r="4561">
          <cell r="W4561" t="str">
            <v>QFILI01</v>
          </cell>
          <cell r="AD4561">
            <v>24500</v>
          </cell>
        </row>
        <row r="4562">
          <cell r="W4562" t="str">
            <v>QFILI01</v>
          </cell>
          <cell r="AD4562">
            <v>24500</v>
          </cell>
        </row>
        <row r="4563">
          <cell r="W4563" t="str">
            <v>QFILI01</v>
          </cell>
          <cell r="AD4563">
            <v>24500</v>
          </cell>
        </row>
        <row r="4564">
          <cell r="W4564" t="str">
            <v>QFILI01</v>
          </cell>
          <cell r="AD4564">
            <v>24500</v>
          </cell>
        </row>
        <row r="4565">
          <cell r="W4565" t="str">
            <v>QFILI01</v>
          </cell>
          <cell r="AD4565">
            <v>24500</v>
          </cell>
        </row>
        <row r="4566">
          <cell r="W4566" t="str">
            <v>QFILI01</v>
          </cell>
          <cell r="AD4566">
            <v>24500</v>
          </cell>
        </row>
        <row r="4567">
          <cell r="W4567" t="str">
            <v>QFILI01</v>
          </cell>
          <cell r="AD4567">
            <v>24500</v>
          </cell>
        </row>
        <row r="4568">
          <cell r="W4568" t="str">
            <v>QFILI01</v>
          </cell>
          <cell r="AD4568">
            <v>24500</v>
          </cell>
        </row>
        <row r="4569">
          <cell r="W4569" t="str">
            <v>QFILI01</v>
          </cell>
          <cell r="AD4569">
            <v>24500</v>
          </cell>
        </row>
        <row r="4570">
          <cell r="W4570" t="str">
            <v>QFILI01</v>
          </cell>
          <cell r="AD4570">
            <v>24500</v>
          </cell>
        </row>
        <row r="4571">
          <cell r="W4571" t="str">
            <v>QFILI01</v>
          </cell>
          <cell r="AD4571">
            <v>24500</v>
          </cell>
        </row>
        <row r="4572">
          <cell r="W4572" t="str">
            <v>QFILI01</v>
          </cell>
          <cell r="AD4572">
            <v>24500</v>
          </cell>
        </row>
        <row r="4573">
          <cell r="W4573" t="str">
            <v>QFILI01</v>
          </cell>
          <cell r="AD4573">
            <v>24500</v>
          </cell>
        </row>
        <row r="4574">
          <cell r="W4574" t="str">
            <v>QFILI01</v>
          </cell>
          <cell r="AD4574">
            <v>24500</v>
          </cell>
        </row>
        <row r="4575">
          <cell r="W4575" t="str">
            <v>QFILI01</v>
          </cell>
          <cell r="AD4575">
            <v>24500</v>
          </cell>
        </row>
        <row r="4576">
          <cell r="W4576" t="str">
            <v>QFILI01</v>
          </cell>
          <cell r="AD4576">
            <v>24500</v>
          </cell>
        </row>
        <row r="4577">
          <cell r="W4577" t="str">
            <v>QFILI01</v>
          </cell>
          <cell r="AD4577">
            <v>24500</v>
          </cell>
        </row>
        <row r="4578">
          <cell r="W4578" t="str">
            <v>QFILI01</v>
          </cell>
          <cell r="AD4578">
            <v>24500</v>
          </cell>
        </row>
        <row r="4579">
          <cell r="W4579" t="str">
            <v>QFILI01</v>
          </cell>
          <cell r="AD4579">
            <v>24500</v>
          </cell>
        </row>
        <row r="4580">
          <cell r="W4580" t="str">
            <v>QFILI01</v>
          </cell>
          <cell r="AD4580">
            <v>24500</v>
          </cell>
        </row>
        <row r="4581">
          <cell r="W4581" t="str">
            <v>QFILI01</v>
          </cell>
          <cell r="AD4581">
            <v>24500</v>
          </cell>
        </row>
        <row r="4582">
          <cell r="W4582" t="str">
            <v>QFILI01</v>
          </cell>
          <cell r="AD4582">
            <v>24500</v>
          </cell>
        </row>
        <row r="4583">
          <cell r="W4583" t="str">
            <v>QFILI01</v>
          </cell>
          <cell r="AD4583">
            <v>24500</v>
          </cell>
        </row>
        <row r="4584">
          <cell r="W4584" t="str">
            <v>QFILI01</v>
          </cell>
          <cell r="AD4584">
            <v>24500</v>
          </cell>
        </row>
        <row r="4585">
          <cell r="W4585" t="str">
            <v>QFILI01</v>
          </cell>
          <cell r="AD4585">
            <v>24500</v>
          </cell>
        </row>
        <row r="4586">
          <cell r="W4586" t="str">
            <v>QFILI01</v>
          </cell>
          <cell r="AD4586">
            <v>24500</v>
          </cell>
        </row>
        <row r="4587">
          <cell r="W4587" t="str">
            <v>QFILI01</v>
          </cell>
          <cell r="AD4587">
            <v>24500</v>
          </cell>
        </row>
        <row r="4588">
          <cell r="W4588" t="str">
            <v>QFILI01</v>
          </cell>
          <cell r="AD4588">
            <v>24500</v>
          </cell>
        </row>
        <row r="4589">
          <cell r="W4589" t="str">
            <v>QFILI01</v>
          </cell>
          <cell r="AD4589">
            <v>24500</v>
          </cell>
        </row>
        <row r="4590">
          <cell r="W4590" t="str">
            <v>QFILI01</v>
          </cell>
          <cell r="AD4590">
            <v>24500</v>
          </cell>
        </row>
        <row r="4591">
          <cell r="W4591" t="str">
            <v>QFILI01</v>
          </cell>
          <cell r="AD4591">
            <v>24500</v>
          </cell>
        </row>
        <row r="4592">
          <cell r="W4592" t="str">
            <v>QFILI01</v>
          </cell>
          <cell r="AD4592">
            <v>24500</v>
          </cell>
        </row>
        <row r="4593">
          <cell r="W4593" t="str">
            <v>QFILI01</v>
          </cell>
          <cell r="AD4593">
            <v>24750</v>
          </cell>
        </row>
        <row r="4594">
          <cell r="W4594" t="str">
            <v>QFILI01</v>
          </cell>
          <cell r="AD4594">
            <v>24750</v>
          </cell>
        </row>
        <row r="4595">
          <cell r="W4595" t="str">
            <v>QFILI01</v>
          </cell>
          <cell r="AD4595">
            <v>24750</v>
          </cell>
        </row>
        <row r="4596">
          <cell r="W4596" t="str">
            <v>QFILI01</v>
          </cell>
          <cell r="AD4596">
            <v>24750</v>
          </cell>
        </row>
        <row r="4597">
          <cell r="W4597" t="str">
            <v>QFILI01</v>
          </cell>
          <cell r="AD4597">
            <v>24750</v>
          </cell>
        </row>
        <row r="4598">
          <cell r="W4598" t="str">
            <v>QFILI01</v>
          </cell>
          <cell r="AD4598">
            <v>25000</v>
          </cell>
        </row>
        <row r="4599">
          <cell r="W4599" t="str">
            <v>QFILI01</v>
          </cell>
          <cell r="AD4599">
            <v>25000</v>
          </cell>
        </row>
        <row r="4600">
          <cell r="W4600" t="str">
            <v>QFILI01</v>
          </cell>
          <cell r="AD4600">
            <v>25000</v>
          </cell>
        </row>
        <row r="4601">
          <cell r="W4601" t="str">
            <v>QFILI01</v>
          </cell>
          <cell r="AD4601">
            <v>25000</v>
          </cell>
        </row>
        <row r="4602">
          <cell r="W4602" t="str">
            <v>QFILI01</v>
          </cell>
          <cell r="AD4602">
            <v>25000</v>
          </cell>
        </row>
        <row r="4603">
          <cell r="W4603" t="str">
            <v>QFILI01</v>
          </cell>
          <cell r="AD4603">
            <v>25000</v>
          </cell>
        </row>
        <row r="4604">
          <cell r="W4604" t="str">
            <v>QFILI01</v>
          </cell>
          <cell r="AD4604">
            <v>25000</v>
          </cell>
        </row>
        <row r="4605">
          <cell r="W4605" t="str">
            <v>QFILI01</v>
          </cell>
          <cell r="AD4605">
            <v>25000</v>
          </cell>
        </row>
        <row r="4606">
          <cell r="W4606" t="str">
            <v>QFILI01</v>
          </cell>
          <cell r="AD4606">
            <v>25000</v>
          </cell>
        </row>
        <row r="4607">
          <cell r="W4607" t="str">
            <v>QFILI01</v>
          </cell>
          <cell r="AD4607">
            <v>25000</v>
          </cell>
        </row>
        <row r="4608">
          <cell r="W4608" t="str">
            <v>QFILI01</v>
          </cell>
          <cell r="AD4608">
            <v>25000</v>
          </cell>
        </row>
        <row r="4609">
          <cell r="W4609" t="str">
            <v>QFILI01</v>
          </cell>
          <cell r="AD4609">
            <v>25500</v>
          </cell>
        </row>
        <row r="4610">
          <cell r="W4610" t="str">
            <v>QFILI01</v>
          </cell>
          <cell r="AD4610">
            <v>25500</v>
          </cell>
        </row>
        <row r="4611">
          <cell r="W4611" t="str">
            <v>QFILI01</v>
          </cell>
          <cell r="AD4611">
            <v>25500</v>
          </cell>
        </row>
        <row r="4612">
          <cell r="W4612" t="str">
            <v>QFILI01</v>
          </cell>
          <cell r="AD4612">
            <v>25500</v>
          </cell>
        </row>
        <row r="4613">
          <cell r="W4613" t="str">
            <v>QFILI01</v>
          </cell>
          <cell r="AD4613">
            <v>26000</v>
          </cell>
        </row>
        <row r="4614">
          <cell r="W4614" t="str">
            <v>QFILI02</v>
          </cell>
          <cell r="AD4614">
            <v>107000</v>
          </cell>
        </row>
        <row r="4615">
          <cell r="W4615" t="str">
            <v>QFILI02</v>
          </cell>
          <cell r="AD4615">
            <v>107000</v>
          </cell>
        </row>
        <row r="4616">
          <cell r="W4616" t="str">
            <v>QFILI02</v>
          </cell>
          <cell r="AD4616">
            <v>107500</v>
          </cell>
        </row>
        <row r="4617">
          <cell r="W4617" t="str">
            <v>QFILI02</v>
          </cell>
          <cell r="AD4617">
            <v>107500</v>
          </cell>
        </row>
        <row r="4618">
          <cell r="W4618" t="str">
            <v>QFILI02</v>
          </cell>
          <cell r="AD4618">
            <v>107500</v>
          </cell>
        </row>
        <row r="4619">
          <cell r="W4619" t="str">
            <v>QFILI02</v>
          </cell>
          <cell r="AD4619">
            <v>107500</v>
          </cell>
        </row>
        <row r="4620">
          <cell r="W4620" t="str">
            <v>QFILI02</v>
          </cell>
          <cell r="AD4620">
            <v>107500</v>
          </cell>
        </row>
        <row r="4621">
          <cell r="W4621" t="str">
            <v>QFILI02</v>
          </cell>
          <cell r="AD4621">
            <v>107500</v>
          </cell>
        </row>
        <row r="4622">
          <cell r="W4622" t="str">
            <v>QFILI02</v>
          </cell>
          <cell r="AD4622">
            <v>107500</v>
          </cell>
        </row>
        <row r="4623">
          <cell r="W4623" t="str">
            <v>QFILI02</v>
          </cell>
          <cell r="AD4623">
            <v>107500</v>
          </cell>
        </row>
        <row r="4624">
          <cell r="W4624" t="str">
            <v>QFILI02</v>
          </cell>
          <cell r="AD4624">
            <v>107500</v>
          </cell>
        </row>
        <row r="4625">
          <cell r="W4625" t="str">
            <v>QFILI02</v>
          </cell>
          <cell r="AD4625">
            <v>107500</v>
          </cell>
        </row>
        <row r="4626">
          <cell r="W4626" t="str">
            <v>QFILI02</v>
          </cell>
          <cell r="AD4626">
            <v>107500</v>
          </cell>
        </row>
        <row r="4627">
          <cell r="W4627" t="str">
            <v>QFILI02</v>
          </cell>
          <cell r="AD4627">
            <v>107500</v>
          </cell>
        </row>
        <row r="4628">
          <cell r="W4628" t="str">
            <v>QFILI02</v>
          </cell>
          <cell r="AD4628">
            <v>107500</v>
          </cell>
        </row>
        <row r="4629">
          <cell r="W4629" t="str">
            <v>QFILI02</v>
          </cell>
          <cell r="AD4629">
            <v>107500</v>
          </cell>
        </row>
        <row r="4630">
          <cell r="W4630" t="str">
            <v>QFILI02</v>
          </cell>
          <cell r="AD4630">
            <v>107500</v>
          </cell>
        </row>
        <row r="4631">
          <cell r="W4631" t="str">
            <v>QFILI02</v>
          </cell>
          <cell r="AD4631">
            <v>108000</v>
          </cell>
        </row>
        <row r="4632">
          <cell r="W4632" t="str">
            <v>QFILI02</v>
          </cell>
          <cell r="AD4632">
            <v>108000</v>
          </cell>
        </row>
        <row r="4633">
          <cell r="W4633" t="str">
            <v>QFILI02</v>
          </cell>
          <cell r="AD4633">
            <v>108000</v>
          </cell>
        </row>
        <row r="4634">
          <cell r="W4634" t="str">
            <v>QFILI02</v>
          </cell>
          <cell r="AD4634">
            <v>108000</v>
          </cell>
        </row>
        <row r="4635">
          <cell r="W4635" t="str">
            <v>QFILI02</v>
          </cell>
          <cell r="AD4635">
            <v>108000</v>
          </cell>
        </row>
        <row r="4636">
          <cell r="W4636" t="str">
            <v>QFILI02</v>
          </cell>
          <cell r="AD4636">
            <v>108000</v>
          </cell>
        </row>
        <row r="4637">
          <cell r="W4637" t="str">
            <v>QFILI02</v>
          </cell>
          <cell r="AD4637">
            <v>108000</v>
          </cell>
        </row>
        <row r="4638">
          <cell r="W4638" t="str">
            <v>QFILI02</v>
          </cell>
          <cell r="AD4638">
            <v>108000</v>
          </cell>
        </row>
        <row r="4639">
          <cell r="W4639" t="str">
            <v>QFILI02</v>
          </cell>
          <cell r="AD4639">
            <v>108000</v>
          </cell>
        </row>
        <row r="4640">
          <cell r="W4640" t="str">
            <v>QFILI02</v>
          </cell>
          <cell r="AD4640">
            <v>108000</v>
          </cell>
        </row>
        <row r="4641">
          <cell r="W4641" t="str">
            <v>QFILI02</v>
          </cell>
          <cell r="AD4641">
            <v>108000</v>
          </cell>
        </row>
        <row r="4642">
          <cell r="W4642" t="str">
            <v>QFILI02</v>
          </cell>
          <cell r="AD4642">
            <v>108000</v>
          </cell>
        </row>
        <row r="4643">
          <cell r="W4643" t="str">
            <v>QFILI02</v>
          </cell>
          <cell r="AD4643">
            <v>108000</v>
          </cell>
        </row>
        <row r="4644">
          <cell r="W4644" t="str">
            <v>QFILI02</v>
          </cell>
          <cell r="AD4644">
            <v>108000</v>
          </cell>
        </row>
        <row r="4645">
          <cell r="W4645" t="str">
            <v>QFILI02</v>
          </cell>
          <cell r="AD4645">
            <v>108000</v>
          </cell>
        </row>
        <row r="4646">
          <cell r="W4646" t="str">
            <v>QFILI02</v>
          </cell>
          <cell r="AD4646">
            <v>108000</v>
          </cell>
        </row>
        <row r="4647">
          <cell r="W4647" t="str">
            <v>QFILI02</v>
          </cell>
          <cell r="AD4647">
            <v>108500</v>
          </cell>
        </row>
        <row r="4648">
          <cell r="W4648" t="str">
            <v>QFILI02</v>
          </cell>
          <cell r="AD4648">
            <v>108500</v>
          </cell>
        </row>
        <row r="4649">
          <cell r="W4649" t="str">
            <v>QFILI02</v>
          </cell>
          <cell r="AD4649">
            <v>108500</v>
          </cell>
        </row>
        <row r="4650">
          <cell r="W4650" t="str">
            <v>QFILI02</v>
          </cell>
          <cell r="AD4650">
            <v>108500</v>
          </cell>
        </row>
        <row r="4651">
          <cell r="W4651" t="str">
            <v>QFILI02</v>
          </cell>
          <cell r="AD4651">
            <v>108500</v>
          </cell>
        </row>
        <row r="4652">
          <cell r="W4652" t="str">
            <v>QFILI02</v>
          </cell>
          <cell r="AD4652">
            <v>108500</v>
          </cell>
        </row>
        <row r="4653">
          <cell r="W4653" t="str">
            <v>QFILI02</v>
          </cell>
          <cell r="AD4653">
            <v>108500</v>
          </cell>
        </row>
        <row r="4654">
          <cell r="W4654" t="str">
            <v>QFILI02</v>
          </cell>
          <cell r="AD4654">
            <v>108500</v>
          </cell>
        </row>
        <row r="4655">
          <cell r="W4655" t="str">
            <v>QFILI02</v>
          </cell>
          <cell r="AD4655">
            <v>108500</v>
          </cell>
        </row>
        <row r="4656">
          <cell r="W4656" t="str">
            <v>QFILI02</v>
          </cell>
          <cell r="AD4656">
            <v>108500</v>
          </cell>
        </row>
        <row r="4657">
          <cell r="W4657" t="str">
            <v>QFILI02</v>
          </cell>
          <cell r="AD4657">
            <v>108500</v>
          </cell>
        </row>
        <row r="4658">
          <cell r="W4658" t="str">
            <v>QFILI02</v>
          </cell>
          <cell r="AD4658">
            <v>108500</v>
          </cell>
        </row>
        <row r="4659">
          <cell r="W4659" t="str">
            <v>QFILI02</v>
          </cell>
          <cell r="AD4659">
            <v>108500</v>
          </cell>
        </row>
        <row r="4660">
          <cell r="W4660" t="str">
            <v>QFILI02</v>
          </cell>
          <cell r="AD4660">
            <v>108500</v>
          </cell>
        </row>
        <row r="4661">
          <cell r="W4661" t="str">
            <v>QFILI02</v>
          </cell>
          <cell r="AD4661">
            <v>108500</v>
          </cell>
        </row>
        <row r="4662">
          <cell r="W4662" t="str">
            <v>QFILI02</v>
          </cell>
          <cell r="AD4662">
            <v>108500</v>
          </cell>
        </row>
        <row r="4663">
          <cell r="W4663" t="str">
            <v>QFILI02</v>
          </cell>
          <cell r="AD4663">
            <v>108500</v>
          </cell>
        </row>
        <row r="4664">
          <cell r="W4664" t="str">
            <v>QFILI02</v>
          </cell>
          <cell r="AD4664">
            <v>108500</v>
          </cell>
        </row>
        <row r="4665">
          <cell r="W4665" t="str">
            <v>QFILI02</v>
          </cell>
          <cell r="AD4665">
            <v>108500</v>
          </cell>
        </row>
        <row r="4666">
          <cell r="W4666" t="str">
            <v>QFILI02</v>
          </cell>
          <cell r="AD4666">
            <v>109000</v>
          </cell>
        </row>
        <row r="4667">
          <cell r="W4667" t="str">
            <v>QFILI02</v>
          </cell>
          <cell r="AD4667">
            <v>109000</v>
          </cell>
        </row>
        <row r="4668">
          <cell r="W4668" t="str">
            <v>QFILI02</v>
          </cell>
          <cell r="AD4668">
            <v>109000</v>
          </cell>
        </row>
        <row r="4669">
          <cell r="W4669" t="str">
            <v>QFILI02</v>
          </cell>
          <cell r="AD4669">
            <v>109000</v>
          </cell>
        </row>
        <row r="4670">
          <cell r="W4670" t="str">
            <v>QFILI02</v>
          </cell>
          <cell r="AD4670">
            <v>109000</v>
          </cell>
        </row>
        <row r="4671">
          <cell r="W4671" t="str">
            <v>QFILI02</v>
          </cell>
          <cell r="AD4671">
            <v>109000</v>
          </cell>
        </row>
        <row r="4672">
          <cell r="W4672" t="str">
            <v>QFILI02</v>
          </cell>
          <cell r="AD4672">
            <v>109000</v>
          </cell>
        </row>
        <row r="4673">
          <cell r="W4673" t="str">
            <v>QFILI02</v>
          </cell>
          <cell r="AD4673">
            <v>109500</v>
          </cell>
        </row>
        <row r="4674">
          <cell r="W4674" t="str">
            <v>QFILI02</v>
          </cell>
          <cell r="AD4674">
            <v>109500</v>
          </cell>
        </row>
        <row r="4675">
          <cell r="W4675" t="str">
            <v>QFILI02</v>
          </cell>
          <cell r="AD4675">
            <v>109750</v>
          </cell>
        </row>
        <row r="4676">
          <cell r="W4676" t="str">
            <v>QFILI02</v>
          </cell>
          <cell r="AD4676">
            <v>110000</v>
          </cell>
        </row>
        <row r="4677">
          <cell r="W4677" t="str">
            <v>QFILI02</v>
          </cell>
          <cell r="AD4677">
            <v>110000</v>
          </cell>
        </row>
        <row r="4678">
          <cell r="W4678" t="str">
            <v>QFILI02</v>
          </cell>
          <cell r="AD4678">
            <v>110000</v>
          </cell>
        </row>
        <row r="4679">
          <cell r="W4679" t="str">
            <v>QFILI02</v>
          </cell>
          <cell r="AD4679">
            <v>110000</v>
          </cell>
        </row>
        <row r="4680">
          <cell r="W4680" t="str">
            <v>QFILI02</v>
          </cell>
          <cell r="AD4680">
            <v>110000</v>
          </cell>
        </row>
        <row r="4681">
          <cell r="W4681" t="str">
            <v>QFILI02</v>
          </cell>
          <cell r="AD4681">
            <v>110000</v>
          </cell>
        </row>
        <row r="4682">
          <cell r="W4682" t="str">
            <v>QFILI02</v>
          </cell>
          <cell r="AD4682">
            <v>110000</v>
          </cell>
        </row>
        <row r="4683">
          <cell r="W4683" t="str">
            <v>QFILI02</v>
          </cell>
          <cell r="AD4683">
            <v>110000</v>
          </cell>
        </row>
        <row r="4684">
          <cell r="W4684" t="str">
            <v>QFILI02</v>
          </cell>
          <cell r="AD4684">
            <v>110000</v>
          </cell>
        </row>
        <row r="4685">
          <cell r="W4685" t="str">
            <v>QFILI02</v>
          </cell>
          <cell r="AD4685">
            <v>110000</v>
          </cell>
        </row>
        <row r="4686">
          <cell r="W4686" t="str">
            <v>QFILI02</v>
          </cell>
          <cell r="AD4686">
            <v>110000</v>
          </cell>
        </row>
        <row r="4687">
          <cell r="W4687" t="str">
            <v>QFILI02</v>
          </cell>
          <cell r="AD4687">
            <v>110000</v>
          </cell>
        </row>
        <row r="4688">
          <cell r="W4688" t="str">
            <v>QFILI02</v>
          </cell>
          <cell r="AD4688">
            <v>110000</v>
          </cell>
        </row>
        <row r="4689">
          <cell r="W4689" t="str">
            <v>QFILI02</v>
          </cell>
          <cell r="AD4689">
            <v>110000</v>
          </cell>
        </row>
        <row r="4690">
          <cell r="W4690" t="str">
            <v>QFILI02</v>
          </cell>
          <cell r="AD4690">
            <v>110000</v>
          </cell>
        </row>
        <row r="4691">
          <cell r="W4691" t="str">
            <v>QFILI02</v>
          </cell>
          <cell r="AD4691">
            <v>110000</v>
          </cell>
        </row>
        <row r="4692">
          <cell r="W4692" t="str">
            <v>QFILI02</v>
          </cell>
          <cell r="AD4692">
            <v>110000</v>
          </cell>
        </row>
        <row r="4693">
          <cell r="W4693" t="str">
            <v>QFILI02</v>
          </cell>
          <cell r="AD4693">
            <v>110000</v>
          </cell>
        </row>
        <row r="4694">
          <cell r="W4694" t="str">
            <v>QFILI02</v>
          </cell>
          <cell r="AD4694">
            <v>115000</v>
          </cell>
        </row>
        <row r="4695">
          <cell r="W4695" t="str">
            <v>QFITO10</v>
          </cell>
          <cell r="AD4695">
            <v>92000</v>
          </cell>
        </row>
        <row r="4696">
          <cell r="W4696" t="str">
            <v>QFITO09</v>
          </cell>
          <cell r="AD4696">
            <v>52500</v>
          </cell>
        </row>
        <row r="4697">
          <cell r="W4697" t="str">
            <v>QFLAS01</v>
          </cell>
          <cell r="AD4697">
            <v>37500</v>
          </cell>
        </row>
        <row r="4698">
          <cell r="W4698" t="str">
            <v>QFLAS01</v>
          </cell>
          <cell r="AD4698">
            <v>37500</v>
          </cell>
        </row>
        <row r="4699">
          <cell r="W4699" t="str">
            <v>QFOLI03</v>
          </cell>
          <cell r="AD4699">
            <v>146500</v>
          </cell>
        </row>
        <row r="4700">
          <cell r="W4700" t="str">
            <v>QFOLI03</v>
          </cell>
          <cell r="AD4700">
            <v>146500</v>
          </cell>
        </row>
        <row r="4701">
          <cell r="W4701" t="str">
            <v>QFOLI03</v>
          </cell>
          <cell r="AD4701">
            <v>146500</v>
          </cell>
        </row>
        <row r="4702">
          <cell r="W4702" t="str">
            <v>QFOLI03</v>
          </cell>
          <cell r="AD4702">
            <v>146500</v>
          </cell>
        </row>
        <row r="4703">
          <cell r="W4703" t="str">
            <v>QFOLI03</v>
          </cell>
          <cell r="AD4703">
            <v>146500</v>
          </cell>
        </row>
        <row r="4704">
          <cell r="W4704" t="str">
            <v>QFOLI03</v>
          </cell>
          <cell r="AD4704">
            <v>147000</v>
          </cell>
        </row>
        <row r="4705">
          <cell r="W4705" t="str">
            <v>QFOLI03</v>
          </cell>
          <cell r="AD4705">
            <v>147000</v>
          </cell>
        </row>
        <row r="4706">
          <cell r="W4706" t="str">
            <v>QFOLI04</v>
          </cell>
          <cell r="AD4706">
            <v>72000</v>
          </cell>
        </row>
        <row r="4707">
          <cell r="W4707" t="str">
            <v>QFOLI04</v>
          </cell>
          <cell r="AD4707">
            <v>72500</v>
          </cell>
        </row>
        <row r="4708">
          <cell r="W4708" t="str">
            <v>QFOLI04</v>
          </cell>
          <cell r="AD4708">
            <v>72500</v>
          </cell>
        </row>
        <row r="4709">
          <cell r="W4709" t="str">
            <v>QFOLI04</v>
          </cell>
          <cell r="AD4709">
            <v>72500</v>
          </cell>
        </row>
        <row r="4710">
          <cell r="W4710" t="str">
            <v>QFOLI04</v>
          </cell>
          <cell r="AD4710">
            <v>72500</v>
          </cell>
        </row>
        <row r="4711">
          <cell r="W4711" t="str">
            <v>QFOLI04</v>
          </cell>
          <cell r="AD4711">
            <v>72500</v>
          </cell>
        </row>
        <row r="4712">
          <cell r="W4712" t="str">
            <v>QFOLI04</v>
          </cell>
          <cell r="AD4712">
            <v>72500</v>
          </cell>
        </row>
        <row r="4713">
          <cell r="W4713" t="str">
            <v>QFOLI04</v>
          </cell>
          <cell r="AD4713">
            <v>72500</v>
          </cell>
        </row>
        <row r="4714">
          <cell r="W4714" t="str">
            <v>QFOLI04</v>
          </cell>
          <cell r="AD4714">
            <v>76000</v>
          </cell>
        </row>
        <row r="4715">
          <cell r="W4715" t="str">
            <v>QFOLI04</v>
          </cell>
          <cell r="AD4715">
            <v>76000</v>
          </cell>
        </row>
        <row r="4716">
          <cell r="W4716" t="str">
            <v>QFOLI05</v>
          </cell>
          <cell r="AD4716">
            <v>38500</v>
          </cell>
        </row>
        <row r="4717">
          <cell r="W4717" t="str">
            <v>QFOLI05</v>
          </cell>
          <cell r="AD4717">
            <v>38500</v>
          </cell>
        </row>
        <row r="4718">
          <cell r="W4718" t="str">
            <v>QFOLI05</v>
          </cell>
          <cell r="AD4718">
            <v>38500</v>
          </cell>
        </row>
        <row r="4719">
          <cell r="W4719" t="str">
            <v>QFORM01</v>
          </cell>
          <cell r="AD4719">
            <v>46500</v>
          </cell>
        </row>
        <row r="4720">
          <cell r="W4720" t="str">
            <v>QFORM01</v>
          </cell>
          <cell r="AD4720">
            <v>47000</v>
          </cell>
        </row>
        <row r="4721">
          <cell r="W4721" t="str">
            <v>QFORM01</v>
          </cell>
          <cell r="AD4721">
            <v>47000</v>
          </cell>
        </row>
        <row r="4722">
          <cell r="W4722" t="str">
            <v>QFORM01</v>
          </cell>
          <cell r="AD4722">
            <v>47000</v>
          </cell>
        </row>
        <row r="4723">
          <cell r="W4723" t="str">
            <v>QFORM01</v>
          </cell>
          <cell r="AD4723">
            <v>47000</v>
          </cell>
        </row>
        <row r="4724">
          <cell r="W4724" t="str">
            <v>QFORM01</v>
          </cell>
          <cell r="AD4724">
            <v>47000</v>
          </cell>
        </row>
        <row r="4725">
          <cell r="W4725" t="str">
            <v>QFORM01</v>
          </cell>
          <cell r="AD4725">
            <v>47000</v>
          </cell>
        </row>
        <row r="4726">
          <cell r="W4726" t="str">
            <v>QFORM01</v>
          </cell>
          <cell r="AD4726">
            <v>48500</v>
          </cell>
        </row>
        <row r="4727">
          <cell r="W4727" t="str">
            <v>QFORT01</v>
          </cell>
          <cell r="AD4727">
            <v>80000</v>
          </cell>
        </row>
        <row r="4728">
          <cell r="W4728" t="str">
            <v>QFORT01</v>
          </cell>
          <cell r="AD4728">
            <v>80000</v>
          </cell>
        </row>
        <row r="4729">
          <cell r="W4729" t="str">
            <v>QFUNG02</v>
          </cell>
          <cell r="AD4729">
            <v>56500</v>
          </cell>
        </row>
        <row r="4730">
          <cell r="W4730" t="str">
            <v>QFUNG02</v>
          </cell>
          <cell r="AD4730">
            <v>56500</v>
          </cell>
        </row>
        <row r="4731">
          <cell r="W4731" t="str">
            <v>QFUNG02</v>
          </cell>
          <cell r="AD4731">
            <v>56500</v>
          </cell>
        </row>
        <row r="4732">
          <cell r="W4732" t="str">
            <v>QFUNG02</v>
          </cell>
          <cell r="AD4732">
            <v>56500</v>
          </cell>
        </row>
        <row r="4733">
          <cell r="W4733" t="str">
            <v>QFUNG02</v>
          </cell>
          <cell r="AD4733">
            <v>60000</v>
          </cell>
        </row>
        <row r="4734">
          <cell r="W4734" t="str">
            <v>QFUNG01</v>
          </cell>
          <cell r="AD4734">
            <v>4500</v>
          </cell>
        </row>
        <row r="4735">
          <cell r="W4735" t="str">
            <v>QFUNG01</v>
          </cell>
          <cell r="AD4735">
            <v>4500</v>
          </cell>
        </row>
        <row r="4736">
          <cell r="W4736" t="str">
            <v>QFUNG01</v>
          </cell>
          <cell r="AD4736">
            <v>4750</v>
          </cell>
        </row>
        <row r="4737">
          <cell r="W4737" t="str">
            <v>QFUNG01</v>
          </cell>
          <cell r="AD4737">
            <v>4750</v>
          </cell>
        </row>
        <row r="4738">
          <cell r="W4738" t="str">
            <v>QFUNG01</v>
          </cell>
          <cell r="AD4738">
            <v>4750</v>
          </cell>
        </row>
        <row r="4739">
          <cell r="W4739" t="str">
            <v>QFUNG01</v>
          </cell>
          <cell r="AD4739">
            <v>4750</v>
          </cell>
        </row>
        <row r="4740">
          <cell r="W4740" t="str">
            <v>QFUNG01</v>
          </cell>
          <cell r="AD4740">
            <v>4750</v>
          </cell>
        </row>
        <row r="4741">
          <cell r="W4741" t="str">
            <v>QFUNG01</v>
          </cell>
          <cell r="AD4741">
            <v>4750</v>
          </cell>
        </row>
        <row r="4742">
          <cell r="W4742" t="str">
            <v>QFUNG01</v>
          </cell>
          <cell r="AD4742">
            <v>4750</v>
          </cell>
        </row>
        <row r="4743">
          <cell r="W4743" t="str">
            <v>QFUNG01</v>
          </cell>
          <cell r="AD4743">
            <v>4750</v>
          </cell>
        </row>
        <row r="4744">
          <cell r="W4744" t="str">
            <v>QFUNG01</v>
          </cell>
          <cell r="AD4744">
            <v>4750</v>
          </cell>
        </row>
        <row r="4745">
          <cell r="W4745" t="str">
            <v>QFUNG01</v>
          </cell>
          <cell r="AD4745">
            <v>4750</v>
          </cell>
        </row>
        <row r="4746">
          <cell r="W4746" t="str">
            <v>QGAPL01</v>
          </cell>
          <cell r="AD4746">
            <v>12500</v>
          </cell>
        </row>
        <row r="4747">
          <cell r="W4747" t="str">
            <v>QGAPL01</v>
          </cell>
          <cell r="AD4747">
            <v>12500</v>
          </cell>
        </row>
        <row r="4748">
          <cell r="W4748" t="str">
            <v>QGAPL01</v>
          </cell>
          <cell r="AD4748">
            <v>12500</v>
          </cell>
        </row>
        <row r="4749">
          <cell r="W4749" t="str">
            <v>QGAPL01</v>
          </cell>
          <cell r="AD4749">
            <v>12500</v>
          </cell>
        </row>
        <row r="4750">
          <cell r="W4750" t="str">
            <v>QGAPL01</v>
          </cell>
          <cell r="AD4750">
            <v>12500</v>
          </cell>
        </row>
        <row r="4751">
          <cell r="W4751" t="str">
            <v>QGAPL01</v>
          </cell>
          <cell r="AD4751">
            <v>12500</v>
          </cell>
        </row>
        <row r="4752">
          <cell r="W4752" t="str">
            <v>QGAPL01</v>
          </cell>
          <cell r="AD4752">
            <v>12500</v>
          </cell>
        </row>
        <row r="4753">
          <cell r="W4753" t="str">
            <v>QGAPL01</v>
          </cell>
          <cell r="AD4753">
            <v>12500</v>
          </cell>
        </row>
        <row r="4754">
          <cell r="W4754" t="str">
            <v>QGAPL01</v>
          </cell>
          <cell r="AD4754">
            <v>12500</v>
          </cell>
        </row>
        <row r="4755">
          <cell r="W4755" t="str">
            <v>QGAPL01</v>
          </cell>
          <cell r="AD4755">
            <v>12500</v>
          </cell>
        </row>
        <row r="4756">
          <cell r="W4756" t="str">
            <v>QGAPL01</v>
          </cell>
          <cell r="AD4756">
            <v>16000</v>
          </cell>
        </row>
        <row r="4757">
          <cell r="W4757" t="str">
            <v>AGAPL02</v>
          </cell>
          <cell r="AD4757">
            <v>19500</v>
          </cell>
        </row>
        <row r="4758">
          <cell r="W4758" t="str">
            <v>AGAPL02</v>
          </cell>
          <cell r="AD4758">
            <v>19500</v>
          </cell>
        </row>
        <row r="4759">
          <cell r="W4759" t="str">
            <v>AGAPL02</v>
          </cell>
          <cell r="AD4759">
            <v>19500</v>
          </cell>
        </row>
        <row r="4760">
          <cell r="W4760" t="str">
            <v>AGAPL02</v>
          </cell>
          <cell r="AD4760">
            <v>19500</v>
          </cell>
        </row>
        <row r="4761">
          <cell r="W4761" t="str">
            <v>AGAPL02</v>
          </cell>
          <cell r="AD4761">
            <v>19500</v>
          </cell>
        </row>
        <row r="4762">
          <cell r="W4762" t="str">
            <v>AGAPL02</v>
          </cell>
          <cell r="AD4762">
            <v>19500</v>
          </cell>
        </row>
        <row r="4763">
          <cell r="W4763" t="str">
            <v>QGAPL02</v>
          </cell>
          <cell r="AD4763">
            <v>22500</v>
          </cell>
        </row>
        <row r="4764">
          <cell r="W4764" t="str">
            <v>QGAPL02</v>
          </cell>
          <cell r="AD4764">
            <v>22500</v>
          </cell>
        </row>
        <row r="4765">
          <cell r="W4765" t="str">
            <v>QGAPL02</v>
          </cell>
          <cell r="AD4765">
            <v>22500</v>
          </cell>
        </row>
        <row r="4766">
          <cell r="W4766" t="str">
            <v>QGAPL02</v>
          </cell>
          <cell r="AD4766">
            <v>22500</v>
          </cell>
        </row>
        <row r="4767">
          <cell r="W4767" t="str">
            <v>QGAPL02</v>
          </cell>
          <cell r="AD4767">
            <v>22500</v>
          </cell>
        </row>
        <row r="4768">
          <cell r="W4768" t="str">
            <v>QGAPL02</v>
          </cell>
          <cell r="AD4768">
            <v>22500</v>
          </cell>
        </row>
        <row r="4769">
          <cell r="W4769" t="str">
            <v>QGAPL02</v>
          </cell>
          <cell r="AD4769">
            <v>22500</v>
          </cell>
        </row>
        <row r="4770">
          <cell r="W4770" t="str">
            <v>QGAPL02</v>
          </cell>
          <cell r="AD4770">
            <v>22500</v>
          </cell>
        </row>
        <row r="4771">
          <cell r="W4771" t="str">
            <v>QGAPL02</v>
          </cell>
          <cell r="AD4771">
            <v>22500</v>
          </cell>
        </row>
        <row r="4772">
          <cell r="W4772" t="str">
            <v>QGAPL02</v>
          </cell>
          <cell r="AD4772">
            <v>22500</v>
          </cell>
        </row>
        <row r="4773">
          <cell r="W4773" t="str">
            <v>QGAPL02</v>
          </cell>
          <cell r="AD4773">
            <v>22500</v>
          </cell>
        </row>
        <row r="4774">
          <cell r="W4774" t="str">
            <v>QGAPL02</v>
          </cell>
          <cell r="AD4774">
            <v>22500</v>
          </cell>
        </row>
        <row r="4775">
          <cell r="W4775" t="str">
            <v>QGAPL02</v>
          </cell>
          <cell r="AD4775">
            <v>22500</v>
          </cell>
        </row>
        <row r="4776">
          <cell r="W4776" t="str">
            <v>QGAPL02</v>
          </cell>
          <cell r="AD4776">
            <v>22500</v>
          </cell>
        </row>
        <row r="4777">
          <cell r="W4777" t="str">
            <v>QGAPL02</v>
          </cell>
          <cell r="AD4777">
            <v>22500</v>
          </cell>
        </row>
        <row r="4778">
          <cell r="W4778" t="str">
            <v>QGAPL02</v>
          </cell>
          <cell r="AD4778">
            <v>22500</v>
          </cell>
        </row>
        <row r="4779">
          <cell r="W4779" t="str">
            <v>QGAPL02</v>
          </cell>
          <cell r="AD4779">
            <v>22500</v>
          </cell>
        </row>
        <row r="4780">
          <cell r="W4780" t="str">
            <v>QGAPL02</v>
          </cell>
          <cell r="AD4780">
            <v>22500</v>
          </cell>
        </row>
        <row r="4781">
          <cell r="W4781" t="str">
            <v>QGALI01</v>
          </cell>
          <cell r="AD4781">
            <v>117000</v>
          </cell>
        </row>
        <row r="4782">
          <cell r="W4782" t="str">
            <v>QGALL07</v>
          </cell>
          <cell r="AD4782">
            <v>71000</v>
          </cell>
        </row>
        <row r="4783">
          <cell r="W4783" t="str">
            <v>QGALL07</v>
          </cell>
          <cell r="AD4783">
            <v>72000</v>
          </cell>
        </row>
        <row r="4784">
          <cell r="W4784" t="str">
            <v>QGALL12</v>
          </cell>
          <cell r="AD4784">
            <v>72000</v>
          </cell>
        </row>
        <row r="4785">
          <cell r="W4785" t="str">
            <v>QGALL12</v>
          </cell>
          <cell r="AD4785">
            <v>72000</v>
          </cell>
        </row>
        <row r="4786">
          <cell r="W4786" t="str">
            <v>QGALL12</v>
          </cell>
          <cell r="AD4786">
            <v>72000</v>
          </cell>
        </row>
        <row r="4787">
          <cell r="W4787" t="str">
            <v>QGALL12</v>
          </cell>
          <cell r="AD4787">
            <v>72000</v>
          </cell>
        </row>
        <row r="4788">
          <cell r="W4788" t="str">
            <v>QGALL12</v>
          </cell>
          <cell r="AD4788">
            <v>72000</v>
          </cell>
        </row>
        <row r="4789">
          <cell r="W4789" t="str">
            <v>QGALL12</v>
          </cell>
          <cell r="AD4789">
            <v>72000</v>
          </cell>
        </row>
        <row r="4790">
          <cell r="W4790" t="str">
            <v>QGALL12</v>
          </cell>
          <cell r="AD4790">
            <v>72000</v>
          </cell>
        </row>
        <row r="4791">
          <cell r="W4791" t="str">
            <v>QGALL12</v>
          </cell>
          <cell r="AD4791">
            <v>72000</v>
          </cell>
        </row>
        <row r="4792">
          <cell r="W4792" t="str">
            <v>QGALL12</v>
          </cell>
          <cell r="AD4792">
            <v>72000</v>
          </cell>
        </row>
        <row r="4793">
          <cell r="W4793" t="str">
            <v>QGALL12</v>
          </cell>
          <cell r="AD4793">
            <v>72000</v>
          </cell>
        </row>
        <row r="4794">
          <cell r="W4794" t="str">
            <v>QGALL12</v>
          </cell>
          <cell r="AD4794">
            <v>72000</v>
          </cell>
        </row>
        <row r="4795">
          <cell r="W4795" t="str">
            <v>QGALL12</v>
          </cell>
          <cell r="AD4795">
            <v>72000</v>
          </cell>
        </row>
        <row r="4796">
          <cell r="W4796" t="str">
            <v>QGALL12</v>
          </cell>
          <cell r="AD4796">
            <v>72000</v>
          </cell>
        </row>
        <row r="4797">
          <cell r="W4797" t="str">
            <v>QGALL15</v>
          </cell>
          <cell r="AD4797">
            <v>72000</v>
          </cell>
        </row>
        <row r="4798">
          <cell r="W4798" t="str">
            <v>QGALL15</v>
          </cell>
          <cell r="AD4798">
            <v>72000</v>
          </cell>
        </row>
        <row r="4799">
          <cell r="W4799" t="str">
            <v>QGALL15</v>
          </cell>
          <cell r="AD4799">
            <v>72000</v>
          </cell>
        </row>
        <row r="4800">
          <cell r="W4800" t="str">
            <v>QGALL15</v>
          </cell>
          <cell r="AD4800">
            <v>72000</v>
          </cell>
        </row>
        <row r="4801">
          <cell r="W4801" t="str">
            <v>QGALL15</v>
          </cell>
          <cell r="AD4801">
            <v>72000</v>
          </cell>
        </row>
        <row r="4802">
          <cell r="W4802" t="str">
            <v>QGALL15</v>
          </cell>
          <cell r="AD4802">
            <v>72000</v>
          </cell>
        </row>
        <row r="4803">
          <cell r="W4803" t="str">
            <v>QGALL11</v>
          </cell>
          <cell r="AD4803">
            <v>40000</v>
          </cell>
        </row>
        <row r="4804">
          <cell r="W4804" t="str">
            <v>QGALL11</v>
          </cell>
          <cell r="AD4804">
            <v>40000</v>
          </cell>
        </row>
        <row r="4805">
          <cell r="W4805" t="str">
            <v>QGALL14</v>
          </cell>
          <cell r="AD4805">
            <v>39000</v>
          </cell>
        </row>
        <row r="4806">
          <cell r="W4806" t="str">
            <v>QGALL14</v>
          </cell>
          <cell r="AD4806">
            <v>39000</v>
          </cell>
        </row>
        <row r="4807">
          <cell r="W4807" t="str">
            <v>QGALL14</v>
          </cell>
          <cell r="AD4807">
            <v>40000</v>
          </cell>
        </row>
        <row r="4808">
          <cell r="W4808" t="str">
            <v>QGALL14</v>
          </cell>
          <cell r="AD4808">
            <v>40000</v>
          </cell>
        </row>
        <row r="4809">
          <cell r="W4809" t="str">
            <v>QGALL14</v>
          </cell>
          <cell r="AD4809">
            <v>40000</v>
          </cell>
        </row>
        <row r="4810">
          <cell r="W4810" t="str">
            <v>QGALL14</v>
          </cell>
          <cell r="AD4810">
            <v>40000</v>
          </cell>
        </row>
        <row r="4811">
          <cell r="W4811" t="str">
            <v>QGALL14</v>
          </cell>
          <cell r="AD4811">
            <v>40000</v>
          </cell>
        </row>
        <row r="4812">
          <cell r="W4812" t="str">
            <v>QGALL14</v>
          </cell>
          <cell r="AD4812">
            <v>40000</v>
          </cell>
        </row>
        <row r="4813">
          <cell r="W4813" t="str">
            <v>QGALL14</v>
          </cell>
          <cell r="AD4813">
            <v>40000</v>
          </cell>
        </row>
        <row r="4814">
          <cell r="W4814" t="str">
            <v>QGALL14</v>
          </cell>
          <cell r="AD4814">
            <v>40000</v>
          </cell>
        </row>
        <row r="4815">
          <cell r="W4815" t="str">
            <v>QGALL14</v>
          </cell>
          <cell r="AD4815">
            <v>40000</v>
          </cell>
        </row>
        <row r="4816">
          <cell r="W4816" t="str">
            <v>QGALL14</v>
          </cell>
          <cell r="AD4816">
            <v>40000</v>
          </cell>
        </row>
        <row r="4817">
          <cell r="W4817" t="str">
            <v>QGALL14</v>
          </cell>
          <cell r="AD4817">
            <v>40000</v>
          </cell>
        </row>
        <row r="4818">
          <cell r="W4818" t="str">
            <v>QGALL14</v>
          </cell>
          <cell r="AD4818">
            <v>40000</v>
          </cell>
        </row>
        <row r="4819">
          <cell r="W4819" t="str">
            <v>QGALL14</v>
          </cell>
          <cell r="AD4819">
            <v>40000</v>
          </cell>
        </row>
        <row r="4820">
          <cell r="W4820" t="str">
            <v>QGALL14</v>
          </cell>
          <cell r="AD4820">
            <v>40000</v>
          </cell>
        </row>
        <row r="4821">
          <cell r="W4821" t="str">
            <v>QGALL14</v>
          </cell>
          <cell r="AD4821">
            <v>40000</v>
          </cell>
        </row>
        <row r="4822">
          <cell r="W4822" t="str">
            <v>QGALL14</v>
          </cell>
          <cell r="AD4822">
            <v>40000</v>
          </cell>
        </row>
        <row r="4823">
          <cell r="W4823" t="str">
            <v>QGALL14</v>
          </cell>
          <cell r="AD4823">
            <v>40000</v>
          </cell>
        </row>
        <row r="4824">
          <cell r="W4824" t="str">
            <v>QGALL14</v>
          </cell>
          <cell r="AD4824">
            <v>40000</v>
          </cell>
        </row>
        <row r="4825">
          <cell r="W4825" t="str">
            <v>QGALL14</v>
          </cell>
          <cell r="AD4825">
            <v>40000</v>
          </cell>
        </row>
        <row r="4826">
          <cell r="W4826" t="str">
            <v>QGALL14</v>
          </cell>
          <cell r="AD4826">
            <v>40000</v>
          </cell>
        </row>
        <row r="4827">
          <cell r="W4827" t="str">
            <v>QGALL14</v>
          </cell>
          <cell r="AD4827">
            <v>40000</v>
          </cell>
        </row>
        <row r="4828">
          <cell r="W4828" t="str">
            <v>QGALL14</v>
          </cell>
          <cell r="AD4828">
            <v>40000</v>
          </cell>
        </row>
        <row r="4829">
          <cell r="W4829" t="str">
            <v>QGALL14</v>
          </cell>
          <cell r="AD4829">
            <v>40000</v>
          </cell>
        </row>
        <row r="4830">
          <cell r="W4830" t="str">
            <v>QGALL14</v>
          </cell>
          <cell r="AD4830">
            <v>42000</v>
          </cell>
        </row>
        <row r="4831">
          <cell r="W4831" t="str">
            <v>QGALL03</v>
          </cell>
          <cell r="AD4831">
            <v>20000</v>
          </cell>
        </row>
        <row r="4832">
          <cell r="W4832" t="str">
            <v>QGALL03</v>
          </cell>
          <cell r="AD4832">
            <v>20000</v>
          </cell>
        </row>
        <row r="4833">
          <cell r="W4833" t="str">
            <v>QGALL03</v>
          </cell>
          <cell r="AD4833">
            <v>20000</v>
          </cell>
        </row>
        <row r="4834">
          <cell r="W4834" t="str">
            <v>QGALL03</v>
          </cell>
          <cell r="AD4834">
            <v>20000</v>
          </cell>
        </row>
        <row r="4835">
          <cell r="W4835" t="str">
            <v>QGALL03</v>
          </cell>
          <cell r="AD4835">
            <v>20000</v>
          </cell>
        </row>
        <row r="4836">
          <cell r="W4836" t="str">
            <v>QGALL03</v>
          </cell>
          <cell r="AD4836">
            <v>20000</v>
          </cell>
        </row>
        <row r="4837">
          <cell r="W4837" t="str">
            <v>QGALL03</v>
          </cell>
          <cell r="AD4837">
            <v>20000</v>
          </cell>
        </row>
        <row r="4838">
          <cell r="W4838" t="str">
            <v>QGAME01</v>
          </cell>
          <cell r="AD4838">
            <v>28600</v>
          </cell>
        </row>
        <row r="4839">
          <cell r="W4839" t="str">
            <v>AGAME01</v>
          </cell>
          <cell r="AD4839">
            <v>28600</v>
          </cell>
        </row>
        <row r="4840">
          <cell r="W4840" t="str">
            <v>QGAME01</v>
          </cell>
          <cell r="AD4840">
            <v>31000</v>
          </cell>
        </row>
        <row r="4841">
          <cell r="W4841" t="str">
            <v>QGAME01</v>
          </cell>
          <cell r="AD4841">
            <v>33000</v>
          </cell>
        </row>
        <row r="4842">
          <cell r="W4842" t="str">
            <v>QGAME01</v>
          </cell>
          <cell r="AD4842">
            <v>33000</v>
          </cell>
        </row>
        <row r="4843">
          <cell r="W4843" t="str">
            <v>QGAME01</v>
          </cell>
          <cell r="AD4843">
            <v>33000</v>
          </cell>
        </row>
        <row r="4844">
          <cell r="W4844" t="str">
            <v>QGAME01</v>
          </cell>
          <cell r="AD4844">
            <v>33000</v>
          </cell>
        </row>
        <row r="4845">
          <cell r="W4845" t="str">
            <v>QGAME01</v>
          </cell>
          <cell r="AD4845">
            <v>33000</v>
          </cell>
        </row>
        <row r="4846">
          <cell r="W4846" t="str">
            <v>QGAME01</v>
          </cell>
          <cell r="AD4846">
            <v>34000</v>
          </cell>
        </row>
        <row r="4847">
          <cell r="W4847" t="str">
            <v>QGAME01</v>
          </cell>
          <cell r="AD4847">
            <v>35000</v>
          </cell>
        </row>
        <row r="4848">
          <cell r="W4848" t="str">
            <v>QGAME01</v>
          </cell>
          <cell r="AD4848">
            <v>35000</v>
          </cell>
        </row>
        <row r="4849">
          <cell r="W4849" t="str">
            <v>QGAME01</v>
          </cell>
          <cell r="AD4849">
            <v>35000</v>
          </cell>
        </row>
        <row r="4850">
          <cell r="W4850" t="str">
            <v>QGAME01</v>
          </cell>
          <cell r="AD4850">
            <v>35000</v>
          </cell>
        </row>
        <row r="4851">
          <cell r="W4851" t="str">
            <v>QGAME01</v>
          </cell>
          <cell r="AD4851">
            <v>35000</v>
          </cell>
        </row>
        <row r="4852">
          <cell r="W4852" t="str">
            <v>QGAME01</v>
          </cell>
          <cell r="AD4852">
            <v>35000</v>
          </cell>
        </row>
        <row r="4853">
          <cell r="W4853" t="str">
            <v>QGAME01</v>
          </cell>
          <cell r="AD4853">
            <v>35000</v>
          </cell>
        </row>
        <row r="4854">
          <cell r="W4854" t="str">
            <v>QGAME01</v>
          </cell>
          <cell r="AD4854">
            <v>35000</v>
          </cell>
        </row>
        <row r="4855">
          <cell r="W4855" t="str">
            <v>QGAME01</v>
          </cell>
          <cell r="AD4855">
            <v>35000</v>
          </cell>
        </row>
        <row r="4856">
          <cell r="W4856" t="str">
            <v>QGAME01</v>
          </cell>
          <cell r="AD4856">
            <v>35000</v>
          </cell>
        </row>
        <row r="4857">
          <cell r="W4857" t="str">
            <v>QGAME01</v>
          </cell>
          <cell r="AD4857">
            <v>35000</v>
          </cell>
        </row>
        <row r="4858">
          <cell r="W4858" t="str">
            <v>QGAME01</v>
          </cell>
          <cell r="AD4858">
            <v>35000</v>
          </cell>
        </row>
        <row r="4859">
          <cell r="W4859" t="str">
            <v>QGAME01</v>
          </cell>
          <cell r="AD4859">
            <v>35000</v>
          </cell>
        </row>
        <row r="4860">
          <cell r="W4860" t="str">
            <v>QGAME01</v>
          </cell>
          <cell r="AD4860">
            <v>35000</v>
          </cell>
        </row>
        <row r="4861">
          <cell r="W4861" t="str">
            <v>QGAME01</v>
          </cell>
          <cell r="AD4861">
            <v>35000</v>
          </cell>
        </row>
        <row r="4862">
          <cell r="W4862" t="str">
            <v>QGAME01</v>
          </cell>
          <cell r="AD4862">
            <v>35000</v>
          </cell>
        </row>
        <row r="4863">
          <cell r="W4863" t="str">
            <v>QGAME01</v>
          </cell>
          <cell r="AD4863">
            <v>35000</v>
          </cell>
        </row>
        <row r="4864">
          <cell r="W4864" t="str">
            <v>QGAME01</v>
          </cell>
          <cell r="AD4864">
            <v>35000</v>
          </cell>
        </row>
        <row r="4865">
          <cell r="W4865" t="str">
            <v>QGAME01</v>
          </cell>
          <cell r="AD4865">
            <v>35000</v>
          </cell>
        </row>
        <row r="4866">
          <cell r="W4866" t="str">
            <v>QGAME01</v>
          </cell>
          <cell r="AD4866">
            <v>35000</v>
          </cell>
        </row>
        <row r="4867">
          <cell r="W4867" t="str">
            <v>QGAME01</v>
          </cell>
          <cell r="AD4867">
            <v>35000</v>
          </cell>
        </row>
        <row r="4868">
          <cell r="W4868" t="str">
            <v>QGAME01</v>
          </cell>
          <cell r="AD4868">
            <v>35000</v>
          </cell>
        </row>
        <row r="4869">
          <cell r="W4869" t="str">
            <v>QGAME01</v>
          </cell>
          <cell r="AD4869">
            <v>35000</v>
          </cell>
        </row>
        <row r="4870">
          <cell r="W4870" t="str">
            <v>QGAME01</v>
          </cell>
          <cell r="AD4870">
            <v>35000</v>
          </cell>
        </row>
        <row r="4871">
          <cell r="W4871" t="str">
            <v>QGAME01</v>
          </cell>
          <cell r="AD4871">
            <v>35000</v>
          </cell>
        </row>
        <row r="4872">
          <cell r="W4872" t="str">
            <v>QGAME01</v>
          </cell>
          <cell r="AD4872">
            <v>35000</v>
          </cell>
        </row>
        <row r="4873">
          <cell r="W4873" t="str">
            <v>QGAME01</v>
          </cell>
          <cell r="AD4873">
            <v>35000</v>
          </cell>
        </row>
        <row r="4874">
          <cell r="W4874" t="str">
            <v>QGAME01</v>
          </cell>
          <cell r="AD4874">
            <v>35000</v>
          </cell>
        </row>
        <row r="4875">
          <cell r="W4875" t="str">
            <v>QGAME01</v>
          </cell>
          <cell r="AD4875">
            <v>35000</v>
          </cell>
        </row>
        <row r="4876">
          <cell r="W4876" t="str">
            <v>QGAME01</v>
          </cell>
          <cell r="AD4876">
            <v>35000</v>
          </cell>
        </row>
        <row r="4877">
          <cell r="W4877" t="str">
            <v>QGAME01</v>
          </cell>
          <cell r="AD4877">
            <v>35000</v>
          </cell>
        </row>
        <row r="4878">
          <cell r="W4878" t="str">
            <v>QGAME01</v>
          </cell>
          <cell r="AD4878">
            <v>35000</v>
          </cell>
        </row>
        <row r="4879">
          <cell r="W4879" t="str">
            <v>QGAME01</v>
          </cell>
          <cell r="AD4879">
            <v>35000</v>
          </cell>
        </row>
        <row r="4880">
          <cell r="W4880" t="str">
            <v>QGAME01</v>
          </cell>
          <cell r="AD4880">
            <v>35000</v>
          </cell>
        </row>
        <row r="4881">
          <cell r="W4881" t="str">
            <v>QGAME01</v>
          </cell>
          <cell r="AD4881">
            <v>35000</v>
          </cell>
        </row>
        <row r="4882">
          <cell r="W4882" t="str">
            <v>QGAME01</v>
          </cell>
          <cell r="AD4882">
            <v>35000</v>
          </cell>
        </row>
        <row r="4883">
          <cell r="W4883" t="str">
            <v>QGAME01</v>
          </cell>
          <cell r="AD4883">
            <v>35000</v>
          </cell>
        </row>
        <row r="4884">
          <cell r="W4884" t="str">
            <v>QGAME01</v>
          </cell>
          <cell r="AD4884">
            <v>35000</v>
          </cell>
        </row>
        <row r="4885">
          <cell r="W4885" t="str">
            <v>QGAME01</v>
          </cell>
          <cell r="AD4885">
            <v>35000</v>
          </cell>
        </row>
        <row r="4886">
          <cell r="W4886" t="str">
            <v>QGAME01</v>
          </cell>
          <cell r="AD4886">
            <v>35000</v>
          </cell>
        </row>
        <row r="4887">
          <cell r="W4887" t="str">
            <v>QGAME01</v>
          </cell>
          <cell r="AD4887">
            <v>35000</v>
          </cell>
        </row>
        <row r="4888">
          <cell r="W4888" t="str">
            <v>QGAME01</v>
          </cell>
          <cell r="AD4888">
            <v>35000</v>
          </cell>
        </row>
        <row r="4889">
          <cell r="W4889" t="str">
            <v>QGAME01</v>
          </cell>
          <cell r="AD4889">
            <v>35000</v>
          </cell>
        </row>
        <row r="4890">
          <cell r="W4890" t="str">
            <v>QGAME01</v>
          </cell>
          <cell r="AD4890">
            <v>35000</v>
          </cell>
        </row>
        <row r="4891">
          <cell r="W4891" t="str">
            <v>QGAME01</v>
          </cell>
          <cell r="AD4891">
            <v>35000</v>
          </cell>
        </row>
        <row r="4892">
          <cell r="W4892" t="str">
            <v>QGAME03</v>
          </cell>
          <cell r="AD4892">
            <v>152000</v>
          </cell>
        </row>
        <row r="4893">
          <cell r="W4893" t="str">
            <v>QGAME03</v>
          </cell>
          <cell r="AD4893">
            <v>165000</v>
          </cell>
        </row>
        <row r="4894">
          <cell r="W4894" t="str">
            <v>QGAME03</v>
          </cell>
          <cell r="AD4894">
            <v>165000</v>
          </cell>
        </row>
        <row r="4895">
          <cell r="W4895" t="str">
            <v>QGAME03</v>
          </cell>
          <cell r="AD4895">
            <v>165000</v>
          </cell>
        </row>
        <row r="4896">
          <cell r="W4896" t="str">
            <v>QGAME03</v>
          </cell>
          <cell r="AD4896">
            <v>165000</v>
          </cell>
        </row>
        <row r="4897">
          <cell r="W4897" t="str">
            <v>QGAME03</v>
          </cell>
          <cell r="AD4897">
            <v>165000</v>
          </cell>
        </row>
        <row r="4898">
          <cell r="W4898" t="str">
            <v>QGAME03</v>
          </cell>
          <cell r="AD4898">
            <v>165000</v>
          </cell>
        </row>
        <row r="4899">
          <cell r="W4899" t="str">
            <v>QGAME03</v>
          </cell>
          <cell r="AD4899">
            <v>165000</v>
          </cell>
        </row>
        <row r="4900">
          <cell r="W4900" t="str">
            <v>QGAME03</v>
          </cell>
          <cell r="AD4900">
            <v>165000</v>
          </cell>
        </row>
        <row r="4901">
          <cell r="W4901" t="str">
            <v>QGAME02</v>
          </cell>
          <cell r="AD4901">
            <v>73250</v>
          </cell>
        </row>
        <row r="4902">
          <cell r="W4902" t="str">
            <v>QGAME02</v>
          </cell>
          <cell r="AD4902">
            <v>78500</v>
          </cell>
        </row>
        <row r="4903">
          <cell r="W4903" t="str">
            <v>QGAME02</v>
          </cell>
          <cell r="AD4903">
            <v>78500</v>
          </cell>
        </row>
        <row r="4904">
          <cell r="W4904" t="str">
            <v>QGAME02</v>
          </cell>
          <cell r="AD4904">
            <v>85000</v>
          </cell>
        </row>
        <row r="4905">
          <cell r="W4905" t="str">
            <v>QGAME02</v>
          </cell>
          <cell r="AD4905">
            <v>85000</v>
          </cell>
        </row>
        <row r="4906">
          <cell r="W4906" t="str">
            <v>QGAME02</v>
          </cell>
          <cell r="AD4906">
            <v>85000</v>
          </cell>
        </row>
        <row r="4907">
          <cell r="W4907" t="str">
            <v>QGAME02</v>
          </cell>
          <cell r="AD4907">
            <v>85000</v>
          </cell>
        </row>
        <row r="4908">
          <cell r="W4908" t="str">
            <v>QGAME02</v>
          </cell>
          <cell r="AD4908">
            <v>85000</v>
          </cell>
        </row>
        <row r="4909">
          <cell r="W4909" t="str">
            <v>QGAME02</v>
          </cell>
          <cell r="AD4909">
            <v>85000</v>
          </cell>
        </row>
        <row r="4910">
          <cell r="W4910" t="str">
            <v>QGAME02</v>
          </cell>
          <cell r="AD4910">
            <v>85000</v>
          </cell>
        </row>
        <row r="4911">
          <cell r="W4911" t="str">
            <v>QGAME02</v>
          </cell>
          <cell r="AD4911">
            <v>85000</v>
          </cell>
        </row>
        <row r="4912">
          <cell r="W4912" t="str">
            <v>QGAME02</v>
          </cell>
          <cell r="AD4912">
            <v>85000</v>
          </cell>
        </row>
        <row r="4913">
          <cell r="W4913" t="str">
            <v>QGAME02</v>
          </cell>
          <cell r="AD4913">
            <v>85000</v>
          </cell>
        </row>
        <row r="4914">
          <cell r="W4914" t="str">
            <v>QGAME02</v>
          </cell>
          <cell r="AD4914">
            <v>85000</v>
          </cell>
        </row>
        <row r="4915">
          <cell r="W4915" t="str">
            <v>QGAME02</v>
          </cell>
          <cell r="AD4915">
            <v>85000</v>
          </cell>
        </row>
        <row r="4916">
          <cell r="W4916" t="str">
            <v>QGAME02</v>
          </cell>
          <cell r="AD4916">
            <v>85000</v>
          </cell>
        </row>
        <row r="4917">
          <cell r="W4917" t="str">
            <v>QGAME02</v>
          </cell>
          <cell r="AD4917">
            <v>85000</v>
          </cell>
        </row>
        <row r="4918">
          <cell r="W4918" t="str">
            <v>QGAME02</v>
          </cell>
          <cell r="AD4918">
            <v>85000</v>
          </cell>
        </row>
        <row r="4919">
          <cell r="W4919" t="str">
            <v>QGAME02</v>
          </cell>
          <cell r="AD4919">
            <v>85000</v>
          </cell>
        </row>
        <row r="4920">
          <cell r="W4920" t="str">
            <v>QGAME02</v>
          </cell>
          <cell r="AD4920">
            <v>85000</v>
          </cell>
        </row>
        <row r="4921">
          <cell r="W4921" t="str">
            <v>QGAME02</v>
          </cell>
          <cell r="AD4921">
            <v>85000</v>
          </cell>
        </row>
        <row r="4922">
          <cell r="W4922" t="str">
            <v>QGAME02</v>
          </cell>
          <cell r="AD4922">
            <v>85000</v>
          </cell>
        </row>
        <row r="4923">
          <cell r="W4923" t="str">
            <v>QGAME02</v>
          </cell>
          <cell r="AD4923">
            <v>85000</v>
          </cell>
        </row>
        <row r="4924">
          <cell r="W4924" t="str">
            <v>QGAME02</v>
          </cell>
          <cell r="AD4924">
            <v>85000</v>
          </cell>
        </row>
        <row r="4925">
          <cell r="W4925" t="str">
            <v>QGAME02</v>
          </cell>
          <cell r="AD4925">
            <v>85000</v>
          </cell>
        </row>
        <row r="4926">
          <cell r="W4926" t="str">
            <v>QGAME02</v>
          </cell>
          <cell r="AD4926">
            <v>85000</v>
          </cell>
        </row>
        <row r="4927">
          <cell r="W4927" t="str">
            <v>QGAME02</v>
          </cell>
          <cell r="AD4927">
            <v>85000</v>
          </cell>
        </row>
        <row r="4928">
          <cell r="W4928" t="str">
            <v>QGAME02</v>
          </cell>
          <cell r="AD4928">
            <v>85000</v>
          </cell>
        </row>
        <row r="4929">
          <cell r="W4929" t="str">
            <v>AGAND07</v>
          </cell>
          <cell r="AD4929">
            <v>2.5000000000000001E-2</v>
          </cell>
        </row>
        <row r="4930">
          <cell r="W4930" t="str">
            <v>QGAND06</v>
          </cell>
          <cell r="AD4930">
            <v>16000</v>
          </cell>
        </row>
        <row r="4931">
          <cell r="W4931" t="str">
            <v>QGAND01</v>
          </cell>
          <cell r="AD4931">
            <v>6792</v>
          </cell>
        </row>
        <row r="4932">
          <cell r="W4932" t="str">
            <v>QGAND01</v>
          </cell>
          <cell r="AD4932">
            <v>6792</v>
          </cell>
        </row>
        <row r="4933">
          <cell r="W4933" t="str">
            <v>QGAND01</v>
          </cell>
          <cell r="AD4933">
            <v>6792</v>
          </cell>
        </row>
        <row r="4934">
          <cell r="W4934" t="str">
            <v>QGAND01</v>
          </cell>
          <cell r="AD4934">
            <v>6792</v>
          </cell>
        </row>
        <row r="4935">
          <cell r="W4935" t="str">
            <v>QGAND01</v>
          </cell>
          <cell r="AD4935">
            <v>6792</v>
          </cell>
        </row>
        <row r="4936">
          <cell r="W4936" t="str">
            <v>QGAND01</v>
          </cell>
          <cell r="AD4936">
            <v>6792</v>
          </cell>
        </row>
        <row r="4937">
          <cell r="W4937" t="str">
            <v>QGAND01</v>
          </cell>
          <cell r="AD4937">
            <v>6800</v>
          </cell>
        </row>
        <row r="4938">
          <cell r="W4938" t="str">
            <v>QGAND01</v>
          </cell>
          <cell r="AD4938">
            <v>6800</v>
          </cell>
        </row>
        <row r="4939">
          <cell r="W4939" t="str">
            <v>QGAND01</v>
          </cell>
          <cell r="AD4939">
            <v>6825</v>
          </cell>
        </row>
        <row r="4940">
          <cell r="W4940" t="str">
            <v>QGAND01</v>
          </cell>
          <cell r="AD4940">
            <v>6865</v>
          </cell>
        </row>
        <row r="4941">
          <cell r="W4941" t="str">
            <v>QGAND01</v>
          </cell>
          <cell r="AD4941">
            <v>6865</v>
          </cell>
        </row>
        <row r="4942">
          <cell r="W4942" t="str">
            <v>QGAND01</v>
          </cell>
          <cell r="AD4942">
            <v>6865</v>
          </cell>
        </row>
        <row r="4943">
          <cell r="W4943" t="str">
            <v>QGAND01</v>
          </cell>
          <cell r="AD4943">
            <v>6865</v>
          </cell>
        </row>
        <row r="4944">
          <cell r="W4944" t="str">
            <v>QGAND01</v>
          </cell>
          <cell r="AD4944">
            <v>6865</v>
          </cell>
        </row>
        <row r="4945">
          <cell r="W4945" t="str">
            <v>QGAND01</v>
          </cell>
          <cell r="AD4945">
            <v>6865</v>
          </cell>
        </row>
        <row r="4946">
          <cell r="W4946" t="str">
            <v>QGAND01</v>
          </cell>
          <cell r="AD4946">
            <v>6865</v>
          </cell>
        </row>
        <row r="4947">
          <cell r="W4947" t="str">
            <v>QGAND01</v>
          </cell>
          <cell r="AD4947">
            <v>6865</v>
          </cell>
        </row>
        <row r="4948">
          <cell r="W4948" t="str">
            <v>QGAND01</v>
          </cell>
          <cell r="AD4948">
            <v>6865</v>
          </cell>
        </row>
        <row r="4949">
          <cell r="W4949" t="str">
            <v>QGAND01</v>
          </cell>
          <cell r="AD4949">
            <v>6865</v>
          </cell>
        </row>
        <row r="4950">
          <cell r="W4950" t="str">
            <v>QGAND01</v>
          </cell>
          <cell r="AD4950">
            <v>6865</v>
          </cell>
        </row>
        <row r="4951">
          <cell r="W4951" t="str">
            <v>QGAND01</v>
          </cell>
          <cell r="AD4951">
            <v>6865</v>
          </cell>
        </row>
        <row r="4952">
          <cell r="W4952" t="str">
            <v>QGAND01</v>
          </cell>
          <cell r="AD4952">
            <v>6865</v>
          </cell>
        </row>
        <row r="4953">
          <cell r="W4953" t="str">
            <v>QGAND01</v>
          </cell>
          <cell r="AD4953">
            <v>6865</v>
          </cell>
        </row>
        <row r="4954">
          <cell r="W4954" t="str">
            <v>QGAND01</v>
          </cell>
          <cell r="AD4954">
            <v>6865</v>
          </cell>
        </row>
        <row r="4955">
          <cell r="W4955" t="str">
            <v>QGAND01</v>
          </cell>
          <cell r="AD4955">
            <v>6900</v>
          </cell>
        </row>
        <row r="4956">
          <cell r="W4956" t="str">
            <v>QGAND01</v>
          </cell>
          <cell r="AD4956">
            <v>6900</v>
          </cell>
        </row>
        <row r="4957">
          <cell r="W4957" t="str">
            <v>QGAND01</v>
          </cell>
          <cell r="AD4957">
            <v>6900</v>
          </cell>
        </row>
        <row r="4958">
          <cell r="W4958" t="str">
            <v>QGAND01</v>
          </cell>
          <cell r="AD4958">
            <v>6900</v>
          </cell>
        </row>
        <row r="4959">
          <cell r="W4959" t="str">
            <v>QGAND01</v>
          </cell>
          <cell r="AD4959">
            <v>6900</v>
          </cell>
        </row>
        <row r="4960">
          <cell r="W4960" t="str">
            <v>QGAND01</v>
          </cell>
          <cell r="AD4960">
            <v>6900</v>
          </cell>
        </row>
        <row r="4961">
          <cell r="W4961" t="str">
            <v>QGAND01</v>
          </cell>
          <cell r="AD4961">
            <v>6900</v>
          </cell>
        </row>
        <row r="4962">
          <cell r="W4962" t="str">
            <v>QGAND01</v>
          </cell>
          <cell r="AD4962">
            <v>6900</v>
          </cell>
        </row>
        <row r="4963">
          <cell r="W4963" t="str">
            <v>QGAND01</v>
          </cell>
          <cell r="AD4963">
            <v>6900</v>
          </cell>
        </row>
        <row r="4964">
          <cell r="W4964" t="str">
            <v>QGAND01</v>
          </cell>
          <cell r="AD4964">
            <v>6900</v>
          </cell>
        </row>
        <row r="4965">
          <cell r="W4965" t="str">
            <v>QGAND01</v>
          </cell>
          <cell r="AD4965">
            <v>6900</v>
          </cell>
        </row>
        <row r="4966">
          <cell r="W4966" t="str">
            <v>QGAND01</v>
          </cell>
          <cell r="AD4966">
            <v>6900</v>
          </cell>
        </row>
        <row r="4967">
          <cell r="W4967" t="str">
            <v>QGAND01</v>
          </cell>
          <cell r="AD4967">
            <v>6900</v>
          </cell>
        </row>
        <row r="4968">
          <cell r="W4968" t="str">
            <v>QGAND01</v>
          </cell>
          <cell r="AD4968">
            <v>6900</v>
          </cell>
        </row>
        <row r="4969">
          <cell r="W4969" t="str">
            <v>QGAND01</v>
          </cell>
          <cell r="AD4969">
            <v>6900</v>
          </cell>
        </row>
        <row r="4970">
          <cell r="W4970" t="str">
            <v>QGAND01</v>
          </cell>
          <cell r="AD4970">
            <v>6950</v>
          </cell>
        </row>
        <row r="4971">
          <cell r="W4971" t="str">
            <v>QGAND01</v>
          </cell>
          <cell r="AD4971">
            <v>6950</v>
          </cell>
        </row>
        <row r="4972">
          <cell r="W4972" t="str">
            <v>QGAND01</v>
          </cell>
          <cell r="AD4972">
            <v>6950</v>
          </cell>
        </row>
        <row r="4973">
          <cell r="W4973" t="str">
            <v>QGAND01</v>
          </cell>
          <cell r="AD4973">
            <v>6950</v>
          </cell>
        </row>
        <row r="4974">
          <cell r="W4974" t="str">
            <v>QGAND01</v>
          </cell>
          <cell r="AD4974">
            <v>6950</v>
          </cell>
        </row>
        <row r="4975">
          <cell r="W4975" t="str">
            <v>QGAND01</v>
          </cell>
          <cell r="AD4975">
            <v>6950</v>
          </cell>
        </row>
        <row r="4976">
          <cell r="W4976" t="str">
            <v>QGAND01</v>
          </cell>
          <cell r="AD4976">
            <v>6950</v>
          </cell>
        </row>
        <row r="4977">
          <cell r="W4977" t="str">
            <v>QGAND01</v>
          </cell>
          <cell r="AD4977">
            <v>6950</v>
          </cell>
        </row>
        <row r="4978">
          <cell r="W4978" t="str">
            <v>QGAND01</v>
          </cell>
          <cell r="AD4978">
            <v>6950</v>
          </cell>
        </row>
        <row r="4979">
          <cell r="W4979" t="str">
            <v>QGAND01</v>
          </cell>
          <cell r="AD4979">
            <v>6950</v>
          </cell>
        </row>
        <row r="4980">
          <cell r="W4980" t="str">
            <v>QGAND01</v>
          </cell>
          <cell r="AD4980">
            <v>6950</v>
          </cell>
        </row>
        <row r="4981">
          <cell r="W4981" t="str">
            <v>QGAND01</v>
          </cell>
          <cell r="AD4981">
            <v>6950</v>
          </cell>
        </row>
        <row r="4982">
          <cell r="W4982" t="str">
            <v>QGAND01</v>
          </cell>
          <cell r="AD4982">
            <v>6950</v>
          </cell>
        </row>
        <row r="4983">
          <cell r="W4983" t="str">
            <v>QGAND01</v>
          </cell>
          <cell r="AD4983">
            <v>6950</v>
          </cell>
        </row>
        <row r="4984">
          <cell r="W4984" t="str">
            <v>QGAND01</v>
          </cell>
          <cell r="AD4984">
            <v>6950</v>
          </cell>
        </row>
        <row r="4985">
          <cell r="W4985" t="str">
            <v>QGAND01</v>
          </cell>
          <cell r="AD4985">
            <v>6950</v>
          </cell>
        </row>
        <row r="4986">
          <cell r="W4986" t="str">
            <v>QGAND01</v>
          </cell>
          <cell r="AD4986">
            <v>6950</v>
          </cell>
        </row>
        <row r="4987">
          <cell r="W4987" t="str">
            <v>QGAND01</v>
          </cell>
          <cell r="AD4987">
            <v>6950</v>
          </cell>
        </row>
        <row r="4988">
          <cell r="W4988" t="str">
            <v>QGAND01</v>
          </cell>
          <cell r="AD4988">
            <v>6950</v>
          </cell>
        </row>
        <row r="4989">
          <cell r="W4989" t="str">
            <v>QGAND01</v>
          </cell>
          <cell r="AD4989">
            <v>6950</v>
          </cell>
        </row>
        <row r="4990">
          <cell r="W4990" t="str">
            <v>QGAND01</v>
          </cell>
          <cell r="AD4990">
            <v>6950</v>
          </cell>
        </row>
        <row r="4991">
          <cell r="W4991" t="str">
            <v>QGAND01</v>
          </cell>
          <cell r="AD4991">
            <v>6950</v>
          </cell>
        </row>
        <row r="4992">
          <cell r="W4992" t="str">
            <v>QGAND01</v>
          </cell>
          <cell r="AD4992">
            <v>6950</v>
          </cell>
        </row>
        <row r="4993">
          <cell r="W4993" t="str">
            <v>QGAND01</v>
          </cell>
          <cell r="AD4993">
            <v>6950</v>
          </cell>
        </row>
        <row r="4994">
          <cell r="W4994" t="str">
            <v>QGAND01</v>
          </cell>
          <cell r="AD4994">
            <v>6950</v>
          </cell>
        </row>
        <row r="4995">
          <cell r="W4995" t="str">
            <v>QGAND01</v>
          </cell>
          <cell r="AD4995">
            <v>6950</v>
          </cell>
        </row>
        <row r="4996">
          <cell r="W4996" t="str">
            <v>QGAND01</v>
          </cell>
          <cell r="AD4996">
            <v>6950</v>
          </cell>
        </row>
        <row r="4997">
          <cell r="W4997" t="str">
            <v>QGAND01</v>
          </cell>
          <cell r="AD4997">
            <v>6950</v>
          </cell>
        </row>
        <row r="4998">
          <cell r="W4998" t="str">
            <v>QGAND01</v>
          </cell>
          <cell r="AD4998">
            <v>6950</v>
          </cell>
        </row>
        <row r="4999">
          <cell r="W4999" t="str">
            <v>QGAND01</v>
          </cell>
          <cell r="AD4999">
            <v>6950</v>
          </cell>
        </row>
        <row r="5000">
          <cell r="W5000" t="str">
            <v>QGAND01</v>
          </cell>
          <cell r="AD5000">
            <v>6950</v>
          </cell>
        </row>
        <row r="5001">
          <cell r="W5001" t="str">
            <v>QGAND01</v>
          </cell>
          <cell r="AD5001">
            <v>6950</v>
          </cell>
        </row>
        <row r="5002">
          <cell r="W5002" t="str">
            <v>QGAND01</v>
          </cell>
          <cell r="AD5002">
            <v>6950</v>
          </cell>
        </row>
        <row r="5003">
          <cell r="W5003" t="str">
            <v>QGAND01</v>
          </cell>
          <cell r="AD5003">
            <v>6950</v>
          </cell>
        </row>
        <row r="5004">
          <cell r="W5004" t="str">
            <v>QGAND01</v>
          </cell>
          <cell r="AD5004">
            <v>6950</v>
          </cell>
        </row>
        <row r="5005">
          <cell r="W5005" t="str">
            <v>QGAND01</v>
          </cell>
          <cell r="AD5005">
            <v>6950</v>
          </cell>
        </row>
        <row r="5006">
          <cell r="W5006" t="str">
            <v>QGAND01</v>
          </cell>
          <cell r="AD5006">
            <v>6950</v>
          </cell>
        </row>
        <row r="5007">
          <cell r="W5007" t="str">
            <v>QGAND01</v>
          </cell>
          <cell r="AD5007">
            <v>7000</v>
          </cell>
        </row>
        <row r="5008">
          <cell r="W5008" t="str">
            <v>QGAND01</v>
          </cell>
          <cell r="AD5008">
            <v>7000</v>
          </cell>
        </row>
        <row r="5009">
          <cell r="W5009" t="str">
            <v>QGAND01</v>
          </cell>
          <cell r="AD5009">
            <v>7000</v>
          </cell>
        </row>
        <row r="5010">
          <cell r="W5010" t="str">
            <v>QGAND01</v>
          </cell>
          <cell r="AD5010">
            <v>7100</v>
          </cell>
        </row>
        <row r="5011">
          <cell r="W5011" t="str">
            <v>QGAND01</v>
          </cell>
          <cell r="AD5011">
            <v>7150</v>
          </cell>
        </row>
        <row r="5012">
          <cell r="W5012" t="str">
            <v>QGAND01</v>
          </cell>
          <cell r="AD5012">
            <v>7150</v>
          </cell>
        </row>
        <row r="5013">
          <cell r="W5013" t="str">
            <v>QGAND01</v>
          </cell>
          <cell r="AD5013">
            <v>7150</v>
          </cell>
        </row>
        <row r="5014">
          <cell r="W5014" t="str">
            <v>QGAND01</v>
          </cell>
          <cell r="AD5014">
            <v>7250</v>
          </cell>
        </row>
        <row r="5015">
          <cell r="W5015" t="str">
            <v>QGAND01</v>
          </cell>
          <cell r="AD5015">
            <v>7250</v>
          </cell>
        </row>
        <row r="5016">
          <cell r="W5016" t="str">
            <v>QGAND01</v>
          </cell>
          <cell r="AD5016">
            <v>7250</v>
          </cell>
        </row>
        <row r="5017">
          <cell r="W5017" t="str">
            <v>QGAND01</v>
          </cell>
          <cell r="AD5017">
            <v>7250</v>
          </cell>
        </row>
        <row r="5018">
          <cell r="W5018" t="str">
            <v>QGAND01</v>
          </cell>
          <cell r="AD5018">
            <v>7250</v>
          </cell>
        </row>
        <row r="5019">
          <cell r="W5019" t="str">
            <v>QGAND01</v>
          </cell>
          <cell r="AD5019">
            <v>7250</v>
          </cell>
        </row>
        <row r="5020">
          <cell r="W5020" t="str">
            <v>QGAND01</v>
          </cell>
          <cell r="AD5020">
            <v>7250</v>
          </cell>
        </row>
        <row r="5021">
          <cell r="W5021" t="str">
            <v>QGAND01</v>
          </cell>
          <cell r="AD5021">
            <v>7250</v>
          </cell>
        </row>
        <row r="5022">
          <cell r="W5022" t="str">
            <v>QGAND01</v>
          </cell>
          <cell r="AD5022">
            <v>7250</v>
          </cell>
        </row>
        <row r="5023">
          <cell r="W5023" t="str">
            <v>QGAND01</v>
          </cell>
          <cell r="AD5023">
            <v>7250</v>
          </cell>
        </row>
        <row r="5024">
          <cell r="W5024" t="str">
            <v>QGAND01</v>
          </cell>
          <cell r="AD5024">
            <v>7250</v>
          </cell>
        </row>
        <row r="5025">
          <cell r="W5025" t="str">
            <v>QGAND01</v>
          </cell>
          <cell r="AD5025">
            <v>7250</v>
          </cell>
        </row>
        <row r="5026">
          <cell r="W5026" t="str">
            <v>QGAND01</v>
          </cell>
          <cell r="AD5026">
            <v>7250</v>
          </cell>
        </row>
        <row r="5027">
          <cell r="W5027" t="str">
            <v>QGAND01</v>
          </cell>
          <cell r="AD5027">
            <v>7250</v>
          </cell>
        </row>
        <row r="5028">
          <cell r="W5028" t="str">
            <v>QGAND02</v>
          </cell>
          <cell r="AD5028">
            <v>31884</v>
          </cell>
        </row>
        <row r="5029">
          <cell r="W5029" t="str">
            <v>QGAND02</v>
          </cell>
          <cell r="AD5029">
            <v>31884</v>
          </cell>
        </row>
        <row r="5030">
          <cell r="W5030" t="str">
            <v>QGAND02</v>
          </cell>
          <cell r="AD5030">
            <v>31884</v>
          </cell>
        </row>
        <row r="5031">
          <cell r="W5031" t="str">
            <v>QGAND02</v>
          </cell>
          <cell r="AD5031">
            <v>31884</v>
          </cell>
        </row>
        <row r="5032">
          <cell r="W5032" t="str">
            <v>QGAND02</v>
          </cell>
          <cell r="AD5032">
            <v>31884</v>
          </cell>
        </row>
        <row r="5033">
          <cell r="W5033" t="str">
            <v>QGAND02</v>
          </cell>
          <cell r="AD5033">
            <v>31884</v>
          </cell>
        </row>
        <row r="5034">
          <cell r="W5034" t="str">
            <v>QGAND02</v>
          </cell>
          <cell r="AD5034">
            <v>31884</v>
          </cell>
        </row>
        <row r="5035">
          <cell r="W5035" t="str">
            <v>QGAND02</v>
          </cell>
          <cell r="AD5035">
            <v>31884</v>
          </cell>
        </row>
        <row r="5036">
          <cell r="W5036" t="str">
            <v>QGAND02</v>
          </cell>
          <cell r="AD5036">
            <v>31884</v>
          </cell>
        </row>
        <row r="5037">
          <cell r="W5037" t="str">
            <v>QGAND02</v>
          </cell>
          <cell r="AD5037">
            <v>32000</v>
          </cell>
        </row>
        <row r="5038">
          <cell r="W5038" t="str">
            <v>QGAND02</v>
          </cell>
          <cell r="AD5038">
            <v>32000</v>
          </cell>
        </row>
        <row r="5039">
          <cell r="W5039" t="str">
            <v>QGAND02</v>
          </cell>
          <cell r="AD5039">
            <v>32000</v>
          </cell>
        </row>
        <row r="5040">
          <cell r="W5040" t="str">
            <v>QGAND02</v>
          </cell>
          <cell r="AD5040">
            <v>32000</v>
          </cell>
        </row>
        <row r="5041">
          <cell r="W5041" t="str">
            <v>QGAND02</v>
          </cell>
          <cell r="AD5041">
            <v>32000</v>
          </cell>
        </row>
        <row r="5042">
          <cell r="W5042" t="str">
            <v>QGAND02</v>
          </cell>
          <cell r="AD5042">
            <v>32230</v>
          </cell>
        </row>
        <row r="5043">
          <cell r="W5043" t="str">
            <v>QGAND02</v>
          </cell>
          <cell r="AD5043">
            <v>32230</v>
          </cell>
        </row>
        <row r="5044">
          <cell r="W5044" t="str">
            <v>QGAND02</v>
          </cell>
          <cell r="AD5044">
            <v>32230</v>
          </cell>
        </row>
        <row r="5045">
          <cell r="W5045" t="str">
            <v>QGAND02</v>
          </cell>
          <cell r="AD5045">
            <v>32230</v>
          </cell>
        </row>
        <row r="5046">
          <cell r="W5046" t="str">
            <v>QGAND02</v>
          </cell>
          <cell r="AD5046">
            <v>32230</v>
          </cell>
        </row>
        <row r="5047">
          <cell r="W5047" t="str">
            <v>QGAND02</v>
          </cell>
          <cell r="AD5047">
            <v>32230</v>
          </cell>
        </row>
        <row r="5048">
          <cell r="W5048" t="str">
            <v>QGAND02</v>
          </cell>
          <cell r="AD5048">
            <v>32230</v>
          </cell>
        </row>
        <row r="5049">
          <cell r="W5049" t="str">
            <v>QGAND02</v>
          </cell>
          <cell r="AD5049">
            <v>32230</v>
          </cell>
        </row>
        <row r="5050">
          <cell r="W5050" t="str">
            <v>QGAND02</v>
          </cell>
          <cell r="AD5050">
            <v>32230</v>
          </cell>
        </row>
        <row r="5051">
          <cell r="W5051" t="str">
            <v>QGAND02</v>
          </cell>
          <cell r="AD5051">
            <v>32230</v>
          </cell>
        </row>
        <row r="5052">
          <cell r="W5052" t="str">
            <v>QGAND02</v>
          </cell>
          <cell r="AD5052">
            <v>32230</v>
          </cell>
        </row>
        <row r="5053">
          <cell r="W5053" t="str">
            <v>QGAND02</v>
          </cell>
          <cell r="AD5053">
            <v>32230</v>
          </cell>
        </row>
        <row r="5054">
          <cell r="W5054" t="str">
            <v>QGAND02</v>
          </cell>
          <cell r="AD5054">
            <v>32230</v>
          </cell>
        </row>
        <row r="5055">
          <cell r="W5055" t="str">
            <v>QGAND02</v>
          </cell>
          <cell r="AD5055">
            <v>32230</v>
          </cell>
        </row>
        <row r="5056">
          <cell r="W5056" t="str">
            <v>QGAND02</v>
          </cell>
          <cell r="AD5056">
            <v>32230</v>
          </cell>
        </row>
        <row r="5057">
          <cell r="W5057" t="str">
            <v>QGAND02</v>
          </cell>
          <cell r="AD5057">
            <v>32230</v>
          </cell>
        </row>
        <row r="5058">
          <cell r="W5058" t="str">
            <v>QGAND02</v>
          </cell>
          <cell r="AD5058">
            <v>32230</v>
          </cell>
        </row>
        <row r="5059">
          <cell r="W5059" t="str">
            <v>QGAND02</v>
          </cell>
          <cell r="AD5059">
            <v>32230</v>
          </cell>
        </row>
        <row r="5060">
          <cell r="W5060" t="str">
            <v>QGAND02</v>
          </cell>
          <cell r="AD5060">
            <v>32230</v>
          </cell>
        </row>
        <row r="5061">
          <cell r="W5061" t="str">
            <v>QGAND02</v>
          </cell>
          <cell r="AD5061">
            <v>32230</v>
          </cell>
        </row>
        <row r="5062">
          <cell r="W5062" t="str">
            <v>QGAND02</v>
          </cell>
          <cell r="AD5062">
            <v>32230</v>
          </cell>
        </row>
        <row r="5063">
          <cell r="W5063" t="str">
            <v>QGAND02</v>
          </cell>
          <cell r="AD5063">
            <v>32230</v>
          </cell>
        </row>
        <row r="5064">
          <cell r="W5064" t="str">
            <v>QGAND02</v>
          </cell>
          <cell r="AD5064">
            <v>32230</v>
          </cell>
        </row>
        <row r="5065">
          <cell r="W5065" t="str">
            <v>QGAND02</v>
          </cell>
          <cell r="AD5065">
            <v>32230</v>
          </cell>
        </row>
        <row r="5066">
          <cell r="W5066" t="str">
            <v>QGAND02</v>
          </cell>
          <cell r="AD5066">
            <v>32230</v>
          </cell>
        </row>
        <row r="5067">
          <cell r="W5067" t="str">
            <v>QGAND02</v>
          </cell>
          <cell r="AD5067">
            <v>32230</v>
          </cell>
        </row>
        <row r="5068">
          <cell r="W5068" t="str">
            <v>QGAND02</v>
          </cell>
          <cell r="AD5068">
            <v>32450</v>
          </cell>
        </row>
        <row r="5069">
          <cell r="W5069" t="str">
            <v>QGAND02</v>
          </cell>
          <cell r="AD5069">
            <v>32450</v>
          </cell>
        </row>
        <row r="5070">
          <cell r="W5070" t="str">
            <v>QGAND02</v>
          </cell>
          <cell r="AD5070">
            <v>32500</v>
          </cell>
        </row>
        <row r="5071">
          <cell r="W5071" t="str">
            <v>QGAND02</v>
          </cell>
          <cell r="AD5071">
            <v>32500</v>
          </cell>
        </row>
        <row r="5072">
          <cell r="W5072" t="str">
            <v>QGAND02</v>
          </cell>
          <cell r="AD5072">
            <v>32500</v>
          </cell>
        </row>
        <row r="5073">
          <cell r="W5073" t="str">
            <v>QGAND02</v>
          </cell>
          <cell r="AD5073">
            <v>32500</v>
          </cell>
        </row>
        <row r="5074">
          <cell r="W5074" t="str">
            <v>QGAND02</v>
          </cell>
          <cell r="AD5074">
            <v>32500</v>
          </cell>
        </row>
        <row r="5075">
          <cell r="W5075" t="str">
            <v>QGAND02</v>
          </cell>
          <cell r="AD5075">
            <v>32500</v>
          </cell>
        </row>
        <row r="5076">
          <cell r="W5076" t="str">
            <v>QGAND02</v>
          </cell>
          <cell r="AD5076">
            <v>32500</v>
          </cell>
        </row>
        <row r="5077">
          <cell r="W5077" t="str">
            <v>QGAND02</v>
          </cell>
          <cell r="AD5077">
            <v>32500</v>
          </cell>
        </row>
        <row r="5078">
          <cell r="W5078" t="str">
            <v>QGAND02</v>
          </cell>
          <cell r="AD5078">
            <v>32500</v>
          </cell>
        </row>
        <row r="5079">
          <cell r="W5079" t="str">
            <v>QGAND02</v>
          </cell>
          <cell r="AD5079">
            <v>32500</v>
          </cell>
        </row>
        <row r="5080">
          <cell r="W5080" t="str">
            <v>QGAND02</v>
          </cell>
          <cell r="AD5080">
            <v>32500</v>
          </cell>
        </row>
        <row r="5081">
          <cell r="W5081" t="str">
            <v>QGAND02</v>
          </cell>
          <cell r="AD5081">
            <v>32500</v>
          </cell>
        </row>
        <row r="5082">
          <cell r="W5082" t="str">
            <v>QGAND02</v>
          </cell>
          <cell r="AD5082">
            <v>32500</v>
          </cell>
        </row>
        <row r="5083">
          <cell r="W5083" t="str">
            <v>QGAND02</v>
          </cell>
          <cell r="AD5083">
            <v>32500</v>
          </cell>
        </row>
        <row r="5084">
          <cell r="W5084" t="str">
            <v>QGAND02</v>
          </cell>
          <cell r="AD5084">
            <v>32500</v>
          </cell>
        </row>
        <row r="5085">
          <cell r="W5085" t="str">
            <v>QGAND02</v>
          </cell>
          <cell r="AD5085">
            <v>32500</v>
          </cell>
        </row>
        <row r="5086">
          <cell r="W5086" t="str">
            <v>QGAND02</v>
          </cell>
          <cell r="AD5086">
            <v>32500</v>
          </cell>
        </row>
        <row r="5087">
          <cell r="W5087" t="str">
            <v>QGAND02</v>
          </cell>
          <cell r="AD5087">
            <v>32500</v>
          </cell>
        </row>
        <row r="5088">
          <cell r="W5088" t="str">
            <v>QGAND02</v>
          </cell>
          <cell r="AD5088">
            <v>32500</v>
          </cell>
        </row>
        <row r="5089">
          <cell r="W5089" t="str">
            <v>QGAND02</v>
          </cell>
          <cell r="AD5089">
            <v>32500</v>
          </cell>
        </row>
        <row r="5090">
          <cell r="W5090" t="str">
            <v>QGAND02</v>
          </cell>
          <cell r="AD5090">
            <v>32500</v>
          </cell>
        </row>
        <row r="5091">
          <cell r="W5091" t="str">
            <v>QGAND02</v>
          </cell>
          <cell r="AD5091">
            <v>32600</v>
          </cell>
        </row>
        <row r="5092">
          <cell r="W5092" t="str">
            <v>QGAND02</v>
          </cell>
          <cell r="AD5092">
            <v>32600</v>
          </cell>
        </row>
        <row r="5093">
          <cell r="W5093" t="str">
            <v>QGAND02</v>
          </cell>
          <cell r="AD5093">
            <v>32600</v>
          </cell>
        </row>
        <row r="5094">
          <cell r="W5094" t="str">
            <v>QGAND02</v>
          </cell>
          <cell r="AD5094">
            <v>32600</v>
          </cell>
        </row>
        <row r="5095">
          <cell r="W5095" t="str">
            <v>QGAND02</v>
          </cell>
          <cell r="AD5095">
            <v>32600</v>
          </cell>
        </row>
        <row r="5096">
          <cell r="W5096" t="str">
            <v>QGAND02</v>
          </cell>
          <cell r="AD5096">
            <v>32600</v>
          </cell>
        </row>
        <row r="5097">
          <cell r="W5097" t="str">
            <v>QGAND02</v>
          </cell>
          <cell r="AD5097">
            <v>32600</v>
          </cell>
        </row>
        <row r="5098">
          <cell r="W5098" t="str">
            <v>QGAND02</v>
          </cell>
          <cell r="AD5098">
            <v>32600</v>
          </cell>
        </row>
        <row r="5099">
          <cell r="W5099" t="str">
            <v>QGAND02</v>
          </cell>
          <cell r="AD5099">
            <v>32600</v>
          </cell>
        </row>
        <row r="5100">
          <cell r="W5100" t="str">
            <v>QGAND02</v>
          </cell>
          <cell r="AD5100">
            <v>32600</v>
          </cell>
        </row>
        <row r="5101">
          <cell r="W5101" t="str">
            <v>QGAND02</v>
          </cell>
          <cell r="AD5101">
            <v>32600</v>
          </cell>
        </row>
        <row r="5102">
          <cell r="W5102" t="str">
            <v>QGAND02</v>
          </cell>
          <cell r="AD5102">
            <v>32600</v>
          </cell>
        </row>
        <row r="5103">
          <cell r="W5103" t="str">
            <v>QGAND02</v>
          </cell>
          <cell r="AD5103">
            <v>32600</v>
          </cell>
        </row>
        <row r="5104">
          <cell r="W5104" t="str">
            <v>QGAND02</v>
          </cell>
          <cell r="AD5104">
            <v>32600</v>
          </cell>
        </row>
        <row r="5105">
          <cell r="W5105" t="str">
            <v>QGAND02</v>
          </cell>
          <cell r="AD5105">
            <v>32600</v>
          </cell>
        </row>
        <row r="5106">
          <cell r="W5106" t="str">
            <v>QGAND02</v>
          </cell>
          <cell r="AD5106">
            <v>32600</v>
          </cell>
        </row>
        <row r="5107">
          <cell r="W5107" t="str">
            <v>QGAND02</v>
          </cell>
          <cell r="AD5107">
            <v>32600</v>
          </cell>
        </row>
        <row r="5108">
          <cell r="W5108" t="str">
            <v>QGAND02</v>
          </cell>
          <cell r="AD5108">
            <v>32600</v>
          </cell>
        </row>
        <row r="5109">
          <cell r="W5109" t="str">
            <v>QGAND02</v>
          </cell>
          <cell r="AD5109">
            <v>32600</v>
          </cell>
        </row>
        <row r="5110">
          <cell r="W5110" t="str">
            <v>QGAND02</v>
          </cell>
          <cell r="AD5110">
            <v>32600</v>
          </cell>
        </row>
        <row r="5111">
          <cell r="W5111" t="str">
            <v>QGAND02</v>
          </cell>
          <cell r="AD5111">
            <v>32600</v>
          </cell>
        </row>
        <row r="5112">
          <cell r="W5112" t="str">
            <v>QGAND02</v>
          </cell>
          <cell r="AD5112">
            <v>32600</v>
          </cell>
        </row>
        <row r="5113">
          <cell r="W5113" t="str">
            <v>QGAND02</v>
          </cell>
          <cell r="AD5113">
            <v>32600</v>
          </cell>
        </row>
        <row r="5114">
          <cell r="W5114" t="str">
            <v>QGAND02</v>
          </cell>
          <cell r="AD5114">
            <v>32600</v>
          </cell>
        </row>
        <row r="5115">
          <cell r="W5115" t="str">
            <v>QGAND02</v>
          </cell>
          <cell r="AD5115">
            <v>32600</v>
          </cell>
        </row>
        <row r="5116">
          <cell r="W5116" t="str">
            <v>QGAND02</v>
          </cell>
          <cell r="AD5116">
            <v>32650</v>
          </cell>
        </row>
        <row r="5117">
          <cell r="W5117" t="str">
            <v>QGAND02</v>
          </cell>
          <cell r="AD5117">
            <v>32650</v>
          </cell>
        </row>
        <row r="5118">
          <cell r="W5118" t="str">
            <v>QGAND02</v>
          </cell>
          <cell r="AD5118">
            <v>32650</v>
          </cell>
        </row>
        <row r="5119">
          <cell r="W5119" t="str">
            <v>QGAND02</v>
          </cell>
          <cell r="AD5119">
            <v>32750</v>
          </cell>
        </row>
        <row r="5120">
          <cell r="W5120" t="str">
            <v>QGAND02</v>
          </cell>
          <cell r="AD5120">
            <v>32750</v>
          </cell>
        </row>
        <row r="5121">
          <cell r="W5121" t="str">
            <v>QGAND02</v>
          </cell>
          <cell r="AD5121">
            <v>33000</v>
          </cell>
        </row>
        <row r="5122">
          <cell r="W5122" t="str">
            <v>QGAND02</v>
          </cell>
          <cell r="AD5122">
            <v>33000</v>
          </cell>
        </row>
        <row r="5123">
          <cell r="W5123" t="str">
            <v>QGAND02</v>
          </cell>
          <cell r="AD5123">
            <v>33000</v>
          </cell>
        </row>
        <row r="5124">
          <cell r="W5124" t="str">
            <v>QGAND02</v>
          </cell>
          <cell r="AD5124">
            <v>33000</v>
          </cell>
        </row>
        <row r="5125">
          <cell r="W5125" t="str">
            <v>QGAND02</v>
          </cell>
          <cell r="AD5125">
            <v>33000</v>
          </cell>
        </row>
        <row r="5126">
          <cell r="W5126" t="str">
            <v>QGAND02</v>
          </cell>
          <cell r="AD5126">
            <v>33000</v>
          </cell>
        </row>
        <row r="5127">
          <cell r="W5127" t="str">
            <v>QGAND02</v>
          </cell>
          <cell r="AD5127">
            <v>33000</v>
          </cell>
        </row>
        <row r="5128">
          <cell r="W5128" t="str">
            <v>QGAND02</v>
          </cell>
          <cell r="AD5128">
            <v>33000</v>
          </cell>
        </row>
        <row r="5129">
          <cell r="W5129" t="str">
            <v>QGAND02</v>
          </cell>
          <cell r="AD5129">
            <v>33000</v>
          </cell>
        </row>
        <row r="5130">
          <cell r="W5130" t="str">
            <v>QGAND02</v>
          </cell>
          <cell r="AD5130">
            <v>33500</v>
          </cell>
        </row>
        <row r="5131">
          <cell r="W5131" t="str">
            <v>QGAND03</v>
          </cell>
          <cell r="AD5131">
            <v>6117</v>
          </cell>
        </row>
        <row r="5132">
          <cell r="W5132" t="str">
            <v>QGAND03</v>
          </cell>
          <cell r="AD5132">
            <v>6117</v>
          </cell>
        </row>
        <row r="5133">
          <cell r="W5133" t="str">
            <v>QGAND03</v>
          </cell>
          <cell r="AD5133">
            <v>6117</v>
          </cell>
        </row>
        <row r="5134">
          <cell r="W5134" t="str">
            <v>QGAND03</v>
          </cell>
          <cell r="AD5134">
            <v>6117</v>
          </cell>
        </row>
        <row r="5135">
          <cell r="W5135" t="str">
            <v>QGAND03</v>
          </cell>
          <cell r="AD5135">
            <v>6175</v>
          </cell>
        </row>
        <row r="5136">
          <cell r="W5136" t="str">
            <v>QGAND03</v>
          </cell>
          <cell r="AD5136">
            <v>6185</v>
          </cell>
        </row>
        <row r="5137">
          <cell r="W5137" t="str">
            <v>QGAND03</v>
          </cell>
          <cell r="AD5137">
            <v>6185</v>
          </cell>
        </row>
        <row r="5138">
          <cell r="W5138" t="str">
            <v>QGAND03</v>
          </cell>
          <cell r="AD5138">
            <v>6185</v>
          </cell>
        </row>
        <row r="5139">
          <cell r="W5139" t="str">
            <v>QGAND03</v>
          </cell>
          <cell r="AD5139">
            <v>6185</v>
          </cell>
        </row>
        <row r="5140">
          <cell r="W5140" t="str">
            <v>QGAND03</v>
          </cell>
          <cell r="AD5140">
            <v>6185</v>
          </cell>
        </row>
        <row r="5141">
          <cell r="W5141" t="str">
            <v>QGAND03</v>
          </cell>
          <cell r="AD5141">
            <v>6185</v>
          </cell>
        </row>
        <row r="5142">
          <cell r="W5142" t="str">
            <v>QGAND03</v>
          </cell>
          <cell r="AD5142">
            <v>6185</v>
          </cell>
        </row>
        <row r="5143">
          <cell r="W5143" t="str">
            <v>QGAND03</v>
          </cell>
          <cell r="AD5143">
            <v>6185</v>
          </cell>
        </row>
        <row r="5144">
          <cell r="W5144" t="str">
            <v>QGAND03</v>
          </cell>
          <cell r="AD5144">
            <v>6185</v>
          </cell>
        </row>
        <row r="5145">
          <cell r="W5145" t="str">
            <v>QGAND03</v>
          </cell>
          <cell r="AD5145">
            <v>6185</v>
          </cell>
        </row>
        <row r="5146">
          <cell r="W5146" t="str">
            <v>QGAND03</v>
          </cell>
          <cell r="AD5146">
            <v>6185</v>
          </cell>
        </row>
        <row r="5147">
          <cell r="W5147" t="str">
            <v>QGAND03</v>
          </cell>
          <cell r="AD5147">
            <v>6185</v>
          </cell>
        </row>
        <row r="5148">
          <cell r="W5148" t="str">
            <v>QGAND03</v>
          </cell>
          <cell r="AD5148">
            <v>6250</v>
          </cell>
        </row>
        <row r="5149">
          <cell r="W5149" t="str">
            <v>QGAND03</v>
          </cell>
          <cell r="AD5149">
            <v>6250</v>
          </cell>
        </row>
        <row r="5150">
          <cell r="W5150" t="str">
            <v>QGAND03</v>
          </cell>
          <cell r="AD5150">
            <v>6250</v>
          </cell>
        </row>
        <row r="5151">
          <cell r="W5151" t="str">
            <v>QGAND03</v>
          </cell>
          <cell r="AD5151">
            <v>6250</v>
          </cell>
        </row>
        <row r="5152">
          <cell r="W5152" t="str">
            <v>QGAND03</v>
          </cell>
          <cell r="AD5152">
            <v>6250</v>
          </cell>
        </row>
        <row r="5153">
          <cell r="W5153" t="str">
            <v>QGAND03</v>
          </cell>
          <cell r="AD5153">
            <v>6250</v>
          </cell>
        </row>
        <row r="5154">
          <cell r="W5154" t="str">
            <v>QGAND03</v>
          </cell>
          <cell r="AD5154">
            <v>6250</v>
          </cell>
        </row>
        <row r="5155">
          <cell r="W5155" t="str">
            <v>QGAND03</v>
          </cell>
          <cell r="AD5155">
            <v>6250</v>
          </cell>
        </row>
        <row r="5156">
          <cell r="W5156" t="str">
            <v>QGAND03</v>
          </cell>
          <cell r="AD5156">
            <v>6250</v>
          </cell>
        </row>
        <row r="5157">
          <cell r="W5157" t="str">
            <v>QGAND03</v>
          </cell>
          <cell r="AD5157">
            <v>6250</v>
          </cell>
        </row>
        <row r="5158">
          <cell r="W5158" t="str">
            <v>QGAND03</v>
          </cell>
          <cell r="AD5158">
            <v>6250</v>
          </cell>
        </row>
        <row r="5159">
          <cell r="W5159" t="str">
            <v>QGAND03</v>
          </cell>
          <cell r="AD5159">
            <v>6250</v>
          </cell>
        </row>
        <row r="5160">
          <cell r="W5160" t="str">
            <v>QGAND03</v>
          </cell>
          <cell r="AD5160">
            <v>6250</v>
          </cell>
        </row>
        <row r="5161">
          <cell r="W5161" t="str">
            <v>QGAND03</v>
          </cell>
          <cell r="AD5161">
            <v>6250</v>
          </cell>
        </row>
        <row r="5162">
          <cell r="W5162" t="str">
            <v>QGAND03</v>
          </cell>
          <cell r="AD5162">
            <v>6250</v>
          </cell>
        </row>
        <row r="5163">
          <cell r="W5163" t="str">
            <v>QGAND03</v>
          </cell>
          <cell r="AD5163">
            <v>6250</v>
          </cell>
        </row>
        <row r="5164">
          <cell r="W5164" t="str">
            <v>QGAND03</v>
          </cell>
          <cell r="AD5164">
            <v>6250</v>
          </cell>
        </row>
        <row r="5165">
          <cell r="W5165" t="str">
            <v>QGAND03</v>
          </cell>
          <cell r="AD5165">
            <v>6250</v>
          </cell>
        </row>
        <row r="5166">
          <cell r="W5166" t="str">
            <v>QGAND03</v>
          </cell>
          <cell r="AD5166">
            <v>6250</v>
          </cell>
        </row>
        <row r="5167">
          <cell r="W5167" t="str">
            <v>QGAND03</v>
          </cell>
          <cell r="AD5167">
            <v>6250</v>
          </cell>
        </row>
        <row r="5168">
          <cell r="W5168" t="str">
            <v>QGAND03</v>
          </cell>
          <cell r="AD5168">
            <v>6250</v>
          </cell>
        </row>
        <row r="5169">
          <cell r="W5169" t="str">
            <v>QGAND03</v>
          </cell>
          <cell r="AD5169">
            <v>6250</v>
          </cell>
        </row>
        <row r="5170">
          <cell r="W5170" t="str">
            <v>QGAND03</v>
          </cell>
          <cell r="AD5170">
            <v>6250</v>
          </cell>
        </row>
        <row r="5171">
          <cell r="W5171" t="str">
            <v>QGAND03</v>
          </cell>
          <cell r="AD5171">
            <v>6250</v>
          </cell>
        </row>
        <row r="5172">
          <cell r="W5172" t="str">
            <v>QGAND03</v>
          </cell>
          <cell r="AD5172">
            <v>6250</v>
          </cell>
        </row>
        <row r="5173">
          <cell r="W5173" t="str">
            <v>QGAND03</v>
          </cell>
          <cell r="AD5173">
            <v>6500</v>
          </cell>
        </row>
        <row r="5174">
          <cell r="W5174" t="str">
            <v>QGAND03</v>
          </cell>
          <cell r="AD5174">
            <v>6650</v>
          </cell>
        </row>
        <row r="5175">
          <cell r="W5175" t="str">
            <v>QGAND03</v>
          </cell>
          <cell r="AD5175">
            <v>6700</v>
          </cell>
        </row>
        <row r="5176">
          <cell r="W5176" t="str">
            <v>QGAND03</v>
          </cell>
          <cell r="AD5176">
            <v>6700</v>
          </cell>
        </row>
        <row r="5177">
          <cell r="W5177" t="str">
            <v>QGAND03</v>
          </cell>
          <cell r="AD5177">
            <v>6700</v>
          </cell>
        </row>
        <row r="5178">
          <cell r="W5178" t="str">
            <v>QGAND03</v>
          </cell>
          <cell r="AD5178">
            <v>6700</v>
          </cell>
        </row>
        <row r="5179">
          <cell r="W5179" t="str">
            <v>QGAND03</v>
          </cell>
          <cell r="AD5179">
            <v>6750</v>
          </cell>
        </row>
        <row r="5180">
          <cell r="W5180" t="str">
            <v>QGAND03</v>
          </cell>
          <cell r="AD5180">
            <v>6750</v>
          </cell>
        </row>
        <row r="5181">
          <cell r="W5181" t="str">
            <v>QGAND03</v>
          </cell>
          <cell r="AD5181">
            <v>6750</v>
          </cell>
        </row>
        <row r="5182">
          <cell r="W5182" t="str">
            <v>QGAND03</v>
          </cell>
          <cell r="AD5182">
            <v>6750</v>
          </cell>
        </row>
        <row r="5183">
          <cell r="W5183" t="str">
            <v>QGAND03</v>
          </cell>
          <cell r="AD5183">
            <v>6750</v>
          </cell>
        </row>
        <row r="5184">
          <cell r="W5184" t="str">
            <v>QGAND03</v>
          </cell>
          <cell r="AD5184">
            <v>6900</v>
          </cell>
        </row>
        <row r="5185">
          <cell r="W5185" t="str">
            <v>QGAND03</v>
          </cell>
          <cell r="AD5185">
            <v>6900</v>
          </cell>
        </row>
        <row r="5186">
          <cell r="W5186" t="str">
            <v>QGAND03</v>
          </cell>
          <cell r="AD5186">
            <v>6900</v>
          </cell>
        </row>
        <row r="5187">
          <cell r="W5187" t="str">
            <v>QGAND03</v>
          </cell>
          <cell r="AD5187">
            <v>6900</v>
          </cell>
        </row>
        <row r="5188">
          <cell r="W5188" t="str">
            <v>QGAND03</v>
          </cell>
          <cell r="AD5188">
            <v>6900</v>
          </cell>
        </row>
        <row r="5189">
          <cell r="W5189" t="str">
            <v>QGAND03</v>
          </cell>
          <cell r="AD5189">
            <v>6900</v>
          </cell>
        </row>
        <row r="5190">
          <cell r="W5190" t="str">
            <v>QGAND03</v>
          </cell>
          <cell r="AD5190">
            <v>6900</v>
          </cell>
        </row>
        <row r="5191">
          <cell r="W5191" t="str">
            <v>QGAND03</v>
          </cell>
          <cell r="AD5191">
            <v>6900</v>
          </cell>
        </row>
        <row r="5192">
          <cell r="W5192" t="str">
            <v>QGAND03</v>
          </cell>
          <cell r="AD5192">
            <v>7000</v>
          </cell>
        </row>
        <row r="5193">
          <cell r="W5193" t="str">
            <v>QGAND03</v>
          </cell>
          <cell r="AD5193">
            <v>7000</v>
          </cell>
        </row>
        <row r="5194">
          <cell r="W5194" t="str">
            <v>QGAND03</v>
          </cell>
          <cell r="AD5194">
            <v>7000</v>
          </cell>
        </row>
        <row r="5195">
          <cell r="W5195" t="str">
            <v>QGAND03</v>
          </cell>
          <cell r="AD5195">
            <v>7000</v>
          </cell>
        </row>
        <row r="5196">
          <cell r="W5196" t="str">
            <v>QGAND03</v>
          </cell>
          <cell r="AD5196">
            <v>7000</v>
          </cell>
        </row>
        <row r="5197">
          <cell r="W5197" t="str">
            <v>QGAND03</v>
          </cell>
          <cell r="AD5197">
            <v>7000</v>
          </cell>
        </row>
        <row r="5198">
          <cell r="W5198" t="str">
            <v>QGAND03</v>
          </cell>
          <cell r="AD5198">
            <v>7000</v>
          </cell>
        </row>
        <row r="5199">
          <cell r="W5199" t="str">
            <v>QGAND03</v>
          </cell>
          <cell r="AD5199">
            <v>7000</v>
          </cell>
        </row>
        <row r="5200">
          <cell r="W5200" t="str">
            <v>QGAND03</v>
          </cell>
          <cell r="AD5200">
            <v>7000</v>
          </cell>
        </row>
        <row r="5201">
          <cell r="W5201" t="str">
            <v>QGAND03</v>
          </cell>
          <cell r="AD5201">
            <v>7000</v>
          </cell>
        </row>
        <row r="5202">
          <cell r="W5202" t="str">
            <v>QGAND03</v>
          </cell>
          <cell r="AD5202">
            <v>7000</v>
          </cell>
        </row>
        <row r="5203">
          <cell r="W5203" t="str">
            <v>QGAND03</v>
          </cell>
          <cell r="AD5203">
            <v>7000</v>
          </cell>
        </row>
        <row r="5204">
          <cell r="W5204" t="str">
            <v>QGAND03</v>
          </cell>
          <cell r="AD5204">
            <v>7000</v>
          </cell>
        </row>
        <row r="5205">
          <cell r="W5205" t="str">
            <v>QGAND03</v>
          </cell>
          <cell r="AD5205">
            <v>7000</v>
          </cell>
        </row>
        <row r="5206">
          <cell r="W5206" t="str">
            <v>QGAND03</v>
          </cell>
          <cell r="AD5206">
            <v>7000</v>
          </cell>
        </row>
        <row r="5207">
          <cell r="W5207" t="str">
            <v>QGAND03</v>
          </cell>
          <cell r="AD5207">
            <v>7000</v>
          </cell>
        </row>
        <row r="5208">
          <cell r="W5208" t="str">
            <v>QGAND03</v>
          </cell>
          <cell r="AD5208">
            <v>7000</v>
          </cell>
        </row>
        <row r="5209">
          <cell r="W5209" t="str">
            <v>QGAND03</v>
          </cell>
          <cell r="AD5209">
            <v>7000</v>
          </cell>
        </row>
        <row r="5210">
          <cell r="W5210" t="str">
            <v>QGAND03</v>
          </cell>
          <cell r="AD5210">
            <v>7000</v>
          </cell>
        </row>
        <row r="5211">
          <cell r="W5211" t="str">
            <v>QGAND04</v>
          </cell>
          <cell r="AD5211">
            <v>28602</v>
          </cell>
        </row>
        <row r="5212">
          <cell r="W5212" t="str">
            <v>QGAND04</v>
          </cell>
          <cell r="AD5212">
            <v>28602</v>
          </cell>
        </row>
        <row r="5213">
          <cell r="W5213" t="str">
            <v>QGAND04</v>
          </cell>
          <cell r="AD5213">
            <v>28602</v>
          </cell>
        </row>
        <row r="5214">
          <cell r="W5214" t="str">
            <v>QGAND04</v>
          </cell>
          <cell r="AD5214">
            <v>28602</v>
          </cell>
        </row>
        <row r="5215">
          <cell r="W5215" t="str">
            <v>QGAND04</v>
          </cell>
          <cell r="AD5215">
            <v>28602</v>
          </cell>
        </row>
        <row r="5216">
          <cell r="W5216" t="str">
            <v>QGAND04</v>
          </cell>
          <cell r="AD5216">
            <v>28602</v>
          </cell>
        </row>
        <row r="5217">
          <cell r="W5217" t="str">
            <v>QGAND04</v>
          </cell>
          <cell r="AD5217">
            <v>28910</v>
          </cell>
        </row>
        <row r="5218">
          <cell r="W5218" t="str">
            <v>QGAND04</v>
          </cell>
          <cell r="AD5218">
            <v>28910</v>
          </cell>
        </row>
        <row r="5219">
          <cell r="W5219" t="str">
            <v>QGAND04</v>
          </cell>
          <cell r="AD5219">
            <v>28910</v>
          </cell>
        </row>
        <row r="5220">
          <cell r="W5220" t="str">
            <v>QGAND04</v>
          </cell>
          <cell r="AD5220">
            <v>28910</v>
          </cell>
        </row>
        <row r="5221">
          <cell r="W5221" t="str">
            <v>QGAND04</v>
          </cell>
          <cell r="AD5221">
            <v>28910</v>
          </cell>
        </row>
        <row r="5222">
          <cell r="W5222" t="str">
            <v>QGAND04</v>
          </cell>
          <cell r="AD5222">
            <v>28910</v>
          </cell>
        </row>
        <row r="5223">
          <cell r="W5223" t="str">
            <v>QGAND04</v>
          </cell>
          <cell r="AD5223">
            <v>28910</v>
          </cell>
        </row>
        <row r="5224">
          <cell r="W5224" t="str">
            <v>QGAND04</v>
          </cell>
          <cell r="AD5224">
            <v>28910</v>
          </cell>
        </row>
        <row r="5225">
          <cell r="W5225" t="str">
            <v>QGAND04</v>
          </cell>
          <cell r="AD5225">
            <v>28910</v>
          </cell>
        </row>
        <row r="5226">
          <cell r="W5226" t="str">
            <v>QGAND04</v>
          </cell>
          <cell r="AD5226">
            <v>28910</v>
          </cell>
        </row>
        <row r="5227">
          <cell r="W5227" t="str">
            <v>QGAND04</v>
          </cell>
          <cell r="AD5227">
            <v>28910</v>
          </cell>
        </row>
        <row r="5228">
          <cell r="W5228" t="str">
            <v>QGAND04</v>
          </cell>
          <cell r="AD5228">
            <v>28910</v>
          </cell>
        </row>
        <row r="5229">
          <cell r="W5229" t="str">
            <v>QGAND04</v>
          </cell>
          <cell r="AD5229">
            <v>28910</v>
          </cell>
        </row>
        <row r="5230">
          <cell r="W5230" t="str">
            <v>QGAND04</v>
          </cell>
          <cell r="AD5230">
            <v>28910</v>
          </cell>
        </row>
        <row r="5231">
          <cell r="W5231" t="str">
            <v>QGAND04</v>
          </cell>
          <cell r="AD5231">
            <v>28910</v>
          </cell>
        </row>
        <row r="5232">
          <cell r="W5232" t="str">
            <v>QGAND04</v>
          </cell>
          <cell r="AD5232">
            <v>28910</v>
          </cell>
        </row>
        <row r="5233">
          <cell r="W5233" t="str">
            <v>QGAND04</v>
          </cell>
          <cell r="AD5233">
            <v>28910</v>
          </cell>
        </row>
        <row r="5234">
          <cell r="W5234" t="str">
            <v>QGAND04</v>
          </cell>
          <cell r="AD5234">
            <v>28910</v>
          </cell>
        </row>
        <row r="5235">
          <cell r="W5235" t="str">
            <v>QGAND04</v>
          </cell>
          <cell r="AD5235">
            <v>28910</v>
          </cell>
        </row>
        <row r="5236">
          <cell r="W5236" t="str">
            <v>QGAND04</v>
          </cell>
          <cell r="AD5236">
            <v>28910</v>
          </cell>
        </row>
        <row r="5237">
          <cell r="W5237" t="str">
            <v>QGAND04</v>
          </cell>
          <cell r="AD5237">
            <v>29050</v>
          </cell>
        </row>
        <row r="5238">
          <cell r="W5238" t="str">
            <v>QGAND04</v>
          </cell>
          <cell r="AD5238">
            <v>29250</v>
          </cell>
        </row>
        <row r="5239">
          <cell r="W5239" t="str">
            <v>QGAND04</v>
          </cell>
          <cell r="AD5239">
            <v>29250</v>
          </cell>
        </row>
        <row r="5240">
          <cell r="W5240" t="str">
            <v>QGAND04</v>
          </cell>
          <cell r="AD5240">
            <v>29250</v>
          </cell>
        </row>
        <row r="5241">
          <cell r="W5241" t="str">
            <v>QGAND04</v>
          </cell>
          <cell r="AD5241">
            <v>29250</v>
          </cell>
        </row>
        <row r="5242">
          <cell r="W5242" t="str">
            <v>QGAND04</v>
          </cell>
          <cell r="AD5242">
            <v>29250</v>
          </cell>
        </row>
        <row r="5243">
          <cell r="W5243" t="str">
            <v>QGAND04</v>
          </cell>
          <cell r="AD5243">
            <v>29250</v>
          </cell>
        </row>
        <row r="5244">
          <cell r="W5244" t="str">
            <v>QGAND04</v>
          </cell>
          <cell r="AD5244">
            <v>29250</v>
          </cell>
        </row>
        <row r="5245">
          <cell r="W5245" t="str">
            <v>QGAND04</v>
          </cell>
          <cell r="AD5245">
            <v>29250</v>
          </cell>
        </row>
        <row r="5246">
          <cell r="W5246" t="str">
            <v>QGAND04</v>
          </cell>
          <cell r="AD5246">
            <v>29250</v>
          </cell>
        </row>
        <row r="5247">
          <cell r="W5247" t="str">
            <v>QGAND04</v>
          </cell>
          <cell r="AD5247">
            <v>29250</v>
          </cell>
        </row>
        <row r="5248">
          <cell r="W5248" t="str">
            <v>QGAND04</v>
          </cell>
          <cell r="AD5248">
            <v>29250</v>
          </cell>
        </row>
        <row r="5249">
          <cell r="W5249" t="str">
            <v>QGAND04</v>
          </cell>
          <cell r="AD5249">
            <v>29250</v>
          </cell>
        </row>
        <row r="5250">
          <cell r="W5250" t="str">
            <v>QGAND04</v>
          </cell>
          <cell r="AD5250">
            <v>29250</v>
          </cell>
        </row>
        <row r="5251">
          <cell r="W5251" t="str">
            <v>QGAND04</v>
          </cell>
          <cell r="AD5251">
            <v>29250</v>
          </cell>
        </row>
        <row r="5252">
          <cell r="W5252" t="str">
            <v>QGAND04</v>
          </cell>
          <cell r="AD5252">
            <v>29250</v>
          </cell>
        </row>
        <row r="5253">
          <cell r="W5253" t="str">
            <v>QGAND04</v>
          </cell>
          <cell r="AD5253">
            <v>29250</v>
          </cell>
        </row>
        <row r="5254">
          <cell r="W5254" t="str">
            <v>QGAND04</v>
          </cell>
          <cell r="AD5254">
            <v>29250</v>
          </cell>
        </row>
        <row r="5255">
          <cell r="W5255" t="str">
            <v>QGAND04</v>
          </cell>
          <cell r="AD5255">
            <v>29250</v>
          </cell>
        </row>
        <row r="5256">
          <cell r="W5256" t="str">
            <v>QGAND04</v>
          </cell>
          <cell r="AD5256">
            <v>29250</v>
          </cell>
        </row>
        <row r="5257">
          <cell r="W5257" t="str">
            <v>QGAND04</v>
          </cell>
          <cell r="AD5257">
            <v>29250</v>
          </cell>
        </row>
        <row r="5258">
          <cell r="W5258" t="str">
            <v>QGAND04</v>
          </cell>
          <cell r="AD5258">
            <v>29250</v>
          </cell>
        </row>
        <row r="5259">
          <cell r="W5259" t="str">
            <v>QGAND04</v>
          </cell>
          <cell r="AD5259">
            <v>29250</v>
          </cell>
        </row>
        <row r="5260">
          <cell r="W5260" t="str">
            <v>QGAND04</v>
          </cell>
          <cell r="AD5260">
            <v>29250</v>
          </cell>
        </row>
        <row r="5261">
          <cell r="W5261" t="str">
            <v>QGAND04</v>
          </cell>
          <cell r="AD5261">
            <v>29250</v>
          </cell>
        </row>
        <row r="5262">
          <cell r="W5262" t="str">
            <v>QGAND04</v>
          </cell>
          <cell r="AD5262">
            <v>29250</v>
          </cell>
        </row>
        <row r="5263">
          <cell r="W5263" t="str">
            <v>QGAND04</v>
          </cell>
          <cell r="AD5263">
            <v>29250</v>
          </cell>
        </row>
        <row r="5264">
          <cell r="W5264" t="str">
            <v>QGAND04</v>
          </cell>
          <cell r="AD5264">
            <v>29250</v>
          </cell>
        </row>
        <row r="5265">
          <cell r="W5265" t="str">
            <v>QGAND04</v>
          </cell>
          <cell r="AD5265">
            <v>29250</v>
          </cell>
        </row>
        <row r="5266">
          <cell r="W5266" t="str">
            <v>QGAND04</v>
          </cell>
          <cell r="AD5266">
            <v>29250</v>
          </cell>
        </row>
        <row r="5267">
          <cell r="W5267" t="str">
            <v>QGAND04</v>
          </cell>
          <cell r="AD5267">
            <v>29250</v>
          </cell>
        </row>
        <row r="5268">
          <cell r="W5268" t="str">
            <v>QGAND04</v>
          </cell>
          <cell r="AD5268">
            <v>29250</v>
          </cell>
        </row>
        <row r="5269">
          <cell r="W5269" t="str">
            <v>QGAND04</v>
          </cell>
          <cell r="AD5269">
            <v>29250</v>
          </cell>
        </row>
        <row r="5270">
          <cell r="W5270" t="str">
            <v>QGAND04</v>
          </cell>
          <cell r="AD5270">
            <v>29250</v>
          </cell>
        </row>
        <row r="5271">
          <cell r="W5271" t="str">
            <v>QGAND04</v>
          </cell>
          <cell r="AD5271">
            <v>29250</v>
          </cell>
        </row>
        <row r="5272">
          <cell r="W5272" t="str">
            <v>QGAND04</v>
          </cell>
          <cell r="AD5272">
            <v>29250</v>
          </cell>
        </row>
        <row r="5273">
          <cell r="W5273" t="str">
            <v>QGAND04</v>
          </cell>
          <cell r="AD5273">
            <v>29350</v>
          </cell>
        </row>
        <row r="5274">
          <cell r="W5274" t="str">
            <v>QGAND04</v>
          </cell>
          <cell r="AD5274">
            <v>29500</v>
          </cell>
        </row>
        <row r="5275">
          <cell r="W5275" t="str">
            <v>QGAND04</v>
          </cell>
          <cell r="AD5275">
            <v>29500</v>
          </cell>
        </row>
        <row r="5276">
          <cell r="W5276" t="str">
            <v>QGAND04</v>
          </cell>
          <cell r="AD5276">
            <v>29500</v>
          </cell>
        </row>
        <row r="5277">
          <cell r="W5277" t="str">
            <v>QGAND04</v>
          </cell>
          <cell r="AD5277">
            <v>29500</v>
          </cell>
        </row>
        <row r="5278">
          <cell r="W5278" t="str">
            <v>QGAND04</v>
          </cell>
          <cell r="AD5278">
            <v>29500</v>
          </cell>
        </row>
        <row r="5279">
          <cell r="W5279" t="str">
            <v>QGAND04</v>
          </cell>
          <cell r="AD5279">
            <v>29500</v>
          </cell>
        </row>
        <row r="5280">
          <cell r="W5280" t="str">
            <v>QGAND04</v>
          </cell>
          <cell r="AD5280">
            <v>29500</v>
          </cell>
        </row>
        <row r="5281">
          <cell r="W5281" t="str">
            <v>QGAND04</v>
          </cell>
          <cell r="AD5281">
            <v>29500</v>
          </cell>
        </row>
        <row r="5282">
          <cell r="W5282" t="str">
            <v>QGAND04</v>
          </cell>
          <cell r="AD5282">
            <v>29500</v>
          </cell>
        </row>
        <row r="5283">
          <cell r="W5283" t="str">
            <v>QGAND04</v>
          </cell>
          <cell r="AD5283">
            <v>29500</v>
          </cell>
        </row>
        <row r="5284">
          <cell r="W5284" t="str">
            <v>QGAND04</v>
          </cell>
          <cell r="AD5284">
            <v>29500</v>
          </cell>
        </row>
        <row r="5285">
          <cell r="W5285" t="str">
            <v>QGAND04</v>
          </cell>
          <cell r="AD5285">
            <v>29500</v>
          </cell>
        </row>
        <row r="5286">
          <cell r="W5286" t="str">
            <v>QGAND04</v>
          </cell>
          <cell r="AD5286">
            <v>29500</v>
          </cell>
        </row>
        <row r="5287">
          <cell r="W5287" t="str">
            <v>QGAND04</v>
          </cell>
          <cell r="AD5287">
            <v>29500</v>
          </cell>
        </row>
        <row r="5288">
          <cell r="W5288" t="str">
            <v>QGAND04</v>
          </cell>
          <cell r="AD5288">
            <v>29500</v>
          </cell>
        </row>
        <row r="5289">
          <cell r="W5289" t="str">
            <v>QGAND04</v>
          </cell>
          <cell r="AD5289">
            <v>29500</v>
          </cell>
        </row>
        <row r="5290">
          <cell r="W5290" t="str">
            <v>QGAND04</v>
          </cell>
          <cell r="AD5290">
            <v>29500</v>
          </cell>
        </row>
        <row r="5291">
          <cell r="W5291" t="str">
            <v>QGAND04</v>
          </cell>
          <cell r="AD5291">
            <v>29500</v>
          </cell>
        </row>
        <row r="5292">
          <cell r="W5292" t="str">
            <v>QGAND04</v>
          </cell>
          <cell r="AD5292">
            <v>29500</v>
          </cell>
        </row>
        <row r="5293">
          <cell r="W5293" t="str">
            <v>QGAND04</v>
          </cell>
          <cell r="AD5293">
            <v>30000</v>
          </cell>
        </row>
        <row r="5294">
          <cell r="W5294" t="str">
            <v>QGAND04</v>
          </cell>
          <cell r="AD5294">
            <v>30000</v>
          </cell>
        </row>
        <row r="5295">
          <cell r="W5295" t="str">
            <v>QGAND04</v>
          </cell>
          <cell r="AD5295">
            <v>30000</v>
          </cell>
        </row>
        <row r="5296">
          <cell r="W5296" t="str">
            <v>QGAND04</v>
          </cell>
          <cell r="AD5296">
            <v>30000</v>
          </cell>
        </row>
        <row r="5297">
          <cell r="W5297" t="str">
            <v>QGAND04</v>
          </cell>
          <cell r="AD5297">
            <v>31000</v>
          </cell>
        </row>
        <row r="5298">
          <cell r="W5298" t="str">
            <v>QGAND04</v>
          </cell>
          <cell r="AD5298">
            <v>31000</v>
          </cell>
        </row>
        <row r="5299">
          <cell r="W5299" t="str">
            <v>QGAND04</v>
          </cell>
          <cell r="AD5299">
            <v>31000</v>
          </cell>
        </row>
        <row r="5300">
          <cell r="W5300" t="str">
            <v>QGAND04</v>
          </cell>
          <cell r="AD5300">
            <v>32800</v>
          </cell>
        </row>
        <row r="5301">
          <cell r="W5301" t="str">
            <v>QGARD01</v>
          </cell>
          <cell r="AD5301">
            <v>17160</v>
          </cell>
        </row>
        <row r="5302">
          <cell r="W5302" t="str">
            <v>QGARD01</v>
          </cell>
          <cell r="AD5302">
            <v>17160</v>
          </cell>
        </row>
        <row r="5303">
          <cell r="W5303" t="str">
            <v>QGARD01</v>
          </cell>
          <cell r="AD5303">
            <v>27000</v>
          </cell>
        </row>
        <row r="5304">
          <cell r="W5304" t="str">
            <v>QGARD01</v>
          </cell>
          <cell r="AD5304">
            <v>27000</v>
          </cell>
        </row>
        <row r="5305">
          <cell r="W5305" t="str">
            <v>QGARD01</v>
          </cell>
          <cell r="AD5305">
            <v>27000</v>
          </cell>
        </row>
        <row r="5306">
          <cell r="W5306" t="str">
            <v>QGARD01</v>
          </cell>
          <cell r="AD5306">
            <v>27000</v>
          </cell>
        </row>
        <row r="5307">
          <cell r="W5307" t="str">
            <v>QGARD01</v>
          </cell>
          <cell r="AD5307">
            <v>27000</v>
          </cell>
        </row>
        <row r="5308">
          <cell r="W5308" t="str">
            <v>QGARD01</v>
          </cell>
          <cell r="AD5308">
            <v>27000</v>
          </cell>
        </row>
        <row r="5309">
          <cell r="W5309" t="str">
            <v>QGARD01</v>
          </cell>
          <cell r="AD5309">
            <v>27000</v>
          </cell>
        </row>
        <row r="5310">
          <cell r="W5310" t="str">
            <v>QGARD01</v>
          </cell>
          <cell r="AD5310">
            <v>27000</v>
          </cell>
        </row>
        <row r="5311">
          <cell r="W5311" t="str">
            <v>QGARD01</v>
          </cell>
          <cell r="AD5311">
            <v>27000</v>
          </cell>
        </row>
        <row r="5312">
          <cell r="W5312" t="str">
            <v>QGARD01</v>
          </cell>
          <cell r="AD5312">
            <v>27000</v>
          </cell>
        </row>
        <row r="5313">
          <cell r="W5313" t="str">
            <v>QGARD01</v>
          </cell>
          <cell r="AD5313">
            <v>27000</v>
          </cell>
        </row>
        <row r="5314">
          <cell r="W5314" t="str">
            <v>QGARD01</v>
          </cell>
          <cell r="AD5314">
            <v>27000</v>
          </cell>
        </row>
        <row r="5315">
          <cell r="W5315" t="str">
            <v>QGARD01</v>
          </cell>
          <cell r="AD5315">
            <v>27000</v>
          </cell>
        </row>
        <row r="5316">
          <cell r="W5316" t="str">
            <v>QGARD01</v>
          </cell>
          <cell r="AD5316">
            <v>27000</v>
          </cell>
        </row>
        <row r="5317">
          <cell r="W5317" t="str">
            <v>QGARD01</v>
          </cell>
          <cell r="AD5317">
            <v>27000</v>
          </cell>
        </row>
        <row r="5318">
          <cell r="W5318" t="str">
            <v>QGARD01</v>
          </cell>
          <cell r="AD5318">
            <v>27000</v>
          </cell>
        </row>
        <row r="5319">
          <cell r="W5319" t="str">
            <v>QGARD01</v>
          </cell>
          <cell r="AD5319">
            <v>27000</v>
          </cell>
        </row>
        <row r="5320">
          <cell r="W5320" t="str">
            <v>QGARD01</v>
          </cell>
          <cell r="AD5320">
            <v>27000</v>
          </cell>
        </row>
        <row r="5321">
          <cell r="W5321" t="str">
            <v>QGARD01</v>
          </cell>
          <cell r="AD5321">
            <v>27000</v>
          </cell>
        </row>
        <row r="5322">
          <cell r="W5322" t="str">
            <v>QGARD01</v>
          </cell>
          <cell r="AD5322">
            <v>27000</v>
          </cell>
        </row>
        <row r="5323">
          <cell r="W5323" t="str">
            <v>QGARD01</v>
          </cell>
          <cell r="AD5323">
            <v>27000</v>
          </cell>
        </row>
        <row r="5324">
          <cell r="W5324" t="str">
            <v>QGARD01</v>
          </cell>
          <cell r="AD5324">
            <v>27000</v>
          </cell>
        </row>
        <row r="5325">
          <cell r="W5325" t="str">
            <v>QGARD01</v>
          </cell>
          <cell r="AD5325">
            <v>27000</v>
          </cell>
        </row>
        <row r="5326">
          <cell r="W5326" t="str">
            <v>QGARD01</v>
          </cell>
          <cell r="AD5326">
            <v>27000</v>
          </cell>
        </row>
        <row r="5327">
          <cell r="W5327" t="str">
            <v>QGARD01</v>
          </cell>
          <cell r="AD5327">
            <v>27000</v>
          </cell>
        </row>
        <row r="5328">
          <cell r="W5328" t="str">
            <v>QGARD01</v>
          </cell>
          <cell r="AD5328">
            <v>27000</v>
          </cell>
        </row>
        <row r="5329">
          <cell r="W5329" t="str">
            <v>QGARD01</v>
          </cell>
          <cell r="AD5329">
            <v>27000</v>
          </cell>
        </row>
        <row r="5330">
          <cell r="W5330" t="str">
            <v>QGARD01</v>
          </cell>
          <cell r="AD5330">
            <v>27000</v>
          </cell>
        </row>
        <row r="5331">
          <cell r="W5331" t="str">
            <v>QGARD01</v>
          </cell>
          <cell r="AD5331">
            <v>27000</v>
          </cell>
        </row>
        <row r="5332">
          <cell r="W5332" t="str">
            <v>QGARD01</v>
          </cell>
          <cell r="AD5332">
            <v>27000</v>
          </cell>
        </row>
        <row r="5333">
          <cell r="W5333" t="str">
            <v>QGARD01</v>
          </cell>
          <cell r="AD5333">
            <v>27000</v>
          </cell>
        </row>
        <row r="5334">
          <cell r="W5334" t="str">
            <v>QGARD01</v>
          </cell>
          <cell r="AD5334">
            <v>27000</v>
          </cell>
        </row>
        <row r="5335">
          <cell r="W5335" t="str">
            <v>QGARD01</v>
          </cell>
          <cell r="AD5335">
            <v>27000</v>
          </cell>
        </row>
        <row r="5336">
          <cell r="W5336" t="str">
            <v>QGARD01</v>
          </cell>
          <cell r="AD5336">
            <v>27000</v>
          </cell>
        </row>
        <row r="5337">
          <cell r="W5337" t="str">
            <v>QGARD01</v>
          </cell>
          <cell r="AD5337">
            <v>27000</v>
          </cell>
        </row>
        <row r="5338">
          <cell r="W5338" t="str">
            <v>QGARD01</v>
          </cell>
          <cell r="AD5338">
            <v>27000</v>
          </cell>
        </row>
        <row r="5339">
          <cell r="W5339" t="str">
            <v>AGAVI01</v>
          </cell>
          <cell r="AD5339">
            <v>1</v>
          </cell>
        </row>
        <row r="5340">
          <cell r="W5340" t="str">
            <v>QGEMA04</v>
          </cell>
          <cell r="AD5340">
            <v>20681.82</v>
          </cell>
        </row>
        <row r="5341">
          <cell r="W5341" t="str">
            <v>QGEMI01</v>
          </cell>
          <cell r="AD5341">
            <v>89000</v>
          </cell>
        </row>
        <row r="5342">
          <cell r="W5342" t="str">
            <v>QGEMI01</v>
          </cell>
          <cell r="AD5342">
            <v>90000</v>
          </cell>
        </row>
        <row r="5343">
          <cell r="W5343" t="str">
            <v>QGEMI01</v>
          </cell>
          <cell r="AD5343">
            <v>90000</v>
          </cell>
        </row>
        <row r="5344">
          <cell r="W5344" t="str">
            <v>QGEMI01</v>
          </cell>
          <cell r="AD5344">
            <v>90000</v>
          </cell>
        </row>
        <row r="5345">
          <cell r="W5345" t="str">
            <v>QGEMI01</v>
          </cell>
          <cell r="AD5345">
            <v>90500</v>
          </cell>
        </row>
        <row r="5346">
          <cell r="W5346" t="str">
            <v>QGENI03</v>
          </cell>
          <cell r="AD5346">
            <v>600000</v>
          </cell>
        </row>
        <row r="5347">
          <cell r="W5347" t="str">
            <v>QGENI03</v>
          </cell>
          <cell r="AD5347">
            <v>600000</v>
          </cell>
        </row>
        <row r="5348">
          <cell r="W5348" t="str">
            <v>QGENI03</v>
          </cell>
          <cell r="AD5348">
            <v>600000</v>
          </cell>
        </row>
        <row r="5349">
          <cell r="W5349" t="str">
            <v>QGENI03</v>
          </cell>
          <cell r="AD5349">
            <v>600000</v>
          </cell>
        </row>
        <row r="5350">
          <cell r="W5350" t="str">
            <v>QGENI03</v>
          </cell>
          <cell r="AD5350">
            <v>600000</v>
          </cell>
        </row>
        <row r="5351">
          <cell r="W5351" t="str">
            <v>QGENI03</v>
          </cell>
          <cell r="AD5351">
            <v>660000</v>
          </cell>
        </row>
        <row r="5352">
          <cell r="W5352" t="str">
            <v>QGENI03</v>
          </cell>
          <cell r="AD5352">
            <v>660000</v>
          </cell>
        </row>
        <row r="5353">
          <cell r="W5353" t="str">
            <v>QGENI03</v>
          </cell>
          <cell r="AD5353">
            <v>660000</v>
          </cell>
        </row>
        <row r="5354">
          <cell r="W5354" t="str">
            <v>QGENI01</v>
          </cell>
          <cell r="AD5354">
            <v>33000</v>
          </cell>
        </row>
        <row r="5355">
          <cell r="W5355" t="str">
            <v>QGENI01</v>
          </cell>
          <cell r="AD5355">
            <v>33000</v>
          </cell>
        </row>
        <row r="5356">
          <cell r="W5356" t="str">
            <v>QGENI01</v>
          </cell>
          <cell r="AD5356">
            <v>33500</v>
          </cell>
        </row>
        <row r="5357">
          <cell r="W5357" t="str">
            <v>QGENI02</v>
          </cell>
          <cell r="AD5357">
            <v>155000</v>
          </cell>
        </row>
        <row r="5358">
          <cell r="W5358" t="str">
            <v>QGENI02</v>
          </cell>
          <cell r="AD5358">
            <v>170000</v>
          </cell>
        </row>
        <row r="5359">
          <cell r="W5359" t="str">
            <v>QGOLD07</v>
          </cell>
          <cell r="AD5359">
            <v>88000</v>
          </cell>
        </row>
        <row r="5360">
          <cell r="W5360" t="str">
            <v>QGOLD07</v>
          </cell>
          <cell r="AD5360">
            <v>90000</v>
          </cell>
        </row>
        <row r="5361">
          <cell r="W5361" t="str">
            <v>QGOLD07</v>
          </cell>
          <cell r="AD5361">
            <v>90000</v>
          </cell>
        </row>
        <row r="5362">
          <cell r="W5362" t="str">
            <v>QGOLD07</v>
          </cell>
          <cell r="AD5362">
            <v>90500</v>
          </cell>
        </row>
        <row r="5363">
          <cell r="W5363" t="str">
            <v>QGOLD07</v>
          </cell>
          <cell r="AD5363">
            <v>90500</v>
          </cell>
        </row>
        <row r="5364">
          <cell r="W5364" t="str">
            <v>QGOLD07</v>
          </cell>
          <cell r="AD5364">
            <v>90500</v>
          </cell>
        </row>
        <row r="5365">
          <cell r="W5365" t="str">
            <v>QGOLD07</v>
          </cell>
          <cell r="AD5365">
            <v>90500</v>
          </cell>
        </row>
        <row r="5366">
          <cell r="W5366" t="str">
            <v>QGOLD07</v>
          </cell>
          <cell r="AD5366">
            <v>90500</v>
          </cell>
        </row>
        <row r="5367">
          <cell r="W5367" t="str">
            <v>QGOLD07</v>
          </cell>
          <cell r="AD5367">
            <v>90500</v>
          </cell>
        </row>
        <row r="5368">
          <cell r="W5368" t="str">
            <v>QGOLD07</v>
          </cell>
          <cell r="AD5368">
            <v>90500</v>
          </cell>
        </row>
        <row r="5369">
          <cell r="W5369" t="str">
            <v>QGOLD07</v>
          </cell>
          <cell r="AD5369">
            <v>90500</v>
          </cell>
        </row>
        <row r="5370">
          <cell r="W5370" t="str">
            <v>QGOLD07</v>
          </cell>
          <cell r="AD5370">
            <v>90500</v>
          </cell>
        </row>
        <row r="5371">
          <cell r="W5371" t="str">
            <v>QGOLD07</v>
          </cell>
          <cell r="AD5371">
            <v>90500</v>
          </cell>
        </row>
        <row r="5372">
          <cell r="W5372" t="str">
            <v>QGOLD07</v>
          </cell>
          <cell r="AD5372">
            <v>90500</v>
          </cell>
        </row>
        <row r="5373">
          <cell r="W5373" t="str">
            <v>QGOLD07</v>
          </cell>
          <cell r="AD5373">
            <v>90500</v>
          </cell>
        </row>
        <row r="5374">
          <cell r="W5374" t="str">
            <v>QGOLD07</v>
          </cell>
          <cell r="AD5374">
            <v>90500</v>
          </cell>
        </row>
        <row r="5375">
          <cell r="W5375" t="str">
            <v>QGGAM01</v>
          </cell>
          <cell r="AD5375">
            <v>57500</v>
          </cell>
        </row>
        <row r="5376">
          <cell r="W5376" t="str">
            <v>QGGAM01</v>
          </cell>
          <cell r="AD5376">
            <v>57500</v>
          </cell>
        </row>
        <row r="5377">
          <cell r="W5377" t="str">
            <v>QGGAM01</v>
          </cell>
          <cell r="AD5377">
            <v>57500</v>
          </cell>
        </row>
        <row r="5378">
          <cell r="W5378" t="str">
            <v>QGGAM01</v>
          </cell>
          <cell r="AD5378">
            <v>57500</v>
          </cell>
        </row>
        <row r="5379">
          <cell r="W5379" t="str">
            <v>QGGAM01</v>
          </cell>
          <cell r="AD5379">
            <v>57500</v>
          </cell>
        </row>
        <row r="5380">
          <cell r="W5380" t="str">
            <v>QGGAM01</v>
          </cell>
          <cell r="AD5380">
            <v>57500</v>
          </cell>
        </row>
        <row r="5381">
          <cell r="W5381" t="str">
            <v>QGGAM01</v>
          </cell>
          <cell r="AD5381">
            <v>57500</v>
          </cell>
        </row>
        <row r="5382">
          <cell r="W5382" t="str">
            <v>QGGAM01</v>
          </cell>
          <cell r="AD5382">
            <v>57500</v>
          </cell>
        </row>
        <row r="5383">
          <cell r="W5383" t="str">
            <v>QGOLD09</v>
          </cell>
          <cell r="AD5383">
            <v>88000</v>
          </cell>
        </row>
        <row r="5384">
          <cell r="W5384" t="str">
            <v>QGOLD09</v>
          </cell>
          <cell r="AD5384">
            <v>88000</v>
          </cell>
        </row>
        <row r="5385">
          <cell r="W5385" t="str">
            <v>QGOLD09</v>
          </cell>
          <cell r="AD5385">
            <v>88500</v>
          </cell>
        </row>
        <row r="5386">
          <cell r="W5386" t="str">
            <v>QGOLD10</v>
          </cell>
          <cell r="AD5386">
            <v>66000</v>
          </cell>
        </row>
        <row r="5387">
          <cell r="W5387" t="str">
            <v>QGOLD10</v>
          </cell>
          <cell r="AD5387">
            <v>68000</v>
          </cell>
        </row>
        <row r="5388">
          <cell r="W5388" t="str">
            <v>QGOLD10</v>
          </cell>
          <cell r="AD5388">
            <v>68000</v>
          </cell>
        </row>
        <row r="5389">
          <cell r="W5389" t="str">
            <v>QGIBG01</v>
          </cell>
          <cell r="AD5389">
            <v>3078</v>
          </cell>
        </row>
        <row r="5390">
          <cell r="W5390" t="str">
            <v>QGIBG01</v>
          </cell>
          <cell r="AD5390">
            <v>3100</v>
          </cell>
        </row>
        <row r="5391">
          <cell r="W5391" t="str">
            <v>QGIBG01</v>
          </cell>
          <cell r="AD5391">
            <v>3250</v>
          </cell>
        </row>
        <row r="5392">
          <cell r="W5392" t="str">
            <v>QGIBG01</v>
          </cell>
          <cell r="AD5392">
            <v>3250</v>
          </cell>
        </row>
        <row r="5393">
          <cell r="W5393" t="str">
            <v>AGIBG01</v>
          </cell>
          <cell r="AD5393">
            <v>3250</v>
          </cell>
        </row>
        <row r="5394">
          <cell r="W5394" t="str">
            <v>QGIBG01</v>
          </cell>
          <cell r="AD5394">
            <v>3300</v>
          </cell>
        </row>
        <row r="5395">
          <cell r="W5395" t="str">
            <v>QGIBG01</v>
          </cell>
          <cell r="AD5395">
            <v>3300</v>
          </cell>
        </row>
        <row r="5396">
          <cell r="W5396" t="str">
            <v>QGIBG01</v>
          </cell>
          <cell r="AD5396">
            <v>3300</v>
          </cell>
        </row>
        <row r="5397">
          <cell r="W5397" t="str">
            <v>QGIBG01</v>
          </cell>
          <cell r="AD5397">
            <v>3500</v>
          </cell>
        </row>
        <row r="5398">
          <cell r="W5398" t="str">
            <v>QGIBG01</v>
          </cell>
          <cell r="AD5398">
            <v>3500</v>
          </cell>
        </row>
        <row r="5399">
          <cell r="W5399" t="str">
            <v>QGIBG01</v>
          </cell>
          <cell r="AD5399">
            <v>3600</v>
          </cell>
        </row>
        <row r="5400">
          <cell r="W5400" t="str">
            <v>QGIBG01</v>
          </cell>
          <cell r="AD5400">
            <v>3600</v>
          </cell>
        </row>
        <row r="5401">
          <cell r="W5401" t="str">
            <v>QGIBG01</v>
          </cell>
          <cell r="AD5401">
            <v>3600</v>
          </cell>
        </row>
        <row r="5402">
          <cell r="W5402" t="str">
            <v>QGIBG03</v>
          </cell>
          <cell r="AD5402">
            <v>3100</v>
          </cell>
        </row>
        <row r="5403">
          <cell r="W5403" t="str">
            <v>QGIBG03</v>
          </cell>
          <cell r="AD5403">
            <v>3150</v>
          </cell>
        </row>
        <row r="5404">
          <cell r="W5404" t="str">
            <v>QGIBG03</v>
          </cell>
          <cell r="AD5404">
            <v>3150</v>
          </cell>
        </row>
        <row r="5405">
          <cell r="W5405" t="str">
            <v>QGIBG03</v>
          </cell>
          <cell r="AD5405">
            <v>3250</v>
          </cell>
        </row>
        <row r="5406">
          <cell r="W5406" t="str">
            <v>QGIBG03</v>
          </cell>
          <cell r="AD5406">
            <v>3250</v>
          </cell>
        </row>
        <row r="5407">
          <cell r="W5407" t="str">
            <v>QGIBG03</v>
          </cell>
          <cell r="AD5407">
            <v>3250</v>
          </cell>
        </row>
        <row r="5408">
          <cell r="W5408" t="str">
            <v>QGIBG03</v>
          </cell>
          <cell r="AD5408">
            <v>3250</v>
          </cell>
        </row>
        <row r="5409">
          <cell r="W5409" t="str">
            <v>QGIBG03</v>
          </cell>
          <cell r="AD5409">
            <v>3250</v>
          </cell>
        </row>
        <row r="5410">
          <cell r="W5410" t="str">
            <v>QGIBG03</v>
          </cell>
          <cell r="AD5410">
            <v>3250</v>
          </cell>
        </row>
        <row r="5411">
          <cell r="W5411" t="str">
            <v>QGIBG03</v>
          </cell>
          <cell r="AD5411">
            <v>3250</v>
          </cell>
        </row>
        <row r="5412">
          <cell r="W5412" t="str">
            <v>QGIBG03</v>
          </cell>
          <cell r="AD5412">
            <v>3250</v>
          </cell>
        </row>
        <row r="5413">
          <cell r="W5413" t="str">
            <v>QGIBG03</v>
          </cell>
          <cell r="AD5413">
            <v>3250</v>
          </cell>
        </row>
        <row r="5414">
          <cell r="W5414" t="str">
            <v>QGIBG03</v>
          </cell>
          <cell r="AD5414">
            <v>3250</v>
          </cell>
        </row>
        <row r="5415">
          <cell r="W5415" t="str">
            <v>QGIBG03</v>
          </cell>
          <cell r="AD5415">
            <v>3250</v>
          </cell>
        </row>
        <row r="5416">
          <cell r="W5416" t="str">
            <v>QGIBG03</v>
          </cell>
          <cell r="AD5416">
            <v>3250</v>
          </cell>
        </row>
        <row r="5417">
          <cell r="W5417" t="str">
            <v>QGIBG03</v>
          </cell>
          <cell r="AD5417">
            <v>3300</v>
          </cell>
        </row>
        <row r="5418">
          <cell r="W5418" t="str">
            <v>QGIBG03</v>
          </cell>
          <cell r="AD5418">
            <v>3300</v>
          </cell>
        </row>
        <row r="5419">
          <cell r="W5419" t="str">
            <v>QGIBG03</v>
          </cell>
          <cell r="AD5419">
            <v>3350</v>
          </cell>
        </row>
        <row r="5420">
          <cell r="W5420" t="str">
            <v>QGIBG03</v>
          </cell>
          <cell r="AD5420">
            <v>3350</v>
          </cell>
        </row>
        <row r="5421">
          <cell r="W5421" t="str">
            <v>QGIBG03</v>
          </cell>
          <cell r="AD5421">
            <v>3350</v>
          </cell>
        </row>
        <row r="5422">
          <cell r="W5422" t="str">
            <v>QGIBG03</v>
          </cell>
          <cell r="AD5422">
            <v>3350</v>
          </cell>
        </row>
        <row r="5423">
          <cell r="W5423" t="str">
            <v>QGIBG03</v>
          </cell>
          <cell r="AD5423">
            <v>3400</v>
          </cell>
        </row>
        <row r="5424">
          <cell r="W5424" t="str">
            <v>QGIBG03</v>
          </cell>
          <cell r="AD5424">
            <v>3400</v>
          </cell>
        </row>
        <row r="5425">
          <cell r="W5425" t="str">
            <v>QGIBG03</v>
          </cell>
          <cell r="AD5425">
            <v>3400</v>
          </cell>
        </row>
        <row r="5426">
          <cell r="W5426" t="str">
            <v>QGIBG03</v>
          </cell>
          <cell r="AD5426">
            <v>3400</v>
          </cell>
        </row>
        <row r="5427">
          <cell r="W5427" t="str">
            <v>QGIBG03</v>
          </cell>
          <cell r="AD5427">
            <v>3400</v>
          </cell>
        </row>
        <row r="5428">
          <cell r="W5428" t="str">
            <v>QGIBG03</v>
          </cell>
          <cell r="AD5428">
            <v>3500</v>
          </cell>
        </row>
        <row r="5429">
          <cell r="W5429" t="str">
            <v>QGIBG03</v>
          </cell>
          <cell r="AD5429">
            <v>3500</v>
          </cell>
        </row>
        <row r="5430">
          <cell r="W5430" t="str">
            <v>QGIBG03</v>
          </cell>
          <cell r="AD5430">
            <v>3500</v>
          </cell>
        </row>
        <row r="5431">
          <cell r="W5431" t="str">
            <v>QGIBG03</v>
          </cell>
          <cell r="AD5431">
            <v>3500</v>
          </cell>
        </row>
        <row r="5432">
          <cell r="W5432" t="str">
            <v>QGIBG03</v>
          </cell>
          <cell r="AD5432">
            <v>3500</v>
          </cell>
        </row>
        <row r="5433">
          <cell r="W5433" t="str">
            <v>QGIBG03</v>
          </cell>
          <cell r="AD5433">
            <v>3500</v>
          </cell>
        </row>
        <row r="5434">
          <cell r="W5434" t="str">
            <v>QGIBG03</v>
          </cell>
          <cell r="AD5434">
            <v>3500</v>
          </cell>
        </row>
        <row r="5435">
          <cell r="W5435" t="str">
            <v>QGIBG03</v>
          </cell>
          <cell r="AD5435">
            <v>3500</v>
          </cell>
        </row>
        <row r="5436">
          <cell r="W5436" t="str">
            <v>QGIBG03</v>
          </cell>
          <cell r="AD5436">
            <v>3500</v>
          </cell>
        </row>
        <row r="5437">
          <cell r="W5437" t="str">
            <v>QGIBG03</v>
          </cell>
          <cell r="AD5437">
            <v>3500</v>
          </cell>
        </row>
        <row r="5438">
          <cell r="W5438" t="str">
            <v>QGIBG03</v>
          </cell>
          <cell r="AD5438">
            <v>3500</v>
          </cell>
        </row>
        <row r="5439">
          <cell r="W5439" t="str">
            <v>QGIBG03</v>
          </cell>
          <cell r="AD5439">
            <v>3500</v>
          </cell>
        </row>
        <row r="5440">
          <cell r="W5440" t="str">
            <v>QGIBG03</v>
          </cell>
          <cell r="AD5440">
            <v>3500</v>
          </cell>
        </row>
        <row r="5441">
          <cell r="W5441" t="str">
            <v>QGIBG03</v>
          </cell>
          <cell r="AD5441">
            <v>3500</v>
          </cell>
        </row>
        <row r="5442">
          <cell r="W5442" t="str">
            <v>QGIBG03</v>
          </cell>
          <cell r="AD5442">
            <v>3500</v>
          </cell>
        </row>
        <row r="5443">
          <cell r="W5443" t="str">
            <v>QGIBG03</v>
          </cell>
          <cell r="AD5443">
            <v>3500</v>
          </cell>
        </row>
        <row r="5444">
          <cell r="W5444" t="str">
            <v>QGIBG03</v>
          </cell>
          <cell r="AD5444">
            <v>3500</v>
          </cell>
        </row>
        <row r="5445">
          <cell r="W5445" t="str">
            <v>QGIBG03</v>
          </cell>
          <cell r="AD5445">
            <v>3500</v>
          </cell>
        </row>
        <row r="5446">
          <cell r="W5446" t="str">
            <v>QGIBG03</v>
          </cell>
          <cell r="AD5446">
            <v>3500</v>
          </cell>
        </row>
        <row r="5447">
          <cell r="W5447" t="str">
            <v>QGIBG03</v>
          </cell>
          <cell r="AD5447">
            <v>3500</v>
          </cell>
        </row>
        <row r="5448">
          <cell r="W5448" t="str">
            <v>QGIBG03</v>
          </cell>
          <cell r="AD5448">
            <v>3500</v>
          </cell>
        </row>
        <row r="5449">
          <cell r="W5449" t="str">
            <v>QGIBG03</v>
          </cell>
          <cell r="AD5449">
            <v>3500</v>
          </cell>
        </row>
        <row r="5450">
          <cell r="W5450" t="str">
            <v>QGIBG03</v>
          </cell>
          <cell r="AD5450">
            <v>3500</v>
          </cell>
        </row>
        <row r="5451">
          <cell r="W5451" t="str">
            <v>QGIBG03</v>
          </cell>
          <cell r="AD5451">
            <v>3500</v>
          </cell>
        </row>
        <row r="5452">
          <cell r="W5452" t="str">
            <v>QGIBG03</v>
          </cell>
          <cell r="AD5452">
            <v>3600</v>
          </cell>
        </row>
        <row r="5453">
          <cell r="W5453" t="str">
            <v>QGIBG03</v>
          </cell>
          <cell r="AD5453">
            <v>3600</v>
          </cell>
        </row>
        <row r="5454">
          <cell r="W5454" t="str">
            <v>QGIBG03</v>
          </cell>
          <cell r="AD5454">
            <v>3600</v>
          </cell>
        </row>
        <row r="5455">
          <cell r="W5455" t="str">
            <v>QGIBG03</v>
          </cell>
          <cell r="AD5455">
            <v>3600</v>
          </cell>
        </row>
        <row r="5456">
          <cell r="W5456" t="str">
            <v>QGIBG03</v>
          </cell>
          <cell r="AD5456">
            <v>3600</v>
          </cell>
        </row>
        <row r="5457">
          <cell r="W5457" t="str">
            <v>QGIBG03</v>
          </cell>
          <cell r="AD5457">
            <v>3600</v>
          </cell>
        </row>
        <row r="5458">
          <cell r="W5458" t="str">
            <v>QGIBG03</v>
          </cell>
          <cell r="AD5458">
            <v>3600</v>
          </cell>
        </row>
        <row r="5459">
          <cell r="W5459" t="str">
            <v>QGIBG02</v>
          </cell>
          <cell r="AD5459">
            <v>20750</v>
          </cell>
        </row>
        <row r="5460">
          <cell r="W5460" t="str">
            <v>QGIBG02</v>
          </cell>
          <cell r="AD5460">
            <v>21000</v>
          </cell>
        </row>
        <row r="5461">
          <cell r="W5461" t="str">
            <v>QGIBG02</v>
          </cell>
          <cell r="AD5461">
            <v>21000</v>
          </cell>
        </row>
        <row r="5462">
          <cell r="W5462" t="str">
            <v>QGIBG02</v>
          </cell>
          <cell r="AD5462">
            <v>21000</v>
          </cell>
        </row>
        <row r="5463">
          <cell r="W5463" t="str">
            <v>QGIBG02</v>
          </cell>
          <cell r="AD5463">
            <v>21000</v>
          </cell>
        </row>
        <row r="5464">
          <cell r="W5464" t="str">
            <v>QGIBG02</v>
          </cell>
          <cell r="AD5464">
            <v>21000</v>
          </cell>
        </row>
        <row r="5465">
          <cell r="W5465" t="str">
            <v>QGIBG02</v>
          </cell>
          <cell r="AD5465">
            <v>21500</v>
          </cell>
        </row>
        <row r="5466">
          <cell r="W5466" t="str">
            <v>QGIBG02</v>
          </cell>
          <cell r="AD5466">
            <v>22000</v>
          </cell>
        </row>
        <row r="5467">
          <cell r="W5467" t="str">
            <v>QGIBG02</v>
          </cell>
          <cell r="AD5467">
            <v>22000</v>
          </cell>
        </row>
        <row r="5468">
          <cell r="W5468" t="str">
            <v>QGIBG02</v>
          </cell>
          <cell r="AD5468">
            <v>22000</v>
          </cell>
        </row>
        <row r="5469">
          <cell r="W5469" t="str">
            <v>QGIBG02</v>
          </cell>
          <cell r="AD5469">
            <v>22000</v>
          </cell>
        </row>
        <row r="5470">
          <cell r="W5470" t="str">
            <v>QGIBG02</v>
          </cell>
          <cell r="AD5470">
            <v>22000</v>
          </cell>
        </row>
        <row r="5471">
          <cell r="W5471" t="str">
            <v>QGIBG02</v>
          </cell>
          <cell r="AD5471">
            <v>22000</v>
          </cell>
        </row>
        <row r="5472">
          <cell r="W5472" t="str">
            <v>QGIBG02</v>
          </cell>
          <cell r="AD5472">
            <v>22000</v>
          </cell>
        </row>
        <row r="5473">
          <cell r="W5473" t="str">
            <v>QGIBG02</v>
          </cell>
          <cell r="AD5473">
            <v>22000</v>
          </cell>
        </row>
        <row r="5474">
          <cell r="W5474" t="str">
            <v>QGIBG02</v>
          </cell>
          <cell r="AD5474">
            <v>22000</v>
          </cell>
        </row>
        <row r="5475">
          <cell r="W5475" t="str">
            <v>QGIBG02</v>
          </cell>
          <cell r="AD5475">
            <v>22000</v>
          </cell>
        </row>
        <row r="5476">
          <cell r="W5476" t="str">
            <v>QGIBG02</v>
          </cell>
          <cell r="AD5476">
            <v>22500</v>
          </cell>
        </row>
        <row r="5477">
          <cell r="W5477" t="str">
            <v>QGIBG02</v>
          </cell>
          <cell r="AD5477">
            <v>22500</v>
          </cell>
        </row>
        <row r="5478">
          <cell r="W5478" t="str">
            <v>QGIBG02</v>
          </cell>
          <cell r="AD5478">
            <v>22500</v>
          </cell>
        </row>
        <row r="5479">
          <cell r="W5479" t="str">
            <v>QGIBG02</v>
          </cell>
          <cell r="AD5479">
            <v>22500</v>
          </cell>
        </row>
        <row r="5480">
          <cell r="W5480" t="str">
            <v>QGIBG02</v>
          </cell>
          <cell r="AD5480">
            <v>22500</v>
          </cell>
        </row>
        <row r="5481">
          <cell r="W5481" t="str">
            <v>QGIBG02</v>
          </cell>
          <cell r="AD5481">
            <v>22500</v>
          </cell>
        </row>
        <row r="5482">
          <cell r="W5482" t="str">
            <v>QGIBG02</v>
          </cell>
          <cell r="AD5482">
            <v>22500</v>
          </cell>
        </row>
        <row r="5483">
          <cell r="W5483" t="str">
            <v>QGIBG02</v>
          </cell>
          <cell r="AD5483">
            <v>22500</v>
          </cell>
        </row>
        <row r="5484">
          <cell r="W5484" t="str">
            <v>QGIBG02</v>
          </cell>
          <cell r="AD5484">
            <v>22500</v>
          </cell>
        </row>
        <row r="5485">
          <cell r="W5485" t="str">
            <v>QGIBG02</v>
          </cell>
          <cell r="AD5485">
            <v>22750</v>
          </cell>
        </row>
        <row r="5486">
          <cell r="W5486" t="str">
            <v>QGIBG02</v>
          </cell>
          <cell r="AD5486">
            <v>22750</v>
          </cell>
        </row>
        <row r="5487">
          <cell r="W5487" t="str">
            <v>QGIBG02</v>
          </cell>
          <cell r="AD5487">
            <v>22750</v>
          </cell>
        </row>
        <row r="5488">
          <cell r="W5488" t="str">
            <v>QGIBG02</v>
          </cell>
          <cell r="AD5488">
            <v>22750</v>
          </cell>
        </row>
        <row r="5489">
          <cell r="W5489" t="str">
            <v>QGIBG02</v>
          </cell>
          <cell r="AD5489">
            <v>23000</v>
          </cell>
        </row>
        <row r="5490">
          <cell r="W5490" t="str">
            <v>QGIBG02</v>
          </cell>
          <cell r="AD5490">
            <v>23000</v>
          </cell>
        </row>
        <row r="5491">
          <cell r="W5491" t="str">
            <v>QGIBG02</v>
          </cell>
          <cell r="AD5491">
            <v>23000</v>
          </cell>
        </row>
        <row r="5492">
          <cell r="W5492" t="str">
            <v>QGIBG02</v>
          </cell>
          <cell r="AD5492">
            <v>23500</v>
          </cell>
        </row>
        <row r="5493">
          <cell r="W5493" t="str">
            <v>QGIBG02</v>
          </cell>
          <cell r="AD5493">
            <v>23500</v>
          </cell>
        </row>
        <row r="5494">
          <cell r="W5494" t="str">
            <v>QGIBG02</v>
          </cell>
          <cell r="AD5494">
            <v>23500</v>
          </cell>
        </row>
        <row r="5495">
          <cell r="W5495" t="str">
            <v>QGIBG02</v>
          </cell>
          <cell r="AD5495">
            <v>23500</v>
          </cell>
        </row>
        <row r="5496">
          <cell r="W5496" t="str">
            <v>QGIBG02</v>
          </cell>
          <cell r="AD5496">
            <v>23500</v>
          </cell>
        </row>
        <row r="5497">
          <cell r="W5497" t="str">
            <v>QGIBG02</v>
          </cell>
          <cell r="AD5497">
            <v>23500</v>
          </cell>
        </row>
        <row r="5498">
          <cell r="W5498" t="str">
            <v>QGIBG02</v>
          </cell>
          <cell r="AD5498">
            <v>23500</v>
          </cell>
        </row>
        <row r="5499">
          <cell r="W5499" t="str">
            <v>QGIBG02</v>
          </cell>
          <cell r="AD5499">
            <v>23500</v>
          </cell>
        </row>
        <row r="5500">
          <cell r="W5500" t="str">
            <v>QGIBG02</v>
          </cell>
          <cell r="AD5500">
            <v>23500</v>
          </cell>
        </row>
        <row r="5501">
          <cell r="W5501" t="str">
            <v>QGIBG02</v>
          </cell>
          <cell r="AD5501">
            <v>23500</v>
          </cell>
        </row>
        <row r="5502">
          <cell r="W5502" t="str">
            <v>QGIBG02</v>
          </cell>
          <cell r="AD5502">
            <v>23500</v>
          </cell>
        </row>
        <row r="5503">
          <cell r="W5503" t="str">
            <v>QGIBG02</v>
          </cell>
          <cell r="AD5503">
            <v>23750</v>
          </cell>
        </row>
        <row r="5504">
          <cell r="W5504" t="str">
            <v>QGLOV01</v>
          </cell>
          <cell r="AD5504">
            <v>28500</v>
          </cell>
        </row>
        <row r="5505">
          <cell r="W5505" t="str">
            <v>QGLOV01</v>
          </cell>
          <cell r="AD5505">
            <v>30000</v>
          </cell>
        </row>
        <row r="5506">
          <cell r="W5506" t="str">
            <v>AGLOV01</v>
          </cell>
          <cell r="AD5506">
            <v>1</v>
          </cell>
        </row>
        <row r="5507">
          <cell r="W5507" t="str">
            <v>QGOAL01</v>
          </cell>
          <cell r="AD5507">
            <v>25750</v>
          </cell>
        </row>
        <row r="5508">
          <cell r="W5508" t="str">
            <v>QGOAL01</v>
          </cell>
          <cell r="AD5508">
            <v>26000</v>
          </cell>
        </row>
        <row r="5509">
          <cell r="W5509" t="str">
            <v>QGOAL01</v>
          </cell>
          <cell r="AD5509">
            <v>26000</v>
          </cell>
        </row>
        <row r="5510">
          <cell r="W5510" t="str">
            <v>QGOAL01</v>
          </cell>
          <cell r="AD5510">
            <v>26250</v>
          </cell>
        </row>
        <row r="5511">
          <cell r="W5511" t="str">
            <v>QGOAL01</v>
          </cell>
          <cell r="AD5511">
            <v>26250</v>
          </cell>
        </row>
        <row r="5512">
          <cell r="W5512" t="str">
            <v>QGOAL01</v>
          </cell>
          <cell r="AD5512">
            <v>26250</v>
          </cell>
        </row>
        <row r="5513">
          <cell r="W5513" t="str">
            <v>QGOAL01</v>
          </cell>
          <cell r="AD5513">
            <v>26250</v>
          </cell>
        </row>
        <row r="5514">
          <cell r="W5514" t="str">
            <v>QGOAL01</v>
          </cell>
          <cell r="AD5514">
            <v>26250</v>
          </cell>
        </row>
        <row r="5515">
          <cell r="W5515" t="str">
            <v>QGOAL01</v>
          </cell>
          <cell r="AD5515">
            <v>26250</v>
          </cell>
        </row>
        <row r="5516">
          <cell r="W5516" t="str">
            <v>QGOAL01</v>
          </cell>
          <cell r="AD5516">
            <v>26250</v>
          </cell>
        </row>
        <row r="5517">
          <cell r="W5517" t="str">
            <v>QGOAL01</v>
          </cell>
          <cell r="AD5517">
            <v>26500</v>
          </cell>
        </row>
        <row r="5518">
          <cell r="W5518" t="str">
            <v>QGOAL01</v>
          </cell>
          <cell r="AD5518">
            <v>26500</v>
          </cell>
        </row>
        <row r="5519">
          <cell r="W5519" t="str">
            <v>QGOAL01</v>
          </cell>
          <cell r="AD5519">
            <v>26500</v>
          </cell>
        </row>
        <row r="5520">
          <cell r="W5520" t="str">
            <v>QGOAL01</v>
          </cell>
          <cell r="AD5520">
            <v>26500</v>
          </cell>
        </row>
        <row r="5521">
          <cell r="W5521" t="str">
            <v>QGOAL01</v>
          </cell>
          <cell r="AD5521">
            <v>26500</v>
          </cell>
        </row>
        <row r="5522">
          <cell r="W5522" t="str">
            <v>QGOAL01</v>
          </cell>
          <cell r="AD5522">
            <v>26500</v>
          </cell>
        </row>
        <row r="5523">
          <cell r="W5523" t="str">
            <v>QGOAL01</v>
          </cell>
          <cell r="AD5523">
            <v>26500</v>
          </cell>
        </row>
        <row r="5524">
          <cell r="W5524" t="str">
            <v>QGOAL01</v>
          </cell>
          <cell r="AD5524">
            <v>26500</v>
          </cell>
        </row>
        <row r="5525">
          <cell r="W5525" t="str">
            <v>QGOAL01</v>
          </cell>
          <cell r="AD5525">
            <v>26500</v>
          </cell>
        </row>
        <row r="5526">
          <cell r="W5526" t="str">
            <v>QGOAL01</v>
          </cell>
          <cell r="AD5526">
            <v>26500</v>
          </cell>
        </row>
        <row r="5527">
          <cell r="W5527" t="str">
            <v>QGOAL01</v>
          </cell>
          <cell r="AD5527">
            <v>26500</v>
          </cell>
        </row>
        <row r="5528">
          <cell r="W5528" t="str">
            <v>QGOAL02</v>
          </cell>
          <cell r="AD5528">
            <v>46250</v>
          </cell>
        </row>
        <row r="5529">
          <cell r="W5529" t="str">
            <v>QGOAL02</v>
          </cell>
          <cell r="AD5529">
            <v>46250</v>
          </cell>
        </row>
        <row r="5530">
          <cell r="W5530" t="str">
            <v>QGOAL02</v>
          </cell>
          <cell r="AD5530">
            <v>46500</v>
          </cell>
        </row>
        <row r="5531">
          <cell r="W5531" t="str">
            <v>QGOAL02</v>
          </cell>
          <cell r="AD5531">
            <v>46500</v>
          </cell>
        </row>
        <row r="5532">
          <cell r="W5532" t="str">
            <v>QGOAL02</v>
          </cell>
          <cell r="AD5532">
            <v>46500</v>
          </cell>
        </row>
        <row r="5533">
          <cell r="W5533" t="str">
            <v>QGOAL02</v>
          </cell>
          <cell r="AD5533">
            <v>46500</v>
          </cell>
        </row>
        <row r="5534">
          <cell r="W5534" t="str">
            <v>QGOAL02</v>
          </cell>
          <cell r="AD5534">
            <v>46500</v>
          </cell>
        </row>
        <row r="5535">
          <cell r="W5535" t="str">
            <v>QGOAL02</v>
          </cell>
          <cell r="AD5535">
            <v>46500</v>
          </cell>
        </row>
        <row r="5536">
          <cell r="W5536" t="str">
            <v>QGOAL02</v>
          </cell>
          <cell r="AD5536">
            <v>46500</v>
          </cell>
        </row>
        <row r="5537">
          <cell r="W5537" t="str">
            <v>QGOAL02</v>
          </cell>
          <cell r="AD5537">
            <v>46500</v>
          </cell>
        </row>
        <row r="5538">
          <cell r="W5538" t="str">
            <v>QGOAL02</v>
          </cell>
          <cell r="AD5538">
            <v>46500</v>
          </cell>
        </row>
        <row r="5539">
          <cell r="W5539" t="str">
            <v>QGOAL02</v>
          </cell>
          <cell r="AD5539">
            <v>46500</v>
          </cell>
        </row>
        <row r="5540">
          <cell r="W5540" t="str">
            <v>QGOAL02</v>
          </cell>
          <cell r="AD5540">
            <v>46500</v>
          </cell>
        </row>
        <row r="5541">
          <cell r="W5541" t="str">
            <v>QGOAL02</v>
          </cell>
          <cell r="AD5541">
            <v>46500</v>
          </cell>
        </row>
        <row r="5542">
          <cell r="W5542" t="str">
            <v>QGOAL02</v>
          </cell>
          <cell r="AD5542">
            <v>46500</v>
          </cell>
        </row>
        <row r="5543">
          <cell r="W5543" t="str">
            <v>QGOAL02</v>
          </cell>
          <cell r="AD5543">
            <v>46500</v>
          </cell>
        </row>
        <row r="5544">
          <cell r="W5544" t="str">
            <v>QGOAL02</v>
          </cell>
          <cell r="AD5544">
            <v>46750</v>
          </cell>
        </row>
        <row r="5545">
          <cell r="W5545" t="str">
            <v>QGOAL02</v>
          </cell>
          <cell r="AD5545">
            <v>46750</v>
          </cell>
        </row>
        <row r="5546">
          <cell r="W5546" t="str">
            <v>QGOAL02</v>
          </cell>
          <cell r="AD5546">
            <v>46750</v>
          </cell>
        </row>
        <row r="5547">
          <cell r="W5547" t="str">
            <v>QGOAL02</v>
          </cell>
          <cell r="AD5547">
            <v>46750</v>
          </cell>
        </row>
        <row r="5548">
          <cell r="W5548" t="str">
            <v>QGOAL02</v>
          </cell>
          <cell r="AD5548">
            <v>46750</v>
          </cell>
        </row>
        <row r="5549">
          <cell r="W5549" t="str">
            <v>QGOAL02</v>
          </cell>
          <cell r="AD5549">
            <v>46750</v>
          </cell>
        </row>
        <row r="5550">
          <cell r="W5550" t="str">
            <v>QGOAL02</v>
          </cell>
          <cell r="AD5550">
            <v>46750</v>
          </cell>
        </row>
        <row r="5551">
          <cell r="W5551" t="str">
            <v>QGOAL02</v>
          </cell>
          <cell r="AD5551">
            <v>47000</v>
          </cell>
        </row>
        <row r="5552">
          <cell r="W5552" t="str">
            <v>QGOAL02</v>
          </cell>
          <cell r="AD5552">
            <v>47000</v>
          </cell>
        </row>
        <row r="5553">
          <cell r="W5553" t="str">
            <v>QGOAL02</v>
          </cell>
          <cell r="AD5553">
            <v>47000</v>
          </cell>
        </row>
        <row r="5554">
          <cell r="W5554" t="str">
            <v>QGOAL02</v>
          </cell>
          <cell r="AD5554">
            <v>47000</v>
          </cell>
        </row>
        <row r="5555">
          <cell r="W5555" t="str">
            <v>QGOAL02</v>
          </cell>
          <cell r="AD5555">
            <v>47000</v>
          </cell>
        </row>
        <row r="5556">
          <cell r="W5556" t="str">
            <v>QGOAL02</v>
          </cell>
          <cell r="AD5556">
            <v>47000</v>
          </cell>
        </row>
        <row r="5557">
          <cell r="W5557" t="str">
            <v>QGOAL02</v>
          </cell>
          <cell r="AD5557">
            <v>47000</v>
          </cell>
        </row>
        <row r="5558">
          <cell r="W5558" t="str">
            <v>QGOAL02</v>
          </cell>
          <cell r="AD5558">
            <v>47000</v>
          </cell>
        </row>
        <row r="5559">
          <cell r="W5559" t="str">
            <v>QGOAL02</v>
          </cell>
          <cell r="AD5559">
            <v>47000</v>
          </cell>
        </row>
        <row r="5560">
          <cell r="W5560" t="str">
            <v>QGOAL02</v>
          </cell>
          <cell r="AD5560">
            <v>47000</v>
          </cell>
        </row>
        <row r="5561">
          <cell r="W5561" t="str">
            <v>QGOAL02</v>
          </cell>
          <cell r="AD5561">
            <v>47500</v>
          </cell>
        </row>
        <row r="5562">
          <cell r="W5562" t="str">
            <v>QGOAL02</v>
          </cell>
          <cell r="AD5562">
            <v>47500</v>
          </cell>
        </row>
        <row r="5563">
          <cell r="W5563" t="str">
            <v>QGOAL02</v>
          </cell>
          <cell r="AD5563">
            <v>47500</v>
          </cell>
        </row>
        <row r="5564">
          <cell r="W5564" t="str">
            <v>QGOAL02</v>
          </cell>
          <cell r="AD5564">
            <v>47500</v>
          </cell>
        </row>
        <row r="5565">
          <cell r="W5565" t="str">
            <v>QGOAL02</v>
          </cell>
          <cell r="AD5565">
            <v>47500</v>
          </cell>
        </row>
        <row r="5566">
          <cell r="W5566" t="str">
            <v>QGOAL02</v>
          </cell>
          <cell r="AD5566">
            <v>47500</v>
          </cell>
        </row>
        <row r="5567">
          <cell r="W5567" t="str">
            <v>QGOAL02</v>
          </cell>
          <cell r="AD5567">
            <v>47500</v>
          </cell>
        </row>
        <row r="5568">
          <cell r="W5568" t="str">
            <v>QGOAL02</v>
          </cell>
          <cell r="AD5568">
            <v>47500</v>
          </cell>
        </row>
        <row r="5569">
          <cell r="W5569" t="str">
            <v>QGOAL02</v>
          </cell>
          <cell r="AD5569">
            <v>47500</v>
          </cell>
        </row>
        <row r="5570">
          <cell r="W5570" t="str">
            <v>QGOAL02</v>
          </cell>
          <cell r="AD5570">
            <v>47500</v>
          </cell>
        </row>
        <row r="5571">
          <cell r="W5571" t="str">
            <v>QGOAL02</v>
          </cell>
          <cell r="AD5571">
            <v>47500</v>
          </cell>
        </row>
        <row r="5572">
          <cell r="W5572" t="str">
            <v>QGOAL02</v>
          </cell>
          <cell r="AD5572">
            <v>47500</v>
          </cell>
        </row>
        <row r="5573">
          <cell r="W5573" t="str">
            <v>QGOAL02</v>
          </cell>
          <cell r="AD5573">
            <v>47500</v>
          </cell>
        </row>
        <row r="5574">
          <cell r="W5574" t="str">
            <v>QGOAL02</v>
          </cell>
          <cell r="AD5574">
            <v>47500</v>
          </cell>
        </row>
        <row r="5575">
          <cell r="W5575" t="str">
            <v>QGOAL02</v>
          </cell>
          <cell r="AD5575">
            <v>47500</v>
          </cell>
        </row>
        <row r="5576">
          <cell r="W5576" t="str">
            <v>QGOAL02</v>
          </cell>
          <cell r="AD5576">
            <v>47500</v>
          </cell>
        </row>
        <row r="5577">
          <cell r="W5577" t="str">
            <v>QGOAL02</v>
          </cell>
          <cell r="AD5577">
            <v>47500</v>
          </cell>
        </row>
        <row r="5578">
          <cell r="W5578" t="str">
            <v>QGOAL02</v>
          </cell>
          <cell r="AD5578">
            <v>47500</v>
          </cell>
        </row>
        <row r="5579">
          <cell r="W5579" t="str">
            <v>QGOAL02</v>
          </cell>
          <cell r="AD5579">
            <v>47500</v>
          </cell>
        </row>
        <row r="5580">
          <cell r="W5580" t="str">
            <v>QGOAL02</v>
          </cell>
          <cell r="AD5580">
            <v>47500</v>
          </cell>
        </row>
        <row r="5581">
          <cell r="W5581" t="str">
            <v>QGOAL02</v>
          </cell>
          <cell r="AD5581">
            <v>47500</v>
          </cell>
        </row>
        <row r="5582">
          <cell r="W5582" t="str">
            <v>QGOAL02</v>
          </cell>
          <cell r="AD5582">
            <v>47500</v>
          </cell>
        </row>
        <row r="5583">
          <cell r="W5583" t="str">
            <v>QGOAL02</v>
          </cell>
          <cell r="AD5583">
            <v>47500</v>
          </cell>
        </row>
        <row r="5584">
          <cell r="W5584" t="str">
            <v>QGOAL02</v>
          </cell>
          <cell r="AD5584">
            <v>47500</v>
          </cell>
        </row>
        <row r="5585">
          <cell r="W5585" t="str">
            <v>QGOAL02</v>
          </cell>
          <cell r="AD5585">
            <v>47500</v>
          </cell>
        </row>
        <row r="5586">
          <cell r="W5586" t="str">
            <v>QGOAL02</v>
          </cell>
          <cell r="AD5586">
            <v>47500</v>
          </cell>
        </row>
        <row r="5587">
          <cell r="W5587" t="str">
            <v>QGOAL02</v>
          </cell>
          <cell r="AD5587">
            <v>47500</v>
          </cell>
        </row>
        <row r="5588">
          <cell r="W5588" t="str">
            <v>QGOAL02</v>
          </cell>
          <cell r="AD5588">
            <v>47500</v>
          </cell>
        </row>
        <row r="5589">
          <cell r="W5589" t="str">
            <v>QGOLD01</v>
          </cell>
          <cell r="AD5589">
            <v>152000</v>
          </cell>
        </row>
        <row r="5590">
          <cell r="W5590" t="str">
            <v>QGOLD11</v>
          </cell>
          <cell r="AD5590">
            <v>9500</v>
          </cell>
        </row>
        <row r="5591">
          <cell r="W5591" t="str">
            <v>QGOLD11</v>
          </cell>
          <cell r="AD5591">
            <v>10000</v>
          </cell>
        </row>
        <row r="5592">
          <cell r="W5592" t="str">
            <v>QGOLD11</v>
          </cell>
          <cell r="AD5592">
            <v>10000</v>
          </cell>
        </row>
        <row r="5593">
          <cell r="W5593" t="str">
            <v>AGOLD05</v>
          </cell>
          <cell r="AD5593">
            <v>10000</v>
          </cell>
        </row>
        <row r="5594">
          <cell r="W5594" t="str">
            <v>QGOLD11</v>
          </cell>
          <cell r="AD5594">
            <v>10000</v>
          </cell>
        </row>
        <row r="5595">
          <cell r="W5595" t="str">
            <v>QGORD01</v>
          </cell>
          <cell r="AD5595">
            <v>129000</v>
          </cell>
        </row>
        <row r="5596">
          <cell r="W5596" t="str">
            <v>QGORD01</v>
          </cell>
          <cell r="AD5596">
            <v>129500</v>
          </cell>
        </row>
        <row r="5597">
          <cell r="W5597" t="str">
            <v>QGORD01</v>
          </cell>
          <cell r="AD5597">
            <v>129500</v>
          </cell>
        </row>
        <row r="5598">
          <cell r="W5598" t="str">
            <v>QGORD02</v>
          </cell>
          <cell r="AD5598">
            <v>250000</v>
          </cell>
        </row>
        <row r="5599">
          <cell r="W5599" t="str">
            <v>QGORD02</v>
          </cell>
          <cell r="AD5599">
            <v>250000</v>
          </cell>
        </row>
        <row r="5600">
          <cell r="W5600" t="str">
            <v>QGORD02</v>
          </cell>
          <cell r="AD5600">
            <v>250000</v>
          </cell>
        </row>
        <row r="5601">
          <cell r="W5601" t="str">
            <v>QGORD02</v>
          </cell>
          <cell r="AD5601">
            <v>250000</v>
          </cell>
        </row>
        <row r="5602">
          <cell r="W5602" t="str">
            <v>QGORD02</v>
          </cell>
          <cell r="AD5602">
            <v>250000</v>
          </cell>
        </row>
        <row r="5603">
          <cell r="W5603" t="str">
            <v>QGORD02</v>
          </cell>
          <cell r="AD5603">
            <v>250000</v>
          </cell>
        </row>
        <row r="5604">
          <cell r="W5604" t="str">
            <v>QGORD02</v>
          </cell>
          <cell r="AD5604">
            <v>250000</v>
          </cell>
        </row>
        <row r="5605">
          <cell r="W5605" t="str">
            <v>QGORD02</v>
          </cell>
          <cell r="AD5605">
            <v>250000</v>
          </cell>
        </row>
        <row r="5606">
          <cell r="W5606" t="str">
            <v>QGORD02</v>
          </cell>
          <cell r="AD5606">
            <v>250000</v>
          </cell>
        </row>
        <row r="5607">
          <cell r="W5607" t="str">
            <v>QGORD02</v>
          </cell>
          <cell r="AD5607">
            <v>250000</v>
          </cell>
        </row>
        <row r="5608">
          <cell r="W5608" t="str">
            <v>QGORD02</v>
          </cell>
          <cell r="AD5608">
            <v>250000</v>
          </cell>
        </row>
        <row r="5609">
          <cell r="W5609" t="str">
            <v>QGORD02</v>
          </cell>
          <cell r="AD5609">
            <v>250000</v>
          </cell>
        </row>
        <row r="5610">
          <cell r="W5610" t="str">
            <v>QGORD02</v>
          </cell>
          <cell r="AD5610">
            <v>250000</v>
          </cell>
        </row>
        <row r="5611">
          <cell r="W5611" t="str">
            <v>QGORD02</v>
          </cell>
          <cell r="AD5611">
            <v>250000</v>
          </cell>
        </row>
        <row r="5612">
          <cell r="W5612" t="str">
            <v>QGORD02</v>
          </cell>
          <cell r="AD5612">
            <v>251000</v>
          </cell>
        </row>
        <row r="5613">
          <cell r="W5613" t="str">
            <v>QGORD02</v>
          </cell>
          <cell r="AD5613">
            <v>251000</v>
          </cell>
        </row>
        <row r="5614">
          <cell r="W5614" t="str">
            <v>QGRAM04</v>
          </cell>
          <cell r="AD5614">
            <v>21000</v>
          </cell>
        </row>
        <row r="5615">
          <cell r="W5615" t="str">
            <v>QGRAN03</v>
          </cell>
          <cell r="AD5615">
            <v>40000</v>
          </cell>
        </row>
        <row r="5616">
          <cell r="W5616" t="str">
            <v>QGRAN03</v>
          </cell>
          <cell r="AD5616">
            <v>40000</v>
          </cell>
        </row>
        <row r="5617">
          <cell r="W5617" t="str">
            <v>QGRAS01</v>
          </cell>
          <cell r="AD5617">
            <v>820000</v>
          </cell>
        </row>
        <row r="5618">
          <cell r="W5618" t="str">
            <v>QGRAS01</v>
          </cell>
          <cell r="AD5618">
            <v>850000</v>
          </cell>
        </row>
        <row r="5619">
          <cell r="W5619" t="str">
            <v>QGRAS01</v>
          </cell>
          <cell r="AD5619">
            <v>880000</v>
          </cell>
        </row>
        <row r="5620">
          <cell r="W5620" t="str">
            <v>QGRAS01</v>
          </cell>
          <cell r="AD5620">
            <v>880000</v>
          </cell>
        </row>
        <row r="5621">
          <cell r="W5621" t="str">
            <v>QGRAS02</v>
          </cell>
          <cell r="AD5621">
            <v>45000</v>
          </cell>
        </row>
        <row r="5622">
          <cell r="W5622" t="str">
            <v>QGRAS02</v>
          </cell>
          <cell r="AD5622">
            <v>45000</v>
          </cell>
        </row>
        <row r="5623">
          <cell r="W5623" t="str">
            <v>QGRAS02</v>
          </cell>
          <cell r="AD5623">
            <v>46000</v>
          </cell>
        </row>
        <row r="5624">
          <cell r="W5624" t="str">
            <v>QGRAS02</v>
          </cell>
          <cell r="AD5624">
            <v>47000</v>
          </cell>
        </row>
        <row r="5625">
          <cell r="W5625" t="str">
            <v>QGRAS03</v>
          </cell>
          <cell r="AD5625">
            <v>215000</v>
          </cell>
        </row>
        <row r="5626">
          <cell r="W5626" t="str">
            <v>QGRET01</v>
          </cell>
          <cell r="AD5626">
            <v>42000</v>
          </cell>
        </row>
        <row r="5627">
          <cell r="W5627" t="str">
            <v>AGUNT01</v>
          </cell>
          <cell r="AD5627">
            <v>42500</v>
          </cell>
        </row>
        <row r="5628">
          <cell r="W5628" t="str">
            <v>AGUNT01</v>
          </cell>
          <cell r="AD5628">
            <v>42500</v>
          </cell>
        </row>
        <row r="5629">
          <cell r="W5629" t="str">
            <v>QGWVI01</v>
          </cell>
          <cell r="AD5629">
            <v>61150</v>
          </cell>
        </row>
        <row r="5630">
          <cell r="W5630" t="str">
            <v>QGWVI01</v>
          </cell>
          <cell r="AD5630">
            <v>71500</v>
          </cell>
        </row>
        <row r="5631">
          <cell r="W5631" t="str">
            <v>QGWVI01</v>
          </cell>
          <cell r="AD5631">
            <v>71500</v>
          </cell>
        </row>
        <row r="5632">
          <cell r="W5632" t="str">
            <v>QGWVI01</v>
          </cell>
          <cell r="AD5632">
            <v>79000</v>
          </cell>
        </row>
        <row r="5633">
          <cell r="W5633" t="str">
            <v>QGWVI01</v>
          </cell>
          <cell r="AD5633">
            <v>79000</v>
          </cell>
        </row>
        <row r="5634">
          <cell r="W5634" t="str">
            <v>QGWVI01</v>
          </cell>
          <cell r="AD5634">
            <v>79000</v>
          </cell>
        </row>
        <row r="5635">
          <cell r="W5635" t="str">
            <v>QGWVI01</v>
          </cell>
          <cell r="AD5635">
            <v>79000</v>
          </cell>
        </row>
        <row r="5636">
          <cell r="W5636" t="str">
            <v>AGWVI01</v>
          </cell>
          <cell r="AD5636">
            <v>79000</v>
          </cell>
        </row>
        <row r="5637">
          <cell r="W5637" t="str">
            <v>QGWVI01</v>
          </cell>
          <cell r="AD5637">
            <v>79000</v>
          </cell>
        </row>
        <row r="5638">
          <cell r="W5638" t="str">
            <v>QHADE03</v>
          </cell>
          <cell r="AD5638">
            <v>95000</v>
          </cell>
        </row>
        <row r="5639">
          <cell r="W5639" t="str">
            <v>QHADE03</v>
          </cell>
          <cell r="AD5639">
            <v>115000</v>
          </cell>
        </row>
        <row r="5640">
          <cell r="W5640" t="str">
            <v>QHADE03</v>
          </cell>
          <cell r="AD5640">
            <v>115000</v>
          </cell>
        </row>
        <row r="5641">
          <cell r="W5641" t="str">
            <v>QHADE03</v>
          </cell>
          <cell r="AD5641">
            <v>115000</v>
          </cell>
        </row>
        <row r="5642">
          <cell r="W5642" t="str">
            <v>QHADE02</v>
          </cell>
          <cell r="AD5642">
            <v>66000</v>
          </cell>
        </row>
        <row r="5643">
          <cell r="W5643" t="str">
            <v>QHADE02</v>
          </cell>
          <cell r="AD5643">
            <v>66000</v>
          </cell>
        </row>
        <row r="5644">
          <cell r="W5644" t="str">
            <v>QHADE02</v>
          </cell>
          <cell r="AD5644">
            <v>66000</v>
          </cell>
        </row>
        <row r="5645">
          <cell r="W5645" t="str">
            <v>QHADE02</v>
          </cell>
          <cell r="AD5645">
            <v>66000</v>
          </cell>
        </row>
        <row r="5646">
          <cell r="W5646" t="str">
            <v>QHADE02</v>
          </cell>
          <cell r="AD5646">
            <v>66000</v>
          </cell>
        </row>
        <row r="5647">
          <cell r="W5647" t="str">
            <v>QHADE01</v>
          </cell>
          <cell r="AD5647">
            <v>28500</v>
          </cell>
        </row>
        <row r="5648">
          <cell r="W5648" t="str">
            <v>QHADE01</v>
          </cell>
          <cell r="AD5648">
            <v>28500</v>
          </cell>
        </row>
        <row r="5649">
          <cell r="W5649" t="str">
            <v>QHADE01</v>
          </cell>
          <cell r="AD5649">
            <v>28500</v>
          </cell>
        </row>
        <row r="5650">
          <cell r="W5650" t="str">
            <v>QHADE01</v>
          </cell>
          <cell r="AD5650">
            <v>30000</v>
          </cell>
        </row>
        <row r="5651">
          <cell r="W5651" t="str">
            <v>QHEXA08</v>
          </cell>
          <cell r="AD5651">
            <v>17000</v>
          </cell>
        </row>
        <row r="5652">
          <cell r="W5652" t="str">
            <v>QHEXA08</v>
          </cell>
          <cell r="AD5652">
            <v>17000</v>
          </cell>
        </row>
        <row r="5653">
          <cell r="W5653" t="str">
            <v>QHEXA08</v>
          </cell>
          <cell r="AD5653">
            <v>17000</v>
          </cell>
        </row>
        <row r="5654">
          <cell r="W5654" t="str">
            <v>QHEXA08</v>
          </cell>
          <cell r="AD5654">
            <v>17000</v>
          </cell>
        </row>
        <row r="5655">
          <cell r="W5655" t="str">
            <v>QHEXA08</v>
          </cell>
          <cell r="AD5655">
            <v>17000</v>
          </cell>
        </row>
        <row r="5656">
          <cell r="W5656" t="str">
            <v>AHEXA05</v>
          </cell>
          <cell r="AD5656">
            <v>17000</v>
          </cell>
        </row>
        <row r="5657">
          <cell r="W5657" t="str">
            <v>AHEXA05</v>
          </cell>
          <cell r="AD5657">
            <v>17000</v>
          </cell>
        </row>
        <row r="5658">
          <cell r="W5658" t="str">
            <v>QHEXA04</v>
          </cell>
          <cell r="AD5658">
            <v>127000</v>
          </cell>
        </row>
        <row r="5659">
          <cell r="W5659" t="str">
            <v>QHEXA04</v>
          </cell>
          <cell r="AD5659">
            <v>138000</v>
          </cell>
        </row>
        <row r="5660">
          <cell r="W5660" t="str">
            <v>QHEXA04</v>
          </cell>
          <cell r="AD5660">
            <v>138000</v>
          </cell>
        </row>
        <row r="5661">
          <cell r="W5661" t="str">
            <v>QHEXA04</v>
          </cell>
          <cell r="AD5661">
            <v>138000</v>
          </cell>
        </row>
        <row r="5662">
          <cell r="W5662" t="str">
            <v>QHEXA04</v>
          </cell>
          <cell r="AD5662">
            <v>138000</v>
          </cell>
        </row>
        <row r="5663">
          <cell r="W5663" t="str">
            <v>QHEXA07</v>
          </cell>
          <cell r="AD5663">
            <v>74000</v>
          </cell>
        </row>
        <row r="5664">
          <cell r="W5664" t="str">
            <v>QHEXA07</v>
          </cell>
          <cell r="AD5664">
            <v>74000</v>
          </cell>
        </row>
        <row r="5665">
          <cell r="W5665" t="str">
            <v>QHEXA07</v>
          </cell>
          <cell r="AD5665">
            <v>74000</v>
          </cell>
        </row>
        <row r="5666">
          <cell r="W5666" t="str">
            <v>QHEXA07</v>
          </cell>
          <cell r="AD5666">
            <v>75000</v>
          </cell>
        </row>
        <row r="5667">
          <cell r="W5667" t="str">
            <v>QHEXA07</v>
          </cell>
          <cell r="AD5667">
            <v>75000</v>
          </cell>
        </row>
        <row r="5668">
          <cell r="W5668" t="str">
            <v>QHEXA07</v>
          </cell>
          <cell r="AD5668">
            <v>75000</v>
          </cell>
        </row>
        <row r="5669">
          <cell r="W5669" t="str">
            <v>QHEXA07</v>
          </cell>
          <cell r="AD5669">
            <v>75000</v>
          </cell>
        </row>
        <row r="5670">
          <cell r="W5670" t="str">
            <v>QHEXA07</v>
          </cell>
          <cell r="AD5670">
            <v>75000</v>
          </cell>
        </row>
        <row r="5671">
          <cell r="W5671" t="str">
            <v>QHEXA07</v>
          </cell>
          <cell r="AD5671">
            <v>75000</v>
          </cell>
        </row>
        <row r="5672">
          <cell r="W5672" t="str">
            <v>QHEXA07</v>
          </cell>
          <cell r="AD5672">
            <v>75000</v>
          </cell>
        </row>
        <row r="5673">
          <cell r="W5673" t="str">
            <v>QHEXA07</v>
          </cell>
          <cell r="AD5673">
            <v>75000</v>
          </cell>
        </row>
        <row r="5674">
          <cell r="W5674" t="str">
            <v>QHEXA07</v>
          </cell>
          <cell r="AD5674">
            <v>75000</v>
          </cell>
        </row>
        <row r="5675">
          <cell r="W5675" t="str">
            <v>QHEXA07</v>
          </cell>
          <cell r="AD5675">
            <v>75000</v>
          </cell>
        </row>
        <row r="5676">
          <cell r="W5676" t="str">
            <v>QHEXA07</v>
          </cell>
          <cell r="AD5676">
            <v>75000</v>
          </cell>
        </row>
        <row r="5677">
          <cell r="W5677" t="str">
            <v>QHEXA07</v>
          </cell>
          <cell r="AD5677">
            <v>75000</v>
          </cell>
        </row>
        <row r="5678">
          <cell r="W5678" t="str">
            <v>AHEXA04</v>
          </cell>
          <cell r="AD5678">
            <v>75000</v>
          </cell>
        </row>
        <row r="5679">
          <cell r="W5679" t="str">
            <v>QHEXA07</v>
          </cell>
          <cell r="AD5679">
            <v>75000</v>
          </cell>
        </row>
        <row r="5680">
          <cell r="W5680" t="str">
            <v>QHEXA07</v>
          </cell>
          <cell r="AD5680">
            <v>75000</v>
          </cell>
        </row>
        <row r="5681">
          <cell r="W5681" t="str">
            <v>QHEXA07</v>
          </cell>
          <cell r="AD5681">
            <v>75000</v>
          </cell>
        </row>
        <row r="5682">
          <cell r="W5682" t="str">
            <v>QHEXA07</v>
          </cell>
          <cell r="AD5682">
            <v>75000</v>
          </cell>
        </row>
        <row r="5683">
          <cell r="W5683" t="str">
            <v>QHEXA07</v>
          </cell>
          <cell r="AD5683">
            <v>75000</v>
          </cell>
        </row>
        <row r="5684">
          <cell r="W5684" t="str">
            <v>QHEXA07</v>
          </cell>
          <cell r="AD5684">
            <v>75000</v>
          </cell>
        </row>
        <row r="5685">
          <cell r="W5685" t="str">
            <v>QHEXA07</v>
          </cell>
          <cell r="AD5685">
            <v>75000</v>
          </cell>
        </row>
        <row r="5686">
          <cell r="W5686" t="str">
            <v>QHEXA02</v>
          </cell>
          <cell r="AD5686">
            <v>35000</v>
          </cell>
        </row>
        <row r="5687">
          <cell r="W5687" t="str">
            <v>QHEXA02</v>
          </cell>
          <cell r="AD5687">
            <v>38000</v>
          </cell>
        </row>
        <row r="5688">
          <cell r="W5688" t="str">
            <v>QHEXA02</v>
          </cell>
          <cell r="AD5688">
            <v>38000</v>
          </cell>
        </row>
        <row r="5689">
          <cell r="W5689" t="str">
            <v>QHEXA02</v>
          </cell>
          <cell r="AD5689">
            <v>38000</v>
          </cell>
        </row>
        <row r="5690">
          <cell r="W5690" t="str">
            <v>QHEXA02</v>
          </cell>
          <cell r="AD5690">
            <v>38000</v>
          </cell>
        </row>
        <row r="5691">
          <cell r="W5691" t="str">
            <v>QHEXA02</v>
          </cell>
          <cell r="AD5691">
            <v>38000</v>
          </cell>
        </row>
        <row r="5692">
          <cell r="W5692" t="str">
            <v>QHEXA02</v>
          </cell>
          <cell r="AD5692">
            <v>38000</v>
          </cell>
        </row>
        <row r="5693">
          <cell r="W5693" t="str">
            <v>QHEXA02</v>
          </cell>
          <cell r="AD5693">
            <v>38000</v>
          </cell>
        </row>
        <row r="5694">
          <cell r="W5694" t="str">
            <v>QHEXA02</v>
          </cell>
          <cell r="AD5694">
            <v>38000</v>
          </cell>
        </row>
        <row r="5695">
          <cell r="W5695" t="str">
            <v>QHEXA02</v>
          </cell>
          <cell r="AD5695">
            <v>38000</v>
          </cell>
        </row>
        <row r="5696">
          <cell r="W5696" t="str">
            <v>QHEXA02</v>
          </cell>
          <cell r="AD5696">
            <v>38000</v>
          </cell>
        </row>
        <row r="5697">
          <cell r="W5697" t="str">
            <v>QHEXA02</v>
          </cell>
          <cell r="AD5697">
            <v>38000</v>
          </cell>
        </row>
        <row r="5698">
          <cell r="W5698" t="str">
            <v>QHEXA02</v>
          </cell>
          <cell r="AD5698">
            <v>38000</v>
          </cell>
        </row>
        <row r="5699">
          <cell r="W5699" t="str">
            <v>QHEXA02</v>
          </cell>
          <cell r="AD5699">
            <v>38000</v>
          </cell>
        </row>
        <row r="5700">
          <cell r="W5700" t="str">
            <v>QHEXA02</v>
          </cell>
          <cell r="AD5700">
            <v>38000</v>
          </cell>
        </row>
        <row r="5701">
          <cell r="W5701" t="str">
            <v>QHEXA02</v>
          </cell>
          <cell r="AD5701">
            <v>38000</v>
          </cell>
        </row>
        <row r="5702">
          <cell r="W5702" t="str">
            <v>QHEXA02</v>
          </cell>
          <cell r="AD5702">
            <v>38000</v>
          </cell>
        </row>
        <row r="5703">
          <cell r="W5703" t="str">
            <v>QHEXA02</v>
          </cell>
          <cell r="AD5703">
            <v>38000</v>
          </cell>
        </row>
        <row r="5704">
          <cell r="W5704" t="str">
            <v>QHEXA02</v>
          </cell>
          <cell r="AD5704">
            <v>38000</v>
          </cell>
        </row>
        <row r="5705">
          <cell r="W5705" t="str">
            <v>QHEXA02</v>
          </cell>
          <cell r="AD5705">
            <v>38000</v>
          </cell>
        </row>
        <row r="5706">
          <cell r="W5706" t="str">
            <v>QHEXA02</v>
          </cell>
          <cell r="AD5706">
            <v>38000</v>
          </cell>
        </row>
        <row r="5707">
          <cell r="W5707" t="str">
            <v>QHEXA02</v>
          </cell>
          <cell r="AD5707">
            <v>38000</v>
          </cell>
        </row>
        <row r="5708">
          <cell r="W5708" t="str">
            <v>QHEXA02</v>
          </cell>
          <cell r="AD5708">
            <v>38000</v>
          </cell>
        </row>
        <row r="5709">
          <cell r="W5709" t="str">
            <v>QHEXA02</v>
          </cell>
          <cell r="AD5709">
            <v>38000</v>
          </cell>
        </row>
        <row r="5710">
          <cell r="W5710" t="str">
            <v>QHIDR01</v>
          </cell>
          <cell r="AD5710">
            <v>22000</v>
          </cell>
        </row>
        <row r="5711">
          <cell r="W5711" t="str">
            <v>QHIDR01</v>
          </cell>
          <cell r="AD5711">
            <v>22000</v>
          </cell>
        </row>
        <row r="5712">
          <cell r="W5712" t="str">
            <v>QHIDR01</v>
          </cell>
          <cell r="AD5712">
            <v>22000</v>
          </cell>
        </row>
        <row r="5713">
          <cell r="W5713" t="str">
            <v>QHIDR01</v>
          </cell>
          <cell r="AD5713">
            <v>22000</v>
          </cell>
        </row>
        <row r="5714">
          <cell r="W5714" t="str">
            <v>QHIDR01</v>
          </cell>
          <cell r="AD5714">
            <v>22000</v>
          </cell>
        </row>
        <row r="5715">
          <cell r="W5715" t="str">
            <v>QHIDR01</v>
          </cell>
          <cell r="AD5715">
            <v>22000</v>
          </cell>
        </row>
        <row r="5716">
          <cell r="W5716" t="str">
            <v>QHIDR01</v>
          </cell>
          <cell r="AD5716">
            <v>22500</v>
          </cell>
        </row>
        <row r="5717">
          <cell r="W5717" t="str">
            <v>QHIDR01</v>
          </cell>
          <cell r="AD5717">
            <v>22500</v>
          </cell>
        </row>
        <row r="5718">
          <cell r="W5718" t="str">
            <v>QHIDR01</v>
          </cell>
          <cell r="AD5718">
            <v>22500</v>
          </cell>
        </row>
        <row r="5719">
          <cell r="W5719" t="str">
            <v>QHIDR01</v>
          </cell>
          <cell r="AD5719">
            <v>22500</v>
          </cell>
        </row>
        <row r="5720">
          <cell r="W5720" t="str">
            <v>QHIDR01</v>
          </cell>
          <cell r="AD5720">
            <v>22500</v>
          </cell>
        </row>
        <row r="5721">
          <cell r="W5721" t="str">
            <v>QHIDR01</v>
          </cell>
          <cell r="AD5721">
            <v>22500</v>
          </cell>
        </row>
        <row r="5722">
          <cell r="W5722" t="str">
            <v>QHIDR01</v>
          </cell>
          <cell r="AD5722">
            <v>22500</v>
          </cell>
        </row>
        <row r="5723">
          <cell r="W5723" t="str">
            <v>QHIDR01</v>
          </cell>
          <cell r="AD5723">
            <v>22500</v>
          </cell>
        </row>
        <row r="5724">
          <cell r="W5724" t="str">
            <v>QHIDR01</v>
          </cell>
          <cell r="AD5724">
            <v>22500</v>
          </cell>
        </row>
        <row r="5725">
          <cell r="W5725" t="str">
            <v>QHIDR01</v>
          </cell>
          <cell r="AD5725">
            <v>22500</v>
          </cell>
        </row>
        <row r="5726">
          <cell r="W5726" t="str">
            <v>QHIDR01</v>
          </cell>
          <cell r="AD5726">
            <v>22500</v>
          </cell>
        </row>
        <row r="5727">
          <cell r="W5727" t="str">
            <v>QHIDR01</v>
          </cell>
          <cell r="AD5727">
            <v>22500</v>
          </cell>
        </row>
        <row r="5728">
          <cell r="W5728" t="str">
            <v>QHIDR01</v>
          </cell>
          <cell r="AD5728">
            <v>22500</v>
          </cell>
        </row>
        <row r="5729">
          <cell r="W5729" t="str">
            <v>QHIDR01</v>
          </cell>
          <cell r="AD5729">
            <v>22500</v>
          </cell>
        </row>
        <row r="5730">
          <cell r="W5730" t="str">
            <v>QHIDR01</v>
          </cell>
          <cell r="AD5730">
            <v>22500</v>
          </cell>
        </row>
        <row r="5731">
          <cell r="W5731" t="str">
            <v>QHIDR01</v>
          </cell>
          <cell r="AD5731">
            <v>22500</v>
          </cell>
        </row>
        <row r="5732">
          <cell r="W5732" t="str">
            <v>QHIDR01</v>
          </cell>
          <cell r="AD5732">
            <v>22500</v>
          </cell>
        </row>
        <row r="5733">
          <cell r="W5733" t="str">
            <v>QHIDR01</v>
          </cell>
          <cell r="AD5733">
            <v>22500</v>
          </cell>
        </row>
        <row r="5734">
          <cell r="W5734" t="str">
            <v>QHIDR01</v>
          </cell>
          <cell r="AD5734">
            <v>22500</v>
          </cell>
        </row>
        <row r="5735">
          <cell r="W5735" t="str">
            <v>QHIDR01</v>
          </cell>
          <cell r="AD5735">
            <v>22500</v>
          </cell>
        </row>
        <row r="5736">
          <cell r="W5736" t="str">
            <v>QHIDR01</v>
          </cell>
          <cell r="AD5736">
            <v>23000</v>
          </cell>
        </row>
        <row r="5737">
          <cell r="W5737" t="str">
            <v>QHIDR01</v>
          </cell>
          <cell r="AD5737">
            <v>23000</v>
          </cell>
        </row>
        <row r="5738">
          <cell r="W5738" t="str">
            <v>QHIDR01</v>
          </cell>
          <cell r="AD5738">
            <v>23500</v>
          </cell>
        </row>
        <row r="5739">
          <cell r="W5739" t="str">
            <v>QHIDR01</v>
          </cell>
          <cell r="AD5739">
            <v>23500</v>
          </cell>
        </row>
        <row r="5740">
          <cell r="W5740" t="str">
            <v>QHIDR01</v>
          </cell>
          <cell r="AD5740">
            <v>23500</v>
          </cell>
        </row>
        <row r="5741">
          <cell r="W5741" t="str">
            <v>QHIDR01</v>
          </cell>
          <cell r="AD5741">
            <v>23500</v>
          </cell>
        </row>
        <row r="5742">
          <cell r="W5742" t="str">
            <v>QHIDR01</v>
          </cell>
          <cell r="AD5742">
            <v>23500</v>
          </cell>
        </row>
        <row r="5743">
          <cell r="W5743" t="str">
            <v>QHIDR01</v>
          </cell>
          <cell r="AD5743">
            <v>23500</v>
          </cell>
        </row>
        <row r="5744">
          <cell r="W5744" t="str">
            <v>QHIDR01</v>
          </cell>
          <cell r="AD5744">
            <v>23500</v>
          </cell>
        </row>
        <row r="5745">
          <cell r="W5745" t="str">
            <v>QHIDR01</v>
          </cell>
          <cell r="AD5745">
            <v>23500</v>
          </cell>
        </row>
        <row r="5746">
          <cell r="W5746" t="str">
            <v>QHIDR01</v>
          </cell>
          <cell r="AD5746">
            <v>23500</v>
          </cell>
        </row>
        <row r="5747">
          <cell r="W5747" t="str">
            <v>QHIDR01</v>
          </cell>
          <cell r="AD5747">
            <v>23500</v>
          </cell>
        </row>
        <row r="5748">
          <cell r="W5748" t="str">
            <v>QHIDR01</v>
          </cell>
          <cell r="AD5748">
            <v>23500</v>
          </cell>
        </row>
        <row r="5749">
          <cell r="W5749" t="str">
            <v>QHIDR01</v>
          </cell>
          <cell r="AD5749">
            <v>23500</v>
          </cell>
        </row>
        <row r="5750">
          <cell r="W5750" t="str">
            <v>QHIDR01</v>
          </cell>
          <cell r="AD5750">
            <v>23500</v>
          </cell>
        </row>
        <row r="5751">
          <cell r="W5751" t="str">
            <v>QHIDR01</v>
          </cell>
          <cell r="AD5751">
            <v>23500</v>
          </cell>
        </row>
        <row r="5752">
          <cell r="W5752" t="str">
            <v>QHIDR01</v>
          </cell>
          <cell r="AD5752">
            <v>24000</v>
          </cell>
        </row>
        <row r="5753">
          <cell r="W5753" t="str">
            <v>QHIDR01</v>
          </cell>
          <cell r="AD5753">
            <v>25000</v>
          </cell>
        </row>
        <row r="5754">
          <cell r="W5754" t="str">
            <v>QHIJA01</v>
          </cell>
          <cell r="AD5754">
            <v>27000</v>
          </cell>
        </row>
        <row r="5755">
          <cell r="W5755" t="str">
            <v>QHIJA01</v>
          </cell>
          <cell r="AD5755">
            <v>27000</v>
          </cell>
        </row>
        <row r="5756">
          <cell r="W5756" t="str">
            <v>QHIJA01</v>
          </cell>
          <cell r="AD5756">
            <v>27000</v>
          </cell>
        </row>
        <row r="5757">
          <cell r="W5757" t="str">
            <v>QHIJA01</v>
          </cell>
          <cell r="AD5757">
            <v>27000</v>
          </cell>
        </row>
        <row r="5758">
          <cell r="W5758" t="str">
            <v>QHIJA01</v>
          </cell>
          <cell r="AD5758">
            <v>27000</v>
          </cell>
        </row>
        <row r="5759">
          <cell r="W5759" t="str">
            <v>QHIJA01</v>
          </cell>
          <cell r="AD5759">
            <v>27000</v>
          </cell>
        </row>
        <row r="5760">
          <cell r="W5760" t="str">
            <v>QHIJA01</v>
          </cell>
          <cell r="AD5760">
            <v>27000</v>
          </cell>
        </row>
        <row r="5761">
          <cell r="W5761" t="str">
            <v>QHIJA01</v>
          </cell>
          <cell r="AD5761">
            <v>27000</v>
          </cell>
        </row>
        <row r="5762">
          <cell r="W5762" t="str">
            <v>QHIJA01</v>
          </cell>
          <cell r="AD5762">
            <v>27000</v>
          </cell>
        </row>
        <row r="5763">
          <cell r="W5763" t="str">
            <v>QHIJA01</v>
          </cell>
          <cell r="AD5763">
            <v>27000</v>
          </cell>
        </row>
        <row r="5764">
          <cell r="W5764" t="str">
            <v>QHIJA01</v>
          </cell>
          <cell r="AD5764">
            <v>27000</v>
          </cell>
        </row>
        <row r="5765">
          <cell r="W5765" t="str">
            <v>QHIJA01</v>
          </cell>
          <cell r="AD5765">
            <v>27000</v>
          </cell>
        </row>
        <row r="5766">
          <cell r="W5766" t="str">
            <v>QHIJA01</v>
          </cell>
          <cell r="AD5766">
            <v>27000</v>
          </cell>
        </row>
        <row r="5767">
          <cell r="W5767" t="str">
            <v>QHIJA01</v>
          </cell>
          <cell r="AD5767">
            <v>27000</v>
          </cell>
        </row>
        <row r="5768">
          <cell r="W5768" t="str">
            <v>QHIJA01</v>
          </cell>
          <cell r="AD5768">
            <v>27000</v>
          </cell>
        </row>
        <row r="5769">
          <cell r="W5769" t="str">
            <v>QHIJA01</v>
          </cell>
          <cell r="AD5769">
            <v>27000</v>
          </cell>
        </row>
        <row r="5770">
          <cell r="W5770" t="str">
            <v>QHIJA01</v>
          </cell>
          <cell r="AD5770">
            <v>27000</v>
          </cell>
        </row>
        <row r="5771">
          <cell r="W5771" t="str">
            <v>QHIJA01</v>
          </cell>
          <cell r="AD5771">
            <v>27000</v>
          </cell>
        </row>
        <row r="5772">
          <cell r="W5772" t="str">
            <v>QHIJA01</v>
          </cell>
          <cell r="AD5772">
            <v>27000</v>
          </cell>
        </row>
        <row r="5773">
          <cell r="W5773" t="str">
            <v>QHIJA01</v>
          </cell>
          <cell r="AD5773">
            <v>27000</v>
          </cell>
        </row>
        <row r="5774">
          <cell r="W5774" t="str">
            <v>QHIJA01</v>
          </cell>
          <cell r="AD5774">
            <v>27000</v>
          </cell>
        </row>
        <row r="5775">
          <cell r="W5775" t="str">
            <v>QHIJA01</v>
          </cell>
          <cell r="AD5775">
            <v>27000</v>
          </cell>
        </row>
        <row r="5776">
          <cell r="W5776" t="str">
            <v>QHIJA01</v>
          </cell>
          <cell r="AD5776">
            <v>27000</v>
          </cell>
        </row>
        <row r="5777">
          <cell r="W5777" t="str">
            <v>QHIJA01</v>
          </cell>
          <cell r="AD5777">
            <v>27000</v>
          </cell>
        </row>
        <row r="5778">
          <cell r="W5778" t="str">
            <v>QHIJA01</v>
          </cell>
          <cell r="AD5778">
            <v>27000</v>
          </cell>
        </row>
        <row r="5779">
          <cell r="W5779" t="str">
            <v>QHIJA01</v>
          </cell>
          <cell r="AD5779">
            <v>27000</v>
          </cell>
        </row>
        <row r="5780">
          <cell r="W5780" t="str">
            <v>QHIJA01</v>
          </cell>
          <cell r="AD5780">
            <v>27000</v>
          </cell>
        </row>
        <row r="5781">
          <cell r="W5781" t="str">
            <v>QHIJA01</v>
          </cell>
          <cell r="AD5781">
            <v>27000</v>
          </cell>
        </row>
        <row r="5782">
          <cell r="W5782" t="str">
            <v>QHIJA01</v>
          </cell>
          <cell r="AD5782">
            <v>27000</v>
          </cell>
        </row>
        <row r="5783">
          <cell r="W5783" t="str">
            <v>QHIJA01</v>
          </cell>
          <cell r="AD5783">
            <v>27000</v>
          </cell>
        </row>
        <row r="5784">
          <cell r="W5784" t="str">
            <v>QHIJA01</v>
          </cell>
          <cell r="AD5784">
            <v>27000</v>
          </cell>
        </row>
        <row r="5785">
          <cell r="W5785" t="str">
            <v>QHIJA01</v>
          </cell>
          <cell r="AD5785">
            <v>27000</v>
          </cell>
        </row>
        <row r="5786">
          <cell r="W5786" t="str">
            <v>QHIJA01</v>
          </cell>
          <cell r="AD5786">
            <v>27000</v>
          </cell>
        </row>
        <row r="5787">
          <cell r="W5787" t="str">
            <v>QHIJA01</v>
          </cell>
          <cell r="AD5787">
            <v>27000</v>
          </cell>
        </row>
        <row r="5788">
          <cell r="W5788" t="str">
            <v>QHIJA01</v>
          </cell>
          <cell r="AD5788">
            <v>27000</v>
          </cell>
        </row>
        <row r="5789">
          <cell r="W5789" t="str">
            <v>QHOKK03</v>
          </cell>
          <cell r="AD5789">
            <v>56000</v>
          </cell>
        </row>
        <row r="5790">
          <cell r="W5790" t="str">
            <v>QHOKK03</v>
          </cell>
          <cell r="AD5790">
            <v>56500</v>
          </cell>
        </row>
        <row r="5791">
          <cell r="W5791" t="str">
            <v>QHOKK03</v>
          </cell>
          <cell r="AD5791">
            <v>56500</v>
          </cell>
        </row>
        <row r="5792">
          <cell r="W5792" t="str">
            <v>QHOKK03</v>
          </cell>
          <cell r="AD5792">
            <v>56500</v>
          </cell>
        </row>
        <row r="5793">
          <cell r="W5793" t="str">
            <v>QHOKK03</v>
          </cell>
          <cell r="AD5793">
            <v>56500</v>
          </cell>
        </row>
        <row r="5794">
          <cell r="W5794" t="str">
            <v>QHOKK03</v>
          </cell>
          <cell r="AD5794">
            <v>56500</v>
          </cell>
        </row>
        <row r="5795">
          <cell r="W5795" t="str">
            <v>QHOKK03</v>
          </cell>
          <cell r="AD5795">
            <v>56500</v>
          </cell>
        </row>
        <row r="5796">
          <cell r="W5796" t="str">
            <v>QHOKK01</v>
          </cell>
          <cell r="AD5796">
            <v>23500</v>
          </cell>
        </row>
        <row r="5797">
          <cell r="W5797" t="str">
            <v>QHOKK01</v>
          </cell>
          <cell r="AD5797">
            <v>24000</v>
          </cell>
        </row>
        <row r="5798">
          <cell r="W5798" t="str">
            <v>QHOKK01</v>
          </cell>
          <cell r="AD5798">
            <v>24000</v>
          </cell>
        </row>
        <row r="5799">
          <cell r="W5799" t="str">
            <v>QHOKK01</v>
          </cell>
          <cell r="AD5799">
            <v>24000</v>
          </cell>
        </row>
        <row r="5800">
          <cell r="W5800" t="str">
            <v>QHOKK01</v>
          </cell>
          <cell r="AD5800">
            <v>24000</v>
          </cell>
        </row>
        <row r="5801">
          <cell r="W5801" t="str">
            <v>QHOW 02</v>
          </cell>
          <cell r="AD5801">
            <v>42000</v>
          </cell>
        </row>
        <row r="5802">
          <cell r="W5802" t="str">
            <v>QHSPA02</v>
          </cell>
          <cell r="AD5802">
            <v>35000</v>
          </cell>
        </row>
        <row r="5803">
          <cell r="W5803" t="str">
            <v>QHSPA02</v>
          </cell>
          <cell r="AD5803">
            <v>35000</v>
          </cell>
        </row>
        <row r="5804">
          <cell r="W5804" t="str">
            <v>QHSPA02</v>
          </cell>
          <cell r="AD5804">
            <v>36000</v>
          </cell>
        </row>
        <row r="5805">
          <cell r="W5805" t="str">
            <v>QHSPA02</v>
          </cell>
          <cell r="AD5805">
            <v>36000</v>
          </cell>
        </row>
        <row r="5806">
          <cell r="W5806" t="str">
            <v>QHSPA02</v>
          </cell>
          <cell r="AD5806">
            <v>36000</v>
          </cell>
        </row>
        <row r="5807">
          <cell r="W5807" t="str">
            <v>QHSPA02</v>
          </cell>
          <cell r="AD5807">
            <v>36000</v>
          </cell>
        </row>
        <row r="5808">
          <cell r="W5808" t="str">
            <v>QHSPA02</v>
          </cell>
          <cell r="AD5808">
            <v>36000</v>
          </cell>
        </row>
        <row r="5809">
          <cell r="W5809" t="str">
            <v>QHSPA02</v>
          </cell>
          <cell r="AD5809">
            <v>36000</v>
          </cell>
        </row>
        <row r="5810">
          <cell r="W5810" t="str">
            <v>QHSPA02</v>
          </cell>
          <cell r="AD5810">
            <v>36000</v>
          </cell>
        </row>
        <row r="5811">
          <cell r="W5811" t="str">
            <v>QHSPA02</v>
          </cell>
          <cell r="AD5811">
            <v>36000</v>
          </cell>
        </row>
        <row r="5812">
          <cell r="W5812" t="str">
            <v>QHSPA01</v>
          </cell>
          <cell r="AD5812">
            <v>130000</v>
          </cell>
        </row>
        <row r="5813">
          <cell r="W5813" t="str">
            <v>QHSPA01</v>
          </cell>
          <cell r="AD5813">
            <v>130000</v>
          </cell>
        </row>
        <row r="5814">
          <cell r="W5814" t="str">
            <v>QHSPA01</v>
          </cell>
          <cell r="AD5814">
            <v>130000</v>
          </cell>
        </row>
        <row r="5815">
          <cell r="W5815" t="str">
            <v>QHSPA01</v>
          </cell>
          <cell r="AD5815">
            <v>130000</v>
          </cell>
        </row>
        <row r="5816">
          <cell r="W5816" t="str">
            <v>QHSPA01</v>
          </cell>
          <cell r="AD5816">
            <v>130000</v>
          </cell>
        </row>
        <row r="5817">
          <cell r="W5817" t="str">
            <v>QHSPA01</v>
          </cell>
          <cell r="AD5817">
            <v>130000</v>
          </cell>
        </row>
        <row r="5818">
          <cell r="W5818" t="str">
            <v>QHSPA01</v>
          </cell>
          <cell r="AD5818">
            <v>130000</v>
          </cell>
        </row>
        <row r="5819">
          <cell r="W5819" t="str">
            <v>QHSPA01</v>
          </cell>
          <cell r="AD5819">
            <v>130000</v>
          </cell>
        </row>
        <row r="5820">
          <cell r="W5820" t="str">
            <v>QHSPA01</v>
          </cell>
          <cell r="AD5820">
            <v>130000</v>
          </cell>
        </row>
        <row r="5821">
          <cell r="W5821" t="str">
            <v>QHSPA01</v>
          </cell>
          <cell r="AD5821">
            <v>130000</v>
          </cell>
        </row>
        <row r="5822">
          <cell r="W5822" t="str">
            <v>QHSPA01</v>
          </cell>
          <cell r="AD5822">
            <v>130000</v>
          </cell>
        </row>
        <row r="5823">
          <cell r="W5823" t="str">
            <v>QHSPA01</v>
          </cell>
          <cell r="AD5823">
            <v>137500</v>
          </cell>
        </row>
        <row r="5824">
          <cell r="W5824" t="str">
            <v>QHSPA01</v>
          </cell>
          <cell r="AD5824">
            <v>137500</v>
          </cell>
        </row>
        <row r="5825">
          <cell r="W5825" t="str">
            <v>QHSPA01</v>
          </cell>
          <cell r="AD5825">
            <v>137500</v>
          </cell>
        </row>
        <row r="5826">
          <cell r="W5826" t="str">
            <v>QHSPA01</v>
          </cell>
          <cell r="AD5826">
            <v>137500</v>
          </cell>
        </row>
        <row r="5827">
          <cell r="W5827" t="str">
            <v>QHSPA01</v>
          </cell>
          <cell r="AD5827">
            <v>137500</v>
          </cell>
        </row>
        <row r="5828">
          <cell r="W5828" t="str">
            <v>QHSPA01</v>
          </cell>
          <cell r="AD5828">
            <v>137500</v>
          </cell>
        </row>
        <row r="5829">
          <cell r="W5829" t="str">
            <v>QHSPA01</v>
          </cell>
          <cell r="AD5829">
            <v>160000</v>
          </cell>
        </row>
        <row r="5830">
          <cell r="W5830" t="str">
            <v>QINFI02</v>
          </cell>
          <cell r="AD5830">
            <v>108500</v>
          </cell>
        </row>
        <row r="5831">
          <cell r="W5831" t="str">
            <v>QJAGU03</v>
          </cell>
          <cell r="AD5831">
            <v>65000</v>
          </cell>
        </row>
        <row r="5832">
          <cell r="W5832" t="str">
            <v>QJAGU03</v>
          </cell>
          <cell r="AD5832">
            <v>65000</v>
          </cell>
        </row>
        <row r="5833">
          <cell r="W5833" t="str">
            <v>QJAGU03</v>
          </cell>
          <cell r="AD5833">
            <v>65000</v>
          </cell>
        </row>
        <row r="5834">
          <cell r="W5834" t="str">
            <v>QJAGU03</v>
          </cell>
          <cell r="AD5834">
            <v>65000</v>
          </cell>
        </row>
        <row r="5835">
          <cell r="W5835" t="str">
            <v>QJAGU03</v>
          </cell>
          <cell r="AD5835">
            <v>65000</v>
          </cell>
        </row>
        <row r="5836">
          <cell r="W5836" t="str">
            <v>AJAGU03</v>
          </cell>
          <cell r="AD5836">
            <v>65000</v>
          </cell>
        </row>
        <row r="5837">
          <cell r="W5837" t="str">
            <v>QJAGU03</v>
          </cell>
          <cell r="AD5837">
            <v>65000</v>
          </cell>
        </row>
        <row r="5838">
          <cell r="W5838" t="str">
            <v>QJAGU03</v>
          </cell>
          <cell r="AD5838">
            <v>65000</v>
          </cell>
        </row>
        <row r="5839">
          <cell r="W5839" t="str">
            <v>QJAGU03</v>
          </cell>
          <cell r="AD5839">
            <v>65000</v>
          </cell>
        </row>
        <row r="5840">
          <cell r="W5840" t="str">
            <v>QJAGU03</v>
          </cell>
          <cell r="AD5840">
            <v>65000</v>
          </cell>
        </row>
        <row r="5841">
          <cell r="W5841" t="str">
            <v>QJAGU03</v>
          </cell>
          <cell r="AD5841">
            <v>65000</v>
          </cell>
        </row>
        <row r="5842">
          <cell r="W5842" t="str">
            <v>QJAGU03</v>
          </cell>
          <cell r="AD5842">
            <v>65000</v>
          </cell>
        </row>
        <row r="5843">
          <cell r="W5843" t="str">
            <v>QJAGU03</v>
          </cell>
          <cell r="AD5843">
            <v>65000</v>
          </cell>
        </row>
        <row r="5844">
          <cell r="W5844" t="str">
            <v>AJAGU03</v>
          </cell>
          <cell r="AD5844">
            <v>66000</v>
          </cell>
        </row>
        <row r="5845">
          <cell r="W5845" t="str">
            <v>QJAGU03</v>
          </cell>
          <cell r="AD5845">
            <v>66000</v>
          </cell>
        </row>
        <row r="5846">
          <cell r="W5846" t="str">
            <v>QJAGU03</v>
          </cell>
          <cell r="AD5846">
            <v>66000</v>
          </cell>
        </row>
        <row r="5847">
          <cell r="W5847" t="str">
            <v>QJAGU03</v>
          </cell>
          <cell r="AD5847">
            <v>67000</v>
          </cell>
        </row>
        <row r="5848">
          <cell r="W5848" t="str">
            <v>QJAGU03</v>
          </cell>
          <cell r="AD5848">
            <v>67000</v>
          </cell>
        </row>
        <row r="5849">
          <cell r="W5849" t="str">
            <v>QJAGU03</v>
          </cell>
          <cell r="AD5849">
            <v>67000</v>
          </cell>
        </row>
        <row r="5850">
          <cell r="W5850" t="str">
            <v>QJAGU03</v>
          </cell>
          <cell r="AD5850">
            <v>67000</v>
          </cell>
        </row>
        <row r="5851">
          <cell r="W5851" t="str">
            <v>QJAGU03</v>
          </cell>
          <cell r="AD5851">
            <v>67000</v>
          </cell>
        </row>
        <row r="5852">
          <cell r="W5852" t="str">
            <v>QJAGU03</v>
          </cell>
          <cell r="AD5852">
            <v>67000</v>
          </cell>
        </row>
        <row r="5853">
          <cell r="W5853" t="str">
            <v>QJAGU03</v>
          </cell>
          <cell r="AD5853">
            <v>67000</v>
          </cell>
        </row>
        <row r="5854">
          <cell r="W5854" t="str">
            <v>QJAGU03</v>
          </cell>
          <cell r="AD5854">
            <v>67000</v>
          </cell>
        </row>
        <row r="5855">
          <cell r="W5855" t="str">
            <v>QJAGU03</v>
          </cell>
          <cell r="AD5855">
            <v>67000</v>
          </cell>
        </row>
        <row r="5856">
          <cell r="W5856" t="str">
            <v>QJAGU03</v>
          </cell>
          <cell r="AD5856">
            <v>67000</v>
          </cell>
        </row>
        <row r="5857">
          <cell r="W5857" t="str">
            <v>AJAGU03</v>
          </cell>
          <cell r="AD5857">
            <v>67000</v>
          </cell>
        </row>
        <row r="5858">
          <cell r="W5858" t="str">
            <v>QJAGU03</v>
          </cell>
          <cell r="AD5858">
            <v>67000</v>
          </cell>
        </row>
        <row r="5859">
          <cell r="W5859" t="str">
            <v>QJAGU03</v>
          </cell>
          <cell r="AD5859">
            <v>67000</v>
          </cell>
        </row>
        <row r="5860">
          <cell r="W5860" t="str">
            <v>QJAGU03</v>
          </cell>
          <cell r="AD5860">
            <v>67000</v>
          </cell>
        </row>
        <row r="5861">
          <cell r="W5861" t="str">
            <v>QJAGU03</v>
          </cell>
          <cell r="AD5861">
            <v>67000</v>
          </cell>
        </row>
        <row r="5862">
          <cell r="W5862" t="str">
            <v>QJAGU03</v>
          </cell>
          <cell r="AD5862">
            <v>67000</v>
          </cell>
        </row>
        <row r="5863">
          <cell r="W5863" t="str">
            <v>QJAGU03</v>
          </cell>
          <cell r="AD5863">
            <v>68000</v>
          </cell>
        </row>
        <row r="5864">
          <cell r="W5864" t="str">
            <v>QJAGU03</v>
          </cell>
          <cell r="AD5864">
            <v>68000</v>
          </cell>
        </row>
        <row r="5865">
          <cell r="W5865" t="str">
            <v>QJAGU03</v>
          </cell>
          <cell r="AD5865">
            <v>68000</v>
          </cell>
        </row>
        <row r="5866">
          <cell r="W5866" t="str">
            <v>QJAGU03</v>
          </cell>
          <cell r="AD5866">
            <v>68000</v>
          </cell>
        </row>
        <row r="5867">
          <cell r="W5867" t="str">
            <v>QJAGU03</v>
          </cell>
          <cell r="AD5867">
            <v>68000</v>
          </cell>
        </row>
        <row r="5868">
          <cell r="W5868" t="str">
            <v>QJAGU03</v>
          </cell>
          <cell r="AD5868">
            <v>68000</v>
          </cell>
        </row>
        <row r="5869">
          <cell r="W5869" t="str">
            <v>QJAGU03</v>
          </cell>
          <cell r="AD5869">
            <v>68000</v>
          </cell>
        </row>
        <row r="5870">
          <cell r="W5870" t="str">
            <v>QJAGU03</v>
          </cell>
          <cell r="AD5870">
            <v>68000</v>
          </cell>
        </row>
        <row r="5871">
          <cell r="W5871" t="str">
            <v>QJAGU03</v>
          </cell>
          <cell r="AD5871">
            <v>68000</v>
          </cell>
        </row>
        <row r="5872">
          <cell r="W5872" t="str">
            <v>QJAGU03</v>
          </cell>
          <cell r="AD5872">
            <v>68000</v>
          </cell>
        </row>
        <row r="5873">
          <cell r="W5873" t="str">
            <v>QJAGU03</v>
          </cell>
          <cell r="AD5873">
            <v>68000</v>
          </cell>
        </row>
        <row r="5874">
          <cell r="W5874" t="str">
            <v>QJAGU03</v>
          </cell>
          <cell r="AD5874">
            <v>68000</v>
          </cell>
        </row>
        <row r="5875">
          <cell r="W5875" t="str">
            <v>QJAGU03</v>
          </cell>
          <cell r="AD5875">
            <v>68000</v>
          </cell>
        </row>
        <row r="5876">
          <cell r="W5876" t="str">
            <v>QJAGU03</v>
          </cell>
          <cell r="AD5876">
            <v>68000</v>
          </cell>
        </row>
        <row r="5877">
          <cell r="W5877" t="str">
            <v>QJAGU03</v>
          </cell>
          <cell r="AD5877">
            <v>68000</v>
          </cell>
        </row>
        <row r="5878">
          <cell r="W5878" t="str">
            <v>AJAGU03</v>
          </cell>
          <cell r="AD5878">
            <v>68000</v>
          </cell>
        </row>
        <row r="5879">
          <cell r="W5879" t="str">
            <v>AJAGU03</v>
          </cell>
          <cell r="AD5879">
            <v>68000</v>
          </cell>
        </row>
        <row r="5880">
          <cell r="W5880" t="str">
            <v>AJAGU03</v>
          </cell>
          <cell r="AD5880">
            <v>68000</v>
          </cell>
        </row>
        <row r="5881">
          <cell r="W5881" t="str">
            <v>AJAGU03</v>
          </cell>
          <cell r="AD5881">
            <v>68000</v>
          </cell>
        </row>
        <row r="5882">
          <cell r="W5882" t="str">
            <v>AJAGU03</v>
          </cell>
          <cell r="AD5882">
            <v>68000</v>
          </cell>
        </row>
        <row r="5883">
          <cell r="W5883" t="str">
            <v>AJAGU03</v>
          </cell>
          <cell r="AD5883">
            <v>68000</v>
          </cell>
        </row>
        <row r="5884">
          <cell r="W5884" t="str">
            <v>QJAGU03</v>
          </cell>
          <cell r="AD5884">
            <v>68000</v>
          </cell>
        </row>
        <row r="5885">
          <cell r="W5885" t="str">
            <v>QJAGU03</v>
          </cell>
          <cell r="AD5885">
            <v>68000</v>
          </cell>
        </row>
        <row r="5886">
          <cell r="W5886" t="str">
            <v>AJAGU03</v>
          </cell>
          <cell r="AD5886">
            <v>68000</v>
          </cell>
        </row>
        <row r="5887">
          <cell r="W5887" t="str">
            <v>QJAGU03</v>
          </cell>
          <cell r="AD5887">
            <v>68000</v>
          </cell>
        </row>
        <row r="5888">
          <cell r="W5888" t="str">
            <v>QJAGU03</v>
          </cell>
          <cell r="AD5888">
            <v>68000</v>
          </cell>
        </row>
        <row r="5889">
          <cell r="W5889" t="str">
            <v>QJAGU03</v>
          </cell>
          <cell r="AD5889">
            <v>68000</v>
          </cell>
        </row>
        <row r="5890">
          <cell r="W5890" t="str">
            <v>QJAGU03</v>
          </cell>
          <cell r="AD5890">
            <v>68000</v>
          </cell>
        </row>
        <row r="5891">
          <cell r="W5891" t="str">
            <v>QJAGU03</v>
          </cell>
          <cell r="AD5891">
            <v>68000</v>
          </cell>
        </row>
        <row r="5892">
          <cell r="W5892" t="str">
            <v>QJAGU03</v>
          </cell>
          <cell r="AD5892">
            <v>68000</v>
          </cell>
        </row>
        <row r="5893">
          <cell r="W5893" t="str">
            <v>QJAGU03</v>
          </cell>
          <cell r="AD5893">
            <v>68000</v>
          </cell>
        </row>
        <row r="5894">
          <cell r="W5894" t="str">
            <v>QJAGU03</v>
          </cell>
          <cell r="AD5894">
            <v>69000</v>
          </cell>
        </row>
        <row r="5895">
          <cell r="W5895" t="str">
            <v>QJAGU03</v>
          </cell>
          <cell r="AD5895">
            <v>69000</v>
          </cell>
        </row>
        <row r="5896">
          <cell r="W5896" t="str">
            <v>AJAGU03</v>
          </cell>
          <cell r="AD5896">
            <v>69000</v>
          </cell>
        </row>
        <row r="5897">
          <cell r="W5897" t="str">
            <v>AJAGU03</v>
          </cell>
          <cell r="AD5897">
            <v>69000</v>
          </cell>
        </row>
        <row r="5898">
          <cell r="W5898" t="str">
            <v>AJAGU03</v>
          </cell>
          <cell r="AD5898">
            <v>69000</v>
          </cell>
        </row>
        <row r="5899">
          <cell r="W5899" t="str">
            <v>QJAGU03</v>
          </cell>
          <cell r="AD5899">
            <v>69000</v>
          </cell>
        </row>
        <row r="5900">
          <cell r="W5900" t="str">
            <v>AJAGU03</v>
          </cell>
          <cell r="AD5900">
            <v>69000</v>
          </cell>
        </row>
        <row r="5901">
          <cell r="W5901" t="str">
            <v>AJAGU03</v>
          </cell>
          <cell r="AD5901">
            <v>69000</v>
          </cell>
        </row>
        <row r="5902">
          <cell r="W5902" t="str">
            <v>AJAGU03</v>
          </cell>
          <cell r="AD5902">
            <v>69000</v>
          </cell>
        </row>
        <row r="5903">
          <cell r="W5903" t="str">
            <v>AJAGU03</v>
          </cell>
          <cell r="AD5903">
            <v>69000</v>
          </cell>
        </row>
        <row r="5904">
          <cell r="W5904" t="str">
            <v>QJAGU03</v>
          </cell>
          <cell r="AD5904">
            <v>69000</v>
          </cell>
        </row>
        <row r="5905">
          <cell r="W5905" t="str">
            <v>QJAGU03</v>
          </cell>
          <cell r="AD5905">
            <v>69000</v>
          </cell>
        </row>
        <row r="5906">
          <cell r="W5906" t="str">
            <v>QJAGU03</v>
          </cell>
          <cell r="AD5906">
            <v>69000</v>
          </cell>
        </row>
        <row r="5907">
          <cell r="W5907" t="str">
            <v>QJAGU03</v>
          </cell>
          <cell r="AD5907">
            <v>70000</v>
          </cell>
        </row>
        <row r="5908">
          <cell r="W5908" t="str">
            <v>QJAGU03</v>
          </cell>
          <cell r="AD5908">
            <v>70000</v>
          </cell>
        </row>
        <row r="5909">
          <cell r="W5909" t="str">
            <v>QJAGU03</v>
          </cell>
          <cell r="AD5909">
            <v>70000</v>
          </cell>
        </row>
        <row r="5910">
          <cell r="W5910" t="str">
            <v>QJAGU03</v>
          </cell>
          <cell r="AD5910">
            <v>70000</v>
          </cell>
        </row>
        <row r="5911">
          <cell r="W5911" t="str">
            <v>QJAGU03</v>
          </cell>
          <cell r="AD5911">
            <v>70000</v>
          </cell>
        </row>
        <row r="5912">
          <cell r="W5912" t="str">
            <v>QJAGU03</v>
          </cell>
          <cell r="AD5912">
            <v>70000</v>
          </cell>
        </row>
        <row r="5913">
          <cell r="W5913" t="str">
            <v>QJAGU03</v>
          </cell>
          <cell r="AD5913">
            <v>70000</v>
          </cell>
        </row>
        <row r="5914">
          <cell r="W5914" t="str">
            <v>QJAGU03</v>
          </cell>
          <cell r="AD5914">
            <v>70000</v>
          </cell>
        </row>
        <row r="5915">
          <cell r="W5915" t="str">
            <v>QJAGU03</v>
          </cell>
          <cell r="AD5915">
            <v>70000</v>
          </cell>
        </row>
        <row r="5916">
          <cell r="W5916" t="str">
            <v>QJAGU03</v>
          </cell>
          <cell r="AD5916">
            <v>70000</v>
          </cell>
        </row>
        <row r="5917">
          <cell r="W5917" t="str">
            <v>QJAGU03</v>
          </cell>
          <cell r="AD5917">
            <v>70000</v>
          </cell>
        </row>
        <row r="5918">
          <cell r="W5918" t="str">
            <v>QJAGU03</v>
          </cell>
          <cell r="AD5918">
            <v>70000</v>
          </cell>
        </row>
        <row r="5919">
          <cell r="W5919" t="str">
            <v>QJAGU03</v>
          </cell>
          <cell r="AD5919">
            <v>70000</v>
          </cell>
        </row>
        <row r="5920">
          <cell r="W5920" t="str">
            <v>QJAGU03</v>
          </cell>
          <cell r="AD5920">
            <v>70000</v>
          </cell>
        </row>
        <row r="5921">
          <cell r="W5921" t="str">
            <v>QJAGU03</v>
          </cell>
          <cell r="AD5921">
            <v>70000</v>
          </cell>
        </row>
        <row r="5922">
          <cell r="W5922" t="str">
            <v>QJAGU03</v>
          </cell>
          <cell r="AD5922">
            <v>70000</v>
          </cell>
        </row>
        <row r="5923">
          <cell r="W5923" t="str">
            <v>QJAGU03</v>
          </cell>
          <cell r="AD5923">
            <v>70000</v>
          </cell>
        </row>
        <row r="5924">
          <cell r="W5924" t="str">
            <v>QJAGU03</v>
          </cell>
          <cell r="AD5924">
            <v>70000</v>
          </cell>
        </row>
        <row r="5925">
          <cell r="W5925" t="str">
            <v>QJAGU03</v>
          </cell>
          <cell r="AD5925">
            <v>70000</v>
          </cell>
        </row>
        <row r="5926">
          <cell r="W5926" t="str">
            <v>QJAGU03</v>
          </cell>
          <cell r="AD5926">
            <v>70000</v>
          </cell>
        </row>
        <row r="5927">
          <cell r="W5927" t="str">
            <v>QJAGU03</v>
          </cell>
          <cell r="AD5927">
            <v>70000</v>
          </cell>
        </row>
        <row r="5928">
          <cell r="W5928" t="str">
            <v>AJAGU03</v>
          </cell>
          <cell r="AD5928">
            <v>70000</v>
          </cell>
        </row>
        <row r="5929">
          <cell r="W5929" t="str">
            <v>AJAGU03</v>
          </cell>
          <cell r="AD5929">
            <v>70000</v>
          </cell>
        </row>
        <row r="5930">
          <cell r="W5930" t="str">
            <v>AJAGU03</v>
          </cell>
          <cell r="AD5930">
            <v>70000</v>
          </cell>
        </row>
        <row r="5931">
          <cell r="W5931" t="str">
            <v>QJAGU03</v>
          </cell>
          <cell r="AD5931">
            <v>70000</v>
          </cell>
        </row>
        <row r="5932">
          <cell r="W5932" t="str">
            <v>QJAGU03</v>
          </cell>
          <cell r="AD5932">
            <v>70000</v>
          </cell>
        </row>
        <row r="5933">
          <cell r="W5933" t="str">
            <v>QJAGU03</v>
          </cell>
          <cell r="AD5933">
            <v>70000</v>
          </cell>
        </row>
        <row r="5934">
          <cell r="W5934" t="str">
            <v>QJAGU03</v>
          </cell>
          <cell r="AD5934">
            <v>70000</v>
          </cell>
        </row>
        <row r="5935">
          <cell r="W5935" t="str">
            <v>QJAGU03</v>
          </cell>
          <cell r="AD5935">
            <v>70000</v>
          </cell>
        </row>
        <row r="5936">
          <cell r="W5936" t="str">
            <v>QJAGU03</v>
          </cell>
          <cell r="AD5936">
            <v>70000</v>
          </cell>
        </row>
        <row r="5937">
          <cell r="W5937" t="str">
            <v>QJAGU03</v>
          </cell>
          <cell r="AD5937">
            <v>70000</v>
          </cell>
        </row>
        <row r="5938">
          <cell r="W5938" t="str">
            <v>QJAGU03</v>
          </cell>
          <cell r="AD5938">
            <v>70000</v>
          </cell>
        </row>
        <row r="5939">
          <cell r="W5939" t="str">
            <v>QJAGU03</v>
          </cell>
          <cell r="AD5939">
            <v>70000</v>
          </cell>
        </row>
        <row r="5940">
          <cell r="W5940" t="str">
            <v>QJAGU03</v>
          </cell>
          <cell r="AD5940">
            <v>70000</v>
          </cell>
        </row>
        <row r="5941">
          <cell r="W5941" t="str">
            <v>QJAGU03</v>
          </cell>
          <cell r="AD5941">
            <v>70000</v>
          </cell>
        </row>
        <row r="5942">
          <cell r="W5942" t="str">
            <v>QJAGU03</v>
          </cell>
          <cell r="AD5942">
            <v>70000</v>
          </cell>
        </row>
        <row r="5943">
          <cell r="W5943" t="str">
            <v>QJAGU03</v>
          </cell>
          <cell r="AD5943">
            <v>70000</v>
          </cell>
        </row>
        <row r="5944">
          <cell r="W5944" t="str">
            <v>QJAGU03</v>
          </cell>
          <cell r="AD5944">
            <v>70000</v>
          </cell>
        </row>
        <row r="5945">
          <cell r="W5945" t="str">
            <v>QJAGU03</v>
          </cell>
          <cell r="AD5945">
            <v>70000</v>
          </cell>
        </row>
        <row r="5946">
          <cell r="W5946" t="str">
            <v>QJAGU03</v>
          </cell>
          <cell r="AD5946">
            <v>70000</v>
          </cell>
        </row>
        <row r="5947">
          <cell r="W5947" t="str">
            <v>QJAGU03</v>
          </cell>
          <cell r="AD5947">
            <v>70000</v>
          </cell>
        </row>
        <row r="5948">
          <cell r="W5948" t="str">
            <v>QJAGU03</v>
          </cell>
          <cell r="AD5948">
            <v>70000</v>
          </cell>
        </row>
        <row r="5949">
          <cell r="W5949" t="str">
            <v>QJAGU03</v>
          </cell>
          <cell r="AD5949">
            <v>70000</v>
          </cell>
        </row>
        <row r="5950">
          <cell r="W5950" t="str">
            <v>QJAGU03</v>
          </cell>
          <cell r="AD5950">
            <v>70000</v>
          </cell>
        </row>
        <row r="5951">
          <cell r="W5951" t="str">
            <v>QJAGU03</v>
          </cell>
          <cell r="AD5951">
            <v>70000</v>
          </cell>
        </row>
        <row r="5952">
          <cell r="W5952" t="str">
            <v>QJAGU03</v>
          </cell>
          <cell r="AD5952">
            <v>70000</v>
          </cell>
        </row>
        <row r="5953">
          <cell r="W5953" t="str">
            <v>QJAGU04</v>
          </cell>
          <cell r="AD5953">
            <v>51000</v>
          </cell>
        </row>
        <row r="5954">
          <cell r="W5954" t="str">
            <v>QJAGU04</v>
          </cell>
          <cell r="AD5954">
            <v>51000</v>
          </cell>
        </row>
        <row r="5955">
          <cell r="W5955" t="str">
            <v>QJAGU04</v>
          </cell>
          <cell r="AD5955">
            <v>51000</v>
          </cell>
        </row>
        <row r="5956">
          <cell r="W5956" t="str">
            <v>QJAGU04</v>
          </cell>
          <cell r="AD5956">
            <v>51000</v>
          </cell>
        </row>
        <row r="5957">
          <cell r="W5957" t="str">
            <v>QJAGU04</v>
          </cell>
          <cell r="AD5957">
            <v>51000</v>
          </cell>
        </row>
        <row r="5958">
          <cell r="W5958" t="str">
            <v>QJAGU04</v>
          </cell>
          <cell r="AD5958">
            <v>51000</v>
          </cell>
        </row>
        <row r="5959">
          <cell r="W5959" t="str">
            <v>QJAGU04</v>
          </cell>
          <cell r="AD5959">
            <v>51000</v>
          </cell>
        </row>
        <row r="5960">
          <cell r="W5960" t="str">
            <v>QJAGU04</v>
          </cell>
          <cell r="AD5960">
            <v>51000</v>
          </cell>
        </row>
        <row r="5961">
          <cell r="W5961" t="str">
            <v>QJAGU04</v>
          </cell>
          <cell r="AD5961">
            <v>51000</v>
          </cell>
        </row>
        <row r="5962">
          <cell r="W5962" t="str">
            <v>QJAGU04</v>
          </cell>
          <cell r="AD5962">
            <v>51000</v>
          </cell>
        </row>
        <row r="5963">
          <cell r="W5963" t="str">
            <v>QJAGU04</v>
          </cell>
          <cell r="AD5963">
            <v>51000</v>
          </cell>
        </row>
        <row r="5964">
          <cell r="W5964" t="str">
            <v>QJAGU04</v>
          </cell>
          <cell r="AD5964">
            <v>51000</v>
          </cell>
        </row>
        <row r="5965">
          <cell r="W5965" t="str">
            <v>QJAGU04</v>
          </cell>
          <cell r="AD5965">
            <v>51000</v>
          </cell>
        </row>
        <row r="5966">
          <cell r="W5966" t="str">
            <v>QJAGU04</v>
          </cell>
          <cell r="AD5966">
            <v>51000</v>
          </cell>
        </row>
        <row r="5967">
          <cell r="W5967" t="str">
            <v>QJAGU04</v>
          </cell>
          <cell r="AD5967">
            <v>51000</v>
          </cell>
        </row>
        <row r="5968">
          <cell r="W5968" t="str">
            <v>QJAGU04</v>
          </cell>
          <cell r="AD5968">
            <v>51500</v>
          </cell>
        </row>
        <row r="5969">
          <cell r="W5969" t="str">
            <v>QJAGU04</v>
          </cell>
          <cell r="AD5969">
            <v>51500</v>
          </cell>
        </row>
        <row r="5970">
          <cell r="W5970" t="str">
            <v>QJAGU04</v>
          </cell>
          <cell r="AD5970">
            <v>52000</v>
          </cell>
        </row>
        <row r="5971">
          <cell r="W5971" t="str">
            <v>QJAGU04</v>
          </cell>
          <cell r="AD5971">
            <v>52000</v>
          </cell>
        </row>
        <row r="5972">
          <cell r="W5972" t="str">
            <v>QJAGU04</v>
          </cell>
          <cell r="AD5972">
            <v>52000</v>
          </cell>
        </row>
        <row r="5973">
          <cell r="W5973" t="str">
            <v>QJAGU04</v>
          </cell>
          <cell r="AD5973">
            <v>52000</v>
          </cell>
        </row>
        <row r="5974">
          <cell r="W5974" t="str">
            <v>QJAGU04</v>
          </cell>
          <cell r="AD5974">
            <v>52500</v>
          </cell>
        </row>
        <row r="5975">
          <cell r="W5975" t="str">
            <v>QJAGU04</v>
          </cell>
          <cell r="AD5975">
            <v>52500</v>
          </cell>
        </row>
        <row r="5976">
          <cell r="W5976" t="str">
            <v>QJAGU04</v>
          </cell>
          <cell r="AD5976">
            <v>52500</v>
          </cell>
        </row>
        <row r="5977">
          <cell r="W5977" t="str">
            <v>QJAGU04</v>
          </cell>
          <cell r="AD5977">
            <v>52500</v>
          </cell>
        </row>
        <row r="5978">
          <cell r="W5978" t="str">
            <v>QJAGU04</v>
          </cell>
          <cell r="AD5978">
            <v>52500</v>
          </cell>
        </row>
        <row r="5979">
          <cell r="W5979" t="str">
            <v>QJAGU04</v>
          </cell>
          <cell r="AD5979">
            <v>52500</v>
          </cell>
        </row>
        <row r="5980">
          <cell r="W5980" t="str">
            <v>QJAGU04</v>
          </cell>
          <cell r="AD5980">
            <v>52500</v>
          </cell>
        </row>
        <row r="5981">
          <cell r="W5981" t="str">
            <v>QJAGU04</v>
          </cell>
          <cell r="AD5981">
            <v>52500</v>
          </cell>
        </row>
        <row r="5982">
          <cell r="W5982" t="str">
            <v>QJAGU04</v>
          </cell>
          <cell r="AD5982">
            <v>52500</v>
          </cell>
        </row>
        <row r="5983">
          <cell r="W5983" t="str">
            <v>QJAGU04</v>
          </cell>
          <cell r="AD5983">
            <v>52500</v>
          </cell>
        </row>
        <row r="5984">
          <cell r="W5984" t="str">
            <v>QJAGU04</v>
          </cell>
          <cell r="AD5984">
            <v>52500</v>
          </cell>
        </row>
        <row r="5985">
          <cell r="W5985" t="str">
            <v>QJAGU04</v>
          </cell>
          <cell r="AD5985">
            <v>52500</v>
          </cell>
        </row>
        <row r="5986">
          <cell r="W5986" t="str">
            <v>QJAGU04</v>
          </cell>
          <cell r="AD5986">
            <v>52500</v>
          </cell>
        </row>
        <row r="5987">
          <cell r="W5987" t="str">
            <v>QJAGU04</v>
          </cell>
          <cell r="AD5987">
            <v>52500</v>
          </cell>
        </row>
        <row r="5988">
          <cell r="W5988" t="str">
            <v>QJAGU04</v>
          </cell>
          <cell r="AD5988">
            <v>52500</v>
          </cell>
        </row>
        <row r="5989">
          <cell r="W5989" t="str">
            <v>QJAGU04</v>
          </cell>
          <cell r="AD5989">
            <v>52500</v>
          </cell>
        </row>
        <row r="5990">
          <cell r="W5990" t="str">
            <v>QJAGU04</v>
          </cell>
          <cell r="AD5990">
            <v>52500</v>
          </cell>
        </row>
        <row r="5991">
          <cell r="W5991" t="str">
            <v>QJAGU04</v>
          </cell>
          <cell r="AD5991">
            <v>52500</v>
          </cell>
        </row>
        <row r="5992">
          <cell r="W5992" t="str">
            <v>QJAGU04</v>
          </cell>
          <cell r="AD5992">
            <v>52500</v>
          </cell>
        </row>
        <row r="5993">
          <cell r="W5993" t="str">
            <v>QJAGU04</v>
          </cell>
          <cell r="AD5993">
            <v>52500</v>
          </cell>
        </row>
        <row r="5994">
          <cell r="W5994" t="str">
            <v>QJAGU04</v>
          </cell>
          <cell r="AD5994">
            <v>52500</v>
          </cell>
        </row>
        <row r="5995">
          <cell r="W5995" t="str">
            <v>QJAGU04</v>
          </cell>
          <cell r="AD5995">
            <v>52500</v>
          </cell>
        </row>
        <row r="5996">
          <cell r="W5996" t="str">
            <v>QJAGU04</v>
          </cell>
          <cell r="AD5996">
            <v>52500</v>
          </cell>
        </row>
        <row r="5997">
          <cell r="W5997" t="str">
            <v>QJAGU04</v>
          </cell>
          <cell r="AD5997">
            <v>52500</v>
          </cell>
        </row>
        <row r="5998">
          <cell r="W5998" t="str">
            <v>QJAGU04</v>
          </cell>
          <cell r="AD5998">
            <v>52500</v>
          </cell>
        </row>
        <row r="5999">
          <cell r="W5999" t="str">
            <v>QJAGU04</v>
          </cell>
          <cell r="AD5999">
            <v>52500</v>
          </cell>
        </row>
        <row r="6000">
          <cell r="W6000" t="str">
            <v>QJAGU04</v>
          </cell>
          <cell r="AD6000">
            <v>52500</v>
          </cell>
        </row>
        <row r="6001">
          <cell r="W6001" t="str">
            <v>QJAGU04</v>
          </cell>
          <cell r="AD6001">
            <v>52500</v>
          </cell>
        </row>
        <row r="6002">
          <cell r="W6002" t="str">
            <v>QJAGU04</v>
          </cell>
          <cell r="AD6002">
            <v>52500</v>
          </cell>
        </row>
        <row r="6003">
          <cell r="W6003" t="str">
            <v>QJAGU04</v>
          </cell>
          <cell r="AD6003">
            <v>52500</v>
          </cell>
        </row>
        <row r="6004">
          <cell r="W6004" t="str">
            <v>AJAGU05</v>
          </cell>
          <cell r="AD6004">
            <v>52500</v>
          </cell>
        </row>
        <row r="6005">
          <cell r="W6005" t="str">
            <v>AJAGU05</v>
          </cell>
          <cell r="AD6005">
            <v>52500</v>
          </cell>
        </row>
        <row r="6006">
          <cell r="W6006" t="str">
            <v>AJAGU05</v>
          </cell>
          <cell r="AD6006">
            <v>52500</v>
          </cell>
        </row>
        <row r="6007">
          <cell r="W6007" t="str">
            <v>QJAGU04</v>
          </cell>
          <cell r="AD6007">
            <v>52500</v>
          </cell>
        </row>
        <row r="6008">
          <cell r="W6008" t="str">
            <v>QJAGU04</v>
          </cell>
          <cell r="AD6008">
            <v>52500</v>
          </cell>
        </row>
        <row r="6009">
          <cell r="W6009" t="str">
            <v>QJAGU04</v>
          </cell>
          <cell r="AD6009">
            <v>52500</v>
          </cell>
        </row>
        <row r="6010">
          <cell r="W6010" t="str">
            <v>QJAGU04</v>
          </cell>
          <cell r="AD6010">
            <v>52500</v>
          </cell>
        </row>
        <row r="6011">
          <cell r="W6011" t="str">
            <v>QJAGU04</v>
          </cell>
          <cell r="AD6011">
            <v>52500</v>
          </cell>
        </row>
        <row r="6012">
          <cell r="W6012" t="str">
            <v>QJAGU04</v>
          </cell>
          <cell r="AD6012">
            <v>52500</v>
          </cell>
        </row>
        <row r="6013">
          <cell r="W6013" t="str">
            <v>QJAGU04</v>
          </cell>
          <cell r="AD6013">
            <v>52500</v>
          </cell>
        </row>
        <row r="6014">
          <cell r="W6014" t="str">
            <v>QJAGU04</v>
          </cell>
          <cell r="AD6014">
            <v>52500</v>
          </cell>
        </row>
        <row r="6015">
          <cell r="W6015" t="str">
            <v>QJAGU04</v>
          </cell>
          <cell r="AD6015">
            <v>52500</v>
          </cell>
        </row>
        <row r="6016">
          <cell r="W6016" t="str">
            <v>QJAGU04</v>
          </cell>
          <cell r="AD6016">
            <v>52500</v>
          </cell>
        </row>
        <row r="6017">
          <cell r="W6017" t="str">
            <v>QJAGU04</v>
          </cell>
          <cell r="AD6017">
            <v>52500</v>
          </cell>
        </row>
        <row r="6018">
          <cell r="W6018" t="str">
            <v>QJAGU04</v>
          </cell>
          <cell r="AD6018">
            <v>52500</v>
          </cell>
        </row>
        <row r="6019">
          <cell r="W6019" t="str">
            <v>QJAGU04</v>
          </cell>
          <cell r="AD6019">
            <v>52500</v>
          </cell>
        </row>
        <row r="6020">
          <cell r="W6020" t="str">
            <v>QJAGU04</v>
          </cell>
          <cell r="AD6020">
            <v>52500</v>
          </cell>
        </row>
        <row r="6021">
          <cell r="W6021" t="str">
            <v>QJAGU04</v>
          </cell>
          <cell r="AD6021">
            <v>52500</v>
          </cell>
        </row>
        <row r="6022">
          <cell r="W6022" t="str">
            <v>QJAGU04</v>
          </cell>
          <cell r="AD6022">
            <v>52500</v>
          </cell>
        </row>
        <row r="6023">
          <cell r="W6023" t="str">
            <v>QJAGU04</v>
          </cell>
          <cell r="AD6023">
            <v>52500</v>
          </cell>
        </row>
        <row r="6024">
          <cell r="W6024" t="str">
            <v>QJAGU04</v>
          </cell>
          <cell r="AD6024">
            <v>52500</v>
          </cell>
        </row>
        <row r="6025">
          <cell r="W6025" t="str">
            <v>AJAGU05</v>
          </cell>
          <cell r="AD6025">
            <v>52500</v>
          </cell>
        </row>
        <row r="6026">
          <cell r="W6026" t="str">
            <v>AJAGU05</v>
          </cell>
          <cell r="AD6026">
            <v>52500</v>
          </cell>
        </row>
        <row r="6027">
          <cell r="W6027" t="str">
            <v>QJAGU04</v>
          </cell>
          <cell r="AD6027">
            <v>52500</v>
          </cell>
        </row>
        <row r="6028">
          <cell r="W6028" t="str">
            <v>QJAGU04</v>
          </cell>
          <cell r="AD6028">
            <v>52500</v>
          </cell>
        </row>
        <row r="6029">
          <cell r="W6029" t="str">
            <v>QJAGU04</v>
          </cell>
          <cell r="AD6029">
            <v>52500</v>
          </cell>
        </row>
        <row r="6030">
          <cell r="W6030" t="str">
            <v>AJAGU05</v>
          </cell>
          <cell r="AD6030">
            <v>52500</v>
          </cell>
        </row>
        <row r="6031">
          <cell r="W6031" t="str">
            <v>QJAGU04</v>
          </cell>
          <cell r="AD6031">
            <v>52500</v>
          </cell>
        </row>
        <row r="6032">
          <cell r="W6032" t="str">
            <v>QJAGU04</v>
          </cell>
          <cell r="AD6032">
            <v>52500</v>
          </cell>
        </row>
        <row r="6033">
          <cell r="W6033" t="str">
            <v>QJAGU04</v>
          </cell>
          <cell r="AD6033">
            <v>52500</v>
          </cell>
        </row>
        <row r="6034">
          <cell r="W6034" t="str">
            <v>QJAGU04</v>
          </cell>
          <cell r="AD6034">
            <v>52500</v>
          </cell>
        </row>
        <row r="6035">
          <cell r="W6035" t="str">
            <v>QJAGU04</v>
          </cell>
          <cell r="AD6035">
            <v>52500</v>
          </cell>
        </row>
        <row r="6036">
          <cell r="W6036" t="str">
            <v>QJAGU04</v>
          </cell>
          <cell r="AD6036">
            <v>52500</v>
          </cell>
        </row>
        <row r="6037">
          <cell r="W6037" t="str">
            <v>QJAGU04</v>
          </cell>
          <cell r="AD6037">
            <v>52500</v>
          </cell>
        </row>
        <row r="6038">
          <cell r="W6038" t="str">
            <v>QJAGU04</v>
          </cell>
          <cell r="AD6038">
            <v>52500</v>
          </cell>
        </row>
        <row r="6039">
          <cell r="W6039" t="str">
            <v>QJAGU04</v>
          </cell>
          <cell r="AD6039">
            <v>53000</v>
          </cell>
        </row>
        <row r="6040">
          <cell r="W6040" t="str">
            <v>QJAGU04</v>
          </cell>
          <cell r="AD6040">
            <v>53000</v>
          </cell>
        </row>
        <row r="6041">
          <cell r="W6041" t="str">
            <v>QJAGU04</v>
          </cell>
          <cell r="AD6041">
            <v>53000</v>
          </cell>
        </row>
        <row r="6042">
          <cell r="W6042" t="str">
            <v>QJAGU04</v>
          </cell>
          <cell r="AD6042">
            <v>53000</v>
          </cell>
        </row>
        <row r="6043">
          <cell r="W6043" t="str">
            <v>QJAGU04</v>
          </cell>
          <cell r="AD6043">
            <v>53000</v>
          </cell>
        </row>
        <row r="6044">
          <cell r="W6044" t="str">
            <v>QJAGU04</v>
          </cell>
          <cell r="AD6044">
            <v>53000</v>
          </cell>
        </row>
        <row r="6045">
          <cell r="W6045" t="str">
            <v>QJAGU04</v>
          </cell>
          <cell r="AD6045">
            <v>53000</v>
          </cell>
        </row>
        <row r="6046">
          <cell r="W6046" t="str">
            <v>QJAGU04</v>
          </cell>
          <cell r="AD6046">
            <v>53000</v>
          </cell>
        </row>
        <row r="6047">
          <cell r="W6047" t="str">
            <v>AJAGU05</v>
          </cell>
          <cell r="AD6047">
            <v>53000</v>
          </cell>
        </row>
        <row r="6048">
          <cell r="W6048" t="str">
            <v>QJAGU04</v>
          </cell>
          <cell r="AD6048">
            <v>53000</v>
          </cell>
        </row>
        <row r="6049">
          <cell r="W6049" t="str">
            <v>QJAGU04</v>
          </cell>
          <cell r="AD6049">
            <v>53000</v>
          </cell>
        </row>
        <row r="6050">
          <cell r="W6050" t="str">
            <v>QJAGU04</v>
          </cell>
          <cell r="AD6050">
            <v>53500</v>
          </cell>
        </row>
        <row r="6051">
          <cell r="W6051" t="str">
            <v>QJAGU04</v>
          </cell>
          <cell r="AD6051">
            <v>53500</v>
          </cell>
        </row>
        <row r="6052">
          <cell r="W6052" t="str">
            <v>QJAGU04</v>
          </cell>
          <cell r="AD6052">
            <v>53500</v>
          </cell>
        </row>
        <row r="6053">
          <cell r="W6053" t="str">
            <v>QJAGU04</v>
          </cell>
          <cell r="AD6053">
            <v>53500</v>
          </cell>
        </row>
        <row r="6054">
          <cell r="W6054" t="str">
            <v>QJAGU04</v>
          </cell>
          <cell r="AD6054">
            <v>53500</v>
          </cell>
        </row>
        <row r="6055">
          <cell r="W6055" t="str">
            <v>QJAGU04</v>
          </cell>
          <cell r="AD6055">
            <v>53500</v>
          </cell>
        </row>
        <row r="6056">
          <cell r="W6056" t="str">
            <v>QJAGU04</v>
          </cell>
          <cell r="AD6056">
            <v>53500</v>
          </cell>
        </row>
        <row r="6057">
          <cell r="W6057" t="str">
            <v>QJAGU04</v>
          </cell>
          <cell r="AD6057">
            <v>53500</v>
          </cell>
        </row>
        <row r="6058">
          <cell r="W6058" t="str">
            <v>QJAGU04</v>
          </cell>
          <cell r="AD6058">
            <v>53500</v>
          </cell>
        </row>
        <row r="6059">
          <cell r="W6059" t="str">
            <v>QJAGU04</v>
          </cell>
          <cell r="AD6059">
            <v>53500</v>
          </cell>
        </row>
        <row r="6060">
          <cell r="W6060" t="str">
            <v>QJAGU04</v>
          </cell>
          <cell r="AD6060">
            <v>54000</v>
          </cell>
        </row>
        <row r="6061">
          <cell r="W6061" t="str">
            <v>QJAGU04</v>
          </cell>
          <cell r="AD6061">
            <v>54000</v>
          </cell>
        </row>
        <row r="6062">
          <cell r="W6062" t="str">
            <v>QJAGU04</v>
          </cell>
          <cell r="AD6062">
            <v>54000</v>
          </cell>
        </row>
        <row r="6063">
          <cell r="W6063" t="str">
            <v>QJAGU04</v>
          </cell>
          <cell r="AD6063">
            <v>54000</v>
          </cell>
        </row>
        <row r="6064">
          <cell r="W6064" t="str">
            <v>QJAGU04</v>
          </cell>
          <cell r="AD6064">
            <v>54000</v>
          </cell>
        </row>
        <row r="6065">
          <cell r="W6065" t="str">
            <v>QJAGU04</v>
          </cell>
          <cell r="AD6065">
            <v>54000</v>
          </cell>
        </row>
        <row r="6066">
          <cell r="W6066" t="str">
            <v>QJAGU04</v>
          </cell>
          <cell r="AD6066">
            <v>54000</v>
          </cell>
        </row>
        <row r="6067">
          <cell r="W6067" t="str">
            <v>QJAGU04</v>
          </cell>
          <cell r="AD6067">
            <v>54500</v>
          </cell>
        </row>
        <row r="6068">
          <cell r="W6068" t="str">
            <v>QJAGU04</v>
          </cell>
          <cell r="AD6068">
            <v>54500</v>
          </cell>
        </row>
        <row r="6069">
          <cell r="W6069" t="str">
            <v>QJAGU04</v>
          </cell>
          <cell r="AD6069">
            <v>54500</v>
          </cell>
        </row>
        <row r="6070">
          <cell r="W6070" t="str">
            <v>QJAGU04</v>
          </cell>
          <cell r="AD6070">
            <v>54500</v>
          </cell>
        </row>
        <row r="6071">
          <cell r="W6071" t="str">
            <v>QJAGU04</v>
          </cell>
          <cell r="AD6071">
            <v>54500</v>
          </cell>
        </row>
        <row r="6072">
          <cell r="W6072" t="str">
            <v>QJAGU04</v>
          </cell>
          <cell r="AD6072">
            <v>54500</v>
          </cell>
        </row>
        <row r="6073">
          <cell r="W6073" t="str">
            <v>QJAGU04</v>
          </cell>
          <cell r="AD6073">
            <v>55000</v>
          </cell>
        </row>
        <row r="6074">
          <cell r="W6074" t="str">
            <v>QJAGU04</v>
          </cell>
          <cell r="AD6074">
            <v>55000</v>
          </cell>
        </row>
        <row r="6075">
          <cell r="W6075" t="str">
            <v>QJAGU04</v>
          </cell>
          <cell r="AD6075">
            <v>55000</v>
          </cell>
        </row>
        <row r="6076">
          <cell r="W6076" t="str">
            <v>QJAGU04</v>
          </cell>
          <cell r="AD6076">
            <v>55000</v>
          </cell>
        </row>
        <row r="6077">
          <cell r="W6077" t="str">
            <v>QJAGU04</v>
          </cell>
          <cell r="AD6077">
            <v>55000</v>
          </cell>
        </row>
        <row r="6078">
          <cell r="W6078" t="str">
            <v>QJAGU04</v>
          </cell>
          <cell r="AD6078">
            <v>55000</v>
          </cell>
        </row>
        <row r="6079">
          <cell r="W6079" t="str">
            <v>QJAGU04</v>
          </cell>
          <cell r="AD6079">
            <v>55000</v>
          </cell>
        </row>
        <row r="6080">
          <cell r="W6080" t="str">
            <v>QJAGU04</v>
          </cell>
          <cell r="AD6080">
            <v>56000</v>
          </cell>
        </row>
        <row r="6081">
          <cell r="W6081" t="str">
            <v>QJAGU04</v>
          </cell>
          <cell r="AD6081">
            <v>58000</v>
          </cell>
        </row>
        <row r="6082">
          <cell r="W6082" t="str">
            <v>QJAGU04</v>
          </cell>
          <cell r="AD6082">
            <v>58000</v>
          </cell>
        </row>
        <row r="6083">
          <cell r="W6083" t="str">
            <v>QJAGU50</v>
          </cell>
          <cell r="AD6083">
            <v>62000</v>
          </cell>
        </row>
        <row r="6084">
          <cell r="W6084" t="str">
            <v>QJAGU50</v>
          </cell>
          <cell r="AD6084">
            <v>62000</v>
          </cell>
        </row>
        <row r="6085">
          <cell r="W6085" t="str">
            <v>QJAGU50</v>
          </cell>
          <cell r="AD6085">
            <v>63000</v>
          </cell>
        </row>
        <row r="6086">
          <cell r="W6086" t="str">
            <v>QJAGU50</v>
          </cell>
          <cell r="AD6086">
            <v>63000</v>
          </cell>
        </row>
        <row r="6087">
          <cell r="W6087" t="str">
            <v>QJAGU50</v>
          </cell>
          <cell r="AD6087">
            <v>63000</v>
          </cell>
        </row>
        <row r="6088">
          <cell r="W6088" t="str">
            <v>QJAGU50</v>
          </cell>
          <cell r="AD6088">
            <v>63000</v>
          </cell>
        </row>
        <row r="6089">
          <cell r="W6089" t="str">
            <v>QJAGU50</v>
          </cell>
          <cell r="AD6089">
            <v>65000</v>
          </cell>
        </row>
        <row r="6090">
          <cell r="W6090" t="str">
            <v>QJAGU50</v>
          </cell>
          <cell r="AD6090">
            <v>65000</v>
          </cell>
        </row>
        <row r="6091">
          <cell r="W6091" t="str">
            <v>QJAGU57</v>
          </cell>
          <cell r="AD6091">
            <v>350000</v>
          </cell>
        </row>
        <row r="6092">
          <cell r="W6092" t="str">
            <v>QJAGU57</v>
          </cell>
          <cell r="AD6092">
            <v>350000</v>
          </cell>
        </row>
        <row r="6093">
          <cell r="W6093" t="str">
            <v>QJAGU57</v>
          </cell>
          <cell r="AD6093">
            <v>350000</v>
          </cell>
        </row>
        <row r="6094">
          <cell r="W6094" t="str">
            <v>QJAGU57</v>
          </cell>
          <cell r="AD6094">
            <v>350000</v>
          </cell>
        </row>
        <row r="6095">
          <cell r="W6095" t="str">
            <v>QJAGU57</v>
          </cell>
          <cell r="AD6095">
            <v>350000</v>
          </cell>
        </row>
        <row r="6096">
          <cell r="W6096" t="str">
            <v>QJAGU57</v>
          </cell>
          <cell r="AD6096">
            <v>350000</v>
          </cell>
        </row>
        <row r="6097">
          <cell r="W6097" t="str">
            <v>QJAGU57</v>
          </cell>
          <cell r="AD6097">
            <v>350000</v>
          </cell>
        </row>
        <row r="6098">
          <cell r="W6098" t="str">
            <v>QJAGU57</v>
          </cell>
          <cell r="AD6098">
            <v>350000</v>
          </cell>
        </row>
        <row r="6099">
          <cell r="W6099" t="str">
            <v>QJAGU57</v>
          </cell>
          <cell r="AD6099">
            <v>350000</v>
          </cell>
        </row>
        <row r="6100">
          <cell r="W6100" t="str">
            <v>QJAGU57</v>
          </cell>
          <cell r="AD6100">
            <v>350000</v>
          </cell>
        </row>
        <row r="6101">
          <cell r="W6101" t="str">
            <v>QJAGU57</v>
          </cell>
          <cell r="AD6101">
            <v>350000</v>
          </cell>
        </row>
        <row r="6102">
          <cell r="W6102" t="str">
            <v>QJAGU57</v>
          </cell>
          <cell r="AD6102">
            <v>350000</v>
          </cell>
        </row>
        <row r="6103">
          <cell r="W6103" t="str">
            <v>QJAGU57</v>
          </cell>
          <cell r="AD6103">
            <v>350000</v>
          </cell>
        </row>
        <row r="6104">
          <cell r="W6104" t="str">
            <v>AJAGU49</v>
          </cell>
          <cell r="AD6104">
            <v>70000</v>
          </cell>
        </row>
        <row r="6105">
          <cell r="W6105" t="str">
            <v>QJAGU06</v>
          </cell>
          <cell r="AD6105">
            <v>40000</v>
          </cell>
        </row>
        <row r="6106">
          <cell r="W6106" t="str">
            <v>QJAGU06</v>
          </cell>
          <cell r="AD6106">
            <v>40000</v>
          </cell>
        </row>
        <row r="6107">
          <cell r="W6107" t="str">
            <v>QJAGU06</v>
          </cell>
          <cell r="AD6107">
            <v>40000</v>
          </cell>
        </row>
        <row r="6108">
          <cell r="W6108" t="str">
            <v>QJAGU06</v>
          </cell>
          <cell r="AD6108">
            <v>40000</v>
          </cell>
        </row>
        <row r="6109">
          <cell r="W6109" t="str">
            <v>QJAGU06</v>
          </cell>
          <cell r="AD6109">
            <v>40000</v>
          </cell>
        </row>
        <row r="6110">
          <cell r="W6110" t="str">
            <v>AJAGU07</v>
          </cell>
          <cell r="AD6110">
            <v>40000</v>
          </cell>
        </row>
        <row r="6111">
          <cell r="W6111" t="str">
            <v>QJAGU06</v>
          </cell>
          <cell r="AD6111">
            <v>40000</v>
          </cell>
        </row>
        <row r="6112">
          <cell r="W6112" t="str">
            <v>QJAGU06</v>
          </cell>
          <cell r="AD6112">
            <v>40000</v>
          </cell>
        </row>
        <row r="6113">
          <cell r="W6113" t="str">
            <v>QJAGU53</v>
          </cell>
          <cell r="AD6113">
            <v>72500</v>
          </cell>
        </row>
        <row r="6114">
          <cell r="W6114" t="str">
            <v>QJAGU53</v>
          </cell>
          <cell r="AD6114">
            <v>72500</v>
          </cell>
        </row>
        <row r="6115">
          <cell r="W6115" t="str">
            <v>QJAGU53</v>
          </cell>
          <cell r="AD6115">
            <v>72500</v>
          </cell>
        </row>
        <row r="6116">
          <cell r="W6116" t="str">
            <v>QJAGU53</v>
          </cell>
          <cell r="AD6116">
            <v>72500</v>
          </cell>
        </row>
        <row r="6117">
          <cell r="W6117" t="str">
            <v>QJAGU53</v>
          </cell>
          <cell r="AD6117">
            <v>72500</v>
          </cell>
        </row>
        <row r="6118">
          <cell r="W6118" t="str">
            <v>QJAGU42</v>
          </cell>
          <cell r="AD6118">
            <v>72500</v>
          </cell>
        </row>
        <row r="6119">
          <cell r="W6119" t="str">
            <v>QJAGU42</v>
          </cell>
          <cell r="AD6119">
            <v>72500</v>
          </cell>
        </row>
        <row r="6120">
          <cell r="W6120" t="str">
            <v>QJAGU42</v>
          </cell>
          <cell r="AD6120">
            <v>72500</v>
          </cell>
        </row>
        <row r="6121">
          <cell r="W6121" t="str">
            <v>QJAGU42</v>
          </cell>
          <cell r="AD6121">
            <v>72500</v>
          </cell>
        </row>
        <row r="6122">
          <cell r="W6122" t="str">
            <v>QJAGU42</v>
          </cell>
          <cell r="AD6122">
            <v>72500</v>
          </cell>
        </row>
        <row r="6123">
          <cell r="W6123" t="str">
            <v>QJAGU42</v>
          </cell>
          <cell r="AD6123">
            <v>72500</v>
          </cell>
        </row>
        <row r="6124">
          <cell r="W6124" t="str">
            <v>QJAGU42</v>
          </cell>
          <cell r="AD6124">
            <v>72500</v>
          </cell>
        </row>
        <row r="6125">
          <cell r="W6125" t="str">
            <v>QJAGU42</v>
          </cell>
          <cell r="AD6125">
            <v>72500</v>
          </cell>
        </row>
        <row r="6126">
          <cell r="W6126" t="str">
            <v>QJAGU42</v>
          </cell>
          <cell r="AD6126">
            <v>72500</v>
          </cell>
        </row>
        <row r="6127">
          <cell r="W6127" t="str">
            <v>QJAGU42</v>
          </cell>
          <cell r="AD6127">
            <v>72500</v>
          </cell>
        </row>
        <row r="6128">
          <cell r="W6128" t="str">
            <v>QJAGU42</v>
          </cell>
          <cell r="AD6128">
            <v>72500</v>
          </cell>
        </row>
        <row r="6129">
          <cell r="W6129" t="str">
            <v>QJAGU42</v>
          </cell>
          <cell r="AD6129">
            <v>72500</v>
          </cell>
        </row>
        <row r="6130">
          <cell r="W6130" t="str">
            <v>QJAGU42</v>
          </cell>
          <cell r="AD6130">
            <v>72500</v>
          </cell>
        </row>
        <row r="6131">
          <cell r="W6131" t="str">
            <v>QJAGU42</v>
          </cell>
          <cell r="AD6131">
            <v>72500</v>
          </cell>
        </row>
        <row r="6132">
          <cell r="W6132" t="str">
            <v>QJAGU42</v>
          </cell>
          <cell r="AD6132">
            <v>73500</v>
          </cell>
        </row>
        <row r="6133">
          <cell r="W6133" t="str">
            <v>QJAGU42</v>
          </cell>
          <cell r="AD6133">
            <v>73500</v>
          </cell>
        </row>
        <row r="6134">
          <cell r="W6134" t="str">
            <v>QJAGU42</v>
          </cell>
          <cell r="AD6134">
            <v>73500</v>
          </cell>
        </row>
        <row r="6135">
          <cell r="W6135" t="str">
            <v>QJAGU42</v>
          </cell>
          <cell r="AD6135">
            <v>73500</v>
          </cell>
        </row>
        <row r="6136">
          <cell r="W6136" t="str">
            <v>QJAGU42</v>
          </cell>
          <cell r="AD6136">
            <v>73500</v>
          </cell>
        </row>
        <row r="6137">
          <cell r="W6137" t="str">
            <v>QJAGU42</v>
          </cell>
          <cell r="AD6137">
            <v>73500</v>
          </cell>
        </row>
        <row r="6138">
          <cell r="W6138" t="str">
            <v>QJAGU42</v>
          </cell>
          <cell r="AD6138">
            <v>73500</v>
          </cell>
        </row>
        <row r="6139">
          <cell r="W6139" t="str">
            <v>QJAGU42</v>
          </cell>
          <cell r="AD6139">
            <v>73500</v>
          </cell>
        </row>
        <row r="6140">
          <cell r="W6140" t="str">
            <v>QJAGU42</v>
          </cell>
          <cell r="AD6140">
            <v>73500</v>
          </cell>
        </row>
        <row r="6141">
          <cell r="W6141" t="str">
            <v>QJAGU42</v>
          </cell>
          <cell r="AD6141">
            <v>73500</v>
          </cell>
        </row>
        <row r="6142">
          <cell r="W6142" t="str">
            <v>QJAGU42</v>
          </cell>
          <cell r="AD6142">
            <v>73500</v>
          </cell>
        </row>
        <row r="6143">
          <cell r="W6143" t="str">
            <v>QJAGU42</v>
          </cell>
          <cell r="AD6143">
            <v>73500</v>
          </cell>
        </row>
        <row r="6144">
          <cell r="W6144" t="str">
            <v>QJAGU42</v>
          </cell>
          <cell r="AD6144">
            <v>73500</v>
          </cell>
        </row>
        <row r="6145">
          <cell r="W6145" t="str">
            <v>QJAGU42</v>
          </cell>
          <cell r="AD6145">
            <v>73500</v>
          </cell>
        </row>
        <row r="6146">
          <cell r="W6146" t="str">
            <v>QJAGU42</v>
          </cell>
          <cell r="AD6146">
            <v>73500</v>
          </cell>
        </row>
        <row r="6147">
          <cell r="W6147" t="str">
            <v>QJAGU42</v>
          </cell>
          <cell r="AD6147">
            <v>73500</v>
          </cell>
        </row>
        <row r="6148">
          <cell r="W6148" t="str">
            <v>QJAGU42</v>
          </cell>
          <cell r="AD6148">
            <v>73500</v>
          </cell>
        </row>
        <row r="6149">
          <cell r="W6149" t="str">
            <v>QJAGU42</v>
          </cell>
          <cell r="AD6149">
            <v>73500</v>
          </cell>
        </row>
        <row r="6150">
          <cell r="W6150" t="str">
            <v>QJAGU42</v>
          </cell>
          <cell r="AD6150">
            <v>73500</v>
          </cell>
        </row>
        <row r="6151">
          <cell r="W6151" t="str">
            <v>QJAGU42</v>
          </cell>
          <cell r="AD6151">
            <v>73500</v>
          </cell>
        </row>
        <row r="6152">
          <cell r="W6152" t="str">
            <v>QJAGU42</v>
          </cell>
          <cell r="AD6152">
            <v>73500</v>
          </cell>
        </row>
        <row r="6153">
          <cell r="W6153" t="str">
            <v>QJAGU42</v>
          </cell>
          <cell r="AD6153">
            <v>73500</v>
          </cell>
        </row>
        <row r="6154">
          <cell r="W6154" t="str">
            <v>QJAGU42</v>
          </cell>
          <cell r="AD6154">
            <v>73500</v>
          </cell>
        </row>
        <row r="6155">
          <cell r="W6155" t="str">
            <v>QJAGU42</v>
          </cell>
          <cell r="AD6155">
            <v>73500</v>
          </cell>
        </row>
        <row r="6156">
          <cell r="W6156" t="str">
            <v>QJAGU42</v>
          </cell>
          <cell r="AD6156">
            <v>73500</v>
          </cell>
        </row>
        <row r="6157">
          <cell r="W6157" t="str">
            <v>QJAGU42</v>
          </cell>
          <cell r="AD6157">
            <v>73500</v>
          </cell>
        </row>
        <row r="6158">
          <cell r="W6158" t="str">
            <v>QJAGU42</v>
          </cell>
          <cell r="AD6158">
            <v>73500</v>
          </cell>
        </row>
        <row r="6159">
          <cell r="W6159" t="str">
            <v>QJAGU42</v>
          </cell>
          <cell r="AD6159">
            <v>73500</v>
          </cell>
        </row>
        <row r="6160">
          <cell r="W6160" t="str">
            <v>QJAGU42</v>
          </cell>
          <cell r="AD6160">
            <v>73500</v>
          </cell>
        </row>
        <row r="6161">
          <cell r="W6161" t="str">
            <v>QJAGU42</v>
          </cell>
          <cell r="AD6161">
            <v>73500</v>
          </cell>
        </row>
        <row r="6162">
          <cell r="W6162" t="str">
            <v>QJAGU42</v>
          </cell>
          <cell r="AD6162">
            <v>73500</v>
          </cell>
        </row>
        <row r="6163">
          <cell r="W6163" t="str">
            <v>QJAGU42</v>
          </cell>
          <cell r="AD6163">
            <v>73500</v>
          </cell>
        </row>
        <row r="6164">
          <cell r="W6164" t="str">
            <v>QJAGU42</v>
          </cell>
          <cell r="AD6164">
            <v>73500</v>
          </cell>
        </row>
        <row r="6165">
          <cell r="W6165" t="str">
            <v>QJAGU42</v>
          </cell>
          <cell r="AD6165">
            <v>73500</v>
          </cell>
        </row>
        <row r="6166">
          <cell r="W6166" t="str">
            <v>QJAGU42</v>
          </cell>
          <cell r="AD6166">
            <v>73500</v>
          </cell>
        </row>
        <row r="6167">
          <cell r="W6167" t="str">
            <v>QJAGU42</v>
          </cell>
          <cell r="AD6167">
            <v>73500</v>
          </cell>
        </row>
        <row r="6168">
          <cell r="W6168" t="str">
            <v>QJAGU42</v>
          </cell>
          <cell r="AD6168">
            <v>73500</v>
          </cell>
        </row>
        <row r="6169">
          <cell r="W6169" t="str">
            <v>QJAGU42</v>
          </cell>
          <cell r="AD6169">
            <v>73500</v>
          </cell>
        </row>
        <row r="6170">
          <cell r="W6170" t="str">
            <v>QJAGU42</v>
          </cell>
          <cell r="AD6170">
            <v>73500</v>
          </cell>
        </row>
        <row r="6171">
          <cell r="W6171" t="str">
            <v>QJAGU42</v>
          </cell>
          <cell r="AD6171">
            <v>73500</v>
          </cell>
        </row>
        <row r="6172">
          <cell r="W6172" t="str">
            <v>QJAGU42</v>
          </cell>
          <cell r="AD6172">
            <v>73500</v>
          </cell>
        </row>
        <row r="6173">
          <cell r="W6173" t="str">
            <v>QJAGU42</v>
          </cell>
          <cell r="AD6173">
            <v>73500</v>
          </cell>
        </row>
        <row r="6174">
          <cell r="W6174" t="str">
            <v>QJAGU42</v>
          </cell>
          <cell r="AD6174">
            <v>73500</v>
          </cell>
        </row>
        <row r="6175">
          <cell r="W6175" t="str">
            <v>QJAGU42</v>
          </cell>
          <cell r="AD6175">
            <v>73500</v>
          </cell>
        </row>
        <row r="6176">
          <cell r="W6176" t="str">
            <v>QJAGU42</v>
          </cell>
          <cell r="AD6176">
            <v>73500</v>
          </cell>
        </row>
        <row r="6177">
          <cell r="W6177" t="str">
            <v>QJAGU42</v>
          </cell>
          <cell r="AD6177">
            <v>73500</v>
          </cell>
        </row>
        <row r="6178">
          <cell r="W6178" t="str">
            <v>QJAGU42</v>
          </cell>
          <cell r="AD6178">
            <v>73500</v>
          </cell>
        </row>
        <row r="6179">
          <cell r="W6179" t="str">
            <v>QJAGU42</v>
          </cell>
          <cell r="AD6179">
            <v>73500</v>
          </cell>
        </row>
        <row r="6180">
          <cell r="W6180" t="str">
            <v>QJAGU42</v>
          </cell>
          <cell r="AD6180">
            <v>73500</v>
          </cell>
        </row>
        <row r="6181">
          <cell r="W6181" t="str">
            <v>QJAGU42</v>
          </cell>
          <cell r="AD6181">
            <v>73500</v>
          </cell>
        </row>
        <row r="6182">
          <cell r="W6182" t="str">
            <v>QJAGU42</v>
          </cell>
          <cell r="AD6182">
            <v>73500</v>
          </cell>
        </row>
        <row r="6183">
          <cell r="W6183" t="str">
            <v>QJAGU42</v>
          </cell>
          <cell r="AD6183">
            <v>73500</v>
          </cell>
        </row>
        <row r="6184">
          <cell r="W6184" t="str">
            <v>QJAGU42</v>
          </cell>
          <cell r="AD6184">
            <v>73500</v>
          </cell>
        </row>
        <row r="6185">
          <cell r="W6185" t="str">
            <v>AJAGU52</v>
          </cell>
          <cell r="AD6185">
            <v>73500</v>
          </cell>
        </row>
        <row r="6186">
          <cell r="W6186" t="str">
            <v>QJAGU42</v>
          </cell>
          <cell r="AD6186">
            <v>73500</v>
          </cell>
        </row>
        <row r="6187">
          <cell r="W6187" t="str">
            <v>QJAGU42</v>
          </cell>
          <cell r="AD6187">
            <v>73500</v>
          </cell>
        </row>
        <row r="6188">
          <cell r="W6188" t="str">
            <v>QJAGU42</v>
          </cell>
          <cell r="AD6188">
            <v>73500</v>
          </cell>
        </row>
        <row r="6189">
          <cell r="W6189" t="str">
            <v>QJAGU42</v>
          </cell>
          <cell r="AD6189">
            <v>73500</v>
          </cell>
        </row>
        <row r="6190">
          <cell r="W6190" t="str">
            <v>QJAGU42</v>
          </cell>
          <cell r="AD6190">
            <v>73500</v>
          </cell>
        </row>
        <row r="6191">
          <cell r="W6191" t="str">
            <v>QJAGU42</v>
          </cell>
          <cell r="AD6191">
            <v>73500</v>
          </cell>
        </row>
        <row r="6192">
          <cell r="W6192" t="str">
            <v>QJAGU42</v>
          </cell>
          <cell r="AD6192">
            <v>73500</v>
          </cell>
        </row>
        <row r="6193">
          <cell r="W6193" t="str">
            <v>QJAGU42</v>
          </cell>
          <cell r="AD6193">
            <v>73500</v>
          </cell>
        </row>
        <row r="6194">
          <cell r="W6194" t="str">
            <v>QJAGU42</v>
          </cell>
          <cell r="AD6194">
            <v>73500</v>
          </cell>
        </row>
        <row r="6195">
          <cell r="W6195" t="str">
            <v>QJAGU42</v>
          </cell>
          <cell r="AD6195">
            <v>73500</v>
          </cell>
        </row>
        <row r="6196">
          <cell r="W6196" t="str">
            <v>QJAGU42</v>
          </cell>
          <cell r="AD6196">
            <v>73500</v>
          </cell>
        </row>
        <row r="6197">
          <cell r="W6197" t="str">
            <v>QJAGU42</v>
          </cell>
          <cell r="AD6197">
            <v>73500</v>
          </cell>
        </row>
        <row r="6198">
          <cell r="W6198" t="str">
            <v>QJAGU40</v>
          </cell>
          <cell r="AD6198">
            <v>73500</v>
          </cell>
        </row>
        <row r="6199">
          <cell r="W6199" t="str">
            <v>QJAGU40</v>
          </cell>
          <cell r="AD6199">
            <v>74000</v>
          </cell>
        </row>
        <row r="6200">
          <cell r="W6200" t="str">
            <v>QJAGU40</v>
          </cell>
          <cell r="AD6200">
            <v>75000</v>
          </cell>
        </row>
        <row r="6201">
          <cell r="W6201" t="str">
            <v>QJAGU40</v>
          </cell>
          <cell r="AD6201">
            <v>75000</v>
          </cell>
        </row>
        <row r="6202">
          <cell r="W6202" t="str">
            <v>QJAGU40</v>
          </cell>
          <cell r="AD6202">
            <v>75000</v>
          </cell>
        </row>
        <row r="6203">
          <cell r="W6203" t="str">
            <v>QJAGU40</v>
          </cell>
          <cell r="AD6203">
            <v>75000</v>
          </cell>
        </row>
        <row r="6204">
          <cell r="W6204" t="str">
            <v>QJAGU40</v>
          </cell>
          <cell r="AD6204">
            <v>75000</v>
          </cell>
        </row>
        <row r="6205">
          <cell r="W6205" t="str">
            <v>QJAGU40</v>
          </cell>
          <cell r="AD6205">
            <v>75000</v>
          </cell>
        </row>
        <row r="6206">
          <cell r="W6206" t="str">
            <v>QJAGU40</v>
          </cell>
          <cell r="AD6206">
            <v>75000</v>
          </cell>
        </row>
        <row r="6207">
          <cell r="W6207" t="str">
            <v>QJAGU40</v>
          </cell>
          <cell r="AD6207">
            <v>75000</v>
          </cell>
        </row>
        <row r="6208">
          <cell r="W6208" t="str">
            <v>QJAGU40</v>
          </cell>
          <cell r="AD6208">
            <v>75000</v>
          </cell>
        </row>
        <row r="6209">
          <cell r="W6209" t="str">
            <v>QJAGU40</v>
          </cell>
          <cell r="AD6209">
            <v>75000</v>
          </cell>
        </row>
        <row r="6210">
          <cell r="W6210" t="str">
            <v>QJAGU40</v>
          </cell>
          <cell r="AD6210">
            <v>75000</v>
          </cell>
        </row>
        <row r="6211">
          <cell r="W6211" t="str">
            <v>QJAGU40</v>
          </cell>
          <cell r="AD6211">
            <v>75000</v>
          </cell>
        </row>
        <row r="6212">
          <cell r="W6212" t="str">
            <v>QJAGU40</v>
          </cell>
          <cell r="AD6212">
            <v>75000</v>
          </cell>
        </row>
        <row r="6213">
          <cell r="W6213" t="str">
            <v>QJAGU40</v>
          </cell>
          <cell r="AD6213">
            <v>75000</v>
          </cell>
        </row>
        <row r="6214">
          <cell r="W6214" t="str">
            <v>QJAGU40</v>
          </cell>
          <cell r="AD6214">
            <v>75000</v>
          </cell>
        </row>
        <row r="6215">
          <cell r="W6215" t="str">
            <v>QJAGU40</v>
          </cell>
          <cell r="AD6215">
            <v>75000</v>
          </cell>
        </row>
        <row r="6216">
          <cell r="W6216" t="str">
            <v>QJAGU40</v>
          </cell>
          <cell r="AD6216">
            <v>75000</v>
          </cell>
        </row>
        <row r="6217">
          <cell r="W6217" t="str">
            <v>QJAGU40</v>
          </cell>
          <cell r="AD6217">
            <v>75000</v>
          </cell>
        </row>
        <row r="6218">
          <cell r="W6218" t="str">
            <v>QJAGU40</v>
          </cell>
          <cell r="AD6218">
            <v>75000</v>
          </cell>
        </row>
        <row r="6219">
          <cell r="W6219" t="str">
            <v>QJAGU40</v>
          </cell>
          <cell r="AD6219">
            <v>75000</v>
          </cell>
        </row>
        <row r="6220">
          <cell r="W6220" t="str">
            <v>QJAGU40</v>
          </cell>
          <cell r="AD6220">
            <v>75000</v>
          </cell>
        </row>
        <row r="6221">
          <cell r="W6221" t="str">
            <v>QJAGU40</v>
          </cell>
          <cell r="AD6221">
            <v>75000</v>
          </cell>
        </row>
        <row r="6222">
          <cell r="W6222" t="str">
            <v>QJAGU40</v>
          </cell>
          <cell r="AD6222">
            <v>75000</v>
          </cell>
        </row>
        <row r="6223">
          <cell r="W6223" t="str">
            <v>QJAGU40</v>
          </cell>
          <cell r="AD6223">
            <v>75000</v>
          </cell>
        </row>
        <row r="6224">
          <cell r="W6224" t="str">
            <v>QJAGU40</v>
          </cell>
          <cell r="AD6224">
            <v>75000</v>
          </cell>
        </row>
        <row r="6225">
          <cell r="W6225" t="str">
            <v>QJAGU40</v>
          </cell>
          <cell r="AD6225">
            <v>75000</v>
          </cell>
        </row>
        <row r="6226">
          <cell r="W6226" t="str">
            <v>QJAGU40</v>
          </cell>
          <cell r="AD6226">
            <v>75000</v>
          </cell>
        </row>
        <row r="6227">
          <cell r="W6227" t="str">
            <v>QJAGU40</v>
          </cell>
          <cell r="AD6227">
            <v>75000</v>
          </cell>
        </row>
        <row r="6228">
          <cell r="W6228" t="str">
            <v>QJAGU40</v>
          </cell>
          <cell r="AD6228">
            <v>75000</v>
          </cell>
        </row>
        <row r="6229">
          <cell r="W6229" t="str">
            <v>QJAGU40</v>
          </cell>
          <cell r="AD6229">
            <v>75000</v>
          </cell>
        </row>
        <row r="6230">
          <cell r="W6230" t="str">
            <v>QJAGU40</v>
          </cell>
          <cell r="AD6230">
            <v>75000</v>
          </cell>
        </row>
        <row r="6231">
          <cell r="W6231" t="str">
            <v>QJAGU40</v>
          </cell>
          <cell r="AD6231">
            <v>75000</v>
          </cell>
        </row>
        <row r="6232">
          <cell r="W6232" t="str">
            <v>QJAGU40</v>
          </cell>
          <cell r="AD6232">
            <v>75000</v>
          </cell>
        </row>
        <row r="6233">
          <cell r="W6233" t="str">
            <v>QJAGU40</v>
          </cell>
          <cell r="AD6233">
            <v>75000</v>
          </cell>
        </row>
        <row r="6234">
          <cell r="W6234" t="str">
            <v>QJAGU40</v>
          </cell>
          <cell r="AD6234">
            <v>75000</v>
          </cell>
        </row>
        <row r="6235">
          <cell r="W6235" t="str">
            <v>QJAGU40</v>
          </cell>
          <cell r="AD6235">
            <v>75000</v>
          </cell>
        </row>
        <row r="6236">
          <cell r="W6236" t="str">
            <v>QJAGU40</v>
          </cell>
          <cell r="AD6236">
            <v>75000</v>
          </cell>
        </row>
        <row r="6237">
          <cell r="W6237" t="str">
            <v>QJAGU40</v>
          </cell>
          <cell r="AD6237">
            <v>75000</v>
          </cell>
        </row>
        <row r="6238">
          <cell r="W6238" t="str">
            <v>QJAGU40</v>
          </cell>
          <cell r="AD6238">
            <v>75000</v>
          </cell>
        </row>
        <row r="6239">
          <cell r="W6239" t="str">
            <v>QJAGU40</v>
          </cell>
          <cell r="AD6239">
            <v>75000</v>
          </cell>
        </row>
        <row r="6240">
          <cell r="W6240" t="str">
            <v>QJAGU40</v>
          </cell>
          <cell r="AD6240">
            <v>75000</v>
          </cell>
        </row>
        <row r="6241">
          <cell r="W6241" t="str">
            <v>QJAGU40</v>
          </cell>
          <cell r="AD6241">
            <v>75000</v>
          </cell>
        </row>
        <row r="6242">
          <cell r="W6242" t="str">
            <v>QJAGU40</v>
          </cell>
          <cell r="AD6242">
            <v>75000</v>
          </cell>
        </row>
        <row r="6243">
          <cell r="W6243" t="str">
            <v>QJAGU40</v>
          </cell>
          <cell r="AD6243">
            <v>75000</v>
          </cell>
        </row>
        <row r="6244">
          <cell r="W6244" t="str">
            <v>QJAGU40</v>
          </cell>
          <cell r="AD6244">
            <v>75000</v>
          </cell>
        </row>
        <row r="6245">
          <cell r="W6245" t="str">
            <v>QJAGU40</v>
          </cell>
          <cell r="AD6245">
            <v>75000</v>
          </cell>
        </row>
        <row r="6246">
          <cell r="W6246" t="str">
            <v>QJAGU40</v>
          </cell>
          <cell r="AD6246">
            <v>75000</v>
          </cell>
        </row>
        <row r="6247">
          <cell r="W6247" t="str">
            <v>QJAGU40</v>
          </cell>
          <cell r="AD6247">
            <v>75000</v>
          </cell>
        </row>
        <row r="6248">
          <cell r="W6248" t="str">
            <v>QJAGU40</v>
          </cell>
          <cell r="AD6248">
            <v>75000</v>
          </cell>
        </row>
        <row r="6249">
          <cell r="W6249" t="str">
            <v>QJAGU40</v>
          </cell>
          <cell r="AD6249">
            <v>75000</v>
          </cell>
        </row>
        <row r="6250">
          <cell r="W6250" t="str">
            <v>QJAGU40</v>
          </cell>
          <cell r="AD6250">
            <v>75000</v>
          </cell>
        </row>
        <row r="6251">
          <cell r="W6251" t="str">
            <v>QJAGU40</v>
          </cell>
          <cell r="AD6251">
            <v>75000</v>
          </cell>
        </row>
        <row r="6252">
          <cell r="W6252" t="str">
            <v>QJAGU40</v>
          </cell>
          <cell r="AD6252">
            <v>75000</v>
          </cell>
        </row>
        <row r="6253">
          <cell r="W6253" t="str">
            <v>QJAGU40</v>
          </cell>
          <cell r="AD6253">
            <v>75000</v>
          </cell>
        </row>
        <row r="6254">
          <cell r="W6254" t="str">
            <v>QJAGU40</v>
          </cell>
          <cell r="AD6254">
            <v>75000</v>
          </cell>
        </row>
        <row r="6255">
          <cell r="W6255" t="str">
            <v>QJAGU40</v>
          </cell>
          <cell r="AD6255">
            <v>75000</v>
          </cell>
        </row>
        <row r="6256">
          <cell r="W6256" t="str">
            <v>QJAGU40</v>
          </cell>
          <cell r="AD6256">
            <v>75000</v>
          </cell>
        </row>
        <row r="6257">
          <cell r="W6257" t="str">
            <v>QJAGU40</v>
          </cell>
          <cell r="AD6257">
            <v>75000</v>
          </cell>
        </row>
        <row r="6258">
          <cell r="W6258" t="str">
            <v>QJAGU40</v>
          </cell>
          <cell r="AD6258">
            <v>75000</v>
          </cell>
        </row>
        <row r="6259">
          <cell r="W6259" t="str">
            <v>QJAGU40</v>
          </cell>
          <cell r="AD6259">
            <v>75000</v>
          </cell>
        </row>
        <row r="6260">
          <cell r="W6260" t="str">
            <v>QJAGU40</v>
          </cell>
          <cell r="AD6260">
            <v>75000</v>
          </cell>
        </row>
        <row r="6261">
          <cell r="W6261" t="str">
            <v>AJAGU12</v>
          </cell>
          <cell r="AD6261">
            <v>1</v>
          </cell>
        </row>
        <row r="6262">
          <cell r="W6262" t="str">
            <v>QJAGU55</v>
          </cell>
          <cell r="AD6262">
            <v>125000</v>
          </cell>
        </row>
        <row r="6263">
          <cell r="W6263" t="str">
            <v>QJAGU55</v>
          </cell>
          <cell r="AD6263">
            <v>125000</v>
          </cell>
        </row>
        <row r="6264">
          <cell r="W6264" t="str">
            <v>QJAGU55</v>
          </cell>
          <cell r="AD6264">
            <v>125000</v>
          </cell>
        </row>
        <row r="6265">
          <cell r="W6265" t="str">
            <v>QJAGU55</v>
          </cell>
          <cell r="AD6265">
            <v>125000</v>
          </cell>
        </row>
        <row r="6266">
          <cell r="W6266" t="str">
            <v>QJAGU55</v>
          </cell>
          <cell r="AD6266">
            <v>130000</v>
          </cell>
        </row>
        <row r="6267">
          <cell r="W6267" t="str">
            <v>QJAGU55</v>
          </cell>
          <cell r="AD6267">
            <v>155000</v>
          </cell>
        </row>
        <row r="6268">
          <cell r="W6268" t="str">
            <v>QJAGU55</v>
          </cell>
          <cell r="AD6268">
            <v>160000</v>
          </cell>
        </row>
        <row r="6269">
          <cell r="W6269" t="str">
            <v>QJAGU56</v>
          </cell>
          <cell r="AD6269">
            <v>73000</v>
          </cell>
        </row>
        <row r="6270">
          <cell r="W6270" t="str">
            <v>QJAGU56</v>
          </cell>
          <cell r="AD6270">
            <v>75000</v>
          </cell>
        </row>
        <row r="6271">
          <cell r="W6271" t="str">
            <v>QJAGU56</v>
          </cell>
          <cell r="AD6271">
            <v>75000</v>
          </cell>
        </row>
        <row r="6272">
          <cell r="W6272" t="str">
            <v>QJAGU56</v>
          </cell>
          <cell r="AD6272">
            <v>85000</v>
          </cell>
        </row>
        <row r="6273">
          <cell r="W6273" t="str">
            <v>QJAGU56</v>
          </cell>
          <cell r="AD6273">
            <v>85000</v>
          </cell>
        </row>
        <row r="6274">
          <cell r="W6274" t="str">
            <v>QJAGU44</v>
          </cell>
          <cell r="AD6274">
            <v>127000</v>
          </cell>
        </row>
        <row r="6275">
          <cell r="W6275" t="str">
            <v>QJAGU44</v>
          </cell>
          <cell r="AD6275">
            <v>127000</v>
          </cell>
        </row>
        <row r="6276">
          <cell r="W6276" t="str">
            <v>QJAGU44</v>
          </cell>
          <cell r="AD6276">
            <v>127000</v>
          </cell>
        </row>
        <row r="6277">
          <cell r="W6277" t="str">
            <v>QJAGU44</v>
          </cell>
          <cell r="AD6277">
            <v>127000</v>
          </cell>
        </row>
        <row r="6278">
          <cell r="W6278" t="str">
            <v>QJAGU44</v>
          </cell>
          <cell r="AD6278">
            <v>150000</v>
          </cell>
        </row>
        <row r="6279">
          <cell r="W6279" t="str">
            <v>QJAGU44</v>
          </cell>
          <cell r="AD6279">
            <v>150000</v>
          </cell>
        </row>
        <row r="6280">
          <cell r="W6280" t="str">
            <v>QJAGU43</v>
          </cell>
          <cell r="AD6280">
            <v>75000</v>
          </cell>
        </row>
        <row r="6281">
          <cell r="W6281" t="str">
            <v>QJAGU43</v>
          </cell>
          <cell r="AD6281">
            <v>75000</v>
          </cell>
        </row>
        <row r="6282">
          <cell r="W6282" t="str">
            <v>QJAGU43</v>
          </cell>
          <cell r="AD6282">
            <v>75000</v>
          </cell>
        </row>
        <row r="6283">
          <cell r="W6283" t="str">
            <v>QJAGU43</v>
          </cell>
          <cell r="AD6283">
            <v>77000</v>
          </cell>
        </row>
        <row r="6284">
          <cell r="W6284" t="str">
            <v>QJAGU43</v>
          </cell>
          <cell r="AD6284">
            <v>77000</v>
          </cell>
        </row>
        <row r="6285">
          <cell r="W6285" t="str">
            <v>QJAGU43</v>
          </cell>
          <cell r="AD6285">
            <v>80000</v>
          </cell>
        </row>
        <row r="6286">
          <cell r="W6286" t="str">
            <v>QJAGU43</v>
          </cell>
          <cell r="AD6286">
            <v>80000</v>
          </cell>
        </row>
        <row r="6287">
          <cell r="W6287" t="str">
            <v>QJAGU43</v>
          </cell>
          <cell r="AD6287">
            <v>80000</v>
          </cell>
        </row>
        <row r="6288">
          <cell r="W6288" t="str">
            <v>QJAGU43</v>
          </cell>
          <cell r="AD6288">
            <v>80000</v>
          </cell>
        </row>
        <row r="6289">
          <cell r="W6289" t="str">
            <v>QJAGU43</v>
          </cell>
          <cell r="AD6289">
            <v>80000</v>
          </cell>
        </row>
        <row r="6290">
          <cell r="W6290" t="str">
            <v>QJAGU43</v>
          </cell>
          <cell r="AD6290">
            <v>80000</v>
          </cell>
        </row>
        <row r="6291">
          <cell r="W6291" t="str">
            <v>QJAGU43</v>
          </cell>
          <cell r="AD6291">
            <v>82500</v>
          </cell>
        </row>
        <row r="6292">
          <cell r="W6292" t="str">
            <v>QJAGU43</v>
          </cell>
          <cell r="AD6292">
            <v>82500</v>
          </cell>
        </row>
        <row r="6293">
          <cell r="W6293" t="str">
            <v>QJAGU43</v>
          </cell>
          <cell r="AD6293">
            <v>85000</v>
          </cell>
        </row>
        <row r="6294">
          <cell r="W6294" t="str">
            <v>QJAGU43</v>
          </cell>
          <cell r="AD6294">
            <v>85000</v>
          </cell>
        </row>
        <row r="6295">
          <cell r="W6295" t="str">
            <v>QJAGU43</v>
          </cell>
          <cell r="AD6295">
            <v>85000</v>
          </cell>
        </row>
        <row r="6296">
          <cell r="W6296" t="str">
            <v>QJAGU47</v>
          </cell>
          <cell r="AD6296">
            <v>125000</v>
          </cell>
        </row>
        <row r="6297">
          <cell r="W6297" t="str">
            <v>QJAGU47</v>
          </cell>
          <cell r="AD6297">
            <v>125000</v>
          </cell>
        </row>
        <row r="6298">
          <cell r="W6298" t="str">
            <v>QJAGU47</v>
          </cell>
          <cell r="AD6298">
            <v>125000</v>
          </cell>
        </row>
        <row r="6299">
          <cell r="W6299" t="str">
            <v>QJAGU47</v>
          </cell>
          <cell r="AD6299">
            <v>127000</v>
          </cell>
        </row>
        <row r="6300">
          <cell r="W6300" t="str">
            <v>QJAGU47</v>
          </cell>
          <cell r="AD6300">
            <v>127000</v>
          </cell>
        </row>
        <row r="6301">
          <cell r="W6301" t="str">
            <v>QJAGU47</v>
          </cell>
          <cell r="AD6301">
            <v>127000</v>
          </cell>
        </row>
        <row r="6302">
          <cell r="W6302" t="str">
            <v>QJAGU47</v>
          </cell>
          <cell r="AD6302">
            <v>127000</v>
          </cell>
        </row>
        <row r="6303">
          <cell r="W6303" t="str">
            <v>QJAGU47</v>
          </cell>
          <cell r="AD6303">
            <v>127000</v>
          </cell>
        </row>
        <row r="6304">
          <cell r="W6304" t="str">
            <v>QJAGU47</v>
          </cell>
          <cell r="AD6304">
            <v>135000</v>
          </cell>
        </row>
        <row r="6305">
          <cell r="W6305" t="str">
            <v>QJAGU47</v>
          </cell>
          <cell r="AD6305">
            <v>135000</v>
          </cell>
        </row>
        <row r="6306">
          <cell r="W6306" t="str">
            <v>QJAGU47</v>
          </cell>
          <cell r="AD6306">
            <v>135000</v>
          </cell>
        </row>
        <row r="6307">
          <cell r="W6307" t="str">
            <v>QJAGU47</v>
          </cell>
          <cell r="AD6307">
            <v>155000</v>
          </cell>
        </row>
        <row r="6308">
          <cell r="W6308" t="str">
            <v>QJAGU47</v>
          </cell>
          <cell r="AD6308">
            <v>160000</v>
          </cell>
        </row>
        <row r="6309">
          <cell r="W6309" t="str">
            <v>QJAGU47</v>
          </cell>
          <cell r="AD6309">
            <v>160000</v>
          </cell>
        </row>
        <row r="6310">
          <cell r="W6310" t="str">
            <v>QJAGU47</v>
          </cell>
          <cell r="AD6310">
            <v>160000</v>
          </cell>
        </row>
        <row r="6311">
          <cell r="W6311" t="str">
            <v>QJAGU47</v>
          </cell>
          <cell r="AD6311">
            <v>160000</v>
          </cell>
        </row>
        <row r="6312">
          <cell r="W6312" t="str">
            <v>QJAGU47</v>
          </cell>
          <cell r="AD6312">
            <v>160000</v>
          </cell>
        </row>
        <row r="6313">
          <cell r="W6313" t="str">
            <v>QJAGU46</v>
          </cell>
          <cell r="AD6313">
            <v>77000</v>
          </cell>
        </row>
        <row r="6314">
          <cell r="W6314" t="str">
            <v>QJAGU46</v>
          </cell>
          <cell r="AD6314">
            <v>77000</v>
          </cell>
        </row>
        <row r="6315">
          <cell r="W6315" t="str">
            <v>QJAGU46</v>
          </cell>
          <cell r="AD6315">
            <v>77000</v>
          </cell>
        </row>
        <row r="6316">
          <cell r="W6316" t="str">
            <v>QJAGU46</v>
          </cell>
          <cell r="AD6316">
            <v>77000</v>
          </cell>
        </row>
        <row r="6317">
          <cell r="W6317" t="str">
            <v>QJAGU46</v>
          </cell>
          <cell r="AD6317">
            <v>80000</v>
          </cell>
        </row>
        <row r="6318">
          <cell r="W6318" t="str">
            <v>QJAGU46</v>
          </cell>
          <cell r="AD6318">
            <v>85000</v>
          </cell>
        </row>
        <row r="6319">
          <cell r="W6319" t="str">
            <v>QJAGU46</v>
          </cell>
          <cell r="AD6319">
            <v>85000</v>
          </cell>
        </row>
        <row r="6320">
          <cell r="W6320" t="str">
            <v>QJAGU46</v>
          </cell>
          <cell r="AD6320">
            <v>85000</v>
          </cell>
        </row>
        <row r="6321">
          <cell r="W6321" t="str">
            <v>QJAGU46</v>
          </cell>
          <cell r="AD6321">
            <v>85000</v>
          </cell>
        </row>
        <row r="6322">
          <cell r="W6322" t="str">
            <v>QJAGU46</v>
          </cell>
          <cell r="AD6322">
            <v>85000</v>
          </cell>
        </row>
        <row r="6323">
          <cell r="W6323" t="str">
            <v>QJAGU46</v>
          </cell>
          <cell r="AD6323">
            <v>85000</v>
          </cell>
        </row>
        <row r="6324">
          <cell r="W6324" t="str">
            <v>QJAGU46</v>
          </cell>
          <cell r="AD6324">
            <v>90000</v>
          </cell>
        </row>
        <row r="6325">
          <cell r="W6325" t="str">
            <v>QJAGU46</v>
          </cell>
          <cell r="AD6325">
            <v>90000</v>
          </cell>
        </row>
        <row r="6326">
          <cell r="W6326" t="str">
            <v>QJAGU13</v>
          </cell>
          <cell r="AD6326">
            <v>66000</v>
          </cell>
        </row>
        <row r="6327">
          <cell r="W6327" t="str">
            <v>QJAGU13</v>
          </cell>
          <cell r="AD6327">
            <v>66000</v>
          </cell>
        </row>
        <row r="6328">
          <cell r="W6328" t="str">
            <v>QJAGU13</v>
          </cell>
          <cell r="AD6328">
            <v>66000</v>
          </cell>
        </row>
        <row r="6329">
          <cell r="W6329" t="str">
            <v>QJAGU13</v>
          </cell>
          <cell r="AD6329">
            <v>67000</v>
          </cell>
        </row>
        <row r="6330">
          <cell r="W6330" t="str">
            <v>QJAGU13</v>
          </cell>
          <cell r="AD6330">
            <v>67000</v>
          </cell>
        </row>
        <row r="6331">
          <cell r="W6331" t="str">
            <v>QJAGU13</v>
          </cell>
          <cell r="AD6331">
            <v>67000</v>
          </cell>
        </row>
        <row r="6332">
          <cell r="W6332" t="str">
            <v>QJAGU13</v>
          </cell>
          <cell r="AD6332">
            <v>67000</v>
          </cell>
        </row>
        <row r="6333">
          <cell r="W6333" t="str">
            <v>QJAGU13</v>
          </cell>
          <cell r="AD6333">
            <v>67000</v>
          </cell>
        </row>
        <row r="6334">
          <cell r="W6334" t="str">
            <v>QJAGU13</v>
          </cell>
          <cell r="AD6334">
            <v>67000</v>
          </cell>
        </row>
        <row r="6335">
          <cell r="W6335" t="str">
            <v>QJAGU13</v>
          </cell>
          <cell r="AD6335">
            <v>67000</v>
          </cell>
        </row>
        <row r="6336">
          <cell r="W6336" t="str">
            <v>QJAGU13</v>
          </cell>
          <cell r="AD6336">
            <v>67000</v>
          </cell>
        </row>
        <row r="6337">
          <cell r="W6337" t="str">
            <v>QJAGU13</v>
          </cell>
          <cell r="AD6337">
            <v>67000</v>
          </cell>
        </row>
        <row r="6338">
          <cell r="W6338" t="str">
            <v>QJAGU13</v>
          </cell>
          <cell r="AD6338">
            <v>67000</v>
          </cell>
        </row>
        <row r="6339">
          <cell r="W6339" t="str">
            <v>QJAGU13</v>
          </cell>
          <cell r="AD6339">
            <v>67000</v>
          </cell>
        </row>
        <row r="6340">
          <cell r="W6340" t="str">
            <v>QJAGU13</v>
          </cell>
          <cell r="AD6340">
            <v>67000</v>
          </cell>
        </row>
        <row r="6341">
          <cell r="W6341" t="str">
            <v>QJAGU13</v>
          </cell>
          <cell r="AD6341">
            <v>67000</v>
          </cell>
        </row>
        <row r="6342">
          <cell r="W6342" t="str">
            <v>QJAGU13</v>
          </cell>
          <cell r="AD6342">
            <v>67000</v>
          </cell>
        </row>
        <row r="6343">
          <cell r="W6343" t="str">
            <v>QJAGU13</v>
          </cell>
          <cell r="AD6343">
            <v>67000</v>
          </cell>
        </row>
        <row r="6344">
          <cell r="W6344" t="str">
            <v>QJAGU13</v>
          </cell>
          <cell r="AD6344">
            <v>67000</v>
          </cell>
        </row>
        <row r="6345">
          <cell r="W6345" t="str">
            <v>QJAGU13</v>
          </cell>
          <cell r="AD6345">
            <v>67000</v>
          </cell>
        </row>
        <row r="6346">
          <cell r="W6346" t="str">
            <v>QJAGU13</v>
          </cell>
          <cell r="AD6346">
            <v>67000</v>
          </cell>
        </row>
        <row r="6347">
          <cell r="W6347" t="str">
            <v>QJAGU13</v>
          </cell>
          <cell r="AD6347">
            <v>67000</v>
          </cell>
        </row>
        <row r="6348">
          <cell r="W6348" t="str">
            <v>QJAGU13</v>
          </cell>
          <cell r="AD6348">
            <v>67000</v>
          </cell>
        </row>
        <row r="6349">
          <cell r="W6349" t="str">
            <v>QJAGU13</v>
          </cell>
          <cell r="AD6349">
            <v>67000</v>
          </cell>
        </row>
        <row r="6350">
          <cell r="W6350" t="str">
            <v>QJAGU13</v>
          </cell>
          <cell r="AD6350">
            <v>67000</v>
          </cell>
        </row>
        <row r="6351">
          <cell r="W6351" t="str">
            <v>QJAGU13</v>
          </cell>
          <cell r="AD6351">
            <v>67000</v>
          </cell>
        </row>
        <row r="6352">
          <cell r="W6352" t="str">
            <v>QJAGU13</v>
          </cell>
          <cell r="AD6352">
            <v>67000</v>
          </cell>
        </row>
        <row r="6353">
          <cell r="W6353" t="str">
            <v>QJAGU13</v>
          </cell>
          <cell r="AD6353">
            <v>67000</v>
          </cell>
        </row>
        <row r="6354">
          <cell r="W6354" t="str">
            <v>QJAGU13</v>
          </cell>
          <cell r="AD6354">
            <v>67000</v>
          </cell>
        </row>
        <row r="6355">
          <cell r="W6355" t="str">
            <v>QJAGU13</v>
          </cell>
          <cell r="AD6355">
            <v>67000</v>
          </cell>
        </row>
        <row r="6356">
          <cell r="W6356" t="str">
            <v>QJAGU13</v>
          </cell>
          <cell r="AD6356">
            <v>67500</v>
          </cell>
        </row>
        <row r="6357">
          <cell r="W6357" t="str">
            <v>QJAGU13</v>
          </cell>
          <cell r="AD6357">
            <v>67500</v>
          </cell>
        </row>
        <row r="6358">
          <cell r="W6358" t="str">
            <v>QJAGU13</v>
          </cell>
          <cell r="AD6358">
            <v>67500</v>
          </cell>
        </row>
        <row r="6359">
          <cell r="W6359" t="str">
            <v>QJAGU13</v>
          </cell>
          <cell r="AD6359">
            <v>67500</v>
          </cell>
        </row>
        <row r="6360">
          <cell r="W6360" t="str">
            <v>QJAGU13</v>
          </cell>
          <cell r="AD6360">
            <v>67500</v>
          </cell>
        </row>
        <row r="6361">
          <cell r="W6361" t="str">
            <v>QJAGU13</v>
          </cell>
          <cell r="AD6361">
            <v>67500</v>
          </cell>
        </row>
        <row r="6362">
          <cell r="W6362" t="str">
            <v>QJAGU13</v>
          </cell>
          <cell r="AD6362">
            <v>67500</v>
          </cell>
        </row>
        <row r="6363">
          <cell r="W6363" t="str">
            <v>QJAGU13</v>
          </cell>
          <cell r="AD6363">
            <v>67500</v>
          </cell>
        </row>
        <row r="6364">
          <cell r="W6364" t="str">
            <v>QJAGU13</v>
          </cell>
          <cell r="AD6364">
            <v>67500</v>
          </cell>
        </row>
        <row r="6365">
          <cell r="W6365" t="str">
            <v>QJAGU13</v>
          </cell>
          <cell r="AD6365">
            <v>67500</v>
          </cell>
        </row>
        <row r="6366">
          <cell r="W6366" t="str">
            <v>QJAGU13</v>
          </cell>
          <cell r="AD6366">
            <v>67500</v>
          </cell>
        </row>
        <row r="6367">
          <cell r="W6367" t="str">
            <v>QJAGU13</v>
          </cell>
          <cell r="AD6367">
            <v>67500</v>
          </cell>
        </row>
        <row r="6368">
          <cell r="W6368" t="str">
            <v>QJAGU13</v>
          </cell>
          <cell r="AD6368">
            <v>67500</v>
          </cell>
        </row>
        <row r="6369">
          <cell r="W6369" t="str">
            <v>QJAGU13</v>
          </cell>
          <cell r="AD6369">
            <v>67500</v>
          </cell>
        </row>
        <row r="6370">
          <cell r="W6370" t="str">
            <v>QJAGU13</v>
          </cell>
          <cell r="AD6370">
            <v>67500</v>
          </cell>
        </row>
        <row r="6371">
          <cell r="W6371" t="str">
            <v>QJAGU13</v>
          </cell>
          <cell r="AD6371">
            <v>68000</v>
          </cell>
        </row>
        <row r="6372">
          <cell r="W6372" t="str">
            <v>QJAGU13</v>
          </cell>
          <cell r="AD6372">
            <v>68000</v>
          </cell>
        </row>
        <row r="6373">
          <cell r="W6373" t="str">
            <v>QJAGU13</v>
          </cell>
          <cell r="AD6373">
            <v>68000</v>
          </cell>
        </row>
        <row r="6374">
          <cell r="W6374" t="str">
            <v>QJAGU13</v>
          </cell>
          <cell r="AD6374">
            <v>68000</v>
          </cell>
        </row>
        <row r="6375">
          <cell r="W6375" t="str">
            <v>QJAGU13</v>
          </cell>
          <cell r="AD6375">
            <v>68000</v>
          </cell>
        </row>
        <row r="6376">
          <cell r="W6376" t="str">
            <v>QJAGU13</v>
          </cell>
          <cell r="AD6376">
            <v>68000</v>
          </cell>
        </row>
        <row r="6377">
          <cell r="W6377" t="str">
            <v>QJAGU13</v>
          </cell>
          <cell r="AD6377">
            <v>68500</v>
          </cell>
        </row>
        <row r="6378">
          <cell r="W6378" t="str">
            <v>QJAGU13</v>
          </cell>
          <cell r="AD6378">
            <v>68500</v>
          </cell>
        </row>
        <row r="6379">
          <cell r="W6379" t="str">
            <v>QJAGU13</v>
          </cell>
          <cell r="AD6379">
            <v>68500</v>
          </cell>
        </row>
        <row r="6380">
          <cell r="W6380" t="str">
            <v>QJAGU13</v>
          </cell>
          <cell r="AD6380">
            <v>68500</v>
          </cell>
        </row>
        <row r="6381">
          <cell r="W6381" t="str">
            <v>QJAGU13</v>
          </cell>
          <cell r="AD6381">
            <v>68500</v>
          </cell>
        </row>
        <row r="6382">
          <cell r="W6382" t="str">
            <v>QJAGU13</v>
          </cell>
          <cell r="AD6382">
            <v>68500</v>
          </cell>
        </row>
        <row r="6383">
          <cell r="W6383" t="str">
            <v>QJAGU13</v>
          </cell>
          <cell r="AD6383">
            <v>68500</v>
          </cell>
        </row>
        <row r="6384">
          <cell r="W6384" t="str">
            <v>QJAGU13</v>
          </cell>
          <cell r="AD6384">
            <v>68500</v>
          </cell>
        </row>
        <row r="6385">
          <cell r="W6385" t="str">
            <v>QJAGU13</v>
          </cell>
          <cell r="AD6385">
            <v>68500</v>
          </cell>
        </row>
        <row r="6386">
          <cell r="W6386" t="str">
            <v>QJAGU13</v>
          </cell>
          <cell r="AD6386">
            <v>68500</v>
          </cell>
        </row>
        <row r="6387">
          <cell r="W6387" t="str">
            <v>QJAGU13</v>
          </cell>
          <cell r="AD6387">
            <v>68500</v>
          </cell>
        </row>
        <row r="6388">
          <cell r="W6388" t="str">
            <v>QJAGU13</v>
          </cell>
          <cell r="AD6388">
            <v>68500</v>
          </cell>
        </row>
        <row r="6389">
          <cell r="W6389" t="str">
            <v>QJAGU13</v>
          </cell>
          <cell r="AD6389">
            <v>68500</v>
          </cell>
        </row>
        <row r="6390">
          <cell r="W6390" t="str">
            <v>QJAGU13</v>
          </cell>
          <cell r="AD6390">
            <v>69000</v>
          </cell>
        </row>
        <row r="6391">
          <cell r="W6391" t="str">
            <v>QJAGU13</v>
          </cell>
          <cell r="AD6391">
            <v>70000</v>
          </cell>
        </row>
        <row r="6392">
          <cell r="W6392" t="str">
            <v>QJAGU13</v>
          </cell>
          <cell r="AD6392">
            <v>70000</v>
          </cell>
        </row>
        <row r="6393">
          <cell r="W6393" t="str">
            <v>QJAGU13</v>
          </cell>
          <cell r="AD6393">
            <v>70000</v>
          </cell>
        </row>
        <row r="6394">
          <cell r="W6394" t="str">
            <v>QJAGU13</v>
          </cell>
          <cell r="AD6394">
            <v>70000</v>
          </cell>
        </row>
        <row r="6395">
          <cell r="W6395" t="str">
            <v>QJAGU13</v>
          </cell>
          <cell r="AD6395">
            <v>70000</v>
          </cell>
        </row>
        <row r="6396">
          <cell r="W6396" t="str">
            <v>QJAGU13</v>
          </cell>
          <cell r="AD6396">
            <v>70000</v>
          </cell>
        </row>
        <row r="6397">
          <cell r="W6397" t="str">
            <v>QJAGU13</v>
          </cell>
          <cell r="AD6397">
            <v>70000</v>
          </cell>
        </row>
        <row r="6398">
          <cell r="W6398" t="str">
            <v>QJAGU13</v>
          </cell>
          <cell r="AD6398">
            <v>70000</v>
          </cell>
        </row>
        <row r="6399">
          <cell r="W6399" t="str">
            <v>QJAGU13</v>
          </cell>
          <cell r="AD6399">
            <v>70000</v>
          </cell>
        </row>
        <row r="6400">
          <cell r="W6400" t="str">
            <v>QJAGU13</v>
          </cell>
          <cell r="AD6400">
            <v>70000</v>
          </cell>
        </row>
        <row r="6401">
          <cell r="W6401" t="str">
            <v>QJAGU13</v>
          </cell>
          <cell r="AD6401">
            <v>70000</v>
          </cell>
        </row>
        <row r="6402">
          <cell r="W6402" t="str">
            <v>QJAGU13</v>
          </cell>
          <cell r="AD6402">
            <v>70000</v>
          </cell>
        </row>
        <row r="6403">
          <cell r="W6403" t="str">
            <v>QJAGU13</v>
          </cell>
          <cell r="AD6403">
            <v>70000</v>
          </cell>
        </row>
        <row r="6404">
          <cell r="W6404" t="str">
            <v>QJAGU13</v>
          </cell>
          <cell r="AD6404">
            <v>70000</v>
          </cell>
        </row>
        <row r="6405">
          <cell r="W6405" t="str">
            <v>QJAGU13</v>
          </cell>
          <cell r="AD6405">
            <v>70000</v>
          </cell>
        </row>
        <row r="6406">
          <cell r="W6406" t="str">
            <v>QJAGU13</v>
          </cell>
          <cell r="AD6406">
            <v>70000</v>
          </cell>
        </row>
        <row r="6407">
          <cell r="W6407" t="str">
            <v>QJAGU13</v>
          </cell>
          <cell r="AD6407">
            <v>70000</v>
          </cell>
        </row>
        <row r="6408">
          <cell r="W6408" t="str">
            <v>QJAGU13</v>
          </cell>
          <cell r="AD6408">
            <v>70000</v>
          </cell>
        </row>
        <row r="6409">
          <cell r="W6409" t="str">
            <v>QJAGU58</v>
          </cell>
          <cell r="AD6409">
            <v>77000</v>
          </cell>
        </row>
        <row r="6410">
          <cell r="W6410" t="str">
            <v>QJAGU58</v>
          </cell>
          <cell r="AD6410">
            <v>77000</v>
          </cell>
        </row>
        <row r="6411">
          <cell r="W6411" t="str">
            <v>QJAGU58</v>
          </cell>
          <cell r="AD6411">
            <v>77000</v>
          </cell>
        </row>
        <row r="6412">
          <cell r="W6412" t="str">
            <v>QJAGU58</v>
          </cell>
          <cell r="AD6412">
            <v>77000</v>
          </cell>
        </row>
        <row r="6413">
          <cell r="W6413" t="str">
            <v>QJAGU58</v>
          </cell>
          <cell r="AD6413">
            <v>77000</v>
          </cell>
        </row>
        <row r="6414">
          <cell r="W6414" t="str">
            <v>QJAGU58</v>
          </cell>
          <cell r="AD6414">
            <v>77000</v>
          </cell>
        </row>
        <row r="6415">
          <cell r="W6415" t="str">
            <v>QJAGU58</v>
          </cell>
          <cell r="AD6415">
            <v>77000</v>
          </cell>
        </row>
        <row r="6416">
          <cell r="W6416" t="str">
            <v>QJAGU58</v>
          </cell>
          <cell r="AD6416">
            <v>77000</v>
          </cell>
        </row>
        <row r="6417">
          <cell r="W6417" t="str">
            <v>QJAGU58</v>
          </cell>
          <cell r="AD6417">
            <v>77000</v>
          </cell>
        </row>
        <row r="6418">
          <cell r="W6418" t="str">
            <v>QJAGU58</v>
          </cell>
          <cell r="AD6418">
            <v>77000</v>
          </cell>
        </row>
        <row r="6419">
          <cell r="W6419" t="str">
            <v>QJAGU58</v>
          </cell>
          <cell r="AD6419">
            <v>77000</v>
          </cell>
        </row>
        <row r="6420">
          <cell r="W6420" t="str">
            <v>QJAGU58</v>
          </cell>
          <cell r="AD6420">
            <v>77000</v>
          </cell>
        </row>
        <row r="6421">
          <cell r="W6421" t="str">
            <v>QJAGU58</v>
          </cell>
          <cell r="AD6421">
            <v>77000</v>
          </cell>
        </row>
        <row r="6422">
          <cell r="W6422" t="str">
            <v>QJAGU58</v>
          </cell>
          <cell r="AD6422">
            <v>77000</v>
          </cell>
        </row>
        <row r="6423">
          <cell r="W6423" t="str">
            <v>QJAGU58</v>
          </cell>
          <cell r="AD6423">
            <v>77000</v>
          </cell>
        </row>
        <row r="6424">
          <cell r="W6424" t="str">
            <v>QJAGU58</v>
          </cell>
          <cell r="AD6424">
            <v>77000</v>
          </cell>
        </row>
        <row r="6425">
          <cell r="W6425" t="str">
            <v>QJAGU58</v>
          </cell>
          <cell r="AD6425">
            <v>77000</v>
          </cell>
        </row>
        <row r="6426">
          <cell r="W6426" t="str">
            <v>QJAGU58</v>
          </cell>
          <cell r="AD6426">
            <v>77000</v>
          </cell>
        </row>
        <row r="6427">
          <cell r="W6427" t="str">
            <v>QJAGU58</v>
          </cell>
          <cell r="AD6427">
            <v>77000</v>
          </cell>
        </row>
        <row r="6428">
          <cell r="W6428" t="str">
            <v>QJAGU58</v>
          </cell>
          <cell r="AD6428">
            <v>77000</v>
          </cell>
        </row>
        <row r="6429">
          <cell r="W6429" t="str">
            <v>QJAGU58</v>
          </cell>
          <cell r="AD6429">
            <v>77000</v>
          </cell>
        </row>
        <row r="6430">
          <cell r="W6430" t="str">
            <v>QJAGU58</v>
          </cell>
          <cell r="AD6430">
            <v>77000</v>
          </cell>
        </row>
        <row r="6431">
          <cell r="W6431" t="str">
            <v>QJAGU58</v>
          </cell>
          <cell r="AD6431">
            <v>77000</v>
          </cell>
        </row>
        <row r="6432">
          <cell r="W6432" t="str">
            <v>QJAGU58</v>
          </cell>
          <cell r="AD6432">
            <v>77000</v>
          </cell>
        </row>
        <row r="6433">
          <cell r="W6433" t="str">
            <v>QJAGU58</v>
          </cell>
          <cell r="AD6433">
            <v>77000</v>
          </cell>
        </row>
        <row r="6434">
          <cell r="W6434" t="str">
            <v>QJAGU58</v>
          </cell>
          <cell r="AD6434">
            <v>77000</v>
          </cell>
        </row>
        <row r="6435">
          <cell r="W6435" t="str">
            <v>QJAGU58</v>
          </cell>
          <cell r="AD6435">
            <v>77000</v>
          </cell>
        </row>
        <row r="6436">
          <cell r="W6436" t="str">
            <v>QJAGU58</v>
          </cell>
          <cell r="AD6436">
            <v>77000</v>
          </cell>
        </row>
        <row r="6437">
          <cell r="W6437" t="str">
            <v>QJAGU58</v>
          </cell>
          <cell r="AD6437">
            <v>77000</v>
          </cell>
        </row>
        <row r="6438">
          <cell r="W6438" t="str">
            <v>QJAGU58</v>
          </cell>
          <cell r="AD6438">
            <v>77000</v>
          </cell>
        </row>
        <row r="6439">
          <cell r="W6439" t="str">
            <v>QJAGU58</v>
          </cell>
          <cell r="AD6439">
            <v>77000</v>
          </cell>
        </row>
        <row r="6440">
          <cell r="W6440" t="str">
            <v>QJAGU58</v>
          </cell>
          <cell r="AD6440">
            <v>77000</v>
          </cell>
        </row>
        <row r="6441">
          <cell r="W6441" t="str">
            <v>QJAGU58</v>
          </cell>
          <cell r="AD6441">
            <v>77000</v>
          </cell>
        </row>
        <row r="6442">
          <cell r="W6442" t="str">
            <v>QJAGU58</v>
          </cell>
          <cell r="AD6442">
            <v>77000</v>
          </cell>
        </row>
        <row r="6443">
          <cell r="W6443" t="str">
            <v>QJAGU58</v>
          </cell>
          <cell r="AD6443">
            <v>77000</v>
          </cell>
        </row>
        <row r="6444">
          <cell r="W6444" t="str">
            <v>QJAGU58</v>
          </cell>
          <cell r="AD6444">
            <v>77000</v>
          </cell>
        </row>
        <row r="6445">
          <cell r="W6445" t="str">
            <v>QJAGU58</v>
          </cell>
          <cell r="AD6445">
            <v>78000</v>
          </cell>
        </row>
        <row r="6446">
          <cell r="W6446" t="str">
            <v>QJAGU58</v>
          </cell>
          <cell r="AD6446">
            <v>80000</v>
          </cell>
        </row>
        <row r="6447">
          <cell r="W6447" t="str">
            <v>QJAGU58</v>
          </cell>
          <cell r="AD6447">
            <v>80000</v>
          </cell>
        </row>
        <row r="6448">
          <cell r="W6448" t="str">
            <v>QJAGU58</v>
          </cell>
          <cell r="AD6448">
            <v>80000</v>
          </cell>
        </row>
        <row r="6449">
          <cell r="W6449" t="str">
            <v>QJAGU58</v>
          </cell>
          <cell r="AD6449">
            <v>80000</v>
          </cell>
        </row>
        <row r="6450">
          <cell r="W6450" t="str">
            <v>QJAGU58</v>
          </cell>
          <cell r="AD6450">
            <v>80000</v>
          </cell>
        </row>
        <row r="6451">
          <cell r="W6451" t="str">
            <v>QJAGU58</v>
          </cell>
          <cell r="AD6451">
            <v>80000</v>
          </cell>
        </row>
        <row r="6452">
          <cell r="W6452" t="str">
            <v>QJAGU58</v>
          </cell>
          <cell r="AD6452">
            <v>80000</v>
          </cell>
        </row>
        <row r="6453">
          <cell r="W6453" t="str">
            <v>QJAGU58</v>
          </cell>
          <cell r="AD6453">
            <v>80000</v>
          </cell>
        </row>
        <row r="6454">
          <cell r="W6454" t="str">
            <v>QJAGU58</v>
          </cell>
          <cell r="AD6454">
            <v>80000</v>
          </cell>
        </row>
        <row r="6455">
          <cell r="W6455" t="str">
            <v>QJAGU58</v>
          </cell>
          <cell r="AD6455">
            <v>80000</v>
          </cell>
        </row>
        <row r="6456">
          <cell r="W6456" t="str">
            <v>QJAGU58</v>
          </cell>
          <cell r="AD6456">
            <v>80000</v>
          </cell>
        </row>
        <row r="6457">
          <cell r="W6457" t="str">
            <v>QJAGU58</v>
          </cell>
          <cell r="AD6457">
            <v>80000</v>
          </cell>
        </row>
        <row r="6458">
          <cell r="W6458" t="str">
            <v>QJAGU58</v>
          </cell>
          <cell r="AD6458">
            <v>80000</v>
          </cell>
        </row>
        <row r="6459">
          <cell r="W6459" t="str">
            <v>QJAGU58</v>
          </cell>
          <cell r="AD6459">
            <v>80000</v>
          </cell>
        </row>
        <row r="6460">
          <cell r="W6460" t="str">
            <v>QJAGU29</v>
          </cell>
          <cell r="AD6460">
            <v>77000</v>
          </cell>
        </row>
        <row r="6461">
          <cell r="W6461" t="str">
            <v>QJAGU29</v>
          </cell>
          <cell r="AD6461">
            <v>89000</v>
          </cell>
        </row>
        <row r="6462">
          <cell r="W6462" t="str">
            <v>QJAGU29</v>
          </cell>
          <cell r="AD6462">
            <v>89000</v>
          </cell>
        </row>
        <row r="6463">
          <cell r="W6463" t="str">
            <v>QJAGU29</v>
          </cell>
          <cell r="AD6463">
            <v>90000</v>
          </cell>
        </row>
        <row r="6464">
          <cell r="W6464" t="str">
            <v>QJAGU29</v>
          </cell>
          <cell r="AD6464">
            <v>90000</v>
          </cell>
        </row>
        <row r="6465">
          <cell r="W6465" t="str">
            <v>QJAGU29</v>
          </cell>
          <cell r="AD6465">
            <v>90000</v>
          </cell>
        </row>
        <row r="6466">
          <cell r="W6466" t="str">
            <v>QJAGU29</v>
          </cell>
          <cell r="AD6466">
            <v>90000</v>
          </cell>
        </row>
        <row r="6467">
          <cell r="W6467" t="str">
            <v>QJAGU29</v>
          </cell>
          <cell r="AD6467">
            <v>91000</v>
          </cell>
        </row>
        <row r="6468">
          <cell r="W6468" t="str">
            <v>QJAGU29</v>
          </cell>
          <cell r="AD6468">
            <v>91000</v>
          </cell>
        </row>
        <row r="6469">
          <cell r="W6469" t="str">
            <v>QJAGU29</v>
          </cell>
          <cell r="AD6469">
            <v>95000</v>
          </cell>
        </row>
        <row r="6470">
          <cell r="W6470" t="str">
            <v>QJAGU29</v>
          </cell>
          <cell r="AD6470">
            <v>95000</v>
          </cell>
        </row>
        <row r="6471">
          <cell r="W6471" t="str">
            <v>QJAGU29</v>
          </cell>
          <cell r="AD6471">
            <v>95000</v>
          </cell>
        </row>
        <row r="6472">
          <cell r="W6472" t="str">
            <v>QJAGU29</v>
          </cell>
          <cell r="AD6472">
            <v>95000</v>
          </cell>
        </row>
        <row r="6473">
          <cell r="W6473" t="str">
            <v>QJAGU29</v>
          </cell>
          <cell r="AD6473">
            <v>95000</v>
          </cell>
        </row>
        <row r="6474">
          <cell r="W6474" t="str">
            <v>QJAGU29</v>
          </cell>
          <cell r="AD6474">
            <v>95000</v>
          </cell>
        </row>
        <row r="6475">
          <cell r="W6475" t="str">
            <v>QJAGU29</v>
          </cell>
          <cell r="AD6475">
            <v>95000</v>
          </cell>
        </row>
        <row r="6476">
          <cell r="W6476" t="str">
            <v>QJAGU29</v>
          </cell>
          <cell r="AD6476">
            <v>95000</v>
          </cell>
        </row>
        <row r="6477">
          <cell r="W6477" t="str">
            <v>QJAGU29</v>
          </cell>
          <cell r="AD6477">
            <v>95000</v>
          </cell>
        </row>
        <row r="6478">
          <cell r="W6478" t="str">
            <v>QJAGU29</v>
          </cell>
          <cell r="AD6478">
            <v>95000</v>
          </cell>
        </row>
        <row r="6479">
          <cell r="W6479" t="str">
            <v>QJAGU29</v>
          </cell>
          <cell r="AD6479">
            <v>95000</v>
          </cell>
        </row>
        <row r="6480">
          <cell r="W6480" t="str">
            <v>QJAGU29</v>
          </cell>
          <cell r="AD6480">
            <v>95000</v>
          </cell>
        </row>
        <row r="6481">
          <cell r="W6481" t="str">
            <v>QJAGU29</v>
          </cell>
          <cell r="AD6481">
            <v>95000</v>
          </cell>
        </row>
        <row r="6482">
          <cell r="W6482" t="str">
            <v>QJAGU29</v>
          </cell>
          <cell r="AD6482">
            <v>95000</v>
          </cell>
        </row>
        <row r="6483">
          <cell r="W6483" t="str">
            <v>QJAGU29</v>
          </cell>
          <cell r="AD6483">
            <v>95000</v>
          </cell>
        </row>
        <row r="6484">
          <cell r="W6484" t="str">
            <v>QJAGU29</v>
          </cell>
          <cell r="AD6484">
            <v>95000</v>
          </cell>
        </row>
        <row r="6485">
          <cell r="W6485" t="str">
            <v>QJAGU29</v>
          </cell>
          <cell r="AD6485">
            <v>95000</v>
          </cell>
        </row>
        <row r="6486">
          <cell r="W6486" t="str">
            <v>QJAGU29</v>
          </cell>
          <cell r="AD6486">
            <v>95000</v>
          </cell>
        </row>
        <row r="6487">
          <cell r="W6487" t="str">
            <v>QJAGU29</v>
          </cell>
          <cell r="AD6487">
            <v>95000</v>
          </cell>
        </row>
        <row r="6488">
          <cell r="W6488" t="str">
            <v>QJAGU29</v>
          </cell>
          <cell r="AD6488">
            <v>95000</v>
          </cell>
        </row>
        <row r="6489">
          <cell r="W6489" t="str">
            <v>QJAGU29</v>
          </cell>
          <cell r="AD6489">
            <v>95000</v>
          </cell>
        </row>
        <row r="6490">
          <cell r="W6490" t="str">
            <v>QJAGU29</v>
          </cell>
          <cell r="AD6490">
            <v>95000</v>
          </cell>
        </row>
        <row r="6491">
          <cell r="W6491" t="str">
            <v>QJAGU29</v>
          </cell>
          <cell r="AD6491">
            <v>95000</v>
          </cell>
        </row>
        <row r="6492">
          <cell r="W6492" t="str">
            <v>QJAGU29</v>
          </cell>
          <cell r="AD6492">
            <v>95000</v>
          </cell>
        </row>
        <row r="6493">
          <cell r="W6493" t="str">
            <v>QJAGU29</v>
          </cell>
          <cell r="AD6493">
            <v>95000</v>
          </cell>
        </row>
        <row r="6494">
          <cell r="W6494" t="str">
            <v>QJAGU29</v>
          </cell>
          <cell r="AD6494">
            <v>95000</v>
          </cell>
        </row>
        <row r="6495">
          <cell r="W6495" t="str">
            <v>QJAGU29</v>
          </cell>
          <cell r="AD6495">
            <v>95000</v>
          </cell>
        </row>
        <row r="6496">
          <cell r="W6496" t="str">
            <v>QJAGU29</v>
          </cell>
          <cell r="AD6496">
            <v>95000</v>
          </cell>
        </row>
        <row r="6497">
          <cell r="W6497" t="str">
            <v>QJAGU29</v>
          </cell>
          <cell r="AD6497">
            <v>95000</v>
          </cell>
        </row>
        <row r="6498">
          <cell r="W6498" t="str">
            <v>QJAGU29</v>
          </cell>
          <cell r="AD6498">
            <v>95000</v>
          </cell>
        </row>
        <row r="6499">
          <cell r="W6499" t="str">
            <v>QJAGU29</v>
          </cell>
          <cell r="AD6499">
            <v>95000</v>
          </cell>
        </row>
        <row r="6500">
          <cell r="W6500" t="str">
            <v>QJAGU29</v>
          </cell>
          <cell r="AD6500">
            <v>95000</v>
          </cell>
        </row>
        <row r="6501">
          <cell r="W6501" t="str">
            <v>QJAGU29</v>
          </cell>
          <cell r="AD6501">
            <v>95000</v>
          </cell>
        </row>
        <row r="6502">
          <cell r="W6502" t="str">
            <v>QJAGU29</v>
          </cell>
          <cell r="AD6502">
            <v>95000</v>
          </cell>
        </row>
        <row r="6503">
          <cell r="W6503" t="str">
            <v>QJAGU29</v>
          </cell>
          <cell r="AD6503">
            <v>95000</v>
          </cell>
        </row>
        <row r="6504">
          <cell r="W6504" t="str">
            <v>QJAGU29</v>
          </cell>
          <cell r="AD6504">
            <v>95000</v>
          </cell>
        </row>
        <row r="6505">
          <cell r="W6505" t="str">
            <v>QJAGU29</v>
          </cell>
          <cell r="AD6505">
            <v>95000</v>
          </cell>
        </row>
        <row r="6506">
          <cell r="W6506" t="str">
            <v>QJAGU29</v>
          </cell>
          <cell r="AD6506">
            <v>95000</v>
          </cell>
        </row>
        <row r="6507">
          <cell r="W6507" t="str">
            <v>QJAGU29</v>
          </cell>
          <cell r="AD6507">
            <v>95000</v>
          </cell>
        </row>
        <row r="6508">
          <cell r="W6508" t="str">
            <v>QJAGU29</v>
          </cell>
          <cell r="AD6508">
            <v>95000</v>
          </cell>
        </row>
        <row r="6509">
          <cell r="W6509" t="str">
            <v>QJAGU29</v>
          </cell>
          <cell r="AD6509">
            <v>95000</v>
          </cell>
        </row>
        <row r="6510">
          <cell r="W6510" t="str">
            <v>QJAGU29</v>
          </cell>
          <cell r="AD6510">
            <v>95000</v>
          </cell>
        </row>
        <row r="6511">
          <cell r="W6511" t="str">
            <v>QJAGU29</v>
          </cell>
          <cell r="AD6511">
            <v>95000</v>
          </cell>
        </row>
        <row r="6512">
          <cell r="W6512" t="str">
            <v>QJAGU29</v>
          </cell>
          <cell r="AD6512">
            <v>100000</v>
          </cell>
        </row>
        <row r="6513">
          <cell r="W6513" t="str">
            <v>QJAGU29</v>
          </cell>
          <cell r="AD6513">
            <v>100000</v>
          </cell>
        </row>
        <row r="6514">
          <cell r="W6514" t="str">
            <v>AJAGU21</v>
          </cell>
          <cell r="AD6514">
            <v>1</v>
          </cell>
        </row>
        <row r="6515">
          <cell r="W6515" t="str">
            <v>QJAGU16</v>
          </cell>
          <cell r="AD6515">
            <v>44500</v>
          </cell>
        </row>
        <row r="6516">
          <cell r="W6516" t="str">
            <v>AJAGU22</v>
          </cell>
          <cell r="AD6516">
            <v>44500</v>
          </cell>
        </row>
        <row r="6517">
          <cell r="W6517" t="str">
            <v>QJAGU52</v>
          </cell>
          <cell r="AD6517">
            <v>70000</v>
          </cell>
        </row>
        <row r="6518">
          <cell r="W6518" t="str">
            <v>QJAGU52</v>
          </cell>
          <cell r="AD6518">
            <v>70000</v>
          </cell>
        </row>
        <row r="6519">
          <cell r="W6519" t="str">
            <v>QJAGU25</v>
          </cell>
          <cell r="AD6519">
            <v>70000</v>
          </cell>
        </row>
        <row r="6520">
          <cell r="W6520" t="str">
            <v>QJAGU25</v>
          </cell>
          <cell r="AD6520">
            <v>70000</v>
          </cell>
        </row>
        <row r="6521">
          <cell r="W6521" t="str">
            <v>QJAGU25</v>
          </cell>
          <cell r="AD6521">
            <v>70000</v>
          </cell>
        </row>
        <row r="6522">
          <cell r="W6522" t="str">
            <v>QJAGU25</v>
          </cell>
          <cell r="AD6522">
            <v>70000</v>
          </cell>
        </row>
        <row r="6523">
          <cell r="W6523" t="str">
            <v>QJAGU25</v>
          </cell>
          <cell r="AD6523">
            <v>70000</v>
          </cell>
        </row>
        <row r="6524">
          <cell r="W6524" t="str">
            <v>QJAGU25</v>
          </cell>
          <cell r="AD6524">
            <v>70000</v>
          </cell>
        </row>
        <row r="6525">
          <cell r="W6525" t="str">
            <v>QJAGU25</v>
          </cell>
          <cell r="AD6525">
            <v>72000</v>
          </cell>
        </row>
        <row r="6526">
          <cell r="W6526" t="str">
            <v>QJAGU25</v>
          </cell>
          <cell r="AD6526">
            <v>72500</v>
          </cell>
        </row>
        <row r="6527">
          <cell r="W6527" t="str">
            <v>QJAGU25</v>
          </cell>
          <cell r="AD6527">
            <v>72500</v>
          </cell>
        </row>
        <row r="6528">
          <cell r="W6528" t="str">
            <v>QJAGU25</v>
          </cell>
          <cell r="AD6528">
            <v>72500</v>
          </cell>
        </row>
        <row r="6529">
          <cell r="W6529" t="str">
            <v>QJAGU25</v>
          </cell>
          <cell r="AD6529">
            <v>72500</v>
          </cell>
        </row>
        <row r="6530">
          <cell r="W6530" t="str">
            <v>QJAGU25</v>
          </cell>
          <cell r="AD6530">
            <v>72500</v>
          </cell>
        </row>
        <row r="6531">
          <cell r="W6531" t="str">
            <v>QJAGU25</v>
          </cell>
          <cell r="AD6531">
            <v>72500</v>
          </cell>
        </row>
        <row r="6532">
          <cell r="W6532" t="str">
            <v>QJAGU25</v>
          </cell>
          <cell r="AD6532">
            <v>72500</v>
          </cell>
        </row>
        <row r="6533">
          <cell r="W6533" t="str">
            <v>QJAGU25</v>
          </cell>
          <cell r="AD6533">
            <v>72500</v>
          </cell>
        </row>
        <row r="6534">
          <cell r="W6534" t="str">
            <v>QJAGU39</v>
          </cell>
          <cell r="AD6534">
            <v>43000</v>
          </cell>
        </row>
        <row r="6535">
          <cell r="W6535" t="str">
            <v>QJAMD01</v>
          </cell>
          <cell r="AD6535">
            <v>140800</v>
          </cell>
        </row>
        <row r="6536">
          <cell r="W6536" t="str">
            <v>QJAMD01</v>
          </cell>
          <cell r="AD6536">
            <v>140800</v>
          </cell>
        </row>
        <row r="6537">
          <cell r="W6537" t="str">
            <v>QJAMD01</v>
          </cell>
          <cell r="AD6537">
            <v>140800</v>
          </cell>
        </row>
        <row r="6538">
          <cell r="W6538" t="str">
            <v>QJAMD01</v>
          </cell>
          <cell r="AD6538">
            <v>140800</v>
          </cell>
        </row>
        <row r="6539">
          <cell r="W6539" t="str">
            <v>QJAMD01</v>
          </cell>
          <cell r="AD6539">
            <v>140800</v>
          </cell>
        </row>
        <row r="6540">
          <cell r="W6540" t="str">
            <v>QJAMD01</v>
          </cell>
          <cell r="AD6540">
            <v>140800</v>
          </cell>
        </row>
        <row r="6541">
          <cell r="W6541" t="str">
            <v>QJAMD01</v>
          </cell>
          <cell r="AD6541">
            <v>140800</v>
          </cell>
        </row>
        <row r="6542">
          <cell r="W6542" t="str">
            <v>QJAMD01</v>
          </cell>
          <cell r="AD6542">
            <v>140800</v>
          </cell>
        </row>
        <row r="6543">
          <cell r="W6543" t="str">
            <v>QJAMD01</v>
          </cell>
          <cell r="AD6543">
            <v>140800</v>
          </cell>
        </row>
        <row r="6544">
          <cell r="W6544" t="str">
            <v>QJAMD01</v>
          </cell>
          <cell r="AD6544">
            <v>140800</v>
          </cell>
        </row>
        <row r="6545">
          <cell r="W6545" t="str">
            <v>QJAMD01</v>
          </cell>
          <cell r="AD6545">
            <v>140800</v>
          </cell>
        </row>
        <row r="6546">
          <cell r="W6546" t="str">
            <v>QJAMD01</v>
          </cell>
          <cell r="AD6546">
            <v>140800</v>
          </cell>
        </row>
        <row r="6547">
          <cell r="W6547" t="str">
            <v>QJAMD01</v>
          </cell>
          <cell r="AD6547">
            <v>140800</v>
          </cell>
        </row>
        <row r="6548">
          <cell r="W6548" t="str">
            <v>QJAMD01</v>
          </cell>
          <cell r="AD6548">
            <v>140800</v>
          </cell>
        </row>
        <row r="6549">
          <cell r="W6549" t="str">
            <v>QJAMD01</v>
          </cell>
          <cell r="AD6549">
            <v>140800</v>
          </cell>
        </row>
        <row r="6550">
          <cell r="W6550" t="str">
            <v>QJAMD01</v>
          </cell>
          <cell r="AD6550">
            <v>140800</v>
          </cell>
        </row>
        <row r="6551">
          <cell r="W6551" t="str">
            <v>QJAMD01</v>
          </cell>
          <cell r="AD6551">
            <v>140800</v>
          </cell>
        </row>
        <row r="6552">
          <cell r="W6552" t="str">
            <v>QJAMD01</v>
          </cell>
          <cell r="AD6552">
            <v>140800</v>
          </cell>
        </row>
        <row r="6553">
          <cell r="W6553" t="str">
            <v>QJAMD01</v>
          </cell>
          <cell r="AD6553">
            <v>140800</v>
          </cell>
        </row>
        <row r="6554">
          <cell r="W6554" t="str">
            <v>QJAMD01</v>
          </cell>
          <cell r="AD6554">
            <v>140800</v>
          </cell>
        </row>
        <row r="6555">
          <cell r="W6555" t="str">
            <v>QJAMD02</v>
          </cell>
          <cell r="AD6555">
            <v>233200</v>
          </cell>
        </row>
        <row r="6556">
          <cell r="W6556" t="str">
            <v>QJAMD02</v>
          </cell>
          <cell r="AD6556">
            <v>233200</v>
          </cell>
        </row>
        <row r="6557">
          <cell r="W6557" t="str">
            <v>QJAMD02</v>
          </cell>
          <cell r="AD6557">
            <v>233200</v>
          </cell>
        </row>
        <row r="6558">
          <cell r="W6558" t="str">
            <v>QJAMD02</v>
          </cell>
          <cell r="AD6558">
            <v>233200</v>
          </cell>
        </row>
        <row r="6559">
          <cell r="W6559" t="str">
            <v>QJAMD02</v>
          </cell>
          <cell r="AD6559">
            <v>233200</v>
          </cell>
        </row>
        <row r="6560">
          <cell r="W6560" t="str">
            <v>QJAMD02</v>
          </cell>
          <cell r="AD6560">
            <v>233200</v>
          </cell>
        </row>
        <row r="6561">
          <cell r="W6561" t="str">
            <v>QJAMD02</v>
          </cell>
          <cell r="AD6561">
            <v>233200</v>
          </cell>
        </row>
        <row r="6562">
          <cell r="W6562" t="str">
            <v>QJAMD02</v>
          </cell>
          <cell r="AD6562">
            <v>233200</v>
          </cell>
        </row>
        <row r="6563">
          <cell r="W6563" t="str">
            <v>QJAMD02</v>
          </cell>
          <cell r="AD6563">
            <v>233200</v>
          </cell>
        </row>
        <row r="6564">
          <cell r="W6564" t="str">
            <v>QJAMD02</v>
          </cell>
          <cell r="AD6564">
            <v>233200</v>
          </cell>
        </row>
        <row r="6565">
          <cell r="W6565" t="str">
            <v>QJAMD02</v>
          </cell>
          <cell r="AD6565">
            <v>233200</v>
          </cell>
        </row>
        <row r="6566">
          <cell r="W6566" t="str">
            <v>QJAMD02</v>
          </cell>
          <cell r="AD6566">
            <v>233200</v>
          </cell>
        </row>
        <row r="6567">
          <cell r="W6567" t="str">
            <v>QJAMD02</v>
          </cell>
          <cell r="AD6567">
            <v>233200</v>
          </cell>
        </row>
        <row r="6568">
          <cell r="W6568" t="str">
            <v>QJAMD02</v>
          </cell>
          <cell r="AD6568">
            <v>233200</v>
          </cell>
        </row>
        <row r="6569">
          <cell r="W6569" t="str">
            <v>QJAMD02</v>
          </cell>
          <cell r="AD6569">
            <v>233200</v>
          </cell>
        </row>
        <row r="6570">
          <cell r="W6570" t="str">
            <v>QJAMD02</v>
          </cell>
          <cell r="AD6570">
            <v>233200</v>
          </cell>
        </row>
        <row r="6571">
          <cell r="W6571" t="str">
            <v>QJAMD02</v>
          </cell>
          <cell r="AD6571">
            <v>233200</v>
          </cell>
        </row>
        <row r="6572">
          <cell r="W6572" t="str">
            <v>QJAMD02</v>
          </cell>
          <cell r="AD6572">
            <v>233200</v>
          </cell>
        </row>
        <row r="6573">
          <cell r="W6573" t="str">
            <v>QJAMD02</v>
          </cell>
          <cell r="AD6573">
            <v>233200</v>
          </cell>
        </row>
        <row r="6574">
          <cell r="W6574" t="str">
            <v>QJAMD02</v>
          </cell>
          <cell r="AD6574">
            <v>233200</v>
          </cell>
        </row>
        <row r="6575">
          <cell r="W6575" t="str">
            <v>QJAMD02</v>
          </cell>
          <cell r="AD6575">
            <v>233200</v>
          </cell>
        </row>
        <row r="6576">
          <cell r="W6576" t="str">
            <v>QJAMD02</v>
          </cell>
          <cell r="AD6576">
            <v>233200</v>
          </cell>
        </row>
        <row r="6577">
          <cell r="W6577" t="str">
            <v>QJAMD02</v>
          </cell>
          <cell r="AD6577">
            <v>233200</v>
          </cell>
        </row>
        <row r="6578">
          <cell r="W6578" t="str">
            <v>QJAMD02</v>
          </cell>
          <cell r="AD6578">
            <v>233200</v>
          </cell>
        </row>
        <row r="6579">
          <cell r="W6579" t="str">
            <v>QJAMD02</v>
          </cell>
          <cell r="AD6579">
            <v>233200</v>
          </cell>
        </row>
        <row r="6580">
          <cell r="W6580" t="str">
            <v>QJAMD02</v>
          </cell>
          <cell r="AD6580">
            <v>233200</v>
          </cell>
        </row>
        <row r="6581">
          <cell r="W6581" t="str">
            <v>QJAMD02</v>
          </cell>
          <cell r="AD6581">
            <v>233200</v>
          </cell>
        </row>
        <row r="6582">
          <cell r="W6582" t="str">
            <v>QJAMD02</v>
          </cell>
          <cell r="AD6582">
            <v>233200</v>
          </cell>
        </row>
        <row r="6583">
          <cell r="W6583" t="str">
            <v>QJAMD02</v>
          </cell>
          <cell r="AD6583">
            <v>233200</v>
          </cell>
        </row>
        <row r="6584">
          <cell r="W6584" t="str">
            <v>QJAMD02</v>
          </cell>
          <cell r="AD6584">
            <v>233200</v>
          </cell>
        </row>
        <row r="6585">
          <cell r="W6585" t="str">
            <v>QJAMD02</v>
          </cell>
          <cell r="AD6585">
            <v>233200</v>
          </cell>
        </row>
        <row r="6586">
          <cell r="W6586" t="str">
            <v>QJAMD02</v>
          </cell>
          <cell r="AD6586">
            <v>233200</v>
          </cell>
        </row>
        <row r="6587">
          <cell r="W6587" t="str">
            <v>QJAMD02</v>
          </cell>
          <cell r="AD6587">
            <v>233200</v>
          </cell>
        </row>
        <row r="6588">
          <cell r="W6588" t="str">
            <v>QJAMD02</v>
          </cell>
          <cell r="AD6588">
            <v>233200</v>
          </cell>
        </row>
        <row r="6589">
          <cell r="W6589" t="str">
            <v>QJAMD02</v>
          </cell>
          <cell r="AD6589">
            <v>233200</v>
          </cell>
        </row>
        <row r="6590">
          <cell r="W6590" t="str">
            <v>QJAMD02</v>
          </cell>
          <cell r="AD6590">
            <v>233200</v>
          </cell>
        </row>
        <row r="6591">
          <cell r="W6591" t="str">
            <v>QJAMD02</v>
          </cell>
          <cell r="AD6591">
            <v>233200</v>
          </cell>
        </row>
        <row r="6592">
          <cell r="W6592" t="str">
            <v>QJAMD02</v>
          </cell>
          <cell r="AD6592">
            <v>233200</v>
          </cell>
        </row>
        <row r="6593">
          <cell r="W6593" t="str">
            <v>QJAMD02</v>
          </cell>
          <cell r="AD6593">
            <v>332200</v>
          </cell>
        </row>
        <row r="6594">
          <cell r="W6594" t="str">
            <v>QJAMD03</v>
          </cell>
          <cell r="AD6594">
            <v>332200</v>
          </cell>
        </row>
        <row r="6595">
          <cell r="W6595" t="str">
            <v>QJAMD03</v>
          </cell>
          <cell r="AD6595">
            <v>332200</v>
          </cell>
        </row>
        <row r="6596">
          <cell r="W6596" t="str">
            <v>QJAMD03</v>
          </cell>
          <cell r="AD6596">
            <v>332200</v>
          </cell>
        </row>
        <row r="6597">
          <cell r="W6597" t="str">
            <v>QJAMD03</v>
          </cell>
          <cell r="AD6597">
            <v>332200</v>
          </cell>
        </row>
        <row r="6598">
          <cell r="W6598" t="str">
            <v>QJAMD03</v>
          </cell>
          <cell r="AD6598">
            <v>332200</v>
          </cell>
        </row>
        <row r="6599">
          <cell r="W6599" t="str">
            <v>QJAMD03</v>
          </cell>
          <cell r="AD6599">
            <v>332200</v>
          </cell>
        </row>
        <row r="6600">
          <cell r="W6600" t="str">
            <v>QJAMD03</v>
          </cell>
          <cell r="AD6600">
            <v>332200</v>
          </cell>
        </row>
        <row r="6601">
          <cell r="W6601" t="str">
            <v>QJAMD03</v>
          </cell>
          <cell r="AD6601">
            <v>332200</v>
          </cell>
        </row>
        <row r="6602">
          <cell r="W6602" t="str">
            <v>QJAMD03</v>
          </cell>
          <cell r="AD6602">
            <v>332200</v>
          </cell>
        </row>
        <row r="6603">
          <cell r="W6603" t="str">
            <v>QJAMD03</v>
          </cell>
          <cell r="AD6603">
            <v>332200</v>
          </cell>
        </row>
        <row r="6604">
          <cell r="W6604" t="str">
            <v>QJAMD03</v>
          </cell>
          <cell r="AD6604">
            <v>332200</v>
          </cell>
        </row>
        <row r="6605">
          <cell r="W6605" t="str">
            <v>QJAMD03</v>
          </cell>
          <cell r="AD6605">
            <v>332200</v>
          </cell>
        </row>
        <row r="6606">
          <cell r="W6606" t="str">
            <v>QJAMD03</v>
          </cell>
          <cell r="AD6606">
            <v>332200</v>
          </cell>
        </row>
        <row r="6607">
          <cell r="W6607" t="str">
            <v>QJAMD03</v>
          </cell>
          <cell r="AD6607">
            <v>332200</v>
          </cell>
        </row>
        <row r="6608">
          <cell r="W6608" t="str">
            <v>QJAMD03</v>
          </cell>
          <cell r="AD6608">
            <v>332200</v>
          </cell>
        </row>
        <row r="6609">
          <cell r="W6609" t="str">
            <v>QJAMD03</v>
          </cell>
          <cell r="AD6609">
            <v>332200</v>
          </cell>
        </row>
        <row r="6610">
          <cell r="W6610" t="str">
            <v>QJAMD03</v>
          </cell>
          <cell r="AD6610">
            <v>332200</v>
          </cell>
        </row>
        <row r="6611">
          <cell r="W6611" t="str">
            <v>QJAMD03</v>
          </cell>
          <cell r="AD6611">
            <v>332200</v>
          </cell>
        </row>
        <row r="6612">
          <cell r="W6612" t="str">
            <v>QJAMD03</v>
          </cell>
          <cell r="AD6612">
            <v>332200</v>
          </cell>
        </row>
        <row r="6613">
          <cell r="W6613" t="str">
            <v>QJAMD03</v>
          </cell>
          <cell r="AD6613">
            <v>332200</v>
          </cell>
        </row>
        <row r="6614">
          <cell r="W6614" t="str">
            <v>QJAMD03</v>
          </cell>
          <cell r="AD6614">
            <v>332200</v>
          </cell>
        </row>
        <row r="6615">
          <cell r="W6615" t="str">
            <v>QJAMD03</v>
          </cell>
          <cell r="AD6615">
            <v>332200</v>
          </cell>
        </row>
        <row r="6616">
          <cell r="W6616" t="str">
            <v>QJAMD03</v>
          </cell>
          <cell r="AD6616">
            <v>332200</v>
          </cell>
        </row>
        <row r="6617">
          <cell r="W6617" t="str">
            <v>QJAMD03</v>
          </cell>
          <cell r="AD6617">
            <v>332200</v>
          </cell>
        </row>
        <row r="6618">
          <cell r="W6618" t="str">
            <v>QJAPR05</v>
          </cell>
          <cell r="AD6618">
            <v>85000</v>
          </cell>
        </row>
        <row r="6619">
          <cell r="W6619" t="str">
            <v>QJAPR05</v>
          </cell>
          <cell r="AD6619">
            <v>85000</v>
          </cell>
        </row>
        <row r="6620">
          <cell r="W6620" t="str">
            <v>QJAPR05</v>
          </cell>
          <cell r="AD6620">
            <v>85000</v>
          </cell>
        </row>
        <row r="6621">
          <cell r="W6621" t="str">
            <v>QJAPR05</v>
          </cell>
          <cell r="AD6621">
            <v>85000</v>
          </cell>
        </row>
        <row r="6622">
          <cell r="W6622" t="str">
            <v>QJAPR05</v>
          </cell>
          <cell r="AD6622">
            <v>85000</v>
          </cell>
        </row>
        <row r="6623">
          <cell r="W6623" t="str">
            <v>QJAPR05</v>
          </cell>
          <cell r="AD6623">
            <v>85000</v>
          </cell>
        </row>
        <row r="6624">
          <cell r="W6624" t="str">
            <v>QJAPR05</v>
          </cell>
          <cell r="AD6624">
            <v>85000</v>
          </cell>
        </row>
        <row r="6625">
          <cell r="W6625" t="str">
            <v>AJAPR03</v>
          </cell>
          <cell r="AD6625">
            <v>85000</v>
          </cell>
        </row>
        <row r="6626">
          <cell r="W6626" t="str">
            <v>QJAPR05</v>
          </cell>
          <cell r="AD6626">
            <v>85000</v>
          </cell>
        </row>
        <row r="6627">
          <cell r="W6627" t="str">
            <v>QJAPR06</v>
          </cell>
          <cell r="AD6627">
            <v>84000</v>
          </cell>
        </row>
        <row r="6628">
          <cell r="W6628" t="str">
            <v>QJAPR06</v>
          </cell>
          <cell r="AD6628">
            <v>85000</v>
          </cell>
        </row>
        <row r="6629">
          <cell r="W6629" t="str">
            <v>QJAPR06</v>
          </cell>
          <cell r="AD6629">
            <v>85000</v>
          </cell>
        </row>
        <row r="6630">
          <cell r="W6630" t="str">
            <v>QJAPR06</v>
          </cell>
          <cell r="AD6630">
            <v>85000</v>
          </cell>
        </row>
        <row r="6631">
          <cell r="W6631" t="str">
            <v>QJAPR06</v>
          </cell>
          <cell r="AD6631">
            <v>85000</v>
          </cell>
        </row>
        <row r="6632">
          <cell r="W6632" t="str">
            <v>QJAPR06</v>
          </cell>
          <cell r="AD6632">
            <v>85000</v>
          </cell>
        </row>
        <row r="6633">
          <cell r="W6633" t="str">
            <v>QJAPR06</v>
          </cell>
          <cell r="AD6633">
            <v>85000</v>
          </cell>
        </row>
        <row r="6634">
          <cell r="W6634" t="str">
            <v>QJAPR04</v>
          </cell>
          <cell r="AD6634">
            <v>41500</v>
          </cell>
        </row>
        <row r="6635">
          <cell r="W6635" t="str">
            <v>QJAPR04</v>
          </cell>
          <cell r="AD6635">
            <v>45000</v>
          </cell>
        </row>
        <row r="6636">
          <cell r="W6636" t="str">
            <v>QJAPR04</v>
          </cell>
          <cell r="AD6636">
            <v>45000</v>
          </cell>
        </row>
        <row r="6637">
          <cell r="W6637" t="str">
            <v>QJAPR04</v>
          </cell>
          <cell r="AD6637">
            <v>45000</v>
          </cell>
        </row>
        <row r="6638">
          <cell r="W6638" t="str">
            <v>QJAPR04</v>
          </cell>
          <cell r="AD6638">
            <v>45000</v>
          </cell>
        </row>
        <row r="6639">
          <cell r="W6639" t="str">
            <v>QJAPR04</v>
          </cell>
          <cell r="AD6639">
            <v>45000</v>
          </cell>
        </row>
        <row r="6640">
          <cell r="W6640" t="str">
            <v>QJAPR04</v>
          </cell>
          <cell r="AD6640">
            <v>45000</v>
          </cell>
        </row>
        <row r="6641">
          <cell r="W6641" t="str">
            <v>QJAPR04</v>
          </cell>
          <cell r="AD6641">
            <v>46000</v>
          </cell>
        </row>
        <row r="6642">
          <cell r="W6642" t="str">
            <v>QJAPR04</v>
          </cell>
          <cell r="AD6642">
            <v>46000</v>
          </cell>
        </row>
        <row r="6643">
          <cell r="W6643" t="str">
            <v>QJAPR04</v>
          </cell>
          <cell r="AD6643">
            <v>46000</v>
          </cell>
        </row>
        <row r="6644">
          <cell r="W6644" t="str">
            <v>QJAPR04</v>
          </cell>
          <cell r="AD6644">
            <v>46000</v>
          </cell>
        </row>
        <row r="6645">
          <cell r="W6645" t="str">
            <v>QJATR04</v>
          </cell>
          <cell r="AD6645">
            <v>110000</v>
          </cell>
        </row>
        <row r="6646">
          <cell r="W6646" t="str">
            <v>QKACA01</v>
          </cell>
          <cell r="AD6646">
            <v>76000</v>
          </cell>
        </row>
        <row r="6647">
          <cell r="W6647" t="str">
            <v>QKACA01</v>
          </cell>
          <cell r="AD6647">
            <v>76000</v>
          </cell>
        </row>
        <row r="6648">
          <cell r="W6648" t="str">
            <v>QKACA01</v>
          </cell>
          <cell r="AD6648">
            <v>78000</v>
          </cell>
        </row>
        <row r="6649">
          <cell r="W6649" t="str">
            <v>QKACA01</v>
          </cell>
          <cell r="AD6649">
            <v>78000</v>
          </cell>
        </row>
        <row r="6650">
          <cell r="W6650" t="str">
            <v>QKACA01</v>
          </cell>
          <cell r="AD6650">
            <v>78000</v>
          </cell>
        </row>
        <row r="6651">
          <cell r="W6651" t="str">
            <v>QKACA01</v>
          </cell>
          <cell r="AD6651">
            <v>78000</v>
          </cell>
        </row>
        <row r="6652">
          <cell r="W6652" t="str">
            <v>QKACA01</v>
          </cell>
          <cell r="AD6652">
            <v>78000</v>
          </cell>
        </row>
        <row r="6653">
          <cell r="W6653" t="str">
            <v>QKACA01</v>
          </cell>
          <cell r="AD6653">
            <v>80000</v>
          </cell>
        </row>
        <row r="6654">
          <cell r="W6654" t="str">
            <v>QKACA01</v>
          </cell>
          <cell r="AD6654">
            <v>80000</v>
          </cell>
        </row>
        <row r="6655">
          <cell r="W6655" t="str">
            <v>QKACA01</v>
          </cell>
          <cell r="AD6655">
            <v>80000</v>
          </cell>
        </row>
        <row r="6656">
          <cell r="W6656" t="str">
            <v>QKACA01</v>
          </cell>
          <cell r="AD6656">
            <v>80000</v>
          </cell>
        </row>
        <row r="6657">
          <cell r="W6657" t="str">
            <v>QKACA01</v>
          </cell>
          <cell r="AD6657">
            <v>80000</v>
          </cell>
        </row>
        <row r="6658">
          <cell r="W6658" t="str">
            <v>QKACA01</v>
          </cell>
          <cell r="AD6658">
            <v>80000</v>
          </cell>
        </row>
        <row r="6659">
          <cell r="W6659" t="str">
            <v>QKACA02</v>
          </cell>
          <cell r="AD6659">
            <v>21000</v>
          </cell>
        </row>
        <row r="6660">
          <cell r="W6660" t="str">
            <v>QKACA02</v>
          </cell>
          <cell r="AD6660">
            <v>21000</v>
          </cell>
        </row>
        <row r="6661">
          <cell r="W6661" t="str">
            <v>QKACA02</v>
          </cell>
          <cell r="AD6661">
            <v>21000</v>
          </cell>
        </row>
        <row r="6662">
          <cell r="W6662" t="str">
            <v>QKACA02</v>
          </cell>
          <cell r="AD6662">
            <v>22000</v>
          </cell>
        </row>
        <row r="6663">
          <cell r="W6663" t="str">
            <v>QKACA02</v>
          </cell>
          <cell r="AD6663">
            <v>22000</v>
          </cell>
        </row>
        <row r="6664">
          <cell r="W6664" t="str">
            <v>QKACA02</v>
          </cell>
          <cell r="AD6664">
            <v>23000</v>
          </cell>
        </row>
        <row r="6665">
          <cell r="W6665" t="str">
            <v>QKACA02</v>
          </cell>
          <cell r="AD6665">
            <v>23000</v>
          </cell>
        </row>
        <row r="6666">
          <cell r="W6666" t="str">
            <v>QKACA02</v>
          </cell>
          <cell r="AD6666">
            <v>23000</v>
          </cell>
        </row>
        <row r="6667">
          <cell r="W6667" t="str">
            <v>QKACA02</v>
          </cell>
          <cell r="AD6667">
            <v>23000</v>
          </cell>
        </row>
        <row r="6668">
          <cell r="W6668" t="str">
            <v>QKACA11</v>
          </cell>
          <cell r="AD6668">
            <v>12000</v>
          </cell>
        </row>
        <row r="6669">
          <cell r="W6669" t="str">
            <v>QKACA11</v>
          </cell>
          <cell r="AD6669">
            <v>12000</v>
          </cell>
        </row>
        <row r="6670">
          <cell r="W6670" t="str">
            <v>QKACA11</v>
          </cell>
          <cell r="AD6670">
            <v>12000</v>
          </cell>
        </row>
        <row r="6671">
          <cell r="W6671" t="str">
            <v>QKACA11</v>
          </cell>
          <cell r="AD6671">
            <v>12000</v>
          </cell>
        </row>
        <row r="6672">
          <cell r="W6672" t="str">
            <v>QKACA11</v>
          </cell>
          <cell r="AD6672">
            <v>12000</v>
          </cell>
        </row>
        <row r="6673">
          <cell r="W6673" t="str">
            <v>QKACA11</v>
          </cell>
          <cell r="AD6673">
            <v>13000</v>
          </cell>
        </row>
        <row r="6674">
          <cell r="W6674" t="str">
            <v>QKACA11</v>
          </cell>
          <cell r="AD6674">
            <v>13000</v>
          </cell>
        </row>
        <row r="6675">
          <cell r="W6675" t="str">
            <v>QKACA07</v>
          </cell>
          <cell r="AD6675">
            <v>70000</v>
          </cell>
        </row>
        <row r="6676">
          <cell r="W6676" t="str">
            <v>QKACA07</v>
          </cell>
          <cell r="AD6676">
            <v>73000</v>
          </cell>
        </row>
        <row r="6677">
          <cell r="W6677" t="str">
            <v>QKACA07</v>
          </cell>
          <cell r="AD6677">
            <v>75000</v>
          </cell>
        </row>
        <row r="6678">
          <cell r="W6678" t="str">
            <v>QKACA07</v>
          </cell>
          <cell r="AD6678">
            <v>75000</v>
          </cell>
        </row>
        <row r="6679">
          <cell r="W6679" t="str">
            <v>QKACA07</v>
          </cell>
          <cell r="AD6679">
            <v>75000</v>
          </cell>
        </row>
        <row r="6680">
          <cell r="W6680" t="str">
            <v>QKACA07</v>
          </cell>
          <cell r="AD6680">
            <v>75000</v>
          </cell>
        </row>
        <row r="6681">
          <cell r="W6681" t="str">
            <v>ZZKALE01</v>
          </cell>
          <cell r="AD6681">
            <v>1</v>
          </cell>
        </row>
        <row r="6682">
          <cell r="W6682" t="str">
            <v>QKALI09</v>
          </cell>
          <cell r="AD6682">
            <v>161000</v>
          </cell>
        </row>
        <row r="6683">
          <cell r="W6683" t="str">
            <v>QKALI09</v>
          </cell>
          <cell r="AD6683">
            <v>167000</v>
          </cell>
        </row>
        <row r="6684">
          <cell r="W6684" t="str">
            <v>QKALI09</v>
          </cell>
          <cell r="AD6684">
            <v>167000</v>
          </cell>
        </row>
        <row r="6685">
          <cell r="W6685" t="str">
            <v>QKALI09</v>
          </cell>
          <cell r="AD6685">
            <v>167000</v>
          </cell>
        </row>
        <row r="6686">
          <cell r="W6686" t="str">
            <v>QKALI01</v>
          </cell>
          <cell r="AD6686">
            <v>50000</v>
          </cell>
        </row>
        <row r="6687">
          <cell r="W6687" t="str">
            <v>QKALI01</v>
          </cell>
          <cell r="AD6687">
            <v>50000</v>
          </cell>
        </row>
        <row r="6688">
          <cell r="W6688" t="str">
            <v>QKALI01</v>
          </cell>
          <cell r="AD6688">
            <v>61000</v>
          </cell>
        </row>
        <row r="6689">
          <cell r="W6689" t="str">
            <v>QKALI01</v>
          </cell>
          <cell r="AD6689">
            <v>64350</v>
          </cell>
        </row>
        <row r="6690">
          <cell r="W6690" t="str">
            <v>QKALI01</v>
          </cell>
          <cell r="AD6690">
            <v>64350</v>
          </cell>
        </row>
        <row r="6691">
          <cell r="W6691" t="str">
            <v>QKALI01</v>
          </cell>
          <cell r="AD6691">
            <v>70000</v>
          </cell>
        </row>
        <row r="6692">
          <cell r="W6692" t="str">
            <v>QKALI01</v>
          </cell>
          <cell r="AD6692">
            <v>70500</v>
          </cell>
        </row>
        <row r="6693">
          <cell r="W6693" t="str">
            <v>QKALI01</v>
          </cell>
          <cell r="AD6693">
            <v>70500</v>
          </cell>
        </row>
        <row r="6694">
          <cell r="W6694" t="str">
            <v>QKALI01</v>
          </cell>
          <cell r="AD6694">
            <v>70500</v>
          </cell>
        </row>
        <row r="6695">
          <cell r="W6695" t="str">
            <v>QKALI01</v>
          </cell>
          <cell r="AD6695">
            <v>71500</v>
          </cell>
        </row>
        <row r="6696">
          <cell r="W6696" t="str">
            <v>QKALI01</v>
          </cell>
          <cell r="AD6696">
            <v>71500</v>
          </cell>
        </row>
        <row r="6697">
          <cell r="W6697" t="str">
            <v>QKALI01</v>
          </cell>
          <cell r="AD6697">
            <v>71500</v>
          </cell>
        </row>
        <row r="6698">
          <cell r="W6698" t="str">
            <v>QKALI01</v>
          </cell>
          <cell r="AD6698">
            <v>71500</v>
          </cell>
        </row>
        <row r="6699">
          <cell r="W6699" t="str">
            <v>QKALI01</v>
          </cell>
          <cell r="AD6699">
            <v>71500</v>
          </cell>
        </row>
        <row r="6700">
          <cell r="W6700" t="str">
            <v>QKALI01</v>
          </cell>
          <cell r="AD6700">
            <v>71500</v>
          </cell>
        </row>
        <row r="6701">
          <cell r="W6701" t="str">
            <v>QKALI01</v>
          </cell>
          <cell r="AD6701">
            <v>71500</v>
          </cell>
        </row>
        <row r="6702">
          <cell r="W6702" t="str">
            <v>QKALI01</v>
          </cell>
          <cell r="AD6702">
            <v>71500</v>
          </cell>
        </row>
        <row r="6703">
          <cell r="W6703" t="str">
            <v>QKALI01</v>
          </cell>
          <cell r="AD6703">
            <v>71500</v>
          </cell>
        </row>
        <row r="6704">
          <cell r="W6704" t="str">
            <v>QKALI01</v>
          </cell>
          <cell r="AD6704">
            <v>71500</v>
          </cell>
        </row>
        <row r="6705">
          <cell r="W6705" t="str">
            <v>QKALI01</v>
          </cell>
          <cell r="AD6705">
            <v>71500</v>
          </cell>
        </row>
        <row r="6706">
          <cell r="W6706" t="str">
            <v>QKALI01</v>
          </cell>
          <cell r="AD6706">
            <v>71500</v>
          </cell>
        </row>
        <row r="6707">
          <cell r="W6707" t="str">
            <v>QKALI01</v>
          </cell>
          <cell r="AD6707">
            <v>71500</v>
          </cell>
        </row>
        <row r="6708">
          <cell r="W6708" t="str">
            <v>QKALI01</v>
          </cell>
          <cell r="AD6708">
            <v>71500</v>
          </cell>
        </row>
        <row r="6709">
          <cell r="W6709" t="str">
            <v>QKALI01</v>
          </cell>
          <cell r="AD6709">
            <v>71500</v>
          </cell>
        </row>
        <row r="6710">
          <cell r="W6710" t="str">
            <v>QKALI01</v>
          </cell>
          <cell r="AD6710">
            <v>71500</v>
          </cell>
        </row>
        <row r="6711">
          <cell r="W6711" t="str">
            <v>QKALI01</v>
          </cell>
          <cell r="AD6711">
            <v>71500</v>
          </cell>
        </row>
        <row r="6712">
          <cell r="W6712" t="str">
            <v>QKALI01</v>
          </cell>
          <cell r="AD6712">
            <v>71500</v>
          </cell>
        </row>
        <row r="6713">
          <cell r="W6713" t="str">
            <v>QKALI01</v>
          </cell>
          <cell r="AD6713">
            <v>71500</v>
          </cell>
        </row>
        <row r="6714">
          <cell r="W6714" t="str">
            <v>QKALI01</v>
          </cell>
          <cell r="AD6714">
            <v>71500</v>
          </cell>
        </row>
        <row r="6715">
          <cell r="W6715" t="str">
            <v>QKALI01</v>
          </cell>
          <cell r="AD6715">
            <v>71500</v>
          </cell>
        </row>
        <row r="6716">
          <cell r="W6716" t="str">
            <v>QKALI01</v>
          </cell>
          <cell r="AD6716">
            <v>71500</v>
          </cell>
        </row>
        <row r="6717">
          <cell r="W6717" t="str">
            <v>QKALI01</v>
          </cell>
          <cell r="AD6717">
            <v>71500</v>
          </cell>
        </row>
        <row r="6718">
          <cell r="W6718" t="str">
            <v>QKALI01</v>
          </cell>
          <cell r="AD6718">
            <v>71500</v>
          </cell>
        </row>
        <row r="6719">
          <cell r="W6719" t="str">
            <v>QKALI01</v>
          </cell>
          <cell r="AD6719">
            <v>71500</v>
          </cell>
        </row>
        <row r="6720">
          <cell r="W6720" t="str">
            <v>QKALI01</v>
          </cell>
          <cell r="AD6720">
            <v>71500</v>
          </cell>
        </row>
        <row r="6721">
          <cell r="W6721" t="str">
            <v>QKALI01</v>
          </cell>
          <cell r="AD6721">
            <v>71500</v>
          </cell>
        </row>
        <row r="6722">
          <cell r="W6722" t="str">
            <v>QKALI01</v>
          </cell>
          <cell r="AD6722">
            <v>71500</v>
          </cell>
        </row>
        <row r="6723">
          <cell r="W6723" t="str">
            <v>QKALI01</v>
          </cell>
          <cell r="AD6723">
            <v>71500</v>
          </cell>
        </row>
        <row r="6724">
          <cell r="W6724" t="str">
            <v>QKALI01</v>
          </cell>
          <cell r="AD6724">
            <v>71500</v>
          </cell>
        </row>
        <row r="6725">
          <cell r="W6725" t="str">
            <v>QKALI01</v>
          </cell>
          <cell r="AD6725">
            <v>71500</v>
          </cell>
        </row>
        <row r="6726">
          <cell r="W6726" t="str">
            <v>QKALI01</v>
          </cell>
          <cell r="AD6726">
            <v>71500</v>
          </cell>
        </row>
        <row r="6727">
          <cell r="W6727" t="str">
            <v>QKALI01</v>
          </cell>
          <cell r="AD6727">
            <v>71500</v>
          </cell>
        </row>
        <row r="6728">
          <cell r="W6728" t="str">
            <v>QKALI01</v>
          </cell>
          <cell r="AD6728">
            <v>71500</v>
          </cell>
        </row>
        <row r="6729">
          <cell r="W6729" t="str">
            <v>QKALI01</v>
          </cell>
          <cell r="AD6729">
            <v>71500</v>
          </cell>
        </row>
        <row r="6730">
          <cell r="W6730" t="str">
            <v>QKALI01</v>
          </cell>
          <cell r="AD6730">
            <v>71500</v>
          </cell>
        </row>
        <row r="6731">
          <cell r="W6731" t="str">
            <v>QKALI01</v>
          </cell>
          <cell r="AD6731">
            <v>71500</v>
          </cell>
        </row>
        <row r="6732">
          <cell r="W6732" t="str">
            <v>QKALI01</v>
          </cell>
          <cell r="AD6732">
            <v>71500</v>
          </cell>
        </row>
        <row r="6733">
          <cell r="W6733" t="str">
            <v>QKALI01</v>
          </cell>
          <cell r="AD6733">
            <v>71500</v>
          </cell>
        </row>
        <row r="6734">
          <cell r="W6734" t="str">
            <v>QKALI01</v>
          </cell>
          <cell r="AD6734">
            <v>71500</v>
          </cell>
        </row>
        <row r="6735">
          <cell r="W6735" t="str">
            <v>QKALI01</v>
          </cell>
          <cell r="AD6735">
            <v>71500</v>
          </cell>
        </row>
        <row r="6736">
          <cell r="W6736" t="str">
            <v>QKALI01</v>
          </cell>
          <cell r="AD6736">
            <v>71500</v>
          </cell>
        </row>
        <row r="6737">
          <cell r="W6737" t="str">
            <v>QKALI01</v>
          </cell>
          <cell r="AD6737">
            <v>71500</v>
          </cell>
        </row>
        <row r="6738">
          <cell r="W6738" t="str">
            <v>QKALI01</v>
          </cell>
          <cell r="AD6738">
            <v>71500</v>
          </cell>
        </row>
        <row r="6739">
          <cell r="W6739" t="str">
            <v>QKALI01</v>
          </cell>
          <cell r="AD6739">
            <v>71500</v>
          </cell>
        </row>
        <row r="6740">
          <cell r="W6740" t="str">
            <v>QKALI01</v>
          </cell>
          <cell r="AD6740">
            <v>71500</v>
          </cell>
        </row>
        <row r="6741">
          <cell r="W6741" t="str">
            <v>QKALI01</v>
          </cell>
          <cell r="AD6741">
            <v>71500</v>
          </cell>
        </row>
        <row r="6742">
          <cell r="W6742" t="str">
            <v>QKALI01</v>
          </cell>
          <cell r="AD6742">
            <v>71500</v>
          </cell>
        </row>
        <row r="6743">
          <cell r="W6743" t="str">
            <v>QKALI01</v>
          </cell>
          <cell r="AD6743">
            <v>71500</v>
          </cell>
        </row>
        <row r="6744">
          <cell r="W6744" t="str">
            <v>QKALI01</v>
          </cell>
          <cell r="AD6744">
            <v>71500</v>
          </cell>
        </row>
        <row r="6745">
          <cell r="W6745" t="str">
            <v>QKALI01</v>
          </cell>
          <cell r="AD6745">
            <v>71500</v>
          </cell>
        </row>
        <row r="6746">
          <cell r="W6746" t="str">
            <v>QKALI01</v>
          </cell>
          <cell r="AD6746">
            <v>71500</v>
          </cell>
        </row>
        <row r="6747">
          <cell r="W6747" t="str">
            <v>QKALI01</v>
          </cell>
          <cell r="AD6747">
            <v>71500</v>
          </cell>
        </row>
        <row r="6748">
          <cell r="W6748" t="str">
            <v>QKALI01</v>
          </cell>
          <cell r="AD6748">
            <v>71500</v>
          </cell>
        </row>
        <row r="6749">
          <cell r="W6749" t="str">
            <v>QKALI01</v>
          </cell>
          <cell r="AD6749">
            <v>71500</v>
          </cell>
        </row>
        <row r="6750">
          <cell r="W6750" t="str">
            <v>QKALI01</v>
          </cell>
          <cell r="AD6750">
            <v>72000</v>
          </cell>
        </row>
        <row r="6751">
          <cell r="W6751" t="str">
            <v>QKALI03</v>
          </cell>
          <cell r="AD6751">
            <v>38000</v>
          </cell>
        </row>
        <row r="6752">
          <cell r="W6752" t="str">
            <v>QKALI03</v>
          </cell>
          <cell r="AD6752">
            <v>38000</v>
          </cell>
        </row>
        <row r="6753">
          <cell r="W6753" t="str">
            <v>QKALI03</v>
          </cell>
          <cell r="AD6753">
            <v>38000</v>
          </cell>
        </row>
        <row r="6754">
          <cell r="W6754" t="str">
            <v>QKALI03</v>
          </cell>
          <cell r="AD6754">
            <v>38000</v>
          </cell>
        </row>
        <row r="6755">
          <cell r="W6755" t="str">
            <v>QKALI03</v>
          </cell>
          <cell r="AD6755">
            <v>38000</v>
          </cell>
        </row>
        <row r="6756">
          <cell r="W6756" t="str">
            <v>QKALI03</v>
          </cell>
          <cell r="AD6756">
            <v>38000</v>
          </cell>
        </row>
        <row r="6757">
          <cell r="W6757" t="str">
            <v>QKALI03</v>
          </cell>
          <cell r="AD6757">
            <v>38000</v>
          </cell>
        </row>
        <row r="6758">
          <cell r="W6758" t="str">
            <v>QKALI03</v>
          </cell>
          <cell r="AD6758">
            <v>38000</v>
          </cell>
        </row>
        <row r="6759">
          <cell r="W6759" t="str">
            <v>QKALI03</v>
          </cell>
          <cell r="AD6759">
            <v>38000</v>
          </cell>
        </row>
        <row r="6760">
          <cell r="W6760" t="str">
            <v>QKALI03</v>
          </cell>
          <cell r="AD6760">
            <v>38500</v>
          </cell>
        </row>
        <row r="6761">
          <cell r="W6761" t="str">
            <v>QKALI03</v>
          </cell>
          <cell r="AD6761">
            <v>38500</v>
          </cell>
        </row>
        <row r="6762">
          <cell r="W6762" t="str">
            <v>QKALI03</v>
          </cell>
          <cell r="AD6762">
            <v>38500</v>
          </cell>
        </row>
        <row r="6763">
          <cell r="W6763" t="str">
            <v>QKALI03</v>
          </cell>
          <cell r="AD6763">
            <v>39000</v>
          </cell>
        </row>
        <row r="6764">
          <cell r="W6764" t="str">
            <v>QKALI03</v>
          </cell>
          <cell r="AD6764">
            <v>39000</v>
          </cell>
        </row>
        <row r="6765">
          <cell r="W6765" t="str">
            <v>QKALI03</v>
          </cell>
          <cell r="AD6765">
            <v>39000</v>
          </cell>
        </row>
        <row r="6766">
          <cell r="W6766" t="str">
            <v>QKALI03</v>
          </cell>
          <cell r="AD6766">
            <v>39000</v>
          </cell>
        </row>
        <row r="6767">
          <cell r="W6767" t="str">
            <v>QKALI03</v>
          </cell>
          <cell r="AD6767">
            <v>39000</v>
          </cell>
        </row>
        <row r="6768">
          <cell r="W6768" t="str">
            <v>QKALI03</v>
          </cell>
          <cell r="AD6768">
            <v>39000</v>
          </cell>
        </row>
        <row r="6769">
          <cell r="W6769" t="str">
            <v>QKALI03</v>
          </cell>
          <cell r="AD6769">
            <v>39000</v>
          </cell>
        </row>
        <row r="6770">
          <cell r="W6770" t="str">
            <v>QKALI03</v>
          </cell>
          <cell r="AD6770">
            <v>39000</v>
          </cell>
        </row>
        <row r="6771">
          <cell r="W6771" t="str">
            <v>QKALI03</v>
          </cell>
          <cell r="AD6771">
            <v>39000</v>
          </cell>
        </row>
        <row r="6772">
          <cell r="W6772" t="str">
            <v>QKALI03</v>
          </cell>
          <cell r="AD6772">
            <v>39000</v>
          </cell>
        </row>
        <row r="6773">
          <cell r="W6773" t="str">
            <v>QKALI03</v>
          </cell>
          <cell r="AD6773">
            <v>39000</v>
          </cell>
        </row>
        <row r="6774">
          <cell r="W6774" t="str">
            <v>QKALI03</v>
          </cell>
          <cell r="AD6774">
            <v>39000</v>
          </cell>
        </row>
        <row r="6775">
          <cell r="W6775" t="str">
            <v>QKALI03</v>
          </cell>
          <cell r="AD6775">
            <v>39000</v>
          </cell>
        </row>
        <row r="6776">
          <cell r="W6776" t="str">
            <v>QKALI03</v>
          </cell>
          <cell r="AD6776">
            <v>39500</v>
          </cell>
        </row>
        <row r="6777">
          <cell r="W6777" t="str">
            <v>QKALI03</v>
          </cell>
          <cell r="AD6777">
            <v>39500</v>
          </cell>
        </row>
        <row r="6778">
          <cell r="W6778" t="str">
            <v>QKALI03</v>
          </cell>
          <cell r="AD6778">
            <v>39500</v>
          </cell>
        </row>
        <row r="6779">
          <cell r="W6779" t="str">
            <v>QKALI03</v>
          </cell>
          <cell r="AD6779">
            <v>39500</v>
          </cell>
        </row>
        <row r="6780">
          <cell r="W6780" t="str">
            <v>QKALI05</v>
          </cell>
          <cell r="AD6780">
            <v>15000</v>
          </cell>
        </row>
        <row r="6781">
          <cell r="W6781" t="str">
            <v>QKALI05</v>
          </cell>
          <cell r="AD6781">
            <v>15750</v>
          </cell>
        </row>
        <row r="6782">
          <cell r="W6782" t="str">
            <v>QKALI05</v>
          </cell>
          <cell r="AD6782">
            <v>15750</v>
          </cell>
        </row>
        <row r="6783">
          <cell r="W6783" t="str">
            <v>QKALI05</v>
          </cell>
          <cell r="AD6783">
            <v>15750</v>
          </cell>
        </row>
        <row r="6784">
          <cell r="W6784" t="str">
            <v>QKALI05</v>
          </cell>
          <cell r="AD6784">
            <v>15750</v>
          </cell>
        </row>
        <row r="6785">
          <cell r="W6785" t="str">
            <v>QKALI05</v>
          </cell>
          <cell r="AD6785">
            <v>17500</v>
          </cell>
        </row>
        <row r="6786">
          <cell r="W6786" t="str">
            <v>QKALI05</v>
          </cell>
          <cell r="AD6786">
            <v>17500</v>
          </cell>
        </row>
        <row r="6787">
          <cell r="W6787" t="str">
            <v>QKALI05</v>
          </cell>
          <cell r="AD6787">
            <v>17500</v>
          </cell>
        </row>
        <row r="6788">
          <cell r="W6788" t="str">
            <v>QKALI05</v>
          </cell>
          <cell r="AD6788">
            <v>17500</v>
          </cell>
        </row>
        <row r="6789">
          <cell r="W6789" t="str">
            <v>QKALI05</v>
          </cell>
          <cell r="AD6789">
            <v>17500</v>
          </cell>
        </row>
        <row r="6790">
          <cell r="W6790" t="str">
            <v>QKALI05</v>
          </cell>
          <cell r="AD6790">
            <v>17500</v>
          </cell>
        </row>
        <row r="6791">
          <cell r="W6791" t="str">
            <v>QKALI05</v>
          </cell>
          <cell r="AD6791">
            <v>17500</v>
          </cell>
        </row>
        <row r="6792">
          <cell r="W6792" t="str">
            <v>QKALI05</v>
          </cell>
          <cell r="AD6792">
            <v>17500</v>
          </cell>
        </row>
        <row r="6793">
          <cell r="W6793" t="str">
            <v>QKALI05</v>
          </cell>
          <cell r="AD6793">
            <v>17500</v>
          </cell>
        </row>
        <row r="6794">
          <cell r="W6794" t="str">
            <v>QKALI05</v>
          </cell>
          <cell r="AD6794">
            <v>17500</v>
          </cell>
        </row>
        <row r="6795">
          <cell r="W6795" t="str">
            <v>QKALI05</v>
          </cell>
          <cell r="AD6795">
            <v>17500</v>
          </cell>
        </row>
        <row r="6796">
          <cell r="W6796" t="str">
            <v>QKALI05</v>
          </cell>
          <cell r="AD6796">
            <v>17500</v>
          </cell>
        </row>
        <row r="6797">
          <cell r="W6797" t="str">
            <v>QKALI05</v>
          </cell>
          <cell r="AD6797">
            <v>17500</v>
          </cell>
        </row>
        <row r="6798">
          <cell r="W6798" t="str">
            <v>QKALI05</v>
          </cell>
          <cell r="AD6798">
            <v>17500</v>
          </cell>
        </row>
        <row r="6799">
          <cell r="W6799" t="str">
            <v>QKALI05</v>
          </cell>
          <cell r="AD6799">
            <v>17500</v>
          </cell>
        </row>
        <row r="6800">
          <cell r="W6800" t="str">
            <v>QKALI05</v>
          </cell>
          <cell r="AD6800">
            <v>17500</v>
          </cell>
        </row>
        <row r="6801">
          <cell r="W6801" t="str">
            <v>QKALI05</v>
          </cell>
          <cell r="AD6801">
            <v>17500</v>
          </cell>
        </row>
        <row r="6802">
          <cell r="W6802" t="str">
            <v>QKALI05</v>
          </cell>
          <cell r="AD6802">
            <v>17500</v>
          </cell>
        </row>
        <row r="6803">
          <cell r="W6803" t="str">
            <v>QKALI05</v>
          </cell>
          <cell r="AD6803">
            <v>17500</v>
          </cell>
        </row>
        <row r="6804">
          <cell r="W6804" t="str">
            <v>QKALI05</v>
          </cell>
          <cell r="AD6804">
            <v>17500</v>
          </cell>
        </row>
        <row r="6805">
          <cell r="W6805" t="str">
            <v>QKALI05</v>
          </cell>
          <cell r="AD6805">
            <v>17500</v>
          </cell>
        </row>
        <row r="6806">
          <cell r="W6806" t="str">
            <v>QKALI05</v>
          </cell>
          <cell r="AD6806">
            <v>17500</v>
          </cell>
        </row>
        <row r="6807">
          <cell r="W6807" t="str">
            <v>QKALI05</v>
          </cell>
          <cell r="AD6807">
            <v>17500</v>
          </cell>
        </row>
        <row r="6808">
          <cell r="W6808" t="str">
            <v>QKALI05</v>
          </cell>
          <cell r="AD6808">
            <v>17500</v>
          </cell>
        </row>
        <row r="6809">
          <cell r="W6809" t="str">
            <v>QKALI05</v>
          </cell>
          <cell r="AD6809">
            <v>17500</v>
          </cell>
        </row>
        <row r="6810">
          <cell r="W6810" t="str">
            <v>QKALI05</v>
          </cell>
          <cell r="AD6810">
            <v>17500</v>
          </cell>
        </row>
        <row r="6811">
          <cell r="W6811" t="str">
            <v>QKALI05</v>
          </cell>
          <cell r="AD6811">
            <v>17500</v>
          </cell>
        </row>
        <row r="6812">
          <cell r="W6812" t="str">
            <v>QKALI05</v>
          </cell>
          <cell r="AD6812">
            <v>17500</v>
          </cell>
        </row>
        <row r="6813">
          <cell r="W6813" t="str">
            <v>QKALI05</v>
          </cell>
          <cell r="AD6813">
            <v>17500</v>
          </cell>
        </row>
        <row r="6814">
          <cell r="W6814" t="str">
            <v>QKALI05</v>
          </cell>
          <cell r="AD6814">
            <v>17500</v>
          </cell>
        </row>
        <row r="6815">
          <cell r="W6815" t="str">
            <v>QKALI05</v>
          </cell>
          <cell r="AD6815">
            <v>17500</v>
          </cell>
        </row>
        <row r="6816">
          <cell r="W6816" t="str">
            <v>QKALI05</v>
          </cell>
          <cell r="AD6816">
            <v>17500</v>
          </cell>
        </row>
        <row r="6817">
          <cell r="W6817" t="str">
            <v>QKALI05</v>
          </cell>
          <cell r="AD6817">
            <v>17500</v>
          </cell>
        </row>
        <row r="6818">
          <cell r="W6818" t="str">
            <v>QKALI05</v>
          </cell>
          <cell r="AD6818">
            <v>17500</v>
          </cell>
        </row>
        <row r="6819">
          <cell r="W6819" t="str">
            <v>QKALI05</v>
          </cell>
          <cell r="AD6819">
            <v>17500</v>
          </cell>
        </row>
        <row r="6820">
          <cell r="W6820" t="str">
            <v>QKALI05</v>
          </cell>
          <cell r="AD6820">
            <v>17500</v>
          </cell>
        </row>
        <row r="6821">
          <cell r="W6821" t="str">
            <v>QKALI05</v>
          </cell>
          <cell r="AD6821">
            <v>17500</v>
          </cell>
        </row>
        <row r="6822">
          <cell r="W6822" t="str">
            <v>QKALI05</v>
          </cell>
          <cell r="AD6822">
            <v>17500</v>
          </cell>
        </row>
        <row r="6823">
          <cell r="W6823" t="str">
            <v>QKALI05</v>
          </cell>
          <cell r="AD6823">
            <v>18000</v>
          </cell>
        </row>
        <row r="6824">
          <cell r="W6824" t="str">
            <v>QKALI05</v>
          </cell>
          <cell r="AD6824">
            <v>18000</v>
          </cell>
        </row>
        <row r="6825">
          <cell r="W6825" t="str">
            <v>QKALI05</v>
          </cell>
          <cell r="AD6825">
            <v>18000</v>
          </cell>
        </row>
        <row r="6826">
          <cell r="W6826" t="str">
            <v>QKALI05</v>
          </cell>
          <cell r="AD6826">
            <v>18000</v>
          </cell>
        </row>
        <row r="6827">
          <cell r="W6827" t="str">
            <v>QKALI05</v>
          </cell>
          <cell r="AD6827">
            <v>18000</v>
          </cell>
        </row>
        <row r="6828">
          <cell r="W6828" t="str">
            <v>QKALI05</v>
          </cell>
          <cell r="AD6828">
            <v>18000</v>
          </cell>
        </row>
        <row r="6829">
          <cell r="W6829" t="str">
            <v>QKAOS04</v>
          </cell>
          <cell r="AD6829">
            <v>16170</v>
          </cell>
        </row>
        <row r="6830">
          <cell r="W6830" t="str">
            <v>QKAOS02</v>
          </cell>
          <cell r="AD6830">
            <v>1</v>
          </cell>
        </row>
        <row r="6831">
          <cell r="W6831" t="str">
            <v>QKAOS02</v>
          </cell>
          <cell r="AD6831">
            <v>1</v>
          </cell>
        </row>
        <row r="6832">
          <cell r="W6832" t="str">
            <v>QKAOS02</v>
          </cell>
          <cell r="AD6832">
            <v>1</v>
          </cell>
        </row>
        <row r="6833">
          <cell r="W6833" t="str">
            <v>QKARI07</v>
          </cell>
          <cell r="AD6833">
            <v>125000</v>
          </cell>
        </row>
        <row r="6834">
          <cell r="W6834" t="str">
            <v>QKARI07</v>
          </cell>
          <cell r="AD6834">
            <v>125000</v>
          </cell>
        </row>
        <row r="6835">
          <cell r="W6835" t="str">
            <v>QKARI07</v>
          </cell>
          <cell r="AD6835">
            <v>125000</v>
          </cell>
        </row>
        <row r="6836">
          <cell r="W6836" t="str">
            <v>QKARI06</v>
          </cell>
          <cell r="AD6836">
            <v>62500</v>
          </cell>
        </row>
        <row r="6837">
          <cell r="W6837" t="str">
            <v>QKARI06</v>
          </cell>
          <cell r="AD6837">
            <v>62500</v>
          </cell>
        </row>
        <row r="6838">
          <cell r="W6838" t="str">
            <v>QKARI06</v>
          </cell>
          <cell r="AD6838">
            <v>62500</v>
          </cell>
        </row>
        <row r="6839">
          <cell r="W6839" t="str">
            <v>QKARI06</v>
          </cell>
          <cell r="AD6839">
            <v>62500</v>
          </cell>
        </row>
        <row r="6840">
          <cell r="W6840" t="str">
            <v>QKARI06</v>
          </cell>
          <cell r="AD6840">
            <v>62500</v>
          </cell>
        </row>
        <row r="6841">
          <cell r="W6841" t="str">
            <v>QKARI06</v>
          </cell>
          <cell r="AD6841">
            <v>62500</v>
          </cell>
        </row>
        <row r="6842">
          <cell r="W6842" t="str">
            <v>AKARI08</v>
          </cell>
          <cell r="AD6842">
            <v>62500</v>
          </cell>
        </row>
        <row r="6843">
          <cell r="W6843" t="str">
            <v>QKARI06</v>
          </cell>
          <cell r="AD6843">
            <v>63500</v>
          </cell>
        </row>
        <row r="6844">
          <cell r="W6844" t="str">
            <v>QKARI06</v>
          </cell>
          <cell r="AD6844">
            <v>65000</v>
          </cell>
        </row>
        <row r="6845">
          <cell r="W6845" t="str">
            <v>QKARI08</v>
          </cell>
          <cell r="AD6845">
            <v>17000</v>
          </cell>
        </row>
        <row r="6846">
          <cell r="W6846" t="str">
            <v>QKARI08</v>
          </cell>
          <cell r="AD6846">
            <v>17000</v>
          </cell>
        </row>
        <row r="6847">
          <cell r="W6847" t="str">
            <v>QKARI08</v>
          </cell>
          <cell r="AD6847">
            <v>17000</v>
          </cell>
        </row>
        <row r="6848">
          <cell r="W6848" t="str">
            <v>QKARI08</v>
          </cell>
          <cell r="AD6848">
            <v>17000</v>
          </cell>
        </row>
        <row r="6849">
          <cell r="W6849" t="str">
            <v>QKARI08</v>
          </cell>
          <cell r="AD6849">
            <v>17000</v>
          </cell>
        </row>
        <row r="6850">
          <cell r="W6850" t="str">
            <v>QKARI08</v>
          </cell>
          <cell r="AD6850">
            <v>17500</v>
          </cell>
        </row>
        <row r="6851">
          <cell r="W6851" t="str">
            <v>QKARI08</v>
          </cell>
          <cell r="AD6851">
            <v>18500</v>
          </cell>
        </row>
        <row r="6852">
          <cell r="W6852" t="str">
            <v>QKARI08</v>
          </cell>
          <cell r="AD6852">
            <v>18500</v>
          </cell>
        </row>
        <row r="6853">
          <cell r="W6853" t="str">
            <v>QKARI01</v>
          </cell>
          <cell r="AD6853">
            <v>26363.64</v>
          </cell>
        </row>
        <row r="6854">
          <cell r="W6854" t="str">
            <v>QKARI01</v>
          </cell>
          <cell r="AD6854">
            <v>26363.64</v>
          </cell>
        </row>
        <row r="6855">
          <cell r="W6855" t="str">
            <v>QKARI01</v>
          </cell>
          <cell r="AD6855">
            <v>42750</v>
          </cell>
        </row>
        <row r="6856">
          <cell r="W6856" t="str">
            <v>QKARI01</v>
          </cell>
          <cell r="AD6856">
            <v>42750</v>
          </cell>
        </row>
        <row r="6857">
          <cell r="W6857" t="str">
            <v>QKARI01</v>
          </cell>
          <cell r="AD6857">
            <v>42750</v>
          </cell>
        </row>
        <row r="6858">
          <cell r="W6858" t="str">
            <v>QKARI01</v>
          </cell>
          <cell r="AD6858">
            <v>42750</v>
          </cell>
        </row>
        <row r="6859">
          <cell r="W6859" t="str">
            <v>QKARI01</v>
          </cell>
          <cell r="AD6859">
            <v>48000</v>
          </cell>
        </row>
        <row r="6860">
          <cell r="W6860" t="str">
            <v>QKARI01</v>
          </cell>
          <cell r="AD6860">
            <v>48000</v>
          </cell>
        </row>
        <row r="6861">
          <cell r="W6861" t="str">
            <v>QKARI01</v>
          </cell>
          <cell r="AD6861">
            <v>52000</v>
          </cell>
        </row>
        <row r="6862">
          <cell r="W6862" t="str">
            <v>QKARI01</v>
          </cell>
          <cell r="AD6862">
            <v>52000</v>
          </cell>
        </row>
        <row r="6863">
          <cell r="W6863" t="str">
            <v>QKARI01</v>
          </cell>
          <cell r="AD6863">
            <v>52000</v>
          </cell>
        </row>
        <row r="6864">
          <cell r="W6864" t="str">
            <v>QKARI01</v>
          </cell>
          <cell r="AD6864">
            <v>52000</v>
          </cell>
        </row>
        <row r="6865">
          <cell r="W6865" t="str">
            <v>QKARI01</v>
          </cell>
          <cell r="AD6865">
            <v>52000</v>
          </cell>
        </row>
        <row r="6866">
          <cell r="W6866" t="str">
            <v>QKARI01</v>
          </cell>
          <cell r="AD6866">
            <v>52000</v>
          </cell>
        </row>
        <row r="6867">
          <cell r="W6867" t="str">
            <v>QKARI01</v>
          </cell>
          <cell r="AD6867">
            <v>52000</v>
          </cell>
        </row>
        <row r="6868">
          <cell r="W6868" t="str">
            <v>QKARI01</v>
          </cell>
          <cell r="AD6868">
            <v>52000</v>
          </cell>
        </row>
        <row r="6869">
          <cell r="W6869" t="str">
            <v>QKARI01</v>
          </cell>
          <cell r="AD6869">
            <v>52000</v>
          </cell>
        </row>
        <row r="6870">
          <cell r="W6870" t="str">
            <v>QKARI01</v>
          </cell>
          <cell r="AD6870">
            <v>52000</v>
          </cell>
        </row>
        <row r="6871">
          <cell r="W6871" t="str">
            <v>QKARI01</v>
          </cell>
          <cell r="AD6871">
            <v>52000</v>
          </cell>
        </row>
        <row r="6872">
          <cell r="W6872" t="str">
            <v>QKARI01</v>
          </cell>
          <cell r="AD6872">
            <v>52000</v>
          </cell>
        </row>
        <row r="6873">
          <cell r="W6873" t="str">
            <v>QKARI01</v>
          </cell>
          <cell r="AD6873">
            <v>52000</v>
          </cell>
        </row>
        <row r="6874">
          <cell r="W6874" t="str">
            <v>QKARI01</v>
          </cell>
          <cell r="AD6874">
            <v>52000</v>
          </cell>
        </row>
        <row r="6875">
          <cell r="W6875" t="str">
            <v>QKARI01</v>
          </cell>
          <cell r="AD6875">
            <v>52000</v>
          </cell>
        </row>
        <row r="6876">
          <cell r="W6876" t="str">
            <v>QKARI01</v>
          </cell>
          <cell r="AD6876">
            <v>52000</v>
          </cell>
        </row>
        <row r="6877">
          <cell r="W6877" t="str">
            <v>QKARI01</v>
          </cell>
          <cell r="AD6877">
            <v>52000</v>
          </cell>
        </row>
        <row r="6878">
          <cell r="W6878" t="str">
            <v>QKARI01</v>
          </cell>
          <cell r="AD6878">
            <v>52000</v>
          </cell>
        </row>
        <row r="6879">
          <cell r="W6879" t="str">
            <v>QKARI01</v>
          </cell>
          <cell r="AD6879">
            <v>52000</v>
          </cell>
        </row>
        <row r="6880">
          <cell r="W6880" t="str">
            <v>QKARI01</v>
          </cell>
          <cell r="AD6880">
            <v>52000</v>
          </cell>
        </row>
        <row r="6881">
          <cell r="W6881" t="str">
            <v>QKARI01</v>
          </cell>
          <cell r="AD6881">
            <v>52000</v>
          </cell>
        </row>
        <row r="6882">
          <cell r="W6882" t="str">
            <v>QKARI01</v>
          </cell>
          <cell r="AD6882">
            <v>52000</v>
          </cell>
        </row>
        <row r="6883">
          <cell r="W6883" t="str">
            <v>QKARI01</v>
          </cell>
          <cell r="AD6883">
            <v>52000</v>
          </cell>
        </row>
        <row r="6884">
          <cell r="W6884" t="str">
            <v>QKARI01</v>
          </cell>
          <cell r="AD6884">
            <v>52000</v>
          </cell>
        </row>
        <row r="6885">
          <cell r="W6885" t="str">
            <v>QKARI01</v>
          </cell>
          <cell r="AD6885">
            <v>52000</v>
          </cell>
        </row>
        <row r="6886">
          <cell r="W6886" t="str">
            <v>QKARI01</v>
          </cell>
          <cell r="AD6886">
            <v>52000</v>
          </cell>
        </row>
        <row r="6887">
          <cell r="W6887" t="str">
            <v>QKARI01</v>
          </cell>
          <cell r="AD6887">
            <v>52000</v>
          </cell>
        </row>
        <row r="6888">
          <cell r="W6888" t="str">
            <v>QKARI01</v>
          </cell>
          <cell r="AD6888">
            <v>52000</v>
          </cell>
        </row>
        <row r="6889">
          <cell r="W6889" t="str">
            <v>QKARI01</v>
          </cell>
          <cell r="AD6889">
            <v>52000</v>
          </cell>
        </row>
        <row r="6890">
          <cell r="W6890" t="str">
            <v>QKARI01</v>
          </cell>
          <cell r="AD6890">
            <v>52000</v>
          </cell>
        </row>
        <row r="6891">
          <cell r="W6891" t="str">
            <v>QKARI01</v>
          </cell>
          <cell r="AD6891">
            <v>52000</v>
          </cell>
        </row>
        <row r="6892">
          <cell r="W6892" t="str">
            <v>QKARI01</v>
          </cell>
          <cell r="AD6892">
            <v>52000</v>
          </cell>
        </row>
        <row r="6893">
          <cell r="W6893" t="str">
            <v>QKARI01</v>
          </cell>
          <cell r="AD6893">
            <v>52000</v>
          </cell>
        </row>
        <row r="6894">
          <cell r="W6894" t="str">
            <v>QKARI01</v>
          </cell>
          <cell r="AD6894">
            <v>52000</v>
          </cell>
        </row>
        <row r="6895">
          <cell r="W6895" t="str">
            <v>QKARI01</v>
          </cell>
          <cell r="AD6895">
            <v>52000</v>
          </cell>
        </row>
        <row r="6896">
          <cell r="W6896" t="str">
            <v>QKARI01</v>
          </cell>
          <cell r="AD6896">
            <v>52000</v>
          </cell>
        </row>
        <row r="6897">
          <cell r="W6897" t="str">
            <v>QKARI01</v>
          </cell>
          <cell r="AD6897">
            <v>52000</v>
          </cell>
        </row>
        <row r="6898">
          <cell r="W6898" t="str">
            <v>QKARI01</v>
          </cell>
          <cell r="AD6898">
            <v>52000</v>
          </cell>
        </row>
        <row r="6899">
          <cell r="W6899" t="str">
            <v>QKARI01</v>
          </cell>
          <cell r="AD6899">
            <v>52000</v>
          </cell>
        </row>
        <row r="6900">
          <cell r="W6900" t="str">
            <v>QKARI01</v>
          </cell>
          <cell r="AD6900">
            <v>52000</v>
          </cell>
        </row>
        <row r="6901">
          <cell r="W6901" t="str">
            <v>QKARI01</v>
          </cell>
          <cell r="AD6901">
            <v>52500</v>
          </cell>
        </row>
        <row r="6902">
          <cell r="W6902" t="str">
            <v>QKARI01</v>
          </cell>
          <cell r="AD6902">
            <v>52500</v>
          </cell>
        </row>
        <row r="6903">
          <cell r="W6903" t="str">
            <v>QKARI01</v>
          </cell>
          <cell r="AD6903">
            <v>52500</v>
          </cell>
        </row>
        <row r="6904">
          <cell r="W6904" t="str">
            <v>QKARI01</v>
          </cell>
          <cell r="AD6904">
            <v>52500</v>
          </cell>
        </row>
        <row r="6905">
          <cell r="W6905" t="str">
            <v>QKARI01</v>
          </cell>
          <cell r="AD6905">
            <v>52500</v>
          </cell>
        </row>
        <row r="6906">
          <cell r="W6906" t="str">
            <v>QKARI01</v>
          </cell>
          <cell r="AD6906">
            <v>52500</v>
          </cell>
        </row>
        <row r="6907">
          <cell r="W6907" t="str">
            <v>QKARI01</v>
          </cell>
          <cell r="AD6907">
            <v>52500</v>
          </cell>
        </row>
        <row r="6908">
          <cell r="W6908" t="str">
            <v>QKARI01</v>
          </cell>
          <cell r="AD6908">
            <v>52500</v>
          </cell>
        </row>
        <row r="6909">
          <cell r="W6909" t="str">
            <v>QKARI01</v>
          </cell>
          <cell r="AD6909">
            <v>52500</v>
          </cell>
        </row>
        <row r="6910">
          <cell r="W6910" t="str">
            <v>QKARI01</v>
          </cell>
          <cell r="AD6910">
            <v>52500</v>
          </cell>
        </row>
        <row r="6911">
          <cell r="W6911" t="str">
            <v>QKARI01</v>
          </cell>
          <cell r="AD6911">
            <v>52500</v>
          </cell>
        </row>
        <row r="6912">
          <cell r="W6912" t="str">
            <v>QKARI01</v>
          </cell>
          <cell r="AD6912">
            <v>52500</v>
          </cell>
        </row>
        <row r="6913">
          <cell r="W6913" t="str">
            <v>QKARI01</v>
          </cell>
          <cell r="AD6913">
            <v>52500</v>
          </cell>
        </row>
        <row r="6914">
          <cell r="W6914" t="str">
            <v>QKARI01</v>
          </cell>
          <cell r="AD6914">
            <v>52500</v>
          </cell>
        </row>
        <row r="6915">
          <cell r="W6915" t="str">
            <v>QKARI01</v>
          </cell>
          <cell r="AD6915">
            <v>52500</v>
          </cell>
        </row>
        <row r="6916">
          <cell r="W6916" t="str">
            <v>QKARI01</v>
          </cell>
          <cell r="AD6916">
            <v>52500</v>
          </cell>
        </row>
        <row r="6917">
          <cell r="W6917" t="str">
            <v>QKARI01</v>
          </cell>
          <cell r="AD6917">
            <v>52500</v>
          </cell>
        </row>
        <row r="6918">
          <cell r="W6918" t="str">
            <v>QKARI01</v>
          </cell>
          <cell r="AD6918">
            <v>52500</v>
          </cell>
        </row>
        <row r="6919">
          <cell r="W6919" t="str">
            <v>QKARI01</v>
          </cell>
          <cell r="AD6919">
            <v>52500</v>
          </cell>
        </row>
        <row r="6920">
          <cell r="W6920" t="str">
            <v>QKARI01</v>
          </cell>
          <cell r="AD6920">
            <v>53000</v>
          </cell>
        </row>
        <row r="6921">
          <cell r="W6921" t="str">
            <v>QKARI01</v>
          </cell>
          <cell r="AD6921">
            <v>53000</v>
          </cell>
        </row>
        <row r="6922">
          <cell r="W6922" t="str">
            <v>QKARI01</v>
          </cell>
          <cell r="AD6922">
            <v>53000</v>
          </cell>
        </row>
        <row r="6923">
          <cell r="W6923" t="str">
            <v>QKARI01</v>
          </cell>
          <cell r="AD6923">
            <v>54000</v>
          </cell>
        </row>
        <row r="6924">
          <cell r="W6924" t="str">
            <v>QKARI01</v>
          </cell>
          <cell r="AD6924">
            <v>54000</v>
          </cell>
        </row>
        <row r="6925">
          <cell r="W6925" t="str">
            <v>QKARI01</v>
          </cell>
          <cell r="AD6925">
            <v>54000</v>
          </cell>
        </row>
        <row r="6926">
          <cell r="W6926" t="str">
            <v>QKARI01</v>
          </cell>
          <cell r="AD6926">
            <v>54000</v>
          </cell>
        </row>
        <row r="6927">
          <cell r="W6927" t="str">
            <v>QKARI01</v>
          </cell>
          <cell r="AD6927">
            <v>54500</v>
          </cell>
        </row>
        <row r="6928">
          <cell r="W6928" t="str">
            <v>QKARI01</v>
          </cell>
          <cell r="AD6928">
            <v>54500</v>
          </cell>
        </row>
        <row r="6929">
          <cell r="W6929" t="str">
            <v>QKARI01</v>
          </cell>
          <cell r="AD6929">
            <v>54500</v>
          </cell>
        </row>
        <row r="6930">
          <cell r="W6930" t="str">
            <v>QKARI01</v>
          </cell>
          <cell r="AD6930">
            <v>54500</v>
          </cell>
        </row>
        <row r="6931">
          <cell r="W6931" t="str">
            <v>QKARI01</v>
          </cell>
          <cell r="AD6931">
            <v>54500</v>
          </cell>
        </row>
        <row r="6932">
          <cell r="W6932" t="str">
            <v>QKARI01</v>
          </cell>
          <cell r="AD6932">
            <v>55000</v>
          </cell>
        </row>
        <row r="6933">
          <cell r="W6933" t="str">
            <v>QKARI03</v>
          </cell>
          <cell r="AD6933">
            <v>10909.090399999999</v>
          </cell>
        </row>
        <row r="6934">
          <cell r="W6934" t="str">
            <v>QKARI03</v>
          </cell>
          <cell r="AD6934">
            <v>19500</v>
          </cell>
        </row>
        <row r="6935">
          <cell r="W6935" t="str">
            <v>QKARI03</v>
          </cell>
          <cell r="AD6935">
            <v>19500</v>
          </cell>
        </row>
        <row r="6936">
          <cell r="W6936" t="str">
            <v>QKARI03</v>
          </cell>
          <cell r="AD6936">
            <v>19500</v>
          </cell>
        </row>
        <row r="6937">
          <cell r="W6937" t="str">
            <v>QKARI03</v>
          </cell>
          <cell r="AD6937">
            <v>19500</v>
          </cell>
        </row>
        <row r="6938">
          <cell r="W6938" t="str">
            <v>QKARI03</v>
          </cell>
          <cell r="AD6938">
            <v>22500</v>
          </cell>
        </row>
        <row r="6939">
          <cell r="W6939" t="str">
            <v>QKARI03</v>
          </cell>
          <cell r="AD6939">
            <v>23000</v>
          </cell>
        </row>
        <row r="6940">
          <cell r="W6940" t="str">
            <v>QKARI03</v>
          </cell>
          <cell r="AD6940">
            <v>23500</v>
          </cell>
        </row>
        <row r="6941">
          <cell r="W6941" t="str">
            <v>QKARI03</v>
          </cell>
          <cell r="AD6941">
            <v>23500</v>
          </cell>
        </row>
        <row r="6942">
          <cell r="W6942" t="str">
            <v>QKARI03</v>
          </cell>
          <cell r="AD6942">
            <v>23500</v>
          </cell>
        </row>
        <row r="6943">
          <cell r="W6943" t="str">
            <v>QKARI03</v>
          </cell>
          <cell r="AD6943">
            <v>23500</v>
          </cell>
        </row>
        <row r="6944">
          <cell r="W6944" t="str">
            <v>QKARI03</v>
          </cell>
          <cell r="AD6944">
            <v>23500</v>
          </cell>
        </row>
        <row r="6945">
          <cell r="W6945" t="str">
            <v>QKARI03</v>
          </cell>
          <cell r="AD6945">
            <v>23500</v>
          </cell>
        </row>
        <row r="6946">
          <cell r="W6946" t="str">
            <v>QKARI03</v>
          </cell>
          <cell r="AD6946">
            <v>23500</v>
          </cell>
        </row>
        <row r="6947">
          <cell r="W6947" t="str">
            <v>QKARI03</v>
          </cell>
          <cell r="AD6947">
            <v>23500</v>
          </cell>
        </row>
        <row r="6948">
          <cell r="W6948" t="str">
            <v>QKARI03</v>
          </cell>
          <cell r="AD6948">
            <v>23500</v>
          </cell>
        </row>
        <row r="6949">
          <cell r="W6949" t="str">
            <v>QKARI03</v>
          </cell>
          <cell r="AD6949">
            <v>23500</v>
          </cell>
        </row>
        <row r="6950">
          <cell r="W6950" t="str">
            <v>QKARI03</v>
          </cell>
          <cell r="AD6950">
            <v>23500</v>
          </cell>
        </row>
        <row r="6951">
          <cell r="W6951" t="str">
            <v>QKARI03</v>
          </cell>
          <cell r="AD6951">
            <v>23500</v>
          </cell>
        </row>
        <row r="6952">
          <cell r="W6952" t="str">
            <v>QKARI03</v>
          </cell>
          <cell r="AD6952">
            <v>23500</v>
          </cell>
        </row>
        <row r="6953">
          <cell r="W6953" t="str">
            <v>QKARI03</v>
          </cell>
          <cell r="AD6953">
            <v>23500</v>
          </cell>
        </row>
        <row r="6954">
          <cell r="W6954" t="str">
            <v>QKARI03</v>
          </cell>
          <cell r="AD6954">
            <v>23500</v>
          </cell>
        </row>
        <row r="6955">
          <cell r="W6955" t="str">
            <v>QKARI03</v>
          </cell>
          <cell r="AD6955">
            <v>23500</v>
          </cell>
        </row>
        <row r="6956">
          <cell r="W6956" t="str">
            <v>QKARI03</v>
          </cell>
          <cell r="AD6956">
            <v>23500</v>
          </cell>
        </row>
        <row r="6957">
          <cell r="W6957" t="str">
            <v>QKARI03</v>
          </cell>
          <cell r="AD6957">
            <v>23500</v>
          </cell>
        </row>
        <row r="6958">
          <cell r="W6958" t="str">
            <v>QKARI03</v>
          </cell>
          <cell r="AD6958">
            <v>23500</v>
          </cell>
        </row>
        <row r="6959">
          <cell r="W6959" t="str">
            <v>QKARI03</v>
          </cell>
          <cell r="AD6959">
            <v>23500</v>
          </cell>
        </row>
        <row r="6960">
          <cell r="W6960" t="str">
            <v>QKARI03</v>
          </cell>
          <cell r="AD6960">
            <v>23500</v>
          </cell>
        </row>
        <row r="6961">
          <cell r="W6961" t="str">
            <v>QKARI03</v>
          </cell>
          <cell r="AD6961">
            <v>23500</v>
          </cell>
        </row>
        <row r="6962">
          <cell r="W6962" t="str">
            <v>QKARI03</v>
          </cell>
          <cell r="AD6962">
            <v>23500</v>
          </cell>
        </row>
        <row r="6963">
          <cell r="W6963" t="str">
            <v>QKARI03</v>
          </cell>
          <cell r="AD6963">
            <v>23500</v>
          </cell>
        </row>
        <row r="6964">
          <cell r="W6964" t="str">
            <v>QKARI03</v>
          </cell>
          <cell r="AD6964">
            <v>23500</v>
          </cell>
        </row>
        <row r="6965">
          <cell r="W6965" t="str">
            <v>QKARI03</v>
          </cell>
          <cell r="AD6965">
            <v>23500</v>
          </cell>
        </row>
        <row r="6966">
          <cell r="W6966" t="str">
            <v>QKARI03</v>
          </cell>
          <cell r="AD6966">
            <v>23500</v>
          </cell>
        </row>
        <row r="6967">
          <cell r="W6967" t="str">
            <v>QKARI03</v>
          </cell>
          <cell r="AD6967">
            <v>23500</v>
          </cell>
        </row>
        <row r="6968">
          <cell r="W6968" t="str">
            <v>QKARI03</v>
          </cell>
          <cell r="AD6968">
            <v>23500</v>
          </cell>
        </row>
        <row r="6969">
          <cell r="W6969" t="str">
            <v>QKARI03</v>
          </cell>
          <cell r="AD6969">
            <v>23500</v>
          </cell>
        </row>
        <row r="6970">
          <cell r="W6970" t="str">
            <v>QKARI03</v>
          </cell>
          <cell r="AD6970">
            <v>23500</v>
          </cell>
        </row>
        <row r="6971">
          <cell r="W6971" t="str">
            <v>QKARI03</v>
          </cell>
          <cell r="AD6971">
            <v>23500</v>
          </cell>
        </row>
        <row r="6972">
          <cell r="W6972" t="str">
            <v>QKARI03</v>
          </cell>
          <cell r="AD6972">
            <v>23500</v>
          </cell>
        </row>
        <row r="6973">
          <cell r="W6973" t="str">
            <v>QKARI03</v>
          </cell>
          <cell r="AD6973">
            <v>23500</v>
          </cell>
        </row>
        <row r="6974">
          <cell r="W6974" t="str">
            <v>QKARI03</v>
          </cell>
          <cell r="AD6974">
            <v>23500</v>
          </cell>
        </row>
        <row r="6975">
          <cell r="W6975" t="str">
            <v>QKARI03</v>
          </cell>
          <cell r="AD6975">
            <v>23500</v>
          </cell>
        </row>
        <row r="6976">
          <cell r="W6976" t="str">
            <v>QKARI03</v>
          </cell>
          <cell r="AD6976">
            <v>23500</v>
          </cell>
        </row>
        <row r="6977">
          <cell r="W6977" t="str">
            <v>QKARI03</v>
          </cell>
          <cell r="AD6977">
            <v>23500</v>
          </cell>
        </row>
        <row r="6978">
          <cell r="W6978" t="str">
            <v>QKARI03</v>
          </cell>
          <cell r="AD6978">
            <v>23500</v>
          </cell>
        </row>
        <row r="6979">
          <cell r="W6979" t="str">
            <v>QKARI03</v>
          </cell>
          <cell r="AD6979">
            <v>23500</v>
          </cell>
        </row>
        <row r="6980">
          <cell r="W6980" t="str">
            <v>QKARI03</v>
          </cell>
          <cell r="AD6980">
            <v>23500</v>
          </cell>
        </row>
        <row r="6981">
          <cell r="W6981" t="str">
            <v>QKARI03</v>
          </cell>
          <cell r="AD6981">
            <v>23500</v>
          </cell>
        </row>
        <row r="6982">
          <cell r="W6982" t="str">
            <v>QKARI03</v>
          </cell>
          <cell r="AD6982">
            <v>23500</v>
          </cell>
        </row>
        <row r="6983">
          <cell r="W6983" t="str">
            <v>QKARI03</v>
          </cell>
          <cell r="AD6983">
            <v>23500</v>
          </cell>
        </row>
        <row r="6984">
          <cell r="W6984" t="str">
            <v>QKARI03</v>
          </cell>
          <cell r="AD6984">
            <v>23500</v>
          </cell>
        </row>
        <row r="6985">
          <cell r="W6985" t="str">
            <v>QKARI03</v>
          </cell>
          <cell r="AD6985">
            <v>23500</v>
          </cell>
        </row>
        <row r="6986">
          <cell r="W6986" t="str">
            <v>QKARI03</v>
          </cell>
          <cell r="AD6986">
            <v>23500</v>
          </cell>
        </row>
        <row r="6987">
          <cell r="W6987" t="str">
            <v>QKARI03</v>
          </cell>
          <cell r="AD6987">
            <v>23500</v>
          </cell>
        </row>
        <row r="6988">
          <cell r="W6988" t="str">
            <v>QKARI03</v>
          </cell>
          <cell r="AD6988">
            <v>23500</v>
          </cell>
        </row>
        <row r="6989">
          <cell r="W6989" t="str">
            <v>QKARI03</v>
          </cell>
          <cell r="AD6989">
            <v>23500</v>
          </cell>
        </row>
        <row r="6990">
          <cell r="W6990" t="str">
            <v>QKARI03</v>
          </cell>
          <cell r="AD6990">
            <v>23500</v>
          </cell>
        </row>
        <row r="6991">
          <cell r="W6991" t="str">
            <v>AKARI04</v>
          </cell>
          <cell r="AD6991">
            <v>23500</v>
          </cell>
        </row>
        <row r="6992">
          <cell r="W6992" t="str">
            <v>QKARI03</v>
          </cell>
          <cell r="AD6992">
            <v>23500</v>
          </cell>
        </row>
        <row r="6993">
          <cell r="W6993" t="str">
            <v>QKARI03</v>
          </cell>
          <cell r="AD6993">
            <v>23500</v>
          </cell>
        </row>
        <row r="6994">
          <cell r="W6994" t="str">
            <v>QKARI03</v>
          </cell>
          <cell r="AD6994">
            <v>23500</v>
          </cell>
        </row>
        <row r="6995">
          <cell r="W6995" t="str">
            <v>QKARI03</v>
          </cell>
          <cell r="AD6995">
            <v>23500</v>
          </cell>
        </row>
        <row r="6996">
          <cell r="W6996" t="str">
            <v>QKARI03</v>
          </cell>
          <cell r="AD6996">
            <v>23500</v>
          </cell>
        </row>
        <row r="6997">
          <cell r="W6997" t="str">
            <v>QKARI03</v>
          </cell>
          <cell r="AD6997">
            <v>23500</v>
          </cell>
        </row>
        <row r="6998">
          <cell r="W6998" t="str">
            <v>QKARI03</v>
          </cell>
          <cell r="AD6998">
            <v>23500</v>
          </cell>
        </row>
        <row r="6999">
          <cell r="W6999" t="str">
            <v>QKARI03</v>
          </cell>
          <cell r="AD6999">
            <v>23500</v>
          </cell>
        </row>
        <row r="7000">
          <cell r="W7000" t="str">
            <v>QKARI03</v>
          </cell>
          <cell r="AD7000">
            <v>23500</v>
          </cell>
        </row>
        <row r="7001">
          <cell r="W7001" t="str">
            <v>QKARI03</v>
          </cell>
          <cell r="AD7001">
            <v>23500</v>
          </cell>
        </row>
        <row r="7002">
          <cell r="W7002" t="str">
            <v>QKARI03</v>
          </cell>
          <cell r="AD7002">
            <v>23500</v>
          </cell>
        </row>
        <row r="7003">
          <cell r="W7003" t="str">
            <v>QKARI03</v>
          </cell>
          <cell r="AD7003">
            <v>23500</v>
          </cell>
        </row>
        <row r="7004">
          <cell r="W7004" t="str">
            <v>QKARI03</v>
          </cell>
          <cell r="AD7004">
            <v>23500</v>
          </cell>
        </row>
        <row r="7005">
          <cell r="W7005" t="str">
            <v>QKARI03</v>
          </cell>
          <cell r="AD7005">
            <v>23500</v>
          </cell>
        </row>
        <row r="7006">
          <cell r="W7006" t="str">
            <v>QKARI03</v>
          </cell>
          <cell r="AD7006">
            <v>23500</v>
          </cell>
        </row>
        <row r="7007">
          <cell r="W7007" t="str">
            <v>QKARI03</v>
          </cell>
          <cell r="AD7007">
            <v>23500</v>
          </cell>
        </row>
        <row r="7008">
          <cell r="W7008" t="str">
            <v>QKARI03</v>
          </cell>
          <cell r="AD7008">
            <v>23500</v>
          </cell>
        </row>
        <row r="7009">
          <cell r="W7009" t="str">
            <v>QKARI03</v>
          </cell>
          <cell r="AD7009">
            <v>23500</v>
          </cell>
        </row>
        <row r="7010">
          <cell r="W7010" t="str">
            <v>QKARI03</v>
          </cell>
          <cell r="AD7010">
            <v>24000</v>
          </cell>
        </row>
        <row r="7011">
          <cell r="W7011" t="str">
            <v>QKARI03</v>
          </cell>
          <cell r="AD7011">
            <v>25000</v>
          </cell>
        </row>
        <row r="7012">
          <cell r="W7012" t="str">
            <v>QKAYA01</v>
          </cell>
          <cell r="AD7012">
            <v>230000</v>
          </cell>
        </row>
        <row r="7013">
          <cell r="W7013" t="str">
            <v>QKAYA01</v>
          </cell>
          <cell r="AD7013">
            <v>230000</v>
          </cell>
        </row>
        <row r="7014">
          <cell r="W7014" t="str">
            <v>QKAYA01</v>
          </cell>
          <cell r="AD7014">
            <v>230000</v>
          </cell>
        </row>
        <row r="7015">
          <cell r="W7015" t="str">
            <v>QKAYA01</v>
          </cell>
          <cell r="AD7015">
            <v>230000</v>
          </cell>
        </row>
        <row r="7016">
          <cell r="W7016" t="str">
            <v>QKAYA01</v>
          </cell>
          <cell r="AD7016">
            <v>230000</v>
          </cell>
        </row>
        <row r="7017">
          <cell r="W7017" t="str">
            <v>QKAYA01</v>
          </cell>
          <cell r="AD7017">
            <v>230000</v>
          </cell>
        </row>
        <row r="7018">
          <cell r="W7018" t="str">
            <v>QKAYA01</v>
          </cell>
          <cell r="AD7018">
            <v>250000</v>
          </cell>
        </row>
        <row r="7019">
          <cell r="W7019" t="str">
            <v>QKAYA01</v>
          </cell>
          <cell r="AD7019">
            <v>250000</v>
          </cell>
        </row>
        <row r="7020">
          <cell r="W7020" t="str">
            <v>QKAYA01</v>
          </cell>
          <cell r="AD7020">
            <v>250000</v>
          </cell>
        </row>
        <row r="7021">
          <cell r="W7021" t="str">
            <v>AKAYA04</v>
          </cell>
          <cell r="AD7021">
            <v>1</v>
          </cell>
        </row>
        <row r="7022">
          <cell r="W7022" t="str">
            <v>QKAYA02</v>
          </cell>
          <cell r="AD7022">
            <v>117000</v>
          </cell>
        </row>
        <row r="7023">
          <cell r="W7023" t="str">
            <v>QKAYA02</v>
          </cell>
          <cell r="AD7023">
            <v>117000</v>
          </cell>
        </row>
        <row r="7024">
          <cell r="W7024" t="str">
            <v>QKAYA02</v>
          </cell>
          <cell r="AD7024">
            <v>125000</v>
          </cell>
        </row>
        <row r="7025">
          <cell r="W7025" t="str">
            <v>QKAYA02</v>
          </cell>
          <cell r="AD7025">
            <v>125000</v>
          </cell>
        </row>
        <row r="7026">
          <cell r="W7026" t="str">
            <v>QKAYA02</v>
          </cell>
          <cell r="AD7026">
            <v>125000</v>
          </cell>
        </row>
        <row r="7027">
          <cell r="W7027" t="str">
            <v>QKAYA02</v>
          </cell>
          <cell r="AD7027">
            <v>125000</v>
          </cell>
        </row>
        <row r="7028">
          <cell r="W7028" t="str">
            <v>QKAYA02</v>
          </cell>
          <cell r="AD7028">
            <v>125000</v>
          </cell>
        </row>
        <row r="7029">
          <cell r="W7029" t="str">
            <v>QKAYA02</v>
          </cell>
          <cell r="AD7029">
            <v>125000</v>
          </cell>
        </row>
        <row r="7030">
          <cell r="W7030" t="str">
            <v>QKAYA02</v>
          </cell>
          <cell r="AD7030">
            <v>125000</v>
          </cell>
        </row>
        <row r="7031">
          <cell r="W7031" t="str">
            <v>QKAYA02</v>
          </cell>
          <cell r="AD7031">
            <v>125000</v>
          </cell>
        </row>
        <row r="7032">
          <cell r="W7032" t="str">
            <v>QKAYA02</v>
          </cell>
          <cell r="AD7032">
            <v>125000</v>
          </cell>
        </row>
        <row r="7033">
          <cell r="W7033" t="str">
            <v>QKAYA02</v>
          </cell>
          <cell r="AD7033">
            <v>125000</v>
          </cell>
        </row>
        <row r="7034">
          <cell r="W7034" t="str">
            <v>QKAYA02</v>
          </cell>
          <cell r="AD7034">
            <v>125000</v>
          </cell>
        </row>
        <row r="7035">
          <cell r="W7035" t="str">
            <v>QKAYA02</v>
          </cell>
          <cell r="AD7035">
            <v>125000</v>
          </cell>
        </row>
        <row r="7036">
          <cell r="W7036" t="str">
            <v>QKAYA02</v>
          </cell>
          <cell r="AD7036">
            <v>125000</v>
          </cell>
        </row>
        <row r="7037">
          <cell r="W7037" t="str">
            <v>QKAYA02</v>
          </cell>
          <cell r="AD7037">
            <v>125000</v>
          </cell>
        </row>
        <row r="7038">
          <cell r="W7038" t="str">
            <v>QKAYA02</v>
          </cell>
          <cell r="AD7038">
            <v>125000</v>
          </cell>
        </row>
        <row r="7039">
          <cell r="W7039" t="str">
            <v>QKAYA02</v>
          </cell>
          <cell r="AD7039">
            <v>125000</v>
          </cell>
        </row>
        <row r="7040">
          <cell r="W7040" t="str">
            <v>QKAYA02</v>
          </cell>
          <cell r="AD7040">
            <v>125000</v>
          </cell>
        </row>
        <row r="7041">
          <cell r="W7041" t="str">
            <v>QKAYA02</v>
          </cell>
          <cell r="AD7041">
            <v>125000</v>
          </cell>
        </row>
        <row r="7042">
          <cell r="W7042" t="str">
            <v>QKAYA02</v>
          </cell>
          <cell r="AD7042">
            <v>125000</v>
          </cell>
        </row>
        <row r="7043">
          <cell r="W7043" t="str">
            <v>QKAYA02</v>
          </cell>
          <cell r="AD7043">
            <v>125000</v>
          </cell>
        </row>
        <row r="7044">
          <cell r="W7044" t="str">
            <v>QKAYA02</v>
          </cell>
          <cell r="AD7044">
            <v>125000</v>
          </cell>
        </row>
        <row r="7045">
          <cell r="W7045" t="str">
            <v>QKAYA02</v>
          </cell>
          <cell r="AD7045">
            <v>125000</v>
          </cell>
        </row>
        <row r="7046">
          <cell r="W7046" t="str">
            <v>QKAYA02</v>
          </cell>
          <cell r="AD7046">
            <v>125000</v>
          </cell>
        </row>
        <row r="7047">
          <cell r="W7047" t="str">
            <v>QKAYA02</v>
          </cell>
          <cell r="AD7047">
            <v>125000</v>
          </cell>
        </row>
        <row r="7048">
          <cell r="W7048" t="str">
            <v>QKAYA02</v>
          </cell>
          <cell r="AD7048">
            <v>125000</v>
          </cell>
        </row>
        <row r="7049">
          <cell r="W7049" t="str">
            <v>QKAYA02</v>
          </cell>
          <cell r="AD7049">
            <v>125000</v>
          </cell>
        </row>
        <row r="7050">
          <cell r="W7050" t="str">
            <v>QKAYA02</v>
          </cell>
          <cell r="AD7050">
            <v>125000</v>
          </cell>
        </row>
        <row r="7051">
          <cell r="W7051" t="str">
            <v>QKCLK01</v>
          </cell>
          <cell r="AD7051">
            <v>36000</v>
          </cell>
        </row>
        <row r="7052">
          <cell r="W7052" t="str">
            <v>QKCLK01</v>
          </cell>
          <cell r="AD7052">
            <v>36000</v>
          </cell>
        </row>
        <row r="7053">
          <cell r="W7053" t="str">
            <v>QKCLK01</v>
          </cell>
          <cell r="AD7053">
            <v>36000</v>
          </cell>
        </row>
        <row r="7054">
          <cell r="W7054" t="str">
            <v>QKCLK01</v>
          </cell>
          <cell r="AD7054">
            <v>36000</v>
          </cell>
        </row>
        <row r="7055">
          <cell r="W7055" t="str">
            <v>QKCLK01</v>
          </cell>
          <cell r="AD7055">
            <v>36000</v>
          </cell>
        </row>
        <row r="7056">
          <cell r="W7056" t="str">
            <v>QKCLK01</v>
          </cell>
          <cell r="AD7056">
            <v>36000</v>
          </cell>
        </row>
        <row r="7057">
          <cell r="W7057" t="str">
            <v>QKCLK01</v>
          </cell>
          <cell r="AD7057">
            <v>36000</v>
          </cell>
        </row>
        <row r="7058">
          <cell r="W7058" t="str">
            <v>QKCLK01</v>
          </cell>
          <cell r="AD7058">
            <v>36000</v>
          </cell>
        </row>
        <row r="7059">
          <cell r="W7059" t="str">
            <v>QKCLK01</v>
          </cell>
          <cell r="AD7059">
            <v>36000</v>
          </cell>
        </row>
        <row r="7060">
          <cell r="W7060" t="str">
            <v>QKCLK01</v>
          </cell>
          <cell r="AD7060">
            <v>36000</v>
          </cell>
        </row>
        <row r="7061">
          <cell r="W7061" t="str">
            <v>QKICK02</v>
          </cell>
          <cell r="AD7061">
            <v>76000</v>
          </cell>
        </row>
        <row r="7062">
          <cell r="W7062" t="str">
            <v>QKICK02</v>
          </cell>
          <cell r="AD7062">
            <v>76000</v>
          </cell>
        </row>
        <row r="7063">
          <cell r="W7063" t="str">
            <v>AKICK02</v>
          </cell>
          <cell r="AD7063">
            <v>76000</v>
          </cell>
        </row>
        <row r="7064">
          <cell r="W7064" t="str">
            <v>QKICK03</v>
          </cell>
          <cell r="AD7064">
            <v>132500</v>
          </cell>
        </row>
        <row r="7065">
          <cell r="W7065" t="str">
            <v>QKICK01</v>
          </cell>
          <cell r="AD7065">
            <v>30000</v>
          </cell>
        </row>
        <row r="7066">
          <cell r="W7066" t="str">
            <v>QKICK01</v>
          </cell>
          <cell r="AD7066">
            <v>33000</v>
          </cell>
        </row>
        <row r="7067">
          <cell r="W7067" t="str">
            <v>QKLER01</v>
          </cell>
          <cell r="AD7067">
            <v>48500</v>
          </cell>
        </row>
        <row r="7068">
          <cell r="W7068" t="str">
            <v>QKLER01</v>
          </cell>
          <cell r="AD7068">
            <v>48500</v>
          </cell>
        </row>
        <row r="7069">
          <cell r="W7069" t="str">
            <v>QKLER01</v>
          </cell>
          <cell r="AD7069">
            <v>48500</v>
          </cell>
        </row>
        <row r="7070">
          <cell r="W7070" t="str">
            <v>QKLER01</v>
          </cell>
          <cell r="AD7070">
            <v>48500</v>
          </cell>
        </row>
        <row r="7071">
          <cell r="W7071" t="str">
            <v>QKLER01</v>
          </cell>
          <cell r="AD7071">
            <v>48500</v>
          </cell>
        </row>
        <row r="7072">
          <cell r="W7072" t="str">
            <v>QKLER01</v>
          </cell>
          <cell r="AD7072">
            <v>48500</v>
          </cell>
        </row>
        <row r="7073">
          <cell r="W7073" t="str">
            <v>QKLER01</v>
          </cell>
          <cell r="AD7073">
            <v>48500</v>
          </cell>
        </row>
        <row r="7074">
          <cell r="W7074" t="str">
            <v>QKLER01</v>
          </cell>
          <cell r="AD7074">
            <v>48500</v>
          </cell>
        </row>
        <row r="7075">
          <cell r="W7075" t="str">
            <v>QKLER01</v>
          </cell>
          <cell r="AD7075">
            <v>48500</v>
          </cell>
        </row>
        <row r="7076">
          <cell r="W7076" t="str">
            <v>QKLER01</v>
          </cell>
          <cell r="AD7076">
            <v>48500</v>
          </cell>
        </row>
        <row r="7077">
          <cell r="W7077" t="str">
            <v>QKLER01</v>
          </cell>
          <cell r="AD7077">
            <v>49000</v>
          </cell>
        </row>
        <row r="7078">
          <cell r="W7078" t="str">
            <v>QKLER01</v>
          </cell>
          <cell r="AD7078">
            <v>49000</v>
          </cell>
        </row>
        <row r="7079">
          <cell r="W7079" t="str">
            <v>QKLER01</v>
          </cell>
          <cell r="AD7079">
            <v>49000</v>
          </cell>
        </row>
        <row r="7080">
          <cell r="W7080" t="str">
            <v>QKLER01</v>
          </cell>
          <cell r="AD7080">
            <v>49500</v>
          </cell>
        </row>
        <row r="7081">
          <cell r="W7081" t="str">
            <v>QKLER01</v>
          </cell>
          <cell r="AD7081">
            <v>52500</v>
          </cell>
        </row>
        <row r="7082">
          <cell r="W7082" t="str">
            <v>QKLER01</v>
          </cell>
          <cell r="AD7082">
            <v>52500</v>
          </cell>
        </row>
        <row r="7083">
          <cell r="W7083" t="str">
            <v>QKLER02</v>
          </cell>
          <cell r="AD7083">
            <v>220000</v>
          </cell>
        </row>
        <row r="7084">
          <cell r="W7084" t="str">
            <v>QKNO301</v>
          </cell>
          <cell r="AD7084">
            <v>36500</v>
          </cell>
        </row>
        <row r="7085">
          <cell r="W7085" t="str">
            <v>QKNO301</v>
          </cell>
          <cell r="AD7085">
            <v>36500</v>
          </cell>
        </row>
        <row r="7086">
          <cell r="W7086" t="str">
            <v>QKNO301</v>
          </cell>
          <cell r="AD7086">
            <v>37000</v>
          </cell>
        </row>
        <row r="7087">
          <cell r="W7087" t="str">
            <v>QKNO301</v>
          </cell>
          <cell r="AD7087">
            <v>37000</v>
          </cell>
        </row>
        <row r="7088">
          <cell r="W7088" t="str">
            <v>QKNO301</v>
          </cell>
          <cell r="AD7088">
            <v>37000</v>
          </cell>
        </row>
        <row r="7089">
          <cell r="W7089" t="str">
            <v>QKNO301</v>
          </cell>
          <cell r="AD7089">
            <v>37000</v>
          </cell>
        </row>
        <row r="7090">
          <cell r="W7090" t="str">
            <v>QKNO301</v>
          </cell>
          <cell r="AD7090">
            <v>37000</v>
          </cell>
        </row>
        <row r="7091">
          <cell r="W7091" t="str">
            <v>QKNO301</v>
          </cell>
          <cell r="AD7091">
            <v>37000</v>
          </cell>
        </row>
        <row r="7092">
          <cell r="W7092" t="str">
            <v>QKNO301</v>
          </cell>
          <cell r="AD7092">
            <v>37000</v>
          </cell>
        </row>
        <row r="7093">
          <cell r="W7093" t="str">
            <v>QKNO301</v>
          </cell>
          <cell r="AD7093">
            <v>37000</v>
          </cell>
        </row>
        <row r="7094">
          <cell r="W7094" t="str">
            <v>QKNO301</v>
          </cell>
          <cell r="AD7094">
            <v>37500</v>
          </cell>
        </row>
        <row r="7095">
          <cell r="W7095" t="str">
            <v>QKNO301</v>
          </cell>
          <cell r="AD7095">
            <v>37500</v>
          </cell>
        </row>
        <row r="7096">
          <cell r="W7096" t="str">
            <v>QKNO301</v>
          </cell>
          <cell r="AD7096">
            <v>37500</v>
          </cell>
        </row>
        <row r="7097">
          <cell r="W7097" t="str">
            <v>QKNO301</v>
          </cell>
          <cell r="AD7097">
            <v>37500</v>
          </cell>
        </row>
        <row r="7098">
          <cell r="W7098" t="str">
            <v>QKNO301</v>
          </cell>
          <cell r="AD7098">
            <v>37500</v>
          </cell>
        </row>
        <row r="7099">
          <cell r="W7099" t="str">
            <v>QKNO301</v>
          </cell>
          <cell r="AD7099">
            <v>37500</v>
          </cell>
        </row>
        <row r="7100">
          <cell r="W7100" t="str">
            <v>QKNO301</v>
          </cell>
          <cell r="AD7100">
            <v>37500</v>
          </cell>
        </row>
        <row r="7101">
          <cell r="W7101" t="str">
            <v>QKNO301</v>
          </cell>
          <cell r="AD7101">
            <v>37500</v>
          </cell>
        </row>
        <row r="7102">
          <cell r="W7102" t="str">
            <v>QKNO301</v>
          </cell>
          <cell r="AD7102">
            <v>37500</v>
          </cell>
        </row>
        <row r="7103">
          <cell r="W7103" t="str">
            <v>QKNO301</v>
          </cell>
          <cell r="AD7103">
            <v>37500</v>
          </cell>
        </row>
        <row r="7104">
          <cell r="W7104" t="str">
            <v>QKNO301</v>
          </cell>
          <cell r="AD7104">
            <v>37500</v>
          </cell>
        </row>
        <row r="7105">
          <cell r="W7105" t="str">
            <v>QKNO301</v>
          </cell>
          <cell r="AD7105">
            <v>37500</v>
          </cell>
        </row>
        <row r="7106">
          <cell r="W7106" t="str">
            <v>QKNO301</v>
          </cell>
          <cell r="AD7106">
            <v>37500</v>
          </cell>
        </row>
        <row r="7107">
          <cell r="W7107" t="str">
            <v>QKNO301</v>
          </cell>
          <cell r="AD7107">
            <v>38000</v>
          </cell>
        </row>
        <row r="7108">
          <cell r="W7108" t="str">
            <v>QKNO303</v>
          </cell>
          <cell r="AD7108">
            <v>42500</v>
          </cell>
        </row>
        <row r="7109">
          <cell r="W7109" t="str">
            <v>QKNO303</v>
          </cell>
          <cell r="AD7109">
            <v>42500</v>
          </cell>
        </row>
        <row r="7110">
          <cell r="W7110" t="str">
            <v>QKNO303</v>
          </cell>
          <cell r="AD7110">
            <v>42500</v>
          </cell>
        </row>
        <row r="7111">
          <cell r="W7111" t="str">
            <v>QKNO303</v>
          </cell>
          <cell r="AD7111">
            <v>42500</v>
          </cell>
        </row>
        <row r="7112">
          <cell r="W7112" t="str">
            <v>QKNO303</v>
          </cell>
          <cell r="AD7112">
            <v>42500</v>
          </cell>
        </row>
        <row r="7113">
          <cell r="W7113" t="str">
            <v>QKNO303</v>
          </cell>
          <cell r="AD7113">
            <v>42500</v>
          </cell>
        </row>
        <row r="7114">
          <cell r="W7114" t="str">
            <v>QKNO303</v>
          </cell>
          <cell r="AD7114">
            <v>42500</v>
          </cell>
        </row>
        <row r="7115">
          <cell r="W7115" t="str">
            <v>QKNO303</v>
          </cell>
          <cell r="AD7115">
            <v>42500</v>
          </cell>
        </row>
        <row r="7116">
          <cell r="W7116" t="str">
            <v>QKNO303</v>
          </cell>
          <cell r="AD7116">
            <v>42500</v>
          </cell>
        </row>
        <row r="7117">
          <cell r="W7117" t="str">
            <v>QKNO303</v>
          </cell>
          <cell r="AD7117">
            <v>42500</v>
          </cell>
        </row>
        <row r="7118">
          <cell r="W7118" t="str">
            <v>QKNO303</v>
          </cell>
          <cell r="AD7118">
            <v>42500</v>
          </cell>
        </row>
        <row r="7119">
          <cell r="W7119" t="str">
            <v>QKNO303</v>
          </cell>
          <cell r="AD7119">
            <v>42500</v>
          </cell>
        </row>
        <row r="7120">
          <cell r="W7120" t="str">
            <v>QKNO303</v>
          </cell>
          <cell r="AD7120">
            <v>42500</v>
          </cell>
        </row>
        <row r="7121">
          <cell r="W7121" t="str">
            <v>QKNOC03</v>
          </cell>
          <cell r="AD7121">
            <v>220000</v>
          </cell>
        </row>
        <row r="7122">
          <cell r="W7122" t="str">
            <v>QKNOC03</v>
          </cell>
          <cell r="AD7122">
            <v>235000</v>
          </cell>
        </row>
        <row r="7123">
          <cell r="W7123" t="str">
            <v>QKNOC03</v>
          </cell>
          <cell r="AD7123">
            <v>235000</v>
          </cell>
        </row>
        <row r="7124">
          <cell r="W7124" t="str">
            <v>QKNOC03</v>
          </cell>
          <cell r="AD7124">
            <v>250000</v>
          </cell>
        </row>
        <row r="7125">
          <cell r="W7125" t="str">
            <v>QKNOC03</v>
          </cell>
          <cell r="AD7125">
            <v>250000</v>
          </cell>
        </row>
        <row r="7126">
          <cell r="W7126" t="str">
            <v>QKNOC03</v>
          </cell>
          <cell r="AD7126">
            <v>250000</v>
          </cell>
        </row>
        <row r="7127">
          <cell r="W7127" t="str">
            <v>QKNOC03</v>
          </cell>
          <cell r="AD7127">
            <v>250000</v>
          </cell>
        </row>
        <row r="7128">
          <cell r="W7128" t="str">
            <v>QKNOC03</v>
          </cell>
          <cell r="AD7128">
            <v>250000</v>
          </cell>
        </row>
        <row r="7129">
          <cell r="W7129" t="str">
            <v>QKNOC03</v>
          </cell>
          <cell r="AD7129">
            <v>250000</v>
          </cell>
        </row>
        <row r="7130">
          <cell r="W7130" t="str">
            <v>QKNOC03</v>
          </cell>
          <cell r="AD7130">
            <v>265000</v>
          </cell>
        </row>
        <row r="7131">
          <cell r="W7131" t="str">
            <v>QKNOC05</v>
          </cell>
          <cell r="AD7131">
            <v>108500</v>
          </cell>
        </row>
        <row r="7132">
          <cell r="W7132" t="str">
            <v>QKNOC05</v>
          </cell>
          <cell r="AD7132">
            <v>115000</v>
          </cell>
        </row>
        <row r="7133">
          <cell r="W7133" t="str">
            <v>QKNOC05</v>
          </cell>
          <cell r="AD7133">
            <v>115000</v>
          </cell>
        </row>
        <row r="7134">
          <cell r="W7134" t="str">
            <v>QKNOC05</v>
          </cell>
          <cell r="AD7134">
            <v>115000</v>
          </cell>
        </row>
        <row r="7135">
          <cell r="W7135" t="str">
            <v>QKNOC05</v>
          </cell>
          <cell r="AD7135">
            <v>130000</v>
          </cell>
        </row>
        <row r="7136">
          <cell r="W7136" t="str">
            <v>QKNOC05</v>
          </cell>
          <cell r="AD7136">
            <v>130000</v>
          </cell>
        </row>
        <row r="7137">
          <cell r="W7137" t="str">
            <v>QKNOC05</v>
          </cell>
          <cell r="AD7137">
            <v>130000</v>
          </cell>
        </row>
        <row r="7138">
          <cell r="W7138" t="str">
            <v>QKNOC05</v>
          </cell>
          <cell r="AD7138">
            <v>138000</v>
          </cell>
        </row>
        <row r="7139">
          <cell r="W7139" t="str">
            <v>QKNOC05</v>
          </cell>
          <cell r="AD7139">
            <v>138000</v>
          </cell>
        </row>
        <row r="7140">
          <cell r="W7140" t="str">
            <v>QKNOC02</v>
          </cell>
          <cell r="AD7140">
            <v>44350</v>
          </cell>
        </row>
        <row r="7141">
          <cell r="W7141" t="str">
            <v>AKNOC02</v>
          </cell>
          <cell r="AD7141">
            <v>51000</v>
          </cell>
        </row>
        <row r="7142">
          <cell r="W7142" t="str">
            <v>QKNOC02</v>
          </cell>
          <cell r="AD7142">
            <v>53000</v>
          </cell>
        </row>
        <row r="7143">
          <cell r="W7143" t="str">
            <v>QKNOC02</v>
          </cell>
          <cell r="AD7143">
            <v>53000</v>
          </cell>
        </row>
        <row r="7144">
          <cell r="W7144" t="str">
            <v>QKONS01</v>
          </cell>
          <cell r="AD7144">
            <v>28500</v>
          </cell>
        </row>
        <row r="7145">
          <cell r="W7145" t="str">
            <v>QKONS01</v>
          </cell>
          <cell r="AD7145">
            <v>28500</v>
          </cell>
        </row>
        <row r="7146">
          <cell r="W7146" t="str">
            <v>QKRAN02</v>
          </cell>
          <cell r="AD7146">
            <v>12500</v>
          </cell>
        </row>
        <row r="7147">
          <cell r="W7147" t="str">
            <v>QKRAN02</v>
          </cell>
          <cell r="AD7147">
            <v>12500</v>
          </cell>
        </row>
        <row r="7148">
          <cell r="W7148" t="str">
            <v>QKRES02</v>
          </cell>
          <cell r="AD7148">
            <v>39500</v>
          </cell>
        </row>
        <row r="7149">
          <cell r="W7149" t="str">
            <v>QKRES03</v>
          </cell>
          <cell r="AD7149">
            <v>3181.8199760699999</v>
          </cell>
        </row>
        <row r="7150">
          <cell r="W7150" t="str">
            <v>QKRES03</v>
          </cell>
          <cell r="AD7150">
            <v>3750</v>
          </cell>
        </row>
        <row r="7151">
          <cell r="W7151" t="str">
            <v>QKRES03</v>
          </cell>
          <cell r="AD7151">
            <v>4000</v>
          </cell>
        </row>
        <row r="7152">
          <cell r="W7152" t="str">
            <v>QKRES03</v>
          </cell>
          <cell r="AD7152">
            <v>4000</v>
          </cell>
        </row>
        <row r="7153">
          <cell r="W7153" t="str">
            <v>QKRES03</v>
          </cell>
          <cell r="AD7153">
            <v>4000</v>
          </cell>
        </row>
        <row r="7154">
          <cell r="W7154" t="str">
            <v>QKRES03</v>
          </cell>
          <cell r="AD7154">
            <v>4500</v>
          </cell>
        </row>
        <row r="7155">
          <cell r="W7155" t="str">
            <v>QKUBI07</v>
          </cell>
          <cell r="AD7155">
            <v>62600</v>
          </cell>
        </row>
        <row r="7156">
          <cell r="W7156" t="str">
            <v>AKUBI01</v>
          </cell>
          <cell r="AD7156">
            <v>1</v>
          </cell>
        </row>
        <row r="7157">
          <cell r="W7157" t="str">
            <v>QKUBI02</v>
          </cell>
          <cell r="AD7157">
            <v>73000</v>
          </cell>
        </row>
        <row r="7158">
          <cell r="W7158" t="str">
            <v>QKUBI02</v>
          </cell>
          <cell r="AD7158">
            <v>75000</v>
          </cell>
        </row>
        <row r="7159">
          <cell r="W7159" t="str">
            <v>QKUBI02</v>
          </cell>
          <cell r="AD7159">
            <v>75000</v>
          </cell>
        </row>
        <row r="7160">
          <cell r="W7160" t="str">
            <v>QKUBI02</v>
          </cell>
          <cell r="AD7160">
            <v>75000</v>
          </cell>
        </row>
        <row r="7161">
          <cell r="W7161" t="str">
            <v>QKUBI02</v>
          </cell>
          <cell r="AD7161">
            <v>75000</v>
          </cell>
        </row>
        <row r="7162">
          <cell r="W7162" t="str">
            <v>QKUBI02</v>
          </cell>
          <cell r="AD7162">
            <v>75000</v>
          </cell>
        </row>
        <row r="7163">
          <cell r="W7163" t="str">
            <v>QKUBI02</v>
          </cell>
          <cell r="AD7163">
            <v>75000</v>
          </cell>
        </row>
        <row r="7164">
          <cell r="W7164" t="str">
            <v>QKUBI02</v>
          </cell>
          <cell r="AD7164">
            <v>75000</v>
          </cell>
        </row>
        <row r="7165">
          <cell r="W7165" t="str">
            <v>QKUBI11</v>
          </cell>
          <cell r="AD7165">
            <v>59500</v>
          </cell>
        </row>
        <row r="7166">
          <cell r="W7166" t="str">
            <v>QKUBI11</v>
          </cell>
          <cell r="AD7166">
            <v>59500</v>
          </cell>
        </row>
        <row r="7167">
          <cell r="W7167" t="str">
            <v>QKUBI12</v>
          </cell>
          <cell r="AD7167">
            <v>355000</v>
          </cell>
        </row>
        <row r="7168">
          <cell r="W7168" t="str">
            <v>QKUBI03</v>
          </cell>
          <cell r="AD7168">
            <v>86000</v>
          </cell>
        </row>
        <row r="7169">
          <cell r="W7169" t="str">
            <v>QKUBI03</v>
          </cell>
          <cell r="AD7169">
            <v>87000</v>
          </cell>
        </row>
        <row r="7170">
          <cell r="W7170" t="str">
            <v>QKUBI03</v>
          </cell>
          <cell r="AD7170">
            <v>88500</v>
          </cell>
        </row>
        <row r="7171">
          <cell r="W7171" t="str">
            <v>QKUBI03</v>
          </cell>
          <cell r="AD7171">
            <v>88500</v>
          </cell>
        </row>
        <row r="7172">
          <cell r="W7172" t="str">
            <v>QKUPR01</v>
          </cell>
          <cell r="AD7172">
            <v>61500</v>
          </cell>
        </row>
        <row r="7173">
          <cell r="W7173" t="str">
            <v>QKUPR01</v>
          </cell>
          <cell r="AD7173">
            <v>67000</v>
          </cell>
        </row>
        <row r="7174">
          <cell r="W7174" t="str">
            <v>QKUPR01</v>
          </cell>
          <cell r="AD7174">
            <v>67000</v>
          </cell>
        </row>
        <row r="7175">
          <cell r="W7175" t="str">
            <v>QKUPR01</v>
          </cell>
          <cell r="AD7175">
            <v>67000</v>
          </cell>
        </row>
        <row r="7176">
          <cell r="W7176" t="str">
            <v>QKUPR01</v>
          </cell>
          <cell r="AD7176">
            <v>67000</v>
          </cell>
        </row>
        <row r="7177">
          <cell r="W7177" t="str">
            <v>QKUPR01</v>
          </cell>
          <cell r="AD7177">
            <v>67000</v>
          </cell>
        </row>
        <row r="7178">
          <cell r="W7178" t="str">
            <v>QKUPR01</v>
          </cell>
          <cell r="AD7178">
            <v>69000</v>
          </cell>
        </row>
        <row r="7179">
          <cell r="W7179" t="str">
            <v>QKUPR01</v>
          </cell>
          <cell r="AD7179">
            <v>70000</v>
          </cell>
        </row>
        <row r="7180">
          <cell r="W7180" t="str">
            <v>QKUPR01</v>
          </cell>
          <cell r="AD7180">
            <v>70000</v>
          </cell>
        </row>
        <row r="7181">
          <cell r="W7181" t="str">
            <v>QKUPR01</v>
          </cell>
          <cell r="AD7181">
            <v>70000</v>
          </cell>
        </row>
        <row r="7182">
          <cell r="W7182" t="str">
            <v>QKUPR01</v>
          </cell>
          <cell r="AD7182">
            <v>70000</v>
          </cell>
        </row>
        <row r="7183">
          <cell r="W7183" t="str">
            <v>QKUPR01</v>
          </cell>
          <cell r="AD7183">
            <v>70000</v>
          </cell>
        </row>
        <row r="7184">
          <cell r="W7184" t="str">
            <v>QKUPR01</v>
          </cell>
          <cell r="AD7184">
            <v>70000</v>
          </cell>
        </row>
        <row r="7185">
          <cell r="W7185" t="str">
            <v>QKUPR01</v>
          </cell>
          <cell r="AD7185">
            <v>70000</v>
          </cell>
        </row>
        <row r="7186">
          <cell r="W7186" t="str">
            <v>QKUPR01</v>
          </cell>
          <cell r="AD7186">
            <v>70000</v>
          </cell>
        </row>
        <row r="7187">
          <cell r="W7187" t="str">
            <v>QKUPR01</v>
          </cell>
          <cell r="AD7187">
            <v>70000</v>
          </cell>
        </row>
        <row r="7188">
          <cell r="W7188" t="str">
            <v>QKUPR01</v>
          </cell>
          <cell r="AD7188">
            <v>70000</v>
          </cell>
        </row>
        <row r="7189">
          <cell r="W7189" t="str">
            <v>QKUPR01</v>
          </cell>
          <cell r="AD7189">
            <v>71000</v>
          </cell>
        </row>
        <row r="7190">
          <cell r="W7190" t="str">
            <v>QKUPR01</v>
          </cell>
          <cell r="AD7190">
            <v>71000</v>
          </cell>
        </row>
        <row r="7191">
          <cell r="W7191" t="str">
            <v>QKUPR01</v>
          </cell>
          <cell r="AD7191">
            <v>77000</v>
          </cell>
        </row>
        <row r="7192">
          <cell r="W7192" t="str">
            <v>QKUPR01</v>
          </cell>
          <cell r="AD7192">
            <v>77000</v>
          </cell>
        </row>
        <row r="7193">
          <cell r="W7193" t="str">
            <v>QKUPR01</v>
          </cell>
          <cell r="AD7193">
            <v>77000</v>
          </cell>
        </row>
        <row r="7194">
          <cell r="W7194" t="str">
            <v>QKUPR01</v>
          </cell>
          <cell r="AD7194">
            <v>77000</v>
          </cell>
        </row>
        <row r="7195">
          <cell r="W7195" t="str">
            <v>QKUPR01</v>
          </cell>
          <cell r="AD7195">
            <v>77000</v>
          </cell>
        </row>
        <row r="7196">
          <cell r="W7196" t="str">
            <v>QKUPR01</v>
          </cell>
          <cell r="AD7196">
            <v>80000</v>
          </cell>
        </row>
        <row r="7197">
          <cell r="W7197" t="str">
            <v>QKUPR02</v>
          </cell>
          <cell r="AD7197">
            <v>29000</v>
          </cell>
        </row>
        <row r="7198">
          <cell r="W7198" t="str">
            <v>QKUPR02</v>
          </cell>
          <cell r="AD7198">
            <v>29000</v>
          </cell>
        </row>
        <row r="7199">
          <cell r="W7199" t="str">
            <v>QKUPR02</v>
          </cell>
          <cell r="AD7199">
            <v>29000</v>
          </cell>
        </row>
        <row r="7200">
          <cell r="W7200" t="str">
            <v>QKUPR02</v>
          </cell>
          <cell r="AD7200">
            <v>29000</v>
          </cell>
        </row>
        <row r="7201">
          <cell r="W7201" t="str">
            <v>QKUPR02</v>
          </cell>
          <cell r="AD7201">
            <v>29000</v>
          </cell>
        </row>
        <row r="7202">
          <cell r="W7202" t="str">
            <v>AKUPR02</v>
          </cell>
          <cell r="AD7202">
            <v>29000</v>
          </cell>
        </row>
        <row r="7203">
          <cell r="W7203" t="str">
            <v>AKUPR02</v>
          </cell>
          <cell r="AD7203">
            <v>29000</v>
          </cell>
        </row>
        <row r="7204">
          <cell r="W7204" t="str">
            <v>QKUPR02</v>
          </cell>
          <cell r="AD7204">
            <v>31000</v>
          </cell>
        </row>
        <row r="7205">
          <cell r="W7205" t="str">
            <v>QKUPR02</v>
          </cell>
          <cell r="AD7205">
            <v>32500</v>
          </cell>
        </row>
        <row r="7206">
          <cell r="W7206" t="str">
            <v>AKUPR02</v>
          </cell>
          <cell r="AD7206">
            <v>32500</v>
          </cell>
        </row>
        <row r="7207">
          <cell r="W7207" t="str">
            <v>QLABU01</v>
          </cell>
          <cell r="AD7207">
            <v>20000</v>
          </cell>
        </row>
        <row r="7208">
          <cell r="W7208" t="str">
            <v>QLABU01</v>
          </cell>
          <cell r="AD7208">
            <v>21500</v>
          </cell>
        </row>
        <row r="7209">
          <cell r="W7209" t="str">
            <v>QLABU01</v>
          </cell>
          <cell r="AD7209">
            <v>21500</v>
          </cell>
        </row>
        <row r="7210">
          <cell r="W7210" t="str">
            <v>QLABU01</v>
          </cell>
          <cell r="AD7210">
            <v>22000</v>
          </cell>
        </row>
        <row r="7211">
          <cell r="W7211" t="str">
            <v>QLABU01</v>
          </cell>
          <cell r="AD7211">
            <v>22000</v>
          </cell>
        </row>
        <row r="7212">
          <cell r="W7212" t="str">
            <v>QLANN04</v>
          </cell>
          <cell r="AD7212">
            <v>18250</v>
          </cell>
        </row>
        <row r="7213">
          <cell r="W7213" t="str">
            <v>QLANN04</v>
          </cell>
          <cell r="AD7213">
            <v>18500</v>
          </cell>
        </row>
        <row r="7214">
          <cell r="W7214" t="str">
            <v>QLANN04</v>
          </cell>
          <cell r="AD7214">
            <v>18500</v>
          </cell>
        </row>
        <row r="7215">
          <cell r="W7215" t="str">
            <v>QLANN04</v>
          </cell>
          <cell r="AD7215">
            <v>19000</v>
          </cell>
        </row>
        <row r="7216">
          <cell r="W7216" t="str">
            <v>QLANN04</v>
          </cell>
          <cell r="AD7216">
            <v>21500</v>
          </cell>
        </row>
        <row r="7217">
          <cell r="W7217" t="str">
            <v>QLANN04</v>
          </cell>
          <cell r="AD7217">
            <v>21500</v>
          </cell>
        </row>
        <row r="7218">
          <cell r="W7218" t="str">
            <v>QLANN04</v>
          </cell>
          <cell r="AD7218">
            <v>21500</v>
          </cell>
        </row>
        <row r="7219">
          <cell r="W7219" t="str">
            <v>QLANN04</v>
          </cell>
          <cell r="AD7219">
            <v>21500</v>
          </cell>
        </row>
        <row r="7220">
          <cell r="W7220" t="str">
            <v>QLANN04</v>
          </cell>
          <cell r="AD7220">
            <v>21500</v>
          </cell>
        </row>
        <row r="7221">
          <cell r="W7221" t="str">
            <v>QLANN04</v>
          </cell>
          <cell r="AD7221">
            <v>21500</v>
          </cell>
        </row>
        <row r="7222">
          <cell r="W7222" t="str">
            <v>QLANN04</v>
          </cell>
          <cell r="AD7222">
            <v>21500</v>
          </cell>
        </row>
        <row r="7223">
          <cell r="W7223" t="str">
            <v>QLANN04</v>
          </cell>
          <cell r="AD7223">
            <v>21500</v>
          </cell>
        </row>
        <row r="7224">
          <cell r="W7224" t="str">
            <v>QLANN04</v>
          </cell>
          <cell r="AD7224">
            <v>21500</v>
          </cell>
        </row>
        <row r="7225">
          <cell r="W7225" t="str">
            <v>QLANN04</v>
          </cell>
          <cell r="AD7225">
            <v>21500</v>
          </cell>
        </row>
        <row r="7226">
          <cell r="W7226" t="str">
            <v>QLANN04</v>
          </cell>
          <cell r="AD7226">
            <v>21500</v>
          </cell>
        </row>
        <row r="7227">
          <cell r="W7227" t="str">
            <v>QLANN04</v>
          </cell>
          <cell r="AD7227">
            <v>21500</v>
          </cell>
        </row>
        <row r="7228">
          <cell r="W7228" t="str">
            <v>QLANN04</v>
          </cell>
          <cell r="AD7228">
            <v>21500</v>
          </cell>
        </row>
        <row r="7229">
          <cell r="W7229" t="str">
            <v>QLANN04</v>
          </cell>
          <cell r="AD7229">
            <v>21500</v>
          </cell>
        </row>
        <row r="7230">
          <cell r="W7230" t="str">
            <v>QLANN04</v>
          </cell>
          <cell r="AD7230">
            <v>21750</v>
          </cell>
        </row>
        <row r="7231">
          <cell r="W7231" t="str">
            <v>QLANN04</v>
          </cell>
          <cell r="AD7231">
            <v>21750</v>
          </cell>
        </row>
        <row r="7232">
          <cell r="W7232" t="str">
            <v>QLANN04</v>
          </cell>
          <cell r="AD7232">
            <v>21750</v>
          </cell>
        </row>
        <row r="7233">
          <cell r="W7233" t="str">
            <v>QLANN04</v>
          </cell>
          <cell r="AD7233">
            <v>21750</v>
          </cell>
        </row>
        <row r="7234">
          <cell r="W7234" t="str">
            <v>QLANN04</v>
          </cell>
          <cell r="AD7234">
            <v>21750</v>
          </cell>
        </row>
        <row r="7235">
          <cell r="W7235" t="str">
            <v>QLANN04</v>
          </cell>
          <cell r="AD7235">
            <v>21750</v>
          </cell>
        </row>
        <row r="7236">
          <cell r="W7236" t="str">
            <v>QLANN04</v>
          </cell>
          <cell r="AD7236">
            <v>21750</v>
          </cell>
        </row>
        <row r="7237">
          <cell r="W7237" t="str">
            <v>QLANN04</v>
          </cell>
          <cell r="AD7237">
            <v>21750</v>
          </cell>
        </row>
        <row r="7238">
          <cell r="W7238" t="str">
            <v>QLANN04</v>
          </cell>
          <cell r="AD7238">
            <v>21750</v>
          </cell>
        </row>
        <row r="7239">
          <cell r="W7239" t="str">
            <v>QLANN04</v>
          </cell>
          <cell r="AD7239">
            <v>21750</v>
          </cell>
        </row>
        <row r="7240">
          <cell r="W7240" t="str">
            <v>QLANN04</v>
          </cell>
          <cell r="AD7240">
            <v>21750</v>
          </cell>
        </row>
        <row r="7241">
          <cell r="W7241" t="str">
            <v>QLANN04</v>
          </cell>
          <cell r="AD7241">
            <v>21750</v>
          </cell>
        </row>
        <row r="7242">
          <cell r="W7242" t="str">
            <v>QLANN04</v>
          </cell>
          <cell r="AD7242">
            <v>21750</v>
          </cell>
        </row>
        <row r="7243">
          <cell r="W7243" t="str">
            <v>QLANN04</v>
          </cell>
          <cell r="AD7243">
            <v>21750</v>
          </cell>
        </row>
        <row r="7244">
          <cell r="W7244" t="str">
            <v>QLANN04</v>
          </cell>
          <cell r="AD7244">
            <v>21750</v>
          </cell>
        </row>
        <row r="7245">
          <cell r="W7245" t="str">
            <v>QLANN04</v>
          </cell>
          <cell r="AD7245">
            <v>22000</v>
          </cell>
        </row>
        <row r="7246">
          <cell r="W7246" t="str">
            <v>QLANN04</v>
          </cell>
          <cell r="AD7246">
            <v>22250</v>
          </cell>
        </row>
        <row r="7247">
          <cell r="W7247" t="str">
            <v>QLANN05</v>
          </cell>
          <cell r="AD7247">
            <v>3500</v>
          </cell>
        </row>
        <row r="7248">
          <cell r="W7248" t="str">
            <v>QLANN05</v>
          </cell>
          <cell r="AD7248">
            <v>3500</v>
          </cell>
        </row>
        <row r="7249">
          <cell r="W7249" t="str">
            <v>QLANN05</v>
          </cell>
          <cell r="AD7249">
            <v>3500</v>
          </cell>
        </row>
        <row r="7250">
          <cell r="W7250" t="str">
            <v>QLANN05</v>
          </cell>
          <cell r="AD7250">
            <v>3650</v>
          </cell>
        </row>
        <row r="7251">
          <cell r="W7251" t="str">
            <v>QLANN05</v>
          </cell>
          <cell r="AD7251">
            <v>3700</v>
          </cell>
        </row>
        <row r="7252">
          <cell r="W7252" t="str">
            <v>QLANN05</v>
          </cell>
          <cell r="AD7252">
            <v>3850</v>
          </cell>
        </row>
        <row r="7253">
          <cell r="W7253" t="str">
            <v>QLANN05</v>
          </cell>
          <cell r="AD7253">
            <v>3850</v>
          </cell>
        </row>
        <row r="7254">
          <cell r="W7254" t="str">
            <v>QLANN05</v>
          </cell>
          <cell r="AD7254">
            <v>3850</v>
          </cell>
        </row>
        <row r="7255">
          <cell r="W7255" t="str">
            <v>QLANN05</v>
          </cell>
          <cell r="AD7255">
            <v>3850</v>
          </cell>
        </row>
        <row r="7256">
          <cell r="W7256" t="str">
            <v>QLANN05</v>
          </cell>
          <cell r="AD7256">
            <v>3850</v>
          </cell>
        </row>
        <row r="7257">
          <cell r="W7257" t="str">
            <v>QLANN05</v>
          </cell>
          <cell r="AD7257">
            <v>3850</v>
          </cell>
        </row>
        <row r="7258">
          <cell r="W7258" t="str">
            <v>QLANN05</v>
          </cell>
          <cell r="AD7258">
            <v>3850</v>
          </cell>
        </row>
        <row r="7259">
          <cell r="W7259" t="str">
            <v>QLANN05</v>
          </cell>
          <cell r="AD7259">
            <v>3850</v>
          </cell>
        </row>
        <row r="7260">
          <cell r="W7260" t="str">
            <v>QLANN05</v>
          </cell>
          <cell r="AD7260">
            <v>3850</v>
          </cell>
        </row>
        <row r="7261">
          <cell r="W7261" t="str">
            <v>QLANN05</v>
          </cell>
          <cell r="AD7261">
            <v>3900</v>
          </cell>
        </row>
        <row r="7262">
          <cell r="W7262" t="str">
            <v>QLANN05</v>
          </cell>
          <cell r="AD7262">
            <v>3900</v>
          </cell>
        </row>
        <row r="7263">
          <cell r="W7263" t="str">
            <v>QLANN05</v>
          </cell>
          <cell r="AD7263">
            <v>3900</v>
          </cell>
        </row>
        <row r="7264">
          <cell r="W7264" t="str">
            <v>QLANN05</v>
          </cell>
          <cell r="AD7264">
            <v>3900</v>
          </cell>
        </row>
        <row r="7265">
          <cell r="W7265" t="str">
            <v>QLANN05</v>
          </cell>
          <cell r="AD7265">
            <v>3900</v>
          </cell>
        </row>
        <row r="7266">
          <cell r="W7266" t="str">
            <v>QLANN05</v>
          </cell>
          <cell r="AD7266">
            <v>3900</v>
          </cell>
        </row>
        <row r="7267">
          <cell r="W7267" t="str">
            <v>QLANN05</v>
          </cell>
          <cell r="AD7267">
            <v>3900</v>
          </cell>
        </row>
        <row r="7268">
          <cell r="W7268" t="str">
            <v>QLANN05</v>
          </cell>
          <cell r="AD7268">
            <v>3900</v>
          </cell>
        </row>
        <row r="7269">
          <cell r="W7269" t="str">
            <v>QLANN05</v>
          </cell>
          <cell r="AD7269">
            <v>3900</v>
          </cell>
        </row>
        <row r="7270">
          <cell r="W7270" t="str">
            <v>QLANN05</v>
          </cell>
          <cell r="AD7270">
            <v>3900</v>
          </cell>
        </row>
        <row r="7271">
          <cell r="W7271" t="str">
            <v>QLANN05</v>
          </cell>
          <cell r="AD7271">
            <v>3900</v>
          </cell>
        </row>
        <row r="7272">
          <cell r="W7272" t="str">
            <v>QLANN05</v>
          </cell>
          <cell r="AD7272">
            <v>3900</v>
          </cell>
        </row>
        <row r="7273">
          <cell r="W7273" t="str">
            <v>QLANN05</v>
          </cell>
          <cell r="AD7273">
            <v>3900</v>
          </cell>
        </row>
        <row r="7274">
          <cell r="W7274" t="str">
            <v>QLANN05</v>
          </cell>
          <cell r="AD7274">
            <v>3900</v>
          </cell>
        </row>
        <row r="7275">
          <cell r="W7275" t="str">
            <v>QLANN05</v>
          </cell>
          <cell r="AD7275">
            <v>3950</v>
          </cell>
        </row>
        <row r="7276">
          <cell r="W7276" t="str">
            <v>QLANN05</v>
          </cell>
          <cell r="AD7276">
            <v>3950</v>
          </cell>
        </row>
        <row r="7277">
          <cell r="W7277" t="str">
            <v>QLANN05</v>
          </cell>
          <cell r="AD7277">
            <v>3950</v>
          </cell>
        </row>
        <row r="7278">
          <cell r="W7278" t="str">
            <v>QLANN05</v>
          </cell>
          <cell r="AD7278">
            <v>3950</v>
          </cell>
        </row>
        <row r="7279">
          <cell r="W7279" t="str">
            <v>QLANN05</v>
          </cell>
          <cell r="AD7279">
            <v>3950</v>
          </cell>
        </row>
        <row r="7280">
          <cell r="W7280" t="str">
            <v>QLANN05</v>
          </cell>
          <cell r="AD7280">
            <v>4000</v>
          </cell>
        </row>
        <row r="7281">
          <cell r="W7281" t="str">
            <v>QLANN05</v>
          </cell>
          <cell r="AD7281">
            <v>4000</v>
          </cell>
        </row>
        <row r="7282">
          <cell r="W7282" t="str">
            <v>QLANN05</v>
          </cell>
          <cell r="AD7282">
            <v>4000</v>
          </cell>
        </row>
        <row r="7283">
          <cell r="W7283" t="str">
            <v>QLANN05</v>
          </cell>
          <cell r="AD7283">
            <v>4000</v>
          </cell>
        </row>
        <row r="7284">
          <cell r="W7284" t="str">
            <v>QLANN05</v>
          </cell>
          <cell r="AD7284">
            <v>4000</v>
          </cell>
        </row>
        <row r="7285">
          <cell r="W7285" t="str">
            <v>QLANN05</v>
          </cell>
          <cell r="AD7285">
            <v>4000</v>
          </cell>
        </row>
        <row r="7286">
          <cell r="W7286" t="str">
            <v>QLANN05</v>
          </cell>
          <cell r="AD7286">
            <v>4000</v>
          </cell>
        </row>
        <row r="7287">
          <cell r="W7287" t="str">
            <v>QLANN05</v>
          </cell>
          <cell r="AD7287">
            <v>4000</v>
          </cell>
        </row>
        <row r="7288">
          <cell r="W7288" t="str">
            <v>QLANN06</v>
          </cell>
          <cell r="AD7288">
            <v>78750</v>
          </cell>
        </row>
        <row r="7289">
          <cell r="W7289" t="str">
            <v>QLANN06</v>
          </cell>
          <cell r="AD7289">
            <v>78750</v>
          </cell>
        </row>
        <row r="7290">
          <cell r="W7290" t="str">
            <v>QLANN06</v>
          </cell>
          <cell r="AD7290">
            <v>78750</v>
          </cell>
        </row>
        <row r="7291">
          <cell r="W7291" t="str">
            <v>QLANN06</v>
          </cell>
          <cell r="AD7291">
            <v>78750</v>
          </cell>
        </row>
        <row r="7292">
          <cell r="W7292" t="str">
            <v>QLANN06</v>
          </cell>
          <cell r="AD7292">
            <v>78750</v>
          </cell>
        </row>
        <row r="7293">
          <cell r="W7293" t="str">
            <v>QLANN06</v>
          </cell>
          <cell r="AD7293">
            <v>78750</v>
          </cell>
        </row>
        <row r="7294">
          <cell r="W7294" t="str">
            <v>QLANN06</v>
          </cell>
          <cell r="AD7294">
            <v>78750</v>
          </cell>
        </row>
        <row r="7295">
          <cell r="W7295" t="str">
            <v>QLANN06</v>
          </cell>
          <cell r="AD7295">
            <v>78750</v>
          </cell>
        </row>
        <row r="7296">
          <cell r="W7296" t="str">
            <v>QLANN06</v>
          </cell>
          <cell r="AD7296">
            <v>78750</v>
          </cell>
        </row>
        <row r="7297">
          <cell r="W7297" t="str">
            <v>QLANN06</v>
          </cell>
          <cell r="AD7297">
            <v>78750</v>
          </cell>
        </row>
        <row r="7298">
          <cell r="W7298" t="str">
            <v>QLANN06</v>
          </cell>
          <cell r="AD7298">
            <v>78750</v>
          </cell>
        </row>
        <row r="7299">
          <cell r="W7299" t="str">
            <v>QLANN01</v>
          </cell>
          <cell r="AD7299">
            <v>26500</v>
          </cell>
        </row>
        <row r="7300">
          <cell r="W7300" t="str">
            <v>QLANN01</v>
          </cell>
          <cell r="AD7300">
            <v>27500</v>
          </cell>
        </row>
        <row r="7301">
          <cell r="W7301" t="str">
            <v>QLANN01</v>
          </cell>
          <cell r="AD7301">
            <v>28000</v>
          </cell>
        </row>
        <row r="7302">
          <cell r="W7302" t="str">
            <v>QLANN01</v>
          </cell>
          <cell r="AD7302">
            <v>28000</v>
          </cell>
        </row>
        <row r="7303">
          <cell r="W7303" t="str">
            <v>QLANN01</v>
          </cell>
          <cell r="AD7303">
            <v>28000</v>
          </cell>
        </row>
        <row r="7304">
          <cell r="W7304" t="str">
            <v>QLANN01</v>
          </cell>
          <cell r="AD7304">
            <v>28000</v>
          </cell>
        </row>
        <row r="7305">
          <cell r="W7305" t="str">
            <v>QLANN01</v>
          </cell>
          <cell r="AD7305">
            <v>28000</v>
          </cell>
        </row>
        <row r="7306">
          <cell r="W7306" t="str">
            <v>QLANN01</v>
          </cell>
          <cell r="AD7306">
            <v>28500</v>
          </cell>
        </row>
        <row r="7307">
          <cell r="W7307" t="str">
            <v>QLANN01</v>
          </cell>
          <cell r="AD7307">
            <v>28500</v>
          </cell>
        </row>
        <row r="7308">
          <cell r="W7308" t="str">
            <v>QLANN01</v>
          </cell>
          <cell r="AD7308">
            <v>28500</v>
          </cell>
        </row>
        <row r="7309">
          <cell r="W7309" t="str">
            <v>QLANN01</v>
          </cell>
          <cell r="AD7309">
            <v>28500</v>
          </cell>
        </row>
        <row r="7310">
          <cell r="W7310" t="str">
            <v>QLANN01</v>
          </cell>
          <cell r="AD7310">
            <v>28500</v>
          </cell>
        </row>
        <row r="7311">
          <cell r="W7311" t="str">
            <v>QLANN01</v>
          </cell>
          <cell r="AD7311">
            <v>28500</v>
          </cell>
        </row>
        <row r="7312">
          <cell r="W7312" t="str">
            <v>QLANN01</v>
          </cell>
          <cell r="AD7312">
            <v>28500</v>
          </cell>
        </row>
        <row r="7313">
          <cell r="W7313" t="str">
            <v>QLANN01</v>
          </cell>
          <cell r="AD7313">
            <v>28500</v>
          </cell>
        </row>
        <row r="7314">
          <cell r="W7314" t="str">
            <v>QLANN01</v>
          </cell>
          <cell r="AD7314">
            <v>28500</v>
          </cell>
        </row>
        <row r="7315">
          <cell r="W7315" t="str">
            <v>QLANN01</v>
          </cell>
          <cell r="AD7315">
            <v>28500</v>
          </cell>
        </row>
        <row r="7316">
          <cell r="W7316" t="str">
            <v>QLANN01</v>
          </cell>
          <cell r="AD7316">
            <v>28500</v>
          </cell>
        </row>
        <row r="7317">
          <cell r="W7317" t="str">
            <v>QLANN01</v>
          </cell>
          <cell r="AD7317">
            <v>28500</v>
          </cell>
        </row>
        <row r="7318">
          <cell r="W7318" t="str">
            <v>QLANN01</v>
          </cell>
          <cell r="AD7318">
            <v>28500</v>
          </cell>
        </row>
        <row r="7319">
          <cell r="W7319" t="str">
            <v>QLANN01</v>
          </cell>
          <cell r="AD7319">
            <v>28500</v>
          </cell>
        </row>
        <row r="7320">
          <cell r="W7320" t="str">
            <v>QLANN01</v>
          </cell>
          <cell r="AD7320">
            <v>28500</v>
          </cell>
        </row>
        <row r="7321">
          <cell r="W7321" t="str">
            <v>QLANN01</v>
          </cell>
          <cell r="AD7321">
            <v>28500</v>
          </cell>
        </row>
        <row r="7322">
          <cell r="W7322" t="str">
            <v>QLANN01</v>
          </cell>
          <cell r="AD7322">
            <v>28500</v>
          </cell>
        </row>
        <row r="7323">
          <cell r="W7323" t="str">
            <v>QLANN01</v>
          </cell>
          <cell r="AD7323">
            <v>28500</v>
          </cell>
        </row>
        <row r="7324">
          <cell r="W7324" t="str">
            <v>QLANN01</v>
          </cell>
          <cell r="AD7324">
            <v>28500</v>
          </cell>
        </row>
        <row r="7325">
          <cell r="W7325" t="str">
            <v>QLANN01</v>
          </cell>
          <cell r="AD7325">
            <v>28500</v>
          </cell>
        </row>
        <row r="7326">
          <cell r="W7326" t="str">
            <v>QLANN01</v>
          </cell>
          <cell r="AD7326">
            <v>28500</v>
          </cell>
        </row>
        <row r="7327">
          <cell r="W7327" t="str">
            <v>QLANN01</v>
          </cell>
          <cell r="AD7327">
            <v>28500</v>
          </cell>
        </row>
        <row r="7328">
          <cell r="W7328" t="str">
            <v>QLANN01</v>
          </cell>
          <cell r="AD7328">
            <v>28500</v>
          </cell>
        </row>
        <row r="7329">
          <cell r="W7329" t="str">
            <v>QLANN01</v>
          </cell>
          <cell r="AD7329">
            <v>28500</v>
          </cell>
        </row>
        <row r="7330">
          <cell r="W7330" t="str">
            <v>QLANN01</v>
          </cell>
          <cell r="AD7330">
            <v>28500</v>
          </cell>
        </row>
        <row r="7331">
          <cell r="W7331" t="str">
            <v>QLANN01</v>
          </cell>
          <cell r="AD7331">
            <v>28500</v>
          </cell>
        </row>
        <row r="7332">
          <cell r="W7332" t="str">
            <v>QLANN01</v>
          </cell>
          <cell r="AD7332">
            <v>28500</v>
          </cell>
        </row>
        <row r="7333">
          <cell r="W7333" t="str">
            <v>QLANN01</v>
          </cell>
          <cell r="AD7333">
            <v>28500</v>
          </cell>
        </row>
        <row r="7334">
          <cell r="W7334" t="str">
            <v>QLANN01</v>
          </cell>
          <cell r="AD7334">
            <v>28500</v>
          </cell>
        </row>
        <row r="7335">
          <cell r="W7335" t="str">
            <v>QLANN01</v>
          </cell>
          <cell r="AD7335">
            <v>28500</v>
          </cell>
        </row>
        <row r="7336">
          <cell r="W7336" t="str">
            <v>QLANN01</v>
          </cell>
          <cell r="AD7336">
            <v>28500</v>
          </cell>
        </row>
        <row r="7337">
          <cell r="W7337" t="str">
            <v>QLANN01</v>
          </cell>
          <cell r="AD7337">
            <v>28500</v>
          </cell>
        </row>
        <row r="7338">
          <cell r="W7338" t="str">
            <v>QLANN01</v>
          </cell>
          <cell r="AD7338">
            <v>28500</v>
          </cell>
        </row>
        <row r="7339">
          <cell r="W7339" t="str">
            <v>QLANN01</v>
          </cell>
          <cell r="AD7339">
            <v>28500</v>
          </cell>
        </row>
        <row r="7340">
          <cell r="W7340" t="str">
            <v>QLANN01</v>
          </cell>
          <cell r="AD7340">
            <v>28750</v>
          </cell>
        </row>
        <row r="7341">
          <cell r="W7341" t="str">
            <v>QLANN01</v>
          </cell>
          <cell r="AD7341">
            <v>28750</v>
          </cell>
        </row>
        <row r="7342">
          <cell r="W7342" t="str">
            <v>QLANN01</v>
          </cell>
          <cell r="AD7342">
            <v>28750</v>
          </cell>
        </row>
        <row r="7343">
          <cell r="W7343" t="str">
            <v>QLANN01</v>
          </cell>
          <cell r="AD7343">
            <v>28750</v>
          </cell>
        </row>
        <row r="7344">
          <cell r="W7344" t="str">
            <v>QLANN01</v>
          </cell>
          <cell r="AD7344">
            <v>28750</v>
          </cell>
        </row>
        <row r="7345">
          <cell r="W7345" t="str">
            <v>QLANN01</v>
          </cell>
          <cell r="AD7345">
            <v>29000</v>
          </cell>
        </row>
        <row r="7346">
          <cell r="W7346" t="str">
            <v>QLANN01</v>
          </cell>
          <cell r="AD7346">
            <v>29000</v>
          </cell>
        </row>
        <row r="7347">
          <cell r="W7347" t="str">
            <v>QLANN01</v>
          </cell>
          <cell r="AD7347">
            <v>29000</v>
          </cell>
        </row>
        <row r="7348">
          <cell r="W7348" t="str">
            <v>QLANN01</v>
          </cell>
          <cell r="AD7348">
            <v>29000</v>
          </cell>
        </row>
        <row r="7349">
          <cell r="W7349" t="str">
            <v>QLANN01</v>
          </cell>
          <cell r="AD7349">
            <v>29000</v>
          </cell>
        </row>
        <row r="7350">
          <cell r="W7350" t="str">
            <v>QLANN01</v>
          </cell>
          <cell r="AD7350">
            <v>29000</v>
          </cell>
        </row>
        <row r="7351">
          <cell r="W7351" t="str">
            <v>QLANN01</v>
          </cell>
          <cell r="AD7351">
            <v>29000</v>
          </cell>
        </row>
        <row r="7352">
          <cell r="W7352" t="str">
            <v>QLANN01</v>
          </cell>
          <cell r="AD7352">
            <v>29000</v>
          </cell>
        </row>
        <row r="7353">
          <cell r="W7353" t="str">
            <v>QLANN01</v>
          </cell>
          <cell r="AD7353">
            <v>29000</v>
          </cell>
        </row>
        <row r="7354">
          <cell r="W7354" t="str">
            <v>QLANN01</v>
          </cell>
          <cell r="AD7354">
            <v>29000</v>
          </cell>
        </row>
        <row r="7355">
          <cell r="W7355" t="str">
            <v>QLANN01</v>
          </cell>
          <cell r="AD7355">
            <v>29000</v>
          </cell>
        </row>
        <row r="7356">
          <cell r="W7356" t="str">
            <v>QLANN01</v>
          </cell>
          <cell r="AD7356">
            <v>29000</v>
          </cell>
        </row>
        <row r="7357">
          <cell r="W7357" t="str">
            <v>QLANN01</v>
          </cell>
          <cell r="AD7357">
            <v>29000</v>
          </cell>
        </row>
        <row r="7358">
          <cell r="W7358" t="str">
            <v>QLANN01</v>
          </cell>
          <cell r="AD7358">
            <v>29000</v>
          </cell>
        </row>
        <row r="7359">
          <cell r="W7359" t="str">
            <v>QLANN01</v>
          </cell>
          <cell r="AD7359">
            <v>29000</v>
          </cell>
        </row>
        <row r="7360">
          <cell r="W7360" t="str">
            <v>QLANN01</v>
          </cell>
          <cell r="AD7360">
            <v>29000</v>
          </cell>
        </row>
        <row r="7361">
          <cell r="W7361" t="str">
            <v>QLANN01</v>
          </cell>
          <cell r="AD7361">
            <v>29000</v>
          </cell>
        </row>
        <row r="7362">
          <cell r="W7362" t="str">
            <v>QLANN01</v>
          </cell>
          <cell r="AD7362">
            <v>29000</v>
          </cell>
        </row>
        <row r="7363">
          <cell r="W7363" t="str">
            <v>QLANN01</v>
          </cell>
          <cell r="AD7363">
            <v>29000</v>
          </cell>
        </row>
        <row r="7364">
          <cell r="W7364" t="str">
            <v>QLANN01</v>
          </cell>
          <cell r="AD7364">
            <v>29500</v>
          </cell>
        </row>
        <row r="7365">
          <cell r="W7365" t="str">
            <v>ALANN01</v>
          </cell>
          <cell r="AD7365">
            <v>5500</v>
          </cell>
        </row>
        <row r="7366">
          <cell r="W7366" t="str">
            <v>QLANN03</v>
          </cell>
          <cell r="AD7366">
            <v>62000</v>
          </cell>
        </row>
        <row r="7367">
          <cell r="W7367" t="str">
            <v>QLANN03</v>
          </cell>
          <cell r="AD7367">
            <v>62000</v>
          </cell>
        </row>
        <row r="7368">
          <cell r="W7368" t="str">
            <v>QLANN03</v>
          </cell>
          <cell r="AD7368">
            <v>62000</v>
          </cell>
        </row>
        <row r="7369">
          <cell r="W7369" t="str">
            <v>QLANN03</v>
          </cell>
          <cell r="AD7369">
            <v>62000</v>
          </cell>
        </row>
        <row r="7370">
          <cell r="W7370" t="str">
            <v>QLANN03</v>
          </cell>
          <cell r="AD7370">
            <v>62000</v>
          </cell>
        </row>
        <row r="7371">
          <cell r="W7371" t="str">
            <v>QLANN03</v>
          </cell>
          <cell r="AD7371">
            <v>62000</v>
          </cell>
        </row>
        <row r="7372">
          <cell r="W7372" t="str">
            <v>QLANN03</v>
          </cell>
          <cell r="AD7372">
            <v>62500</v>
          </cell>
        </row>
        <row r="7373">
          <cell r="W7373" t="str">
            <v>QLANN03</v>
          </cell>
          <cell r="AD7373">
            <v>63000</v>
          </cell>
        </row>
        <row r="7374">
          <cell r="W7374" t="str">
            <v>QLANN03</v>
          </cell>
          <cell r="AD7374">
            <v>63000</v>
          </cell>
        </row>
        <row r="7375">
          <cell r="W7375" t="str">
            <v>QLANN03</v>
          </cell>
          <cell r="AD7375">
            <v>63000</v>
          </cell>
        </row>
        <row r="7376">
          <cell r="W7376" t="str">
            <v>QLANN03</v>
          </cell>
          <cell r="AD7376">
            <v>63000</v>
          </cell>
        </row>
        <row r="7377">
          <cell r="W7377" t="str">
            <v>QLANN03</v>
          </cell>
          <cell r="AD7377">
            <v>63000</v>
          </cell>
        </row>
        <row r="7378">
          <cell r="W7378" t="str">
            <v>QLANN03</v>
          </cell>
          <cell r="AD7378">
            <v>63000</v>
          </cell>
        </row>
        <row r="7379">
          <cell r="W7379" t="str">
            <v>QLANN03</v>
          </cell>
          <cell r="AD7379">
            <v>63000</v>
          </cell>
        </row>
        <row r="7380">
          <cell r="W7380" t="str">
            <v>QLANN03</v>
          </cell>
          <cell r="AD7380">
            <v>63000</v>
          </cell>
        </row>
        <row r="7381">
          <cell r="W7381" t="str">
            <v>QLANN03</v>
          </cell>
          <cell r="AD7381">
            <v>63000</v>
          </cell>
        </row>
        <row r="7382">
          <cell r="W7382" t="str">
            <v>QLANN03</v>
          </cell>
          <cell r="AD7382">
            <v>63000</v>
          </cell>
        </row>
        <row r="7383">
          <cell r="W7383" t="str">
            <v>QLANN03</v>
          </cell>
          <cell r="AD7383">
            <v>63000</v>
          </cell>
        </row>
        <row r="7384">
          <cell r="W7384" t="str">
            <v>QLANN03</v>
          </cell>
          <cell r="AD7384">
            <v>63000</v>
          </cell>
        </row>
        <row r="7385">
          <cell r="W7385" t="str">
            <v>QLANN03</v>
          </cell>
          <cell r="AD7385">
            <v>63000</v>
          </cell>
        </row>
        <row r="7386">
          <cell r="W7386" t="str">
            <v>QLANN03</v>
          </cell>
          <cell r="AD7386">
            <v>63000</v>
          </cell>
        </row>
        <row r="7387">
          <cell r="W7387" t="str">
            <v>QLANN03</v>
          </cell>
          <cell r="AD7387">
            <v>63000</v>
          </cell>
        </row>
        <row r="7388">
          <cell r="W7388" t="str">
            <v>QLANN03</v>
          </cell>
          <cell r="AD7388">
            <v>63000</v>
          </cell>
        </row>
        <row r="7389">
          <cell r="W7389" t="str">
            <v>QLANN03</v>
          </cell>
          <cell r="AD7389">
            <v>63000</v>
          </cell>
        </row>
        <row r="7390">
          <cell r="W7390" t="str">
            <v>QLANN03</v>
          </cell>
          <cell r="AD7390">
            <v>63250</v>
          </cell>
        </row>
        <row r="7391">
          <cell r="W7391" t="str">
            <v>QLANN03</v>
          </cell>
          <cell r="AD7391">
            <v>63500</v>
          </cell>
        </row>
        <row r="7392">
          <cell r="W7392" t="str">
            <v>QLANN03</v>
          </cell>
          <cell r="AD7392">
            <v>63500</v>
          </cell>
        </row>
        <row r="7393">
          <cell r="W7393" t="str">
            <v>QLANN03</v>
          </cell>
          <cell r="AD7393">
            <v>63500</v>
          </cell>
        </row>
        <row r="7394">
          <cell r="W7394" t="str">
            <v>QLANN03</v>
          </cell>
          <cell r="AD7394">
            <v>63500</v>
          </cell>
        </row>
        <row r="7395">
          <cell r="W7395" t="str">
            <v>QLANN03</v>
          </cell>
          <cell r="AD7395">
            <v>63500</v>
          </cell>
        </row>
        <row r="7396">
          <cell r="W7396" t="str">
            <v>QLANN03</v>
          </cell>
          <cell r="AD7396">
            <v>63500</v>
          </cell>
        </row>
        <row r="7397">
          <cell r="W7397" t="str">
            <v>QLANN03</v>
          </cell>
          <cell r="AD7397">
            <v>63500</v>
          </cell>
        </row>
        <row r="7398">
          <cell r="W7398" t="str">
            <v>QLANN03</v>
          </cell>
          <cell r="AD7398">
            <v>63500</v>
          </cell>
        </row>
        <row r="7399">
          <cell r="W7399" t="str">
            <v>QLANN03</v>
          </cell>
          <cell r="AD7399">
            <v>64000</v>
          </cell>
        </row>
        <row r="7400">
          <cell r="W7400" t="str">
            <v>QLARV03</v>
          </cell>
          <cell r="AD7400">
            <v>60250</v>
          </cell>
        </row>
        <row r="7401">
          <cell r="W7401" t="str">
            <v>QLARV03</v>
          </cell>
          <cell r="AD7401">
            <v>61000</v>
          </cell>
        </row>
        <row r="7402">
          <cell r="W7402" t="str">
            <v>QLARV03</v>
          </cell>
          <cell r="AD7402">
            <v>61000</v>
          </cell>
        </row>
        <row r="7403">
          <cell r="W7403" t="str">
            <v>QLARV03</v>
          </cell>
          <cell r="AD7403">
            <v>61500</v>
          </cell>
        </row>
        <row r="7404">
          <cell r="W7404" t="str">
            <v>QLARV03</v>
          </cell>
          <cell r="AD7404">
            <v>61500</v>
          </cell>
        </row>
        <row r="7405">
          <cell r="W7405" t="str">
            <v>QLARV03</v>
          </cell>
          <cell r="AD7405">
            <v>61500</v>
          </cell>
        </row>
        <row r="7406">
          <cell r="W7406" t="str">
            <v>QLARV03</v>
          </cell>
          <cell r="AD7406">
            <v>61500</v>
          </cell>
        </row>
        <row r="7407">
          <cell r="W7407" t="str">
            <v>QLARV03</v>
          </cell>
          <cell r="AD7407">
            <v>61500</v>
          </cell>
        </row>
        <row r="7408">
          <cell r="W7408" t="str">
            <v>QLARV04</v>
          </cell>
          <cell r="AD7408">
            <v>9900</v>
          </cell>
        </row>
        <row r="7409">
          <cell r="W7409" t="str">
            <v>QLARV04</v>
          </cell>
          <cell r="AD7409">
            <v>9900</v>
          </cell>
        </row>
        <row r="7410">
          <cell r="W7410" t="str">
            <v>QLARV04</v>
          </cell>
          <cell r="AD7410">
            <v>9900</v>
          </cell>
        </row>
        <row r="7411">
          <cell r="W7411" t="str">
            <v>QLARV04</v>
          </cell>
          <cell r="AD7411">
            <v>9900</v>
          </cell>
        </row>
        <row r="7412">
          <cell r="W7412" t="str">
            <v>QLARV04</v>
          </cell>
          <cell r="AD7412">
            <v>9900</v>
          </cell>
        </row>
        <row r="7413">
          <cell r="W7413" t="str">
            <v>QLARV04</v>
          </cell>
          <cell r="AD7413">
            <v>9900</v>
          </cell>
        </row>
        <row r="7414">
          <cell r="W7414" t="str">
            <v>QLARV04</v>
          </cell>
          <cell r="AD7414">
            <v>9900</v>
          </cell>
        </row>
        <row r="7415">
          <cell r="W7415" t="str">
            <v>QLARV04</v>
          </cell>
          <cell r="AD7415">
            <v>9900</v>
          </cell>
        </row>
        <row r="7416">
          <cell r="W7416" t="str">
            <v>QLEMA01</v>
          </cell>
          <cell r="AD7416">
            <v>54000</v>
          </cell>
        </row>
        <row r="7417">
          <cell r="W7417" t="str">
            <v>QLEMA01</v>
          </cell>
          <cell r="AD7417">
            <v>54000</v>
          </cell>
        </row>
        <row r="7418">
          <cell r="W7418" t="str">
            <v>QLEMA01</v>
          </cell>
          <cell r="AD7418">
            <v>57500</v>
          </cell>
        </row>
        <row r="7419">
          <cell r="W7419" t="str">
            <v>QLEMA01</v>
          </cell>
          <cell r="AD7419">
            <v>57500</v>
          </cell>
        </row>
        <row r="7420">
          <cell r="W7420" t="str">
            <v>QLEMA01</v>
          </cell>
          <cell r="AD7420">
            <v>57500</v>
          </cell>
        </row>
        <row r="7421">
          <cell r="W7421" t="str">
            <v>QLEMA01</v>
          </cell>
          <cell r="AD7421">
            <v>57500</v>
          </cell>
        </row>
        <row r="7422">
          <cell r="W7422" t="str">
            <v>QLEMA01</v>
          </cell>
          <cell r="AD7422">
            <v>57500</v>
          </cell>
        </row>
        <row r="7423">
          <cell r="W7423" t="str">
            <v>QLEMA01</v>
          </cell>
          <cell r="AD7423">
            <v>57500</v>
          </cell>
        </row>
        <row r="7424">
          <cell r="W7424" t="str">
            <v>QLEMA01</v>
          </cell>
          <cell r="AD7424">
            <v>57500</v>
          </cell>
        </row>
        <row r="7425">
          <cell r="W7425" t="str">
            <v>QLEMA01</v>
          </cell>
          <cell r="AD7425">
            <v>57500</v>
          </cell>
        </row>
        <row r="7426">
          <cell r="W7426" t="str">
            <v>QLEMA01</v>
          </cell>
          <cell r="AD7426">
            <v>57500</v>
          </cell>
        </row>
        <row r="7427">
          <cell r="W7427" t="str">
            <v>QLEMA01</v>
          </cell>
          <cell r="AD7427">
            <v>57500</v>
          </cell>
        </row>
        <row r="7428">
          <cell r="W7428" t="str">
            <v>QLEMA02</v>
          </cell>
          <cell r="AD7428">
            <v>33000</v>
          </cell>
        </row>
        <row r="7429">
          <cell r="W7429" t="str">
            <v>QLEMA02</v>
          </cell>
          <cell r="AD7429">
            <v>33000</v>
          </cell>
        </row>
        <row r="7430">
          <cell r="W7430" t="str">
            <v>QLEMA02</v>
          </cell>
          <cell r="AD7430">
            <v>35000</v>
          </cell>
        </row>
        <row r="7431">
          <cell r="W7431" t="str">
            <v>QLEMA02</v>
          </cell>
          <cell r="AD7431">
            <v>35000</v>
          </cell>
        </row>
        <row r="7432">
          <cell r="W7432" t="str">
            <v>QLEMA02</v>
          </cell>
          <cell r="AD7432">
            <v>35000</v>
          </cell>
        </row>
        <row r="7433">
          <cell r="W7433" t="str">
            <v>QLEMA02</v>
          </cell>
          <cell r="AD7433">
            <v>35000</v>
          </cell>
        </row>
        <row r="7434">
          <cell r="W7434" t="str">
            <v>QLEMA02</v>
          </cell>
          <cell r="AD7434">
            <v>35000</v>
          </cell>
        </row>
        <row r="7435">
          <cell r="W7435" t="str">
            <v>QLEMA02</v>
          </cell>
          <cell r="AD7435">
            <v>35500</v>
          </cell>
        </row>
        <row r="7436">
          <cell r="W7436" t="str">
            <v>QLEMA02</v>
          </cell>
          <cell r="AD7436">
            <v>35500</v>
          </cell>
        </row>
        <row r="7437">
          <cell r="W7437" t="str">
            <v>QLEMA02</v>
          </cell>
          <cell r="AD7437">
            <v>35500</v>
          </cell>
        </row>
        <row r="7438">
          <cell r="W7438" t="str">
            <v>QLEMA02</v>
          </cell>
          <cell r="AD7438">
            <v>35500</v>
          </cell>
        </row>
        <row r="7439">
          <cell r="W7439" t="str">
            <v>QLEMA02</v>
          </cell>
          <cell r="AD7439">
            <v>35500</v>
          </cell>
        </row>
        <row r="7440">
          <cell r="W7440" t="str">
            <v>QLEMA02</v>
          </cell>
          <cell r="AD7440">
            <v>35500</v>
          </cell>
        </row>
        <row r="7441">
          <cell r="W7441" t="str">
            <v>QLEMA02</v>
          </cell>
          <cell r="AD7441">
            <v>35500</v>
          </cell>
        </row>
        <row r="7442">
          <cell r="W7442" t="str">
            <v>QLEMA02</v>
          </cell>
          <cell r="AD7442">
            <v>35500</v>
          </cell>
        </row>
        <row r="7443">
          <cell r="W7443" t="str">
            <v>QLEMA02</v>
          </cell>
          <cell r="AD7443">
            <v>35500</v>
          </cell>
        </row>
        <row r="7444">
          <cell r="W7444" t="str">
            <v>QLEMA02</v>
          </cell>
          <cell r="AD7444">
            <v>35500</v>
          </cell>
        </row>
        <row r="7445">
          <cell r="W7445" t="str">
            <v>QLESE01</v>
          </cell>
          <cell r="AD7445">
            <v>155000</v>
          </cell>
        </row>
        <row r="7446">
          <cell r="W7446" t="str">
            <v>QLESE01</v>
          </cell>
          <cell r="AD7446">
            <v>155000</v>
          </cell>
        </row>
        <row r="7447">
          <cell r="W7447" t="str">
            <v>QLESE01</v>
          </cell>
          <cell r="AD7447">
            <v>159000</v>
          </cell>
        </row>
        <row r="7448">
          <cell r="W7448" t="str">
            <v>QLESE01</v>
          </cell>
          <cell r="AD7448">
            <v>159000</v>
          </cell>
        </row>
        <row r="7449">
          <cell r="W7449" t="str">
            <v>QLESE01</v>
          </cell>
          <cell r="AD7449">
            <v>159000</v>
          </cell>
        </row>
        <row r="7450">
          <cell r="W7450" t="str">
            <v>QLESE01</v>
          </cell>
          <cell r="AD7450">
            <v>159000</v>
          </cell>
        </row>
        <row r="7451">
          <cell r="W7451" t="str">
            <v>QLIVA02</v>
          </cell>
          <cell r="AD7451">
            <v>54500</v>
          </cell>
        </row>
        <row r="7452">
          <cell r="W7452" t="str">
            <v>QLOGR01</v>
          </cell>
          <cell r="AD7452">
            <v>5800</v>
          </cell>
        </row>
        <row r="7453">
          <cell r="W7453" t="str">
            <v>QLOGR01</v>
          </cell>
          <cell r="AD7453">
            <v>5900</v>
          </cell>
        </row>
        <row r="7454">
          <cell r="W7454" t="str">
            <v>QLOGR01</v>
          </cell>
          <cell r="AD7454">
            <v>5900</v>
          </cell>
        </row>
        <row r="7455">
          <cell r="W7455" t="str">
            <v>QLOGR01</v>
          </cell>
          <cell r="AD7455">
            <v>5900</v>
          </cell>
        </row>
        <row r="7456">
          <cell r="W7456" t="str">
            <v>QLOGR01</v>
          </cell>
          <cell r="AD7456">
            <v>6000</v>
          </cell>
        </row>
        <row r="7457">
          <cell r="W7457" t="str">
            <v>QLOGR01</v>
          </cell>
          <cell r="AD7457">
            <v>6000</v>
          </cell>
        </row>
        <row r="7458">
          <cell r="W7458" t="str">
            <v>QLOGR01</v>
          </cell>
          <cell r="AD7458">
            <v>6000</v>
          </cell>
        </row>
        <row r="7459">
          <cell r="W7459" t="str">
            <v>QLOGR01</v>
          </cell>
          <cell r="AD7459">
            <v>6000</v>
          </cell>
        </row>
        <row r="7460">
          <cell r="W7460" t="str">
            <v>QLOGR01</v>
          </cell>
          <cell r="AD7460">
            <v>6000</v>
          </cell>
        </row>
        <row r="7461">
          <cell r="W7461" t="str">
            <v>QLOGR01</v>
          </cell>
          <cell r="AD7461">
            <v>6000</v>
          </cell>
        </row>
        <row r="7462">
          <cell r="W7462" t="str">
            <v>QLOGR01</v>
          </cell>
          <cell r="AD7462">
            <v>6000</v>
          </cell>
        </row>
        <row r="7463">
          <cell r="W7463" t="str">
            <v>QLOSM02</v>
          </cell>
          <cell r="AD7463">
            <v>76000</v>
          </cell>
        </row>
        <row r="7464">
          <cell r="W7464" t="str">
            <v>QLOSM02</v>
          </cell>
          <cell r="AD7464">
            <v>76000</v>
          </cell>
        </row>
        <row r="7465">
          <cell r="W7465" t="str">
            <v>QLOSM02</v>
          </cell>
          <cell r="AD7465">
            <v>76000</v>
          </cell>
        </row>
        <row r="7466">
          <cell r="W7466" t="str">
            <v>QLOSM02</v>
          </cell>
          <cell r="AD7466">
            <v>76000</v>
          </cell>
        </row>
        <row r="7467">
          <cell r="W7467" t="str">
            <v>QLOSM02</v>
          </cell>
          <cell r="AD7467">
            <v>76000</v>
          </cell>
        </row>
        <row r="7468">
          <cell r="W7468" t="str">
            <v>QLOSM02</v>
          </cell>
          <cell r="AD7468">
            <v>76000</v>
          </cell>
        </row>
        <row r="7469">
          <cell r="W7469" t="str">
            <v>QLOSM02</v>
          </cell>
          <cell r="AD7469">
            <v>76000</v>
          </cell>
        </row>
        <row r="7470">
          <cell r="W7470" t="str">
            <v>QLOSM02</v>
          </cell>
          <cell r="AD7470">
            <v>76000</v>
          </cell>
        </row>
        <row r="7471">
          <cell r="W7471" t="str">
            <v>QLOSM02</v>
          </cell>
          <cell r="AD7471">
            <v>76000</v>
          </cell>
        </row>
        <row r="7472">
          <cell r="W7472" t="str">
            <v>QLOSM02</v>
          </cell>
          <cell r="AD7472">
            <v>76000</v>
          </cell>
        </row>
        <row r="7473">
          <cell r="W7473" t="str">
            <v>QLOSM02</v>
          </cell>
          <cell r="AD7473">
            <v>76000</v>
          </cell>
        </row>
        <row r="7474">
          <cell r="W7474" t="str">
            <v>QLOSM01</v>
          </cell>
          <cell r="AD7474">
            <v>33000</v>
          </cell>
        </row>
        <row r="7475">
          <cell r="W7475" t="str">
            <v>QLOSM01</v>
          </cell>
          <cell r="AD7475">
            <v>33000</v>
          </cell>
        </row>
        <row r="7476">
          <cell r="W7476" t="str">
            <v>QLOSM01</v>
          </cell>
          <cell r="AD7476">
            <v>33000</v>
          </cell>
        </row>
        <row r="7477">
          <cell r="W7477" t="str">
            <v>QLOSM01</v>
          </cell>
          <cell r="AD7477">
            <v>33000</v>
          </cell>
        </row>
        <row r="7478">
          <cell r="W7478" t="str">
            <v>QLOSM01</v>
          </cell>
          <cell r="AD7478">
            <v>33000</v>
          </cell>
        </row>
        <row r="7479">
          <cell r="W7479" t="str">
            <v>QLOSM01</v>
          </cell>
          <cell r="AD7479">
            <v>33000</v>
          </cell>
        </row>
        <row r="7480">
          <cell r="W7480" t="str">
            <v>QLOSM01</v>
          </cell>
          <cell r="AD7480">
            <v>33000</v>
          </cell>
        </row>
        <row r="7481">
          <cell r="W7481" t="str">
            <v>QLOSM01</v>
          </cell>
          <cell r="AD7481">
            <v>33000</v>
          </cell>
        </row>
        <row r="7482">
          <cell r="W7482" t="str">
            <v>QLOSM01</v>
          </cell>
          <cell r="AD7482">
            <v>33000</v>
          </cell>
        </row>
        <row r="7483">
          <cell r="W7483" t="str">
            <v>QLOSM01</v>
          </cell>
          <cell r="AD7483">
            <v>33000</v>
          </cell>
        </row>
        <row r="7484">
          <cell r="W7484" t="str">
            <v>QLOSM01</v>
          </cell>
          <cell r="AD7484">
            <v>33000</v>
          </cell>
        </row>
        <row r="7485">
          <cell r="W7485" t="str">
            <v>QLOYA01</v>
          </cell>
          <cell r="AD7485">
            <v>333500</v>
          </cell>
        </row>
        <row r="7486">
          <cell r="W7486" t="str">
            <v>QLOYA01</v>
          </cell>
          <cell r="AD7486">
            <v>333500</v>
          </cell>
        </row>
        <row r="7487">
          <cell r="W7487" t="str">
            <v>QLOYA01</v>
          </cell>
          <cell r="AD7487">
            <v>333500</v>
          </cell>
        </row>
        <row r="7488">
          <cell r="W7488" t="str">
            <v>QLOYA01</v>
          </cell>
          <cell r="AD7488">
            <v>333500</v>
          </cell>
        </row>
        <row r="7489">
          <cell r="W7489" t="str">
            <v>QLOYA01</v>
          </cell>
          <cell r="AD7489">
            <v>333500</v>
          </cell>
        </row>
        <row r="7490">
          <cell r="W7490" t="str">
            <v>QLOYA01</v>
          </cell>
          <cell r="AD7490">
            <v>333500</v>
          </cell>
        </row>
        <row r="7491">
          <cell r="W7491" t="str">
            <v>QLOYA01</v>
          </cell>
          <cell r="AD7491">
            <v>333500</v>
          </cell>
        </row>
        <row r="7492">
          <cell r="W7492" t="str">
            <v>QLOYA01</v>
          </cell>
          <cell r="AD7492">
            <v>333500</v>
          </cell>
        </row>
        <row r="7493">
          <cell r="W7493" t="str">
            <v>QLOYA01</v>
          </cell>
          <cell r="AD7493">
            <v>338500</v>
          </cell>
        </row>
        <row r="7494">
          <cell r="W7494" t="str">
            <v>QLUDE02</v>
          </cell>
          <cell r="AD7494">
            <v>146000</v>
          </cell>
        </row>
        <row r="7495">
          <cell r="W7495" t="str">
            <v>QLUDE02</v>
          </cell>
          <cell r="AD7495">
            <v>148500</v>
          </cell>
        </row>
        <row r="7496">
          <cell r="W7496" t="str">
            <v>QLUDE02</v>
          </cell>
          <cell r="AD7496">
            <v>151000</v>
          </cell>
        </row>
        <row r="7497">
          <cell r="W7497" t="str">
            <v>QLUDE02</v>
          </cell>
          <cell r="AD7497">
            <v>151000</v>
          </cell>
        </row>
        <row r="7498">
          <cell r="W7498" t="str">
            <v>QLUDE02</v>
          </cell>
          <cell r="AD7498">
            <v>151000</v>
          </cell>
        </row>
        <row r="7499">
          <cell r="W7499" t="str">
            <v>QLUDE02</v>
          </cell>
          <cell r="AD7499">
            <v>151000</v>
          </cell>
        </row>
        <row r="7500">
          <cell r="W7500" t="str">
            <v>QLUDE02</v>
          </cell>
          <cell r="AD7500">
            <v>151000</v>
          </cell>
        </row>
        <row r="7501">
          <cell r="W7501" t="str">
            <v>QLUDE02</v>
          </cell>
          <cell r="AD7501">
            <v>151000</v>
          </cell>
        </row>
        <row r="7502">
          <cell r="W7502" t="str">
            <v>QLUDE02</v>
          </cell>
          <cell r="AD7502">
            <v>151000</v>
          </cell>
        </row>
        <row r="7503">
          <cell r="W7503" t="str">
            <v>QLUDE02</v>
          </cell>
          <cell r="AD7503">
            <v>151000</v>
          </cell>
        </row>
        <row r="7504">
          <cell r="W7504" t="str">
            <v>QLUDE01</v>
          </cell>
          <cell r="AD7504">
            <v>64000</v>
          </cell>
        </row>
        <row r="7505">
          <cell r="W7505" t="str">
            <v>QLUDE01</v>
          </cell>
          <cell r="AD7505">
            <v>66000</v>
          </cell>
        </row>
        <row r="7506">
          <cell r="W7506" t="str">
            <v>QLUDE01</v>
          </cell>
          <cell r="AD7506">
            <v>66000</v>
          </cell>
        </row>
        <row r="7507">
          <cell r="W7507" t="str">
            <v>QLUDE01</v>
          </cell>
          <cell r="AD7507">
            <v>66000</v>
          </cell>
        </row>
        <row r="7508">
          <cell r="W7508" t="str">
            <v>QLUDE01</v>
          </cell>
          <cell r="AD7508">
            <v>66000</v>
          </cell>
        </row>
        <row r="7509">
          <cell r="W7509" t="str">
            <v>QLUDE01</v>
          </cell>
          <cell r="AD7509">
            <v>66000</v>
          </cell>
        </row>
        <row r="7510">
          <cell r="W7510" t="str">
            <v>QLUDE01</v>
          </cell>
          <cell r="AD7510">
            <v>66000</v>
          </cell>
        </row>
        <row r="7511">
          <cell r="W7511" t="str">
            <v>QLUDE01</v>
          </cell>
          <cell r="AD7511">
            <v>66000</v>
          </cell>
        </row>
        <row r="7512">
          <cell r="W7512" t="str">
            <v>QLUDE01</v>
          </cell>
          <cell r="AD7512">
            <v>66000</v>
          </cell>
        </row>
        <row r="7513">
          <cell r="W7513" t="str">
            <v>QMACE01</v>
          </cell>
          <cell r="AD7513">
            <v>135000</v>
          </cell>
        </row>
        <row r="7514">
          <cell r="W7514" t="str">
            <v>QMACE01</v>
          </cell>
          <cell r="AD7514">
            <v>135000</v>
          </cell>
        </row>
        <row r="7515">
          <cell r="W7515" t="str">
            <v>QMACE01</v>
          </cell>
          <cell r="AD7515">
            <v>135000</v>
          </cell>
        </row>
        <row r="7516">
          <cell r="W7516" t="str">
            <v>QMACE01</v>
          </cell>
          <cell r="AD7516">
            <v>135000</v>
          </cell>
        </row>
        <row r="7517">
          <cell r="W7517" t="str">
            <v>QMACE01</v>
          </cell>
          <cell r="AD7517">
            <v>135000</v>
          </cell>
        </row>
        <row r="7518">
          <cell r="W7518" t="str">
            <v>QMACE01</v>
          </cell>
          <cell r="AD7518">
            <v>135000</v>
          </cell>
        </row>
        <row r="7519">
          <cell r="W7519" t="str">
            <v>QMACE02</v>
          </cell>
          <cell r="AD7519">
            <v>71000</v>
          </cell>
        </row>
        <row r="7520">
          <cell r="W7520" t="str">
            <v>QMACO02</v>
          </cell>
          <cell r="AD7520">
            <v>84500</v>
          </cell>
        </row>
        <row r="7521">
          <cell r="W7521" t="str">
            <v>QMACO02</v>
          </cell>
          <cell r="AD7521">
            <v>88000</v>
          </cell>
        </row>
        <row r="7522">
          <cell r="W7522" t="str">
            <v>QMACO02</v>
          </cell>
          <cell r="AD7522">
            <v>88200</v>
          </cell>
        </row>
        <row r="7523">
          <cell r="W7523" t="str">
            <v>QMACO02</v>
          </cell>
          <cell r="AD7523">
            <v>89000</v>
          </cell>
        </row>
        <row r="7524">
          <cell r="W7524" t="str">
            <v>QMACO02</v>
          </cell>
          <cell r="AD7524">
            <v>92500</v>
          </cell>
        </row>
        <row r="7525">
          <cell r="W7525" t="str">
            <v>QMACO02</v>
          </cell>
          <cell r="AD7525">
            <v>97000</v>
          </cell>
        </row>
        <row r="7526">
          <cell r="W7526" t="str">
            <v>QMACO02</v>
          </cell>
          <cell r="AD7526">
            <v>97000</v>
          </cell>
        </row>
        <row r="7527">
          <cell r="W7527" t="str">
            <v>QMACO02</v>
          </cell>
          <cell r="AD7527">
            <v>97000</v>
          </cell>
        </row>
        <row r="7528">
          <cell r="W7528" t="str">
            <v>QMACO02</v>
          </cell>
          <cell r="AD7528">
            <v>97000</v>
          </cell>
        </row>
        <row r="7529">
          <cell r="W7529" t="str">
            <v>QMAES01</v>
          </cell>
          <cell r="AD7529">
            <v>145000</v>
          </cell>
        </row>
        <row r="7530">
          <cell r="W7530" t="str">
            <v>QMAES01</v>
          </cell>
          <cell r="AD7530">
            <v>146000</v>
          </cell>
        </row>
        <row r="7531">
          <cell r="W7531" t="str">
            <v>QMAES01</v>
          </cell>
          <cell r="AD7531">
            <v>146000</v>
          </cell>
        </row>
        <row r="7532">
          <cell r="W7532" t="str">
            <v>QMAES01</v>
          </cell>
          <cell r="AD7532">
            <v>146000</v>
          </cell>
        </row>
        <row r="7533">
          <cell r="W7533" t="str">
            <v>QMAES01</v>
          </cell>
          <cell r="AD7533">
            <v>148000</v>
          </cell>
        </row>
        <row r="7534">
          <cell r="W7534" t="str">
            <v>QMAES01</v>
          </cell>
          <cell r="AD7534">
            <v>148000</v>
          </cell>
        </row>
        <row r="7535">
          <cell r="W7535" t="str">
            <v>QMAES01</v>
          </cell>
          <cell r="AD7535">
            <v>148000</v>
          </cell>
        </row>
        <row r="7536">
          <cell r="W7536" t="str">
            <v>QMAES01</v>
          </cell>
          <cell r="AD7536">
            <v>148000</v>
          </cell>
        </row>
        <row r="7537">
          <cell r="W7537" t="str">
            <v>QMAES01</v>
          </cell>
          <cell r="AD7537">
            <v>148000</v>
          </cell>
        </row>
        <row r="7538">
          <cell r="W7538" t="str">
            <v>QMAES02</v>
          </cell>
          <cell r="AD7538">
            <v>73000</v>
          </cell>
        </row>
        <row r="7539">
          <cell r="W7539" t="str">
            <v>QMAES02</v>
          </cell>
          <cell r="AD7539">
            <v>73000</v>
          </cell>
        </row>
        <row r="7540">
          <cell r="W7540" t="str">
            <v>QMAES02</v>
          </cell>
          <cell r="AD7540">
            <v>73000</v>
          </cell>
        </row>
        <row r="7541">
          <cell r="W7541" t="str">
            <v>QMAES02</v>
          </cell>
          <cell r="AD7541">
            <v>76500</v>
          </cell>
        </row>
        <row r="7542">
          <cell r="W7542" t="str">
            <v>QMAES02</v>
          </cell>
          <cell r="AD7542">
            <v>76500</v>
          </cell>
        </row>
        <row r="7543">
          <cell r="W7543" t="str">
            <v>QMAES02</v>
          </cell>
          <cell r="AD7543">
            <v>78000</v>
          </cell>
        </row>
        <row r="7544">
          <cell r="W7544" t="str">
            <v>QMAES02</v>
          </cell>
          <cell r="AD7544">
            <v>78000</v>
          </cell>
        </row>
        <row r="7545">
          <cell r="W7545" t="str">
            <v>QMAES02</v>
          </cell>
          <cell r="AD7545">
            <v>78000</v>
          </cell>
        </row>
        <row r="7546">
          <cell r="W7546" t="str">
            <v>QMAES02</v>
          </cell>
          <cell r="AD7546">
            <v>78000</v>
          </cell>
        </row>
        <row r="7547">
          <cell r="W7547" t="str">
            <v>QMAES02</v>
          </cell>
          <cell r="AD7547">
            <v>78000</v>
          </cell>
        </row>
        <row r="7548">
          <cell r="W7548" t="str">
            <v>QMAES02</v>
          </cell>
          <cell r="AD7548">
            <v>78000</v>
          </cell>
        </row>
        <row r="7549">
          <cell r="W7549" t="str">
            <v>QMAES02</v>
          </cell>
          <cell r="AD7549">
            <v>78000</v>
          </cell>
        </row>
        <row r="7550">
          <cell r="W7550" t="str">
            <v>QMAES02</v>
          </cell>
          <cell r="AD7550">
            <v>78000</v>
          </cell>
        </row>
        <row r="7551">
          <cell r="W7551" t="str">
            <v>QMAES02</v>
          </cell>
          <cell r="AD7551">
            <v>80000</v>
          </cell>
        </row>
        <row r="7552">
          <cell r="W7552" t="str">
            <v>QMAMI03</v>
          </cell>
          <cell r="AD7552">
            <v>45000</v>
          </cell>
        </row>
        <row r="7553">
          <cell r="W7553" t="str">
            <v>QMAMI03</v>
          </cell>
          <cell r="AD7553">
            <v>46000</v>
          </cell>
        </row>
        <row r="7554">
          <cell r="W7554" t="str">
            <v>QMAMI03</v>
          </cell>
          <cell r="AD7554">
            <v>46000</v>
          </cell>
        </row>
        <row r="7555">
          <cell r="W7555" t="str">
            <v>AMAMI02</v>
          </cell>
          <cell r="AD7555">
            <v>46000</v>
          </cell>
        </row>
        <row r="7556">
          <cell r="W7556" t="str">
            <v>QMAMI03</v>
          </cell>
          <cell r="AD7556">
            <v>48000</v>
          </cell>
        </row>
        <row r="7557">
          <cell r="W7557" t="str">
            <v>QMAMI03</v>
          </cell>
          <cell r="AD7557">
            <v>48000</v>
          </cell>
        </row>
        <row r="7558">
          <cell r="W7558" t="str">
            <v>QMAMI04</v>
          </cell>
          <cell r="AD7558">
            <v>28000</v>
          </cell>
        </row>
        <row r="7559">
          <cell r="W7559" t="str">
            <v>QMAMI04</v>
          </cell>
          <cell r="AD7559">
            <v>28000</v>
          </cell>
        </row>
        <row r="7560">
          <cell r="W7560" t="str">
            <v>QMAMI04</v>
          </cell>
          <cell r="AD7560">
            <v>28000</v>
          </cell>
        </row>
        <row r="7561">
          <cell r="W7561" t="str">
            <v>QMAMI04</v>
          </cell>
          <cell r="AD7561">
            <v>28000</v>
          </cell>
        </row>
        <row r="7562">
          <cell r="W7562" t="str">
            <v>AMAMI01</v>
          </cell>
          <cell r="AD7562">
            <v>28000</v>
          </cell>
        </row>
        <row r="7563">
          <cell r="W7563" t="str">
            <v>QMAMI04</v>
          </cell>
          <cell r="AD7563">
            <v>28500</v>
          </cell>
        </row>
        <row r="7564">
          <cell r="W7564" t="str">
            <v>QMAMI04</v>
          </cell>
          <cell r="AD7564">
            <v>28500</v>
          </cell>
        </row>
        <row r="7565">
          <cell r="W7565" t="str">
            <v>QMAMI05</v>
          </cell>
          <cell r="AD7565">
            <v>26000</v>
          </cell>
        </row>
        <row r="7566">
          <cell r="W7566" t="str">
            <v>QMAMI05</v>
          </cell>
          <cell r="AD7566">
            <v>26000</v>
          </cell>
        </row>
        <row r="7567">
          <cell r="W7567" t="str">
            <v>QMAMI05</v>
          </cell>
          <cell r="AD7567">
            <v>26500</v>
          </cell>
        </row>
        <row r="7568">
          <cell r="W7568" t="str">
            <v>QMAMI05</v>
          </cell>
          <cell r="AD7568">
            <v>28000</v>
          </cell>
        </row>
        <row r="7569">
          <cell r="W7569" t="str">
            <v>QMAMI05</v>
          </cell>
          <cell r="AD7569">
            <v>28000</v>
          </cell>
        </row>
        <row r="7570">
          <cell r="W7570" t="str">
            <v>QMAND01</v>
          </cell>
          <cell r="AD7570">
            <v>900000</v>
          </cell>
        </row>
        <row r="7571">
          <cell r="W7571" t="str">
            <v>QMAND01</v>
          </cell>
          <cell r="AD7571">
            <v>900000</v>
          </cell>
        </row>
        <row r="7572">
          <cell r="W7572" t="str">
            <v>QMAND01</v>
          </cell>
          <cell r="AD7572">
            <v>940000</v>
          </cell>
        </row>
        <row r="7573">
          <cell r="W7573" t="str">
            <v>QMAND02</v>
          </cell>
          <cell r="AD7573">
            <v>41000</v>
          </cell>
        </row>
        <row r="7574">
          <cell r="W7574" t="str">
            <v>QMAND02</v>
          </cell>
          <cell r="AD7574">
            <v>47000</v>
          </cell>
        </row>
        <row r="7575">
          <cell r="W7575" t="str">
            <v>QMAND02</v>
          </cell>
          <cell r="AD7575">
            <v>47000</v>
          </cell>
        </row>
        <row r="7576">
          <cell r="W7576" t="str">
            <v>QMAND02</v>
          </cell>
          <cell r="AD7576">
            <v>47500</v>
          </cell>
        </row>
        <row r="7577">
          <cell r="W7577" t="str">
            <v>QMAND02</v>
          </cell>
          <cell r="AD7577">
            <v>47500</v>
          </cell>
        </row>
        <row r="7578">
          <cell r="W7578" t="str">
            <v>QMAND02</v>
          </cell>
          <cell r="AD7578">
            <v>47500</v>
          </cell>
        </row>
        <row r="7579">
          <cell r="W7579" t="str">
            <v>QMAND02</v>
          </cell>
          <cell r="AD7579">
            <v>48000</v>
          </cell>
        </row>
        <row r="7580">
          <cell r="W7580" t="str">
            <v>QMAND02</v>
          </cell>
          <cell r="AD7580">
            <v>48000</v>
          </cell>
        </row>
        <row r="7581">
          <cell r="W7581" t="str">
            <v>QMAND02</v>
          </cell>
          <cell r="AD7581">
            <v>48000</v>
          </cell>
        </row>
        <row r="7582">
          <cell r="W7582" t="str">
            <v>QMAND02</v>
          </cell>
          <cell r="AD7582">
            <v>48000</v>
          </cell>
        </row>
        <row r="7583">
          <cell r="W7583" t="str">
            <v>QMAND02</v>
          </cell>
          <cell r="AD7583">
            <v>48000</v>
          </cell>
        </row>
        <row r="7584">
          <cell r="W7584" t="str">
            <v>QMAND02</v>
          </cell>
          <cell r="AD7584">
            <v>48000</v>
          </cell>
        </row>
        <row r="7585">
          <cell r="W7585" t="str">
            <v>QMAND02</v>
          </cell>
          <cell r="AD7585">
            <v>48000</v>
          </cell>
        </row>
        <row r="7586">
          <cell r="W7586" t="str">
            <v>QMAND02</v>
          </cell>
          <cell r="AD7586">
            <v>48000</v>
          </cell>
        </row>
        <row r="7587">
          <cell r="W7587" t="str">
            <v>QMAND02</v>
          </cell>
          <cell r="AD7587">
            <v>48000</v>
          </cell>
        </row>
        <row r="7588">
          <cell r="W7588" t="str">
            <v>QMAND02</v>
          </cell>
          <cell r="AD7588">
            <v>48000</v>
          </cell>
        </row>
        <row r="7589">
          <cell r="W7589" t="str">
            <v>QMAND02</v>
          </cell>
          <cell r="AD7589">
            <v>48000</v>
          </cell>
        </row>
        <row r="7590">
          <cell r="W7590" t="str">
            <v>QMAND02</v>
          </cell>
          <cell r="AD7590">
            <v>48000</v>
          </cell>
        </row>
        <row r="7591">
          <cell r="W7591" t="str">
            <v>QMAND02</v>
          </cell>
          <cell r="AD7591">
            <v>48000</v>
          </cell>
        </row>
        <row r="7592">
          <cell r="W7592" t="str">
            <v>QMAND02</v>
          </cell>
          <cell r="AD7592">
            <v>48000</v>
          </cell>
        </row>
        <row r="7593">
          <cell r="W7593" t="str">
            <v>QMAND02</v>
          </cell>
          <cell r="AD7593">
            <v>48000</v>
          </cell>
        </row>
        <row r="7594">
          <cell r="W7594" t="str">
            <v>QMAND02</v>
          </cell>
          <cell r="AD7594">
            <v>48000</v>
          </cell>
        </row>
        <row r="7595">
          <cell r="W7595" t="str">
            <v>QMAND02</v>
          </cell>
          <cell r="AD7595">
            <v>48000</v>
          </cell>
        </row>
        <row r="7596">
          <cell r="W7596" t="str">
            <v>QMAND02</v>
          </cell>
          <cell r="AD7596">
            <v>48000</v>
          </cell>
        </row>
        <row r="7597">
          <cell r="W7597" t="str">
            <v>QMAND02</v>
          </cell>
          <cell r="AD7597">
            <v>48000</v>
          </cell>
        </row>
        <row r="7598">
          <cell r="W7598" t="str">
            <v>QMAND02</v>
          </cell>
          <cell r="AD7598">
            <v>48000</v>
          </cell>
        </row>
        <row r="7599">
          <cell r="W7599" t="str">
            <v>QMAND02</v>
          </cell>
          <cell r="AD7599">
            <v>48000</v>
          </cell>
        </row>
        <row r="7600">
          <cell r="W7600" t="str">
            <v>QMAND02</v>
          </cell>
          <cell r="AD7600">
            <v>48000</v>
          </cell>
        </row>
        <row r="7601">
          <cell r="W7601" t="str">
            <v>QMAND02</v>
          </cell>
          <cell r="AD7601">
            <v>48000</v>
          </cell>
        </row>
        <row r="7602">
          <cell r="W7602" t="str">
            <v>QMAND02</v>
          </cell>
          <cell r="AD7602">
            <v>48000</v>
          </cell>
        </row>
        <row r="7603">
          <cell r="W7603" t="str">
            <v>QMAND02</v>
          </cell>
          <cell r="AD7603">
            <v>49000</v>
          </cell>
        </row>
        <row r="7604">
          <cell r="W7604" t="str">
            <v>QMAND02</v>
          </cell>
          <cell r="AD7604">
            <v>50000</v>
          </cell>
        </row>
        <row r="7605">
          <cell r="W7605" t="str">
            <v>QMAND02</v>
          </cell>
          <cell r="AD7605">
            <v>50000</v>
          </cell>
        </row>
        <row r="7606">
          <cell r="W7606" t="str">
            <v>QMAND02</v>
          </cell>
          <cell r="AD7606">
            <v>50000</v>
          </cell>
        </row>
        <row r="7607">
          <cell r="W7607" t="str">
            <v>QMAND06</v>
          </cell>
          <cell r="AD7607">
            <v>7500000</v>
          </cell>
        </row>
        <row r="7608">
          <cell r="W7608" t="str">
            <v>QMAND05</v>
          </cell>
          <cell r="AD7608">
            <v>26750</v>
          </cell>
        </row>
        <row r="7609">
          <cell r="W7609" t="str">
            <v>QMAND03</v>
          </cell>
          <cell r="AD7609">
            <v>200000</v>
          </cell>
        </row>
        <row r="7610">
          <cell r="W7610" t="str">
            <v>QMAND03</v>
          </cell>
          <cell r="AD7610">
            <v>225000</v>
          </cell>
        </row>
        <row r="7611">
          <cell r="W7611" t="str">
            <v>QMAND03</v>
          </cell>
          <cell r="AD7611">
            <v>225000</v>
          </cell>
        </row>
        <row r="7612">
          <cell r="W7612" t="str">
            <v>QMAND03</v>
          </cell>
          <cell r="AD7612">
            <v>230000</v>
          </cell>
        </row>
        <row r="7613">
          <cell r="W7613" t="str">
            <v>QMAND03</v>
          </cell>
          <cell r="AD7613">
            <v>230000</v>
          </cell>
        </row>
        <row r="7614">
          <cell r="W7614" t="str">
            <v>QMAND03</v>
          </cell>
          <cell r="AD7614">
            <v>230000</v>
          </cell>
        </row>
        <row r="7615">
          <cell r="W7615" t="str">
            <v>QMAND03</v>
          </cell>
          <cell r="AD7615">
            <v>230000</v>
          </cell>
        </row>
        <row r="7616">
          <cell r="W7616" t="str">
            <v>QMAND03</v>
          </cell>
          <cell r="AD7616">
            <v>240000</v>
          </cell>
        </row>
        <row r="7617">
          <cell r="W7617" t="str">
            <v>QMAND03</v>
          </cell>
          <cell r="AD7617">
            <v>240000</v>
          </cell>
        </row>
        <row r="7618">
          <cell r="W7618" t="str">
            <v>AMANO01</v>
          </cell>
          <cell r="AD7618">
            <v>1</v>
          </cell>
        </row>
        <row r="7619">
          <cell r="W7619" t="str">
            <v>QMANO01</v>
          </cell>
          <cell r="AD7619">
            <v>12100</v>
          </cell>
        </row>
        <row r="7620">
          <cell r="W7620" t="str">
            <v>QMANO01</v>
          </cell>
          <cell r="AD7620">
            <v>12100</v>
          </cell>
        </row>
        <row r="7621">
          <cell r="W7621" t="str">
            <v>QMANO01</v>
          </cell>
          <cell r="AD7621">
            <v>17000</v>
          </cell>
        </row>
        <row r="7622">
          <cell r="W7622" t="str">
            <v>QMANO01</v>
          </cell>
          <cell r="AD7622">
            <v>17000</v>
          </cell>
        </row>
        <row r="7623">
          <cell r="W7623" t="str">
            <v>QMANO01</v>
          </cell>
          <cell r="AD7623">
            <v>17000</v>
          </cell>
        </row>
        <row r="7624">
          <cell r="W7624" t="str">
            <v>QMANO01</v>
          </cell>
          <cell r="AD7624">
            <v>17000</v>
          </cell>
        </row>
        <row r="7625">
          <cell r="W7625" t="str">
            <v>QMANO01</v>
          </cell>
          <cell r="AD7625">
            <v>17000</v>
          </cell>
        </row>
        <row r="7626">
          <cell r="W7626" t="str">
            <v>QMANO01</v>
          </cell>
          <cell r="AD7626">
            <v>17000</v>
          </cell>
        </row>
        <row r="7627">
          <cell r="W7627" t="str">
            <v>QMANO01</v>
          </cell>
          <cell r="AD7627">
            <v>17000</v>
          </cell>
        </row>
        <row r="7628">
          <cell r="W7628" t="str">
            <v>QMANO01</v>
          </cell>
          <cell r="AD7628">
            <v>17000</v>
          </cell>
        </row>
        <row r="7629">
          <cell r="W7629" t="str">
            <v>QMANO01</v>
          </cell>
          <cell r="AD7629">
            <v>17000</v>
          </cell>
        </row>
        <row r="7630">
          <cell r="W7630" t="str">
            <v>QMANO01</v>
          </cell>
          <cell r="AD7630">
            <v>17000</v>
          </cell>
        </row>
        <row r="7631">
          <cell r="W7631" t="str">
            <v>QMANO01</v>
          </cell>
          <cell r="AD7631">
            <v>17000</v>
          </cell>
        </row>
        <row r="7632">
          <cell r="W7632" t="str">
            <v>QMANO01</v>
          </cell>
          <cell r="AD7632">
            <v>17000</v>
          </cell>
        </row>
        <row r="7633">
          <cell r="W7633" t="str">
            <v>QMANO01</v>
          </cell>
          <cell r="AD7633">
            <v>17000</v>
          </cell>
        </row>
        <row r="7634">
          <cell r="W7634" t="str">
            <v>QMANO01</v>
          </cell>
          <cell r="AD7634">
            <v>17000</v>
          </cell>
        </row>
        <row r="7635">
          <cell r="W7635" t="str">
            <v>QMANO01</v>
          </cell>
          <cell r="AD7635">
            <v>17000</v>
          </cell>
        </row>
        <row r="7636">
          <cell r="W7636" t="str">
            <v>QMANO01</v>
          </cell>
          <cell r="AD7636">
            <v>17000</v>
          </cell>
        </row>
        <row r="7637">
          <cell r="W7637" t="str">
            <v>QMANO01</v>
          </cell>
          <cell r="AD7637">
            <v>17000</v>
          </cell>
        </row>
        <row r="7638">
          <cell r="W7638" t="str">
            <v>QMANO01</v>
          </cell>
          <cell r="AD7638">
            <v>17000</v>
          </cell>
        </row>
        <row r="7639">
          <cell r="W7639" t="str">
            <v>QMANO01</v>
          </cell>
          <cell r="AD7639">
            <v>17000</v>
          </cell>
        </row>
        <row r="7640">
          <cell r="W7640" t="str">
            <v>QMANO01</v>
          </cell>
          <cell r="AD7640">
            <v>17000</v>
          </cell>
        </row>
        <row r="7641">
          <cell r="W7641" t="str">
            <v>QMANO01</v>
          </cell>
          <cell r="AD7641">
            <v>17000</v>
          </cell>
        </row>
        <row r="7642">
          <cell r="W7642" t="str">
            <v>QMANO01</v>
          </cell>
          <cell r="AD7642">
            <v>17000</v>
          </cell>
        </row>
        <row r="7643">
          <cell r="W7643" t="str">
            <v>QMANO01</v>
          </cell>
          <cell r="AD7643">
            <v>17000</v>
          </cell>
        </row>
        <row r="7644">
          <cell r="W7644" t="str">
            <v>QMANO01</v>
          </cell>
          <cell r="AD7644">
            <v>17000</v>
          </cell>
        </row>
        <row r="7645">
          <cell r="W7645" t="str">
            <v>QMANO01</v>
          </cell>
          <cell r="AD7645">
            <v>17000</v>
          </cell>
        </row>
        <row r="7646">
          <cell r="W7646" t="str">
            <v>QMANO01</v>
          </cell>
          <cell r="AD7646">
            <v>17000</v>
          </cell>
        </row>
        <row r="7647">
          <cell r="W7647" t="str">
            <v>QMANO01</v>
          </cell>
          <cell r="AD7647">
            <v>17000</v>
          </cell>
        </row>
        <row r="7648">
          <cell r="W7648" t="str">
            <v>QMANO01</v>
          </cell>
          <cell r="AD7648">
            <v>17000</v>
          </cell>
        </row>
        <row r="7649">
          <cell r="W7649" t="str">
            <v>QMANO01</v>
          </cell>
          <cell r="AD7649">
            <v>17000</v>
          </cell>
        </row>
        <row r="7650">
          <cell r="W7650" t="str">
            <v>QMANO01</v>
          </cell>
          <cell r="AD7650">
            <v>17000</v>
          </cell>
        </row>
        <row r="7651">
          <cell r="W7651" t="str">
            <v>QMANO01</v>
          </cell>
          <cell r="AD7651">
            <v>17000</v>
          </cell>
        </row>
        <row r="7652">
          <cell r="W7652" t="str">
            <v>QMANO01</v>
          </cell>
          <cell r="AD7652">
            <v>17000</v>
          </cell>
        </row>
        <row r="7653">
          <cell r="W7653" t="str">
            <v>QMANO01</v>
          </cell>
          <cell r="AD7653">
            <v>17000</v>
          </cell>
        </row>
        <row r="7654">
          <cell r="W7654" t="str">
            <v>QMANO01</v>
          </cell>
          <cell r="AD7654">
            <v>17000</v>
          </cell>
        </row>
        <row r="7655">
          <cell r="W7655" t="str">
            <v>QMANO01</v>
          </cell>
          <cell r="AD7655">
            <v>17000</v>
          </cell>
        </row>
        <row r="7656">
          <cell r="W7656" t="str">
            <v>QMANO01</v>
          </cell>
          <cell r="AD7656">
            <v>17000</v>
          </cell>
        </row>
        <row r="7657">
          <cell r="W7657" t="str">
            <v>QMANO01</v>
          </cell>
          <cell r="AD7657">
            <v>17000</v>
          </cell>
        </row>
        <row r="7658">
          <cell r="W7658" t="str">
            <v>QMANO01</v>
          </cell>
          <cell r="AD7658">
            <v>17000</v>
          </cell>
        </row>
        <row r="7659">
          <cell r="W7659" t="str">
            <v>QMANO01</v>
          </cell>
          <cell r="AD7659">
            <v>17000</v>
          </cell>
        </row>
        <row r="7660">
          <cell r="W7660" t="str">
            <v>QMANO01</v>
          </cell>
          <cell r="AD7660">
            <v>17000</v>
          </cell>
        </row>
        <row r="7661">
          <cell r="W7661" t="str">
            <v>QMANO01</v>
          </cell>
          <cell r="AD7661">
            <v>17000</v>
          </cell>
        </row>
        <row r="7662">
          <cell r="W7662" t="str">
            <v>QMANO01</v>
          </cell>
          <cell r="AD7662">
            <v>17000</v>
          </cell>
        </row>
        <row r="7663">
          <cell r="W7663" t="str">
            <v>QMANO01</v>
          </cell>
          <cell r="AD7663">
            <v>17000</v>
          </cell>
        </row>
        <row r="7664">
          <cell r="W7664" t="str">
            <v>QMANO01</v>
          </cell>
          <cell r="AD7664">
            <v>17000</v>
          </cell>
        </row>
        <row r="7665">
          <cell r="W7665" t="str">
            <v>QMANO01</v>
          </cell>
          <cell r="AD7665">
            <v>17000</v>
          </cell>
        </row>
        <row r="7666">
          <cell r="W7666" t="str">
            <v>QMANO01</v>
          </cell>
          <cell r="AD7666">
            <v>17000</v>
          </cell>
        </row>
        <row r="7667">
          <cell r="W7667" t="str">
            <v>QMANO01</v>
          </cell>
          <cell r="AD7667">
            <v>17000</v>
          </cell>
        </row>
        <row r="7668">
          <cell r="W7668" t="str">
            <v>QMANO01</v>
          </cell>
          <cell r="AD7668">
            <v>17000</v>
          </cell>
        </row>
        <row r="7669">
          <cell r="W7669" t="str">
            <v>QMANO01</v>
          </cell>
          <cell r="AD7669">
            <v>17000</v>
          </cell>
        </row>
        <row r="7670">
          <cell r="W7670" t="str">
            <v>QMANO01</v>
          </cell>
          <cell r="AD7670">
            <v>17000</v>
          </cell>
        </row>
        <row r="7671">
          <cell r="W7671" t="str">
            <v>QMANO01</v>
          </cell>
          <cell r="AD7671">
            <v>17500</v>
          </cell>
        </row>
        <row r="7672">
          <cell r="W7672" t="str">
            <v>QMANO01</v>
          </cell>
          <cell r="AD7672">
            <v>17500</v>
          </cell>
        </row>
        <row r="7673">
          <cell r="W7673" t="str">
            <v>QMANO01</v>
          </cell>
          <cell r="AD7673">
            <v>17500</v>
          </cell>
        </row>
        <row r="7674">
          <cell r="W7674" t="str">
            <v>QMANO01</v>
          </cell>
          <cell r="AD7674">
            <v>20000</v>
          </cell>
        </row>
        <row r="7675">
          <cell r="W7675" t="str">
            <v>QMANO01</v>
          </cell>
          <cell r="AD7675">
            <v>20000</v>
          </cell>
        </row>
        <row r="7676">
          <cell r="W7676" t="str">
            <v>QMANO01</v>
          </cell>
          <cell r="AD7676">
            <v>20000</v>
          </cell>
        </row>
        <row r="7677">
          <cell r="W7677" t="str">
            <v>QMANZ01</v>
          </cell>
          <cell r="AD7677">
            <v>70000</v>
          </cell>
        </row>
        <row r="7678">
          <cell r="W7678" t="str">
            <v>QMANZ01</v>
          </cell>
          <cell r="AD7678">
            <v>70000</v>
          </cell>
        </row>
        <row r="7679">
          <cell r="W7679" t="str">
            <v>QMANZ01</v>
          </cell>
          <cell r="AD7679">
            <v>70000</v>
          </cell>
        </row>
        <row r="7680">
          <cell r="W7680" t="str">
            <v>QMANZ01</v>
          </cell>
          <cell r="AD7680">
            <v>70000</v>
          </cell>
        </row>
        <row r="7681">
          <cell r="W7681" t="str">
            <v>QMANZ01</v>
          </cell>
          <cell r="AD7681">
            <v>70000</v>
          </cell>
        </row>
        <row r="7682">
          <cell r="W7682" t="str">
            <v>QMANZ01</v>
          </cell>
          <cell r="AD7682">
            <v>70000</v>
          </cell>
        </row>
        <row r="7683">
          <cell r="W7683" t="str">
            <v>QMANZ01</v>
          </cell>
          <cell r="AD7683">
            <v>70000</v>
          </cell>
        </row>
        <row r="7684">
          <cell r="W7684" t="str">
            <v>QMANZ01</v>
          </cell>
          <cell r="AD7684">
            <v>70000</v>
          </cell>
        </row>
        <row r="7685">
          <cell r="W7685" t="str">
            <v>QMANZ01</v>
          </cell>
          <cell r="AD7685">
            <v>70000</v>
          </cell>
        </row>
        <row r="7686">
          <cell r="W7686" t="str">
            <v>QMANZ01</v>
          </cell>
          <cell r="AD7686">
            <v>70000</v>
          </cell>
        </row>
        <row r="7687">
          <cell r="W7687" t="str">
            <v>QMANZ01</v>
          </cell>
          <cell r="AD7687">
            <v>70000</v>
          </cell>
        </row>
        <row r="7688">
          <cell r="W7688" t="str">
            <v>QMANZ01</v>
          </cell>
          <cell r="AD7688">
            <v>70000</v>
          </cell>
        </row>
        <row r="7689">
          <cell r="W7689" t="str">
            <v>QMANZ01</v>
          </cell>
          <cell r="AD7689">
            <v>70000</v>
          </cell>
        </row>
        <row r="7690">
          <cell r="W7690" t="str">
            <v>QMANZ01</v>
          </cell>
          <cell r="AD7690">
            <v>70000</v>
          </cell>
        </row>
        <row r="7691">
          <cell r="W7691" t="str">
            <v>QMANZ01</v>
          </cell>
          <cell r="AD7691">
            <v>70000</v>
          </cell>
        </row>
        <row r="7692">
          <cell r="W7692" t="str">
            <v>QMANZ01</v>
          </cell>
          <cell r="AD7692">
            <v>70000</v>
          </cell>
        </row>
        <row r="7693">
          <cell r="W7693" t="str">
            <v>QMANZ01</v>
          </cell>
          <cell r="AD7693">
            <v>70000</v>
          </cell>
        </row>
        <row r="7694">
          <cell r="W7694" t="str">
            <v>QMANZ01</v>
          </cell>
          <cell r="AD7694">
            <v>70500</v>
          </cell>
        </row>
        <row r="7695">
          <cell r="W7695" t="str">
            <v>QMANZ01</v>
          </cell>
          <cell r="AD7695">
            <v>70500</v>
          </cell>
        </row>
        <row r="7696">
          <cell r="W7696" t="str">
            <v>QMANZ01</v>
          </cell>
          <cell r="AD7696">
            <v>71000</v>
          </cell>
        </row>
        <row r="7697">
          <cell r="W7697" t="str">
            <v>QMANZ01</v>
          </cell>
          <cell r="AD7697">
            <v>71000</v>
          </cell>
        </row>
        <row r="7698">
          <cell r="W7698" t="str">
            <v>QMANZ01</v>
          </cell>
          <cell r="AD7698">
            <v>71000</v>
          </cell>
        </row>
        <row r="7699">
          <cell r="W7699" t="str">
            <v>QMANZ01</v>
          </cell>
          <cell r="AD7699">
            <v>71000</v>
          </cell>
        </row>
        <row r="7700">
          <cell r="W7700" t="str">
            <v>QMANZ01</v>
          </cell>
          <cell r="AD7700">
            <v>71000</v>
          </cell>
        </row>
        <row r="7701">
          <cell r="W7701" t="str">
            <v>QMANZ01</v>
          </cell>
          <cell r="AD7701">
            <v>71000</v>
          </cell>
        </row>
        <row r="7702">
          <cell r="W7702" t="str">
            <v>QMANZ01</v>
          </cell>
          <cell r="AD7702">
            <v>71000</v>
          </cell>
        </row>
        <row r="7703">
          <cell r="W7703" t="str">
            <v>QMANZ01</v>
          </cell>
          <cell r="AD7703">
            <v>71000</v>
          </cell>
        </row>
        <row r="7704">
          <cell r="W7704" t="str">
            <v>QMANZ01</v>
          </cell>
          <cell r="AD7704">
            <v>71000</v>
          </cell>
        </row>
        <row r="7705">
          <cell r="W7705" t="str">
            <v>QMANZ01</v>
          </cell>
          <cell r="AD7705">
            <v>71000</v>
          </cell>
        </row>
        <row r="7706">
          <cell r="W7706" t="str">
            <v>QMANZ01</v>
          </cell>
          <cell r="AD7706">
            <v>71000</v>
          </cell>
        </row>
        <row r="7707">
          <cell r="W7707" t="str">
            <v>QMANZ01</v>
          </cell>
          <cell r="AD7707">
            <v>71000</v>
          </cell>
        </row>
        <row r="7708">
          <cell r="W7708" t="str">
            <v>QMANZ01</v>
          </cell>
          <cell r="AD7708">
            <v>71000</v>
          </cell>
        </row>
        <row r="7709">
          <cell r="W7709" t="str">
            <v>QMANZ01</v>
          </cell>
          <cell r="AD7709">
            <v>71000</v>
          </cell>
        </row>
        <row r="7710">
          <cell r="W7710" t="str">
            <v>QMANZ01</v>
          </cell>
          <cell r="AD7710">
            <v>71000</v>
          </cell>
        </row>
        <row r="7711">
          <cell r="W7711" t="str">
            <v>QMANZ01</v>
          </cell>
          <cell r="AD7711">
            <v>71000</v>
          </cell>
        </row>
        <row r="7712">
          <cell r="W7712" t="str">
            <v>QMANZ01</v>
          </cell>
          <cell r="AD7712">
            <v>71000</v>
          </cell>
        </row>
        <row r="7713">
          <cell r="W7713" t="str">
            <v>QMANZ01</v>
          </cell>
          <cell r="AD7713">
            <v>71000</v>
          </cell>
        </row>
        <row r="7714">
          <cell r="W7714" t="str">
            <v>QMANZ01</v>
          </cell>
          <cell r="AD7714">
            <v>71000</v>
          </cell>
        </row>
        <row r="7715">
          <cell r="W7715" t="str">
            <v>QMANZ01</v>
          </cell>
          <cell r="AD7715">
            <v>71000</v>
          </cell>
        </row>
        <row r="7716">
          <cell r="W7716" t="str">
            <v>QMANZ01</v>
          </cell>
          <cell r="AD7716">
            <v>71000</v>
          </cell>
        </row>
        <row r="7717">
          <cell r="W7717" t="str">
            <v>QMANZ01</v>
          </cell>
          <cell r="AD7717">
            <v>71000</v>
          </cell>
        </row>
        <row r="7718">
          <cell r="W7718" t="str">
            <v>QMANZ01</v>
          </cell>
          <cell r="AD7718">
            <v>71000</v>
          </cell>
        </row>
        <row r="7719">
          <cell r="W7719" t="str">
            <v>QMANZ01</v>
          </cell>
          <cell r="AD7719">
            <v>71500</v>
          </cell>
        </row>
        <row r="7720">
          <cell r="W7720" t="str">
            <v>QMANZ01</v>
          </cell>
          <cell r="AD7720">
            <v>71500</v>
          </cell>
        </row>
        <row r="7721">
          <cell r="W7721" t="str">
            <v>QMANZ01</v>
          </cell>
          <cell r="AD7721">
            <v>71500</v>
          </cell>
        </row>
        <row r="7722">
          <cell r="W7722" t="str">
            <v>QMANZ01</v>
          </cell>
          <cell r="AD7722">
            <v>71500</v>
          </cell>
        </row>
        <row r="7723">
          <cell r="W7723" t="str">
            <v>QMANZ01</v>
          </cell>
          <cell r="AD7723">
            <v>71500</v>
          </cell>
        </row>
        <row r="7724">
          <cell r="W7724" t="str">
            <v>QMANZ01</v>
          </cell>
          <cell r="AD7724">
            <v>71500</v>
          </cell>
        </row>
        <row r="7725">
          <cell r="W7725" t="str">
            <v>QMANZ01</v>
          </cell>
          <cell r="AD7725">
            <v>72000</v>
          </cell>
        </row>
        <row r="7726">
          <cell r="W7726" t="str">
            <v>QMANZ01</v>
          </cell>
          <cell r="AD7726">
            <v>72500</v>
          </cell>
        </row>
        <row r="7727">
          <cell r="W7727" t="str">
            <v>QMANZ02</v>
          </cell>
          <cell r="AD7727">
            <v>39500</v>
          </cell>
        </row>
        <row r="7728">
          <cell r="W7728" t="str">
            <v>QMANZ02</v>
          </cell>
          <cell r="AD7728">
            <v>39500</v>
          </cell>
        </row>
        <row r="7729">
          <cell r="W7729" t="str">
            <v>QMANZ02</v>
          </cell>
          <cell r="AD7729">
            <v>40000</v>
          </cell>
        </row>
        <row r="7730">
          <cell r="W7730" t="str">
            <v>QMANZ02</v>
          </cell>
          <cell r="AD7730">
            <v>40000</v>
          </cell>
        </row>
        <row r="7731">
          <cell r="W7731" t="str">
            <v>QMANZ02</v>
          </cell>
          <cell r="AD7731">
            <v>40500</v>
          </cell>
        </row>
        <row r="7732">
          <cell r="W7732" t="str">
            <v>QMANZ02</v>
          </cell>
          <cell r="AD7732">
            <v>41000</v>
          </cell>
        </row>
        <row r="7733">
          <cell r="W7733" t="str">
            <v>QMANZ02</v>
          </cell>
          <cell r="AD7733">
            <v>41000</v>
          </cell>
        </row>
        <row r="7734">
          <cell r="W7734" t="str">
            <v>QMANZ02</v>
          </cell>
          <cell r="AD7734">
            <v>41500</v>
          </cell>
        </row>
        <row r="7735">
          <cell r="W7735" t="str">
            <v>QMANZ02</v>
          </cell>
          <cell r="AD7735">
            <v>41500</v>
          </cell>
        </row>
        <row r="7736">
          <cell r="W7736" t="str">
            <v>QMANZ02</v>
          </cell>
          <cell r="AD7736">
            <v>41500</v>
          </cell>
        </row>
        <row r="7737">
          <cell r="W7737" t="str">
            <v>QMANZ02</v>
          </cell>
          <cell r="AD7737">
            <v>41500</v>
          </cell>
        </row>
        <row r="7738">
          <cell r="W7738" t="str">
            <v>QMANZ02</v>
          </cell>
          <cell r="AD7738">
            <v>41500</v>
          </cell>
        </row>
        <row r="7739">
          <cell r="W7739" t="str">
            <v>QMANZ02</v>
          </cell>
          <cell r="AD7739">
            <v>41500</v>
          </cell>
        </row>
        <row r="7740">
          <cell r="W7740" t="str">
            <v>QMANZ02</v>
          </cell>
          <cell r="AD7740">
            <v>41500</v>
          </cell>
        </row>
        <row r="7741">
          <cell r="W7741" t="str">
            <v>QMANZ02</v>
          </cell>
          <cell r="AD7741">
            <v>42000</v>
          </cell>
        </row>
        <row r="7742">
          <cell r="W7742" t="str">
            <v>QMANZ02</v>
          </cell>
          <cell r="AD7742">
            <v>42000</v>
          </cell>
        </row>
        <row r="7743">
          <cell r="W7743" t="str">
            <v>QMANZ02</v>
          </cell>
          <cell r="AD7743">
            <v>42000</v>
          </cell>
        </row>
        <row r="7744">
          <cell r="W7744" t="str">
            <v>QMANZ02</v>
          </cell>
          <cell r="AD7744">
            <v>42500</v>
          </cell>
        </row>
        <row r="7745">
          <cell r="W7745" t="str">
            <v>QMANZ02</v>
          </cell>
          <cell r="AD7745">
            <v>42500</v>
          </cell>
        </row>
        <row r="7746">
          <cell r="W7746" t="str">
            <v>QMANZ02</v>
          </cell>
          <cell r="AD7746">
            <v>42500</v>
          </cell>
        </row>
        <row r="7747">
          <cell r="W7747" t="str">
            <v>QMANZ02</v>
          </cell>
          <cell r="AD7747">
            <v>42500</v>
          </cell>
        </row>
        <row r="7748">
          <cell r="W7748" t="str">
            <v>QMANZ02</v>
          </cell>
          <cell r="AD7748">
            <v>43000</v>
          </cell>
        </row>
        <row r="7749">
          <cell r="W7749" t="str">
            <v>QMANZ02</v>
          </cell>
          <cell r="AD7749">
            <v>43000</v>
          </cell>
        </row>
        <row r="7750">
          <cell r="W7750" t="str">
            <v>QMANZ02</v>
          </cell>
          <cell r="AD7750">
            <v>43000</v>
          </cell>
        </row>
        <row r="7751">
          <cell r="W7751" t="str">
            <v>QMANZ02</v>
          </cell>
          <cell r="AD7751">
            <v>43500</v>
          </cell>
        </row>
        <row r="7752">
          <cell r="W7752" t="str">
            <v>QMANZ02</v>
          </cell>
          <cell r="AD7752">
            <v>43500</v>
          </cell>
        </row>
        <row r="7753">
          <cell r="W7753" t="str">
            <v>QMARS02</v>
          </cell>
          <cell r="AD7753">
            <v>120500</v>
          </cell>
        </row>
        <row r="7754">
          <cell r="W7754" t="str">
            <v>QMARS02</v>
          </cell>
          <cell r="AD7754">
            <v>121000</v>
          </cell>
        </row>
        <row r="7755">
          <cell r="W7755" t="str">
            <v>QMARS02</v>
          </cell>
          <cell r="AD7755">
            <v>121000</v>
          </cell>
        </row>
        <row r="7756">
          <cell r="W7756" t="str">
            <v>QMARS02</v>
          </cell>
          <cell r="AD7756">
            <v>121000</v>
          </cell>
        </row>
        <row r="7757">
          <cell r="W7757" t="str">
            <v>QMARS02</v>
          </cell>
          <cell r="AD7757">
            <v>121000</v>
          </cell>
        </row>
        <row r="7758">
          <cell r="W7758" t="str">
            <v>QMARS02</v>
          </cell>
          <cell r="AD7758">
            <v>121500</v>
          </cell>
        </row>
        <row r="7759">
          <cell r="W7759" t="str">
            <v>QMARS02</v>
          </cell>
          <cell r="AD7759">
            <v>122500</v>
          </cell>
        </row>
        <row r="7760">
          <cell r="W7760" t="str">
            <v>QMARS02</v>
          </cell>
          <cell r="AD7760">
            <v>123000</v>
          </cell>
        </row>
        <row r="7761">
          <cell r="W7761" t="str">
            <v>QMARS02</v>
          </cell>
          <cell r="AD7761">
            <v>123000</v>
          </cell>
        </row>
        <row r="7762">
          <cell r="W7762" t="str">
            <v>QMARS02</v>
          </cell>
          <cell r="AD7762">
            <v>123000</v>
          </cell>
        </row>
        <row r="7763">
          <cell r="W7763" t="str">
            <v>QMARS02</v>
          </cell>
          <cell r="AD7763">
            <v>123500</v>
          </cell>
        </row>
        <row r="7764">
          <cell r="W7764" t="str">
            <v>QMARS02</v>
          </cell>
          <cell r="AD7764">
            <v>123500</v>
          </cell>
        </row>
        <row r="7765">
          <cell r="W7765" t="str">
            <v>QMARS02</v>
          </cell>
          <cell r="AD7765">
            <v>123500</v>
          </cell>
        </row>
        <row r="7766">
          <cell r="W7766" t="str">
            <v>QMARS02</v>
          </cell>
          <cell r="AD7766">
            <v>123500</v>
          </cell>
        </row>
        <row r="7767">
          <cell r="W7767" t="str">
            <v>QMARS03</v>
          </cell>
          <cell r="AD7767">
            <v>67000</v>
          </cell>
        </row>
        <row r="7768">
          <cell r="W7768" t="str">
            <v>QMARS03</v>
          </cell>
          <cell r="AD7768">
            <v>67500</v>
          </cell>
        </row>
        <row r="7769">
          <cell r="W7769" t="str">
            <v>QMARS03</v>
          </cell>
          <cell r="AD7769">
            <v>67500</v>
          </cell>
        </row>
        <row r="7770">
          <cell r="W7770" t="str">
            <v>QMARS03</v>
          </cell>
          <cell r="AD7770">
            <v>67500</v>
          </cell>
        </row>
        <row r="7771">
          <cell r="W7771" t="str">
            <v>QMARS03</v>
          </cell>
          <cell r="AD7771">
            <v>67500</v>
          </cell>
        </row>
        <row r="7772">
          <cell r="W7772" t="str">
            <v>QMARS03</v>
          </cell>
          <cell r="AD7772">
            <v>67500</v>
          </cell>
        </row>
        <row r="7773">
          <cell r="W7773" t="str">
            <v>QMARS03</v>
          </cell>
          <cell r="AD7773">
            <v>67500</v>
          </cell>
        </row>
        <row r="7774">
          <cell r="W7774" t="str">
            <v>QMARS03</v>
          </cell>
          <cell r="AD7774">
            <v>67500</v>
          </cell>
        </row>
        <row r="7775">
          <cell r="W7775" t="str">
            <v>QMARS03</v>
          </cell>
          <cell r="AD7775">
            <v>67500</v>
          </cell>
        </row>
        <row r="7776">
          <cell r="W7776" t="str">
            <v>QMARS03</v>
          </cell>
          <cell r="AD7776">
            <v>67500</v>
          </cell>
        </row>
        <row r="7777">
          <cell r="W7777" t="str">
            <v>QMARS03</v>
          </cell>
          <cell r="AD7777">
            <v>67500</v>
          </cell>
        </row>
        <row r="7778">
          <cell r="W7778" t="str">
            <v>QMARS03</v>
          </cell>
          <cell r="AD7778">
            <v>67500</v>
          </cell>
        </row>
        <row r="7779">
          <cell r="W7779" t="str">
            <v>QMARS03</v>
          </cell>
          <cell r="AD7779">
            <v>67500</v>
          </cell>
        </row>
        <row r="7780">
          <cell r="W7780" t="str">
            <v>QMARS03</v>
          </cell>
          <cell r="AD7780">
            <v>67500</v>
          </cell>
        </row>
        <row r="7781">
          <cell r="W7781" t="str">
            <v>QMARS03</v>
          </cell>
          <cell r="AD7781">
            <v>67500</v>
          </cell>
        </row>
        <row r="7782">
          <cell r="W7782" t="str">
            <v>QMARS03</v>
          </cell>
          <cell r="AD7782">
            <v>67500</v>
          </cell>
        </row>
        <row r="7783">
          <cell r="W7783" t="str">
            <v>QMARS03</v>
          </cell>
          <cell r="AD7783">
            <v>67500</v>
          </cell>
        </row>
        <row r="7784">
          <cell r="W7784" t="str">
            <v>QMARS03</v>
          </cell>
          <cell r="AD7784">
            <v>67500</v>
          </cell>
        </row>
        <row r="7785">
          <cell r="W7785" t="str">
            <v>QMARS03</v>
          </cell>
          <cell r="AD7785">
            <v>67500</v>
          </cell>
        </row>
        <row r="7786">
          <cell r="W7786" t="str">
            <v>QMARS03</v>
          </cell>
          <cell r="AD7786">
            <v>67500</v>
          </cell>
        </row>
        <row r="7787">
          <cell r="W7787" t="str">
            <v>QMARS03</v>
          </cell>
          <cell r="AD7787">
            <v>67500</v>
          </cell>
        </row>
        <row r="7788">
          <cell r="W7788" t="str">
            <v>QMARS03</v>
          </cell>
          <cell r="AD7788">
            <v>67500</v>
          </cell>
        </row>
        <row r="7789">
          <cell r="W7789" t="str">
            <v>QMARS03</v>
          </cell>
          <cell r="AD7789">
            <v>70000</v>
          </cell>
        </row>
        <row r="7790">
          <cell r="W7790" t="str">
            <v>QMARS06</v>
          </cell>
          <cell r="AD7790">
            <v>57350</v>
          </cell>
        </row>
        <row r="7791">
          <cell r="W7791" t="str">
            <v>QMARS06</v>
          </cell>
          <cell r="AD7791">
            <v>58500</v>
          </cell>
        </row>
        <row r="7792">
          <cell r="W7792" t="str">
            <v>QMARS06</v>
          </cell>
          <cell r="AD7792">
            <v>59000</v>
          </cell>
        </row>
        <row r="7793">
          <cell r="W7793" t="str">
            <v>QMARS04</v>
          </cell>
          <cell r="AD7793">
            <v>6000</v>
          </cell>
        </row>
        <row r="7794">
          <cell r="W7794" t="str">
            <v>QMARS04</v>
          </cell>
          <cell r="AD7794">
            <v>6100</v>
          </cell>
        </row>
        <row r="7795">
          <cell r="W7795" t="str">
            <v>QMARS04</v>
          </cell>
          <cell r="AD7795">
            <v>6100</v>
          </cell>
        </row>
        <row r="7796">
          <cell r="W7796" t="str">
            <v>QMARS04</v>
          </cell>
          <cell r="AD7796">
            <v>6100</v>
          </cell>
        </row>
        <row r="7797">
          <cell r="W7797" t="str">
            <v>QMARS04</v>
          </cell>
          <cell r="AD7797">
            <v>6100</v>
          </cell>
        </row>
        <row r="7798">
          <cell r="W7798" t="str">
            <v>QMARS04</v>
          </cell>
          <cell r="AD7798">
            <v>6100</v>
          </cell>
        </row>
        <row r="7799">
          <cell r="W7799" t="str">
            <v>QMARS04</v>
          </cell>
          <cell r="AD7799">
            <v>6100</v>
          </cell>
        </row>
        <row r="7800">
          <cell r="W7800" t="str">
            <v>QMARS04</v>
          </cell>
          <cell r="AD7800">
            <v>6100</v>
          </cell>
        </row>
        <row r="7801">
          <cell r="W7801" t="str">
            <v>QMARS04</v>
          </cell>
          <cell r="AD7801">
            <v>6100</v>
          </cell>
        </row>
        <row r="7802">
          <cell r="W7802" t="str">
            <v>QMARS04</v>
          </cell>
          <cell r="AD7802">
            <v>6100</v>
          </cell>
        </row>
        <row r="7803">
          <cell r="W7803" t="str">
            <v>QMARS04</v>
          </cell>
          <cell r="AD7803">
            <v>6100</v>
          </cell>
        </row>
        <row r="7804">
          <cell r="W7804" t="str">
            <v>QMARS04</v>
          </cell>
          <cell r="AD7804">
            <v>6100</v>
          </cell>
        </row>
        <row r="7805">
          <cell r="W7805" t="str">
            <v>QMARS04</v>
          </cell>
          <cell r="AD7805">
            <v>6100</v>
          </cell>
        </row>
        <row r="7806">
          <cell r="W7806" t="str">
            <v>QMARS04</v>
          </cell>
          <cell r="AD7806">
            <v>6100</v>
          </cell>
        </row>
        <row r="7807">
          <cell r="W7807" t="str">
            <v>QMARS04</v>
          </cell>
          <cell r="AD7807">
            <v>6200</v>
          </cell>
        </row>
        <row r="7808">
          <cell r="W7808" t="str">
            <v>QMARS04</v>
          </cell>
          <cell r="AD7808">
            <v>6200</v>
          </cell>
        </row>
        <row r="7809">
          <cell r="W7809" t="str">
            <v>QMARS04</v>
          </cell>
          <cell r="AD7809">
            <v>6200</v>
          </cell>
        </row>
        <row r="7810">
          <cell r="W7810" t="str">
            <v>QMARS04</v>
          </cell>
          <cell r="AD7810">
            <v>6250</v>
          </cell>
        </row>
        <row r="7811">
          <cell r="W7811" t="str">
            <v>QMARS04</v>
          </cell>
          <cell r="AD7811">
            <v>6250</v>
          </cell>
        </row>
        <row r="7812">
          <cell r="W7812" t="str">
            <v>QMARS04</v>
          </cell>
          <cell r="AD7812">
            <v>6500</v>
          </cell>
        </row>
        <row r="7813">
          <cell r="W7813" t="str">
            <v>QMARS05</v>
          </cell>
          <cell r="AD7813">
            <v>20500</v>
          </cell>
        </row>
        <row r="7814">
          <cell r="W7814" t="str">
            <v>QMARS05</v>
          </cell>
          <cell r="AD7814">
            <v>20500</v>
          </cell>
        </row>
        <row r="7815">
          <cell r="W7815" t="str">
            <v>QMARS05</v>
          </cell>
          <cell r="AD7815">
            <v>21000</v>
          </cell>
        </row>
        <row r="7816">
          <cell r="W7816" t="str">
            <v>QMARS05</v>
          </cell>
          <cell r="AD7816">
            <v>21500</v>
          </cell>
        </row>
        <row r="7817">
          <cell r="W7817" t="str">
            <v>QMARS05</v>
          </cell>
          <cell r="AD7817">
            <v>21500</v>
          </cell>
        </row>
        <row r="7818">
          <cell r="W7818" t="str">
            <v>QMARS05</v>
          </cell>
          <cell r="AD7818">
            <v>22000</v>
          </cell>
        </row>
        <row r="7819">
          <cell r="W7819" t="str">
            <v>QMARS05</v>
          </cell>
          <cell r="AD7819">
            <v>22000</v>
          </cell>
        </row>
        <row r="7820">
          <cell r="W7820" t="str">
            <v>QMARS05</v>
          </cell>
          <cell r="AD7820">
            <v>23500</v>
          </cell>
        </row>
        <row r="7821">
          <cell r="W7821" t="str">
            <v>QMART01</v>
          </cell>
          <cell r="AD7821">
            <v>41500</v>
          </cell>
        </row>
        <row r="7822">
          <cell r="W7822" t="str">
            <v>QMART01</v>
          </cell>
          <cell r="AD7822">
            <v>44000</v>
          </cell>
        </row>
        <row r="7823">
          <cell r="W7823" t="str">
            <v>QMART01</v>
          </cell>
          <cell r="AD7823">
            <v>44000</v>
          </cell>
        </row>
        <row r="7824">
          <cell r="W7824" t="str">
            <v>QMART01</v>
          </cell>
          <cell r="AD7824">
            <v>44000</v>
          </cell>
        </row>
        <row r="7825">
          <cell r="W7825" t="str">
            <v>QMART01</v>
          </cell>
          <cell r="AD7825">
            <v>44000</v>
          </cell>
        </row>
        <row r="7826">
          <cell r="W7826" t="str">
            <v>QMART01</v>
          </cell>
          <cell r="AD7826">
            <v>44000</v>
          </cell>
        </row>
        <row r="7827">
          <cell r="W7827" t="str">
            <v>QMART01</v>
          </cell>
          <cell r="AD7827">
            <v>44000</v>
          </cell>
        </row>
        <row r="7828">
          <cell r="W7828" t="str">
            <v>QMART01</v>
          </cell>
          <cell r="AD7828">
            <v>44000</v>
          </cell>
        </row>
        <row r="7829">
          <cell r="W7829" t="str">
            <v>QMART01</v>
          </cell>
          <cell r="AD7829">
            <v>44000</v>
          </cell>
        </row>
        <row r="7830">
          <cell r="W7830" t="str">
            <v>QMART01</v>
          </cell>
          <cell r="AD7830">
            <v>44000</v>
          </cell>
        </row>
        <row r="7831">
          <cell r="W7831" t="str">
            <v>QMART01</v>
          </cell>
          <cell r="AD7831">
            <v>44000</v>
          </cell>
        </row>
        <row r="7832">
          <cell r="W7832" t="str">
            <v>QMART01</v>
          </cell>
          <cell r="AD7832">
            <v>44000</v>
          </cell>
        </row>
        <row r="7833">
          <cell r="W7833" t="str">
            <v>QMART01</v>
          </cell>
          <cell r="AD7833">
            <v>44000</v>
          </cell>
        </row>
        <row r="7834">
          <cell r="W7834" t="str">
            <v>QMART01</v>
          </cell>
          <cell r="AD7834">
            <v>44000</v>
          </cell>
        </row>
        <row r="7835">
          <cell r="W7835" t="str">
            <v>QMART01</v>
          </cell>
          <cell r="AD7835">
            <v>44000</v>
          </cell>
        </row>
        <row r="7836">
          <cell r="W7836" t="str">
            <v>QMART01</v>
          </cell>
          <cell r="AD7836">
            <v>44000</v>
          </cell>
        </row>
        <row r="7837">
          <cell r="W7837" t="str">
            <v>QMART01</v>
          </cell>
          <cell r="AD7837">
            <v>44000</v>
          </cell>
        </row>
        <row r="7838">
          <cell r="W7838" t="str">
            <v>QMART01</v>
          </cell>
          <cell r="AD7838">
            <v>44000</v>
          </cell>
        </row>
        <row r="7839">
          <cell r="W7839" t="str">
            <v>QMART01</v>
          </cell>
          <cell r="AD7839">
            <v>44000</v>
          </cell>
        </row>
        <row r="7840">
          <cell r="W7840" t="str">
            <v>QMART01</v>
          </cell>
          <cell r="AD7840">
            <v>44000</v>
          </cell>
        </row>
        <row r="7841">
          <cell r="W7841" t="str">
            <v>QMATA01</v>
          </cell>
          <cell r="AD7841">
            <v>216000</v>
          </cell>
        </row>
        <row r="7842">
          <cell r="W7842" t="str">
            <v>QMATA01</v>
          </cell>
          <cell r="AD7842">
            <v>216000</v>
          </cell>
        </row>
        <row r="7843">
          <cell r="W7843" t="str">
            <v>QMATA02</v>
          </cell>
          <cell r="AD7843">
            <v>13250</v>
          </cell>
        </row>
        <row r="7844">
          <cell r="W7844" t="str">
            <v>QMATA02</v>
          </cell>
          <cell r="AD7844">
            <v>13500</v>
          </cell>
        </row>
        <row r="7845">
          <cell r="W7845" t="str">
            <v>QMATA02</v>
          </cell>
          <cell r="AD7845">
            <v>13500</v>
          </cell>
        </row>
        <row r="7846">
          <cell r="W7846" t="str">
            <v>QMATA02</v>
          </cell>
          <cell r="AD7846">
            <v>13500</v>
          </cell>
        </row>
        <row r="7847">
          <cell r="W7847" t="str">
            <v>QMATA02</v>
          </cell>
          <cell r="AD7847">
            <v>13500</v>
          </cell>
        </row>
        <row r="7848">
          <cell r="W7848" t="str">
            <v>QMATA02</v>
          </cell>
          <cell r="AD7848">
            <v>13800</v>
          </cell>
        </row>
        <row r="7849">
          <cell r="W7849" t="str">
            <v>QMATA02</v>
          </cell>
          <cell r="AD7849">
            <v>13800</v>
          </cell>
        </row>
        <row r="7850">
          <cell r="W7850" t="str">
            <v>QMATA02</v>
          </cell>
          <cell r="AD7850">
            <v>13850</v>
          </cell>
        </row>
        <row r="7851">
          <cell r="W7851" t="str">
            <v>QMATA02</v>
          </cell>
          <cell r="AD7851">
            <v>13850</v>
          </cell>
        </row>
        <row r="7852">
          <cell r="W7852" t="str">
            <v>QMATA02</v>
          </cell>
          <cell r="AD7852">
            <v>13900</v>
          </cell>
        </row>
        <row r="7853">
          <cell r="W7853" t="str">
            <v>QMATA02</v>
          </cell>
          <cell r="AD7853">
            <v>13900</v>
          </cell>
        </row>
        <row r="7854">
          <cell r="W7854" t="str">
            <v>QMATA02</v>
          </cell>
          <cell r="AD7854">
            <v>14000</v>
          </cell>
        </row>
        <row r="7855">
          <cell r="W7855" t="str">
            <v>QMATA02</v>
          </cell>
          <cell r="AD7855">
            <v>14000</v>
          </cell>
        </row>
        <row r="7856">
          <cell r="W7856" t="str">
            <v>QMATA03</v>
          </cell>
          <cell r="AD7856">
            <v>19000</v>
          </cell>
        </row>
        <row r="7857">
          <cell r="W7857" t="str">
            <v>QMATA03</v>
          </cell>
          <cell r="AD7857">
            <v>19500</v>
          </cell>
        </row>
        <row r="7858">
          <cell r="W7858" t="str">
            <v>QMATA03</v>
          </cell>
          <cell r="AD7858">
            <v>19500</v>
          </cell>
        </row>
        <row r="7859">
          <cell r="W7859" t="str">
            <v>QMATA03</v>
          </cell>
          <cell r="AD7859">
            <v>19500</v>
          </cell>
        </row>
        <row r="7860">
          <cell r="W7860" t="str">
            <v>QMATA03</v>
          </cell>
          <cell r="AD7860">
            <v>19700</v>
          </cell>
        </row>
        <row r="7861">
          <cell r="W7861" t="str">
            <v>QMATA03</v>
          </cell>
          <cell r="AD7861">
            <v>19700</v>
          </cell>
        </row>
        <row r="7862">
          <cell r="W7862" t="str">
            <v>QMATA03</v>
          </cell>
          <cell r="AD7862">
            <v>19700</v>
          </cell>
        </row>
        <row r="7863">
          <cell r="W7863" t="str">
            <v>QMATA03</v>
          </cell>
          <cell r="AD7863">
            <v>19700</v>
          </cell>
        </row>
        <row r="7864">
          <cell r="W7864" t="str">
            <v>QMATA03</v>
          </cell>
          <cell r="AD7864">
            <v>19700</v>
          </cell>
        </row>
        <row r="7865">
          <cell r="W7865" t="str">
            <v>QMATA03</v>
          </cell>
          <cell r="AD7865">
            <v>19700</v>
          </cell>
        </row>
        <row r="7866">
          <cell r="W7866" t="str">
            <v>QMATA03</v>
          </cell>
          <cell r="AD7866">
            <v>19700</v>
          </cell>
        </row>
        <row r="7867">
          <cell r="W7867" t="str">
            <v>QMATA03</v>
          </cell>
          <cell r="AD7867">
            <v>19700</v>
          </cell>
        </row>
        <row r="7868">
          <cell r="W7868" t="str">
            <v>QMATA03</v>
          </cell>
          <cell r="AD7868">
            <v>19700</v>
          </cell>
        </row>
        <row r="7869">
          <cell r="W7869" t="str">
            <v>QMATA03</v>
          </cell>
          <cell r="AD7869">
            <v>19700</v>
          </cell>
        </row>
        <row r="7870">
          <cell r="W7870" t="str">
            <v>QMATA03</v>
          </cell>
          <cell r="AD7870">
            <v>19750</v>
          </cell>
        </row>
        <row r="7871">
          <cell r="W7871" t="str">
            <v>QMATA03</v>
          </cell>
          <cell r="AD7871">
            <v>19750</v>
          </cell>
        </row>
        <row r="7872">
          <cell r="W7872" t="str">
            <v>QMATA03</v>
          </cell>
          <cell r="AD7872">
            <v>19800</v>
          </cell>
        </row>
        <row r="7873">
          <cell r="W7873" t="str">
            <v>QMATA03</v>
          </cell>
          <cell r="AD7873">
            <v>20500</v>
          </cell>
        </row>
        <row r="7874">
          <cell r="W7874" t="str">
            <v>QMATA04</v>
          </cell>
          <cell r="AD7874">
            <v>54500</v>
          </cell>
        </row>
        <row r="7875">
          <cell r="W7875" t="str">
            <v>QMATA04</v>
          </cell>
          <cell r="AD7875">
            <v>54500</v>
          </cell>
        </row>
        <row r="7876">
          <cell r="W7876" t="str">
            <v>QMATA04</v>
          </cell>
          <cell r="AD7876">
            <v>54500</v>
          </cell>
        </row>
        <row r="7877">
          <cell r="W7877" t="str">
            <v>QMATA04</v>
          </cell>
          <cell r="AD7877">
            <v>54500</v>
          </cell>
        </row>
        <row r="7878">
          <cell r="W7878" t="str">
            <v>QMATA04</v>
          </cell>
          <cell r="AD7878">
            <v>54500</v>
          </cell>
        </row>
        <row r="7879">
          <cell r="W7879" t="str">
            <v>QMATA04</v>
          </cell>
          <cell r="AD7879">
            <v>54500</v>
          </cell>
        </row>
        <row r="7880">
          <cell r="W7880" t="str">
            <v>QMATA04</v>
          </cell>
          <cell r="AD7880">
            <v>55000</v>
          </cell>
        </row>
        <row r="7881">
          <cell r="W7881" t="str">
            <v>QMATA04</v>
          </cell>
          <cell r="AD7881">
            <v>55000</v>
          </cell>
        </row>
        <row r="7882">
          <cell r="W7882" t="str">
            <v>QMATA04</v>
          </cell>
          <cell r="AD7882">
            <v>55000</v>
          </cell>
        </row>
        <row r="7883">
          <cell r="W7883" t="str">
            <v>QMATA04</v>
          </cell>
          <cell r="AD7883">
            <v>55000</v>
          </cell>
        </row>
        <row r="7884">
          <cell r="W7884" t="str">
            <v>QMATA04</v>
          </cell>
          <cell r="AD7884">
            <v>55750</v>
          </cell>
        </row>
        <row r="7885">
          <cell r="W7885" t="str">
            <v>QMATA04</v>
          </cell>
          <cell r="AD7885">
            <v>55800</v>
          </cell>
        </row>
        <row r="7886">
          <cell r="W7886" t="str">
            <v>QMATC01</v>
          </cell>
          <cell r="AD7886">
            <v>54250</v>
          </cell>
        </row>
        <row r="7887">
          <cell r="W7887" t="str">
            <v>QMATC01</v>
          </cell>
          <cell r="AD7887">
            <v>54250</v>
          </cell>
        </row>
        <row r="7888">
          <cell r="W7888" t="str">
            <v>QMATC01</v>
          </cell>
          <cell r="AD7888">
            <v>54500</v>
          </cell>
        </row>
        <row r="7889">
          <cell r="W7889" t="str">
            <v>QMATC01</v>
          </cell>
          <cell r="AD7889">
            <v>54500</v>
          </cell>
        </row>
        <row r="7890">
          <cell r="W7890" t="str">
            <v>QMATC01</v>
          </cell>
          <cell r="AD7890">
            <v>54750</v>
          </cell>
        </row>
        <row r="7891">
          <cell r="W7891" t="str">
            <v>QMAXI01</v>
          </cell>
          <cell r="AD7891">
            <v>86000</v>
          </cell>
        </row>
        <row r="7892">
          <cell r="W7892" t="str">
            <v>QMAXI01</v>
          </cell>
          <cell r="AD7892">
            <v>87000</v>
          </cell>
        </row>
        <row r="7893">
          <cell r="W7893" t="str">
            <v>QMAXI01</v>
          </cell>
          <cell r="AD7893">
            <v>88000</v>
          </cell>
        </row>
        <row r="7894">
          <cell r="W7894" t="str">
            <v>QMEGA04</v>
          </cell>
          <cell r="AD7894">
            <v>185000</v>
          </cell>
        </row>
        <row r="7895">
          <cell r="W7895" t="str">
            <v>QMEGA04</v>
          </cell>
          <cell r="AD7895">
            <v>190000</v>
          </cell>
        </row>
        <row r="7896">
          <cell r="W7896" t="str">
            <v>QMEGA04</v>
          </cell>
          <cell r="AD7896">
            <v>190000</v>
          </cell>
        </row>
        <row r="7897">
          <cell r="W7897" t="str">
            <v>QMEGA04</v>
          </cell>
          <cell r="AD7897">
            <v>190000</v>
          </cell>
        </row>
        <row r="7898">
          <cell r="W7898" t="str">
            <v>QMEGA04</v>
          </cell>
          <cell r="AD7898">
            <v>190000</v>
          </cell>
        </row>
        <row r="7899">
          <cell r="W7899" t="str">
            <v>QMEGA01</v>
          </cell>
          <cell r="AD7899">
            <v>65000</v>
          </cell>
        </row>
        <row r="7900">
          <cell r="W7900" t="str">
            <v>QMEGA01</v>
          </cell>
          <cell r="AD7900">
            <v>65000</v>
          </cell>
        </row>
        <row r="7901">
          <cell r="W7901" t="str">
            <v>QMEGA01</v>
          </cell>
          <cell r="AD7901">
            <v>65000</v>
          </cell>
        </row>
        <row r="7902">
          <cell r="W7902" t="str">
            <v>QMEGA01</v>
          </cell>
          <cell r="AD7902">
            <v>65000</v>
          </cell>
        </row>
        <row r="7903">
          <cell r="W7903" t="str">
            <v>QMEGA01</v>
          </cell>
          <cell r="AD7903">
            <v>65000</v>
          </cell>
        </row>
        <row r="7904">
          <cell r="W7904" t="str">
            <v>QMEGA01</v>
          </cell>
          <cell r="AD7904">
            <v>65000</v>
          </cell>
        </row>
        <row r="7905">
          <cell r="W7905" t="str">
            <v>QMELO01</v>
          </cell>
          <cell r="AD7905">
            <v>107000</v>
          </cell>
        </row>
        <row r="7906">
          <cell r="W7906" t="str">
            <v>QMELO01</v>
          </cell>
          <cell r="AD7906">
            <v>108000</v>
          </cell>
        </row>
        <row r="7907">
          <cell r="W7907" t="str">
            <v>QMELO01</v>
          </cell>
          <cell r="AD7907">
            <v>108000</v>
          </cell>
        </row>
        <row r="7908">
          <cell r="W7908" t="str">
            <v>QMELO01</v>
          </cell>
          <cell r="AD7908">
            <v>108000</v>
          </cell>
        </row>
        <row r="7909">
          <cell r="W7909" t="str">
            <v>QMELO01</v>
          </cell>
          <cell r="AD7909">
            <v>108000</v>
          </cell>
        </row>
        <row r="7910">
          <cell r="W7910" t="str">
            <v>QMELO01</v>
          </cell>
          <cell r="AD7910">
            <v>110000</v>
          </cell>
        </row>
        <row r="7911">
          <cell r="W7911" t="str">
            <v>QMELO01</v>
          </cell>
          <cell r="AD7911">
            <v>110000</v>
          </cell>
        </row>
        <row r="7912">
          <cell r="W7912" t="str">
            <v>QMELO01</v>
          </cell>
          <cell r="AD7912">
            <v>111000</v>
          </cell>
        </row>
        <row r="7913">
          <cell r="W7913" t="str">
            <v>QMELO01</v>
          </cell>
          <cell r="AD7913">
            <v>111000</v>
          </cell>
        </row>
        <row r="7914">
          <cell r="W7914" t="str">
            <v>QMELO01</v>
          </cell>
          <cell r="AD7914">
            <v>111000</v>
          </cell>
        </row>
        <row r="7915">
          <cell r="W7915" t="str">
            <v>QMELO10</v>
          </cell>
          <cell r="AD7915">
            <v>210000</v>
          </cell>
        </row>
        <row r="7916">
          <cell r="W7916" t="str">
            <v>QMELO10</v>
          </cell>
          <cell r="AD7916">
            <v>210000</v>
          </cell>
        </row>
        <row r="7917">
          <cell r="W7917" t="str">
            <v>QMELO10</v>
          </cell>
          <cell r="AD7917">
            <v>220000</v>
          </cell>
        </row>
        <row r="7918">
          <cell r="W7918" t="str">
            <v>QMELO10</v>
          </cell>
          <cell r="AD7918">
            <v>220000</v>
          </cell>
        </row>
        <row r="7919">
          <cell r="W7919" t="str">
            <v>QMELO10</v>
          </cell>
          <cell r="AD7919">
            <v>220000</v>
          </cell>
        </row>
        <row r="7920">
          <cell r="W7920" t="str">
            <v>QMELO10</v>
          </cell>
          <cell r="AD7920">
            <v>220000</v>
          </cell>
        </row>
        <row r="7921">
          <cell r="W7921" t="str">
            <v>QMELO10</v>
          </cell>
          <cell r="AD7921">
            <v>220000</v>
          </cell>
        </row>
        <row r="7922">
          <cell r="W7922" t="str">
            <v>QMELO10</v>
          </cell>
          <cell r="AD7922">
            <v>225000</v>
          </cell>
        </row>
        <row r="7923">
          <cell r="W7923" t="str">
            <v>QMELO10</v>
          </cell>
          <cell r="AD7923">
            <v>225000</v>
          </cell>
        </row>
        <row r="7924">
          <cell r="W7924" t="str">
            <v>QMELO10</v>
          </cell>
          <cell r="AD7924">
            <v>225000</v>
          </cell>
        </row>
        <row r="7925">
          <cell r="W7925" t="str">
            <v>QMELO10</v>
          </cell>
          <cell r="AD7925">
            <v>225000</v>
          </cell>
        </row>
        <row r="7926">
          <cell r="W7926" t="str">
            <v>QMELO10</v>
          </cell>
          <cell r="AD7926">
            <v>225000</v>
          </cell>
        </row>
        <row r="7927">
          <cell r="W7927" t="str">
            <v>QMELO10</v>
          </cell>
          <cell r="AD7927">
            <v>225000</v>
          </cell>
        </row>
        <row r="7928">
          <cell r="W7928" t="str">
            <v>QMELO10</v>
          </cell>
          <cell r="AD7928">
            <v>225000</v>
          </cell>
        </row>
        <row r="7929">
          <cell r="W7929" t="str">
            <v>QMELO10</v>
          </cell>
          <cell r="AD7929">
            <v>225000</v>
          </cell>
        </row>
        <row r="7930">
          <cell r="W7930" t="str">
            <v>QMELO10</v>
          </cell>
          <cell r="AD7930">
            <v>225000</v>
          </cell>
        </row>
        <row r="7931">
          <cell r="W7931" t="str">
            <v>QMELO10</v>
          </cell>
          <cell r="AD7931">
            <v>225000</v>
          </cell>
        </row>
        <row r="7932">
          <cell r="W7932" t="str">
            <v>QMELO10</v>
          </cell>
          <cell r="AD7932">
            <v>225000</v>
          </cell>
        </row>
        <row r="7933">
          <cell r="W7933" t="str">
            <v>QMELO10</v>
          </cell>
          <cell r="AD7933">
            <v>225000</v>
          </cell>
        </row>
        <row r="7934">
          <cell r="W7934" t="str">
            <v>QMELO10</v>
          </cell>
          <cell r="AD7934">
            <v>225000</v>
          </cell>
        </row>
        <row r="7935">
          <cell r="W7935" t="str">
            <v>QMELO10</v>
          </cell>
          <cell r="AD7935">
            <v>225000</v>
          </cell>
        </row>
        <row r="7936">
          <cell r="W7936" t="str">
            <v>AMELO10</v>
          </cell>
          <cell r="AD7936">
            <v>225000</v>
          </cell>
        </row>
        <row r="7937">
          <cell r="W7937" t="str">
            <v>AMELO10</v>
          </cell>
          <cell r="AD7937">
            <v>225000</v>
          </cell>
        </row>
        <row r="7938">
          <cell r="W7938" t="str">
            <v>QMELO10</v>
          </cell>
          <cell r="AD7938">
            <v>225000</v>
          </cell>
        </row>
        <row r="7939">
          <cell r="W7939" t="str">
            <v>QMELO10</v>
          </cell>
          <cell r="AD7939">
            <v>225000</v>
          </cell>
        </row>
        <row r="7940">
          <cell r="W7940" t="str">
            <v>QMELO15</v>
          </cell>
          <cell r="AD7940">
            <v>230000</v>
          </cell>
        </row>
        <row r="7941">
          <cell r="W7941" t="str">
            <v>QMELO15</v>
          </cell>
          <cell r="AD7941">
            <v>235000</v>
          </cell>
        </row>
        <row r="7942">
          <cell r="W7942" t="str">
            <v>QMELO13</v>
          </cell>
          <cell r="AD7942">
            <v>149000</v>
          </cell>
        </row>
        <row r="7943">
          <cell r="W7943" t="str">
            <v>QMELO13</v>
          </cell>
          <cell r="AD7943">
            <v>149000</v>
          </cell>
        </row>
        <row r="7944">
          <cell r="W7944" t="str">
            <v>QMELO13</v>
          </cell>
          <cell r="AD7944">
            <v>149000</v>
          </cell>
        </row>
        <row r="7945">
          <cell r="W7945" t="str">
            <v>QMELO13</v>
          </cell>
          <cell r="AD7945">
            <v>149000</v>
          </cell>
        </row>
        <row r="7946">
          <cell r="W7946" t="str">
            <v>QMELO13</v>
          </cell>
          <cell r="AD7946">
            <v>149000</v>
          </cell>
        </row>
        <row r="7947">
          <cell r="W7947" t="str">
            <v>QMELO13</v>
          </cell>
          <cell r="AD7947">
            <v>149000</v>
          </cell>
        </row>
        <row r="7948">
          <cell r="W7948" t="str">
            <v>QMELO13</v>
          </cell>
          <cell r="AD7948">
            <v>149000</v>
          </cell>
        </row>
        <row r="7949">
          <cell r="W7949" t="str">
            <v>QMELO13</v>
          </cell>
          <cell r="AD7949">
            <v>149000</v>
          </cell>
        </row>
        <row r="7950">
          <cell r="W7950" t="str">
            <v>QMELO13</v>
          </cell>
          <cell r="AD7950">
            <v>152000</v>
          </cell>
        </row>
        <row r="7951">
          <cell r="W7951" t="str">
            <v>QMELO13</v>
          </cell>
          <cell r="AD7951">
            <v>152000</v>
          </cell>
        </row>
        <row r="7952">
          <cell r="W7952" t="str">
            <v>QMELO13</v>
          </cell>
          <cell r="AD7952">
            <v>152000</v>
          </cell>
        </row>
        <row r="7953">
          <cell r="W7953" t="str">
            <v>QMELO13</v>
          </cell>
          <cell r="AD7953">
            <v>152000</v>
          </cell>
        </row>
        <row r="7954">
          <cell r="W7954" t="str">
            <v>QMELO13</v>
          </cell>
          <cell r="AD7954">
            <v>152000</v>
          </cell>
        </row>
        <row r="7955">
          <cell r="W7955" t="str">
            <v>QMELO13</v>
          </cell>
          <cell r="AD7955">
            <v>170000</v>
          </cell>
        </row>
        <row r="7956">
          <cell r="W7956" t="str">
            <v>QMELO13</v>
          </cell>
          <cell r="AD7956">
            <v>170000</v>
          </cell>
        </row>
        <row r="7957">
          <cell r="W7957" t="str">
            <v>QMELO13</v>
          </cell>
          <cell r="AD7957">
            <v>170000</v>
          </cell>
        </row>
        <row r="7958">
          <cell r="W7958" t="str">
            <v>QMELO13</v>
          </cell>
          <cell r="AD7958">
            <v>175000</v>
          </cell>
        </row>
        <row r="7959">
          <cell r="W7959" t="str">
            <v>QMELO13</v>
          </cell>
          <cell r="AD7959">
            <v>175000</v>
          </cell>
        </row>
        <row r="7960">
          <cell r="W7960" t="str">
            <v>QMELO13</v>
          </cell>
          <cell r="AD7960">
            <v>175000</v>
          </cell>
        </row>
        <row r="7961">
          <cell r="W7961" t="str">
            <v>QMELO13</v>
          </cell>
          <cell r="AD7961">
            <v>175000</v>
          </cell>
        </row>
        <row r="7962">
          <cell r="W7962" t="str">
            <v>QMELO06</v>
          </cell>
          <cell r="AD7962">
            <v>164000</v>
          </cell>
        </row>
        <row r="7963">
          <cell r="W7963" t="str">
            <v>QMELO06</v>
          </cell>
          <cell r="AD7963">
            <v>166000</v>
          </cell>
        </row>
        <row r="7964">
          <cell r="W7964" t="str">
            <v>QMELO06</v>
          </cell>
          <cell r="AD7964">
            <v>170000</v>
          </cell>
        </row>
        <row r="7965">
          <cell r="W7965" t="str">
            <v>QMELO06</v>
          </cell>
          <cell r="AD7965">
            <v>170000</v>
          </cell>
        </row>
        <row r="7966">
          <cell r="W7966" t="str">
            <v>QMELO06</v>
          </cell>
          <cell r="AD7966">
            <v>170000</v>
          </cell>
        </row>
        <row r="7967">
          <cell r="W7967" t="str">
            <v>QMELO06</v>
          </cell>
          <cell r="AD7967">
            <v>180000</v>
          </cell>
        </row>
        <row r="7968">
          <cell r="W7968" t="str">
            <v>QMELO06</v>
          </cell>
          <cell r="AD7968">
            <v>185000</v>
          </cell>
        </row>
        <row r="7969">
          <cell r="W7969" t="str">
            <v>QMESI03</v>
          </cell>
          <cell r="AD7969">
            <v>175000</v>
          </cell>
        </row>
        <row r="7970">
          <cell r="W7970" t="str">
            <v>QMESI03</v>
          </cell>
          <cell r="AD7970">
            <v>190000</v>
          </cell>
        </row>
        <row r="7971">
          <cell r="W7971" t="str">
            <v>QMESI01</v>
          </cell>
          <cell r="AD7971">
            <v>175000</v>
          </cell>
        </row>
        <row r="7972">
          <cell r="W7972" t="str">
            <v>QMESI01</v>
          </cell>
          <cell r="AD7972">
            <v>175000</v>
          </cell>
        </row>
        <row r="7973">
          <cell r="W7973" t="str">
            <v>QMESI01</v>
          </cell>
          <cell r="AD7973">
            <v>175000</v>
          </cell>
        </row>
        <row r="7974">
          <cell r="W7974" t="str">
            <v>QMESI01</v>
          </cell>
          <cell r="AD7974">
            <v>185000</v>
          </cell>
        </row>
        <row r="7975">
          <cell r="W7975" t="str">
            <v>QMESI01</v>
          </cell>
          <cell r="AD7975">
            <v>185000</v>
          </cell>
        </row>
        <row r="7976">
          <cell r="W7976" t="str">
            <v>QMESI01</v>
          </cell>
          <cell r="AD7976">
            <v>185000</v>
          </cell>
        </row>
        <row r="7977">
          <cell r="W7977" t="str">
            <v>QMESI01</v>
          </cell>
          <cell r="AD7977">
            <v>185000</v>
          </cell>
        </row>
        <row r="7978">
          <cell r="W7978" t="str">
            <v>QMESI01</v>
          </cell>
          <cell r="AD7978">
            <v>190000</v>
          </cell>
        </row>
        <row r="7979">
          <cell r="W7979" t="str">
            <v>QMESI01</v>
          </cell>
          <cell r="AD7979">
            <v>190000</v>
          </cell>
        </row>
        <row r="7980">
          <cell r="W7980" t="str">
            <v>QMESI01</v>
          </cell>
          <cell r="AD7980">
            <v>190000</v>
          </cell>
        </row>
        <row r="7981">
          <cell r="W7981" t="str">
            <v>QMESI01</v>
          </cell>
          <cell r="AD7981">
            <v>190000</v>
          </cell>
        </row>
        <row r="7982">
          <cell r="W7982" t="str">
            <v>QMESI01</v>
          </cell>
          <cell r="AD7982">
            <v>190000</v>
          </cell>
        </row>
        <row r="7983">
          <cell r="W7983" t="str">
            <v>QMESI01</v>
          </cell>
          <cell r="AD7983">
            <v>190000</v>
          </cell>
        </row>
        <row r="7984">
          <cell r="W7984" t="str">
            <v>QMESI01</v>
          </cell>
          <cell r="AD7984">
            <v>190000</v>
          </cell>
        </row>
        <row r="7985">
          <cell r="W7985" t="str">
            <v>QMESI01</v>
          </cell>
          <cell r="AD7985">
            <v>190000</v>
          </cell>
        </row>
        <row r="7986">
          <cell r="W7986" t="str">
            <v>QMESI01</v>
          </cell>
          <cell r="AD7986">
            <v>195000</v>
          </cell>
        </row>
        <row r="7987">
          <cell r="W7987" t="str">
            <v>QMESI01</v>
          </cell>
          <cell r="AD7987">
            <v>195000</v>
          </cell>
        </row>
        <row r="7988">
          <cell r="W7988" t="str">
            <v>QMESI01</v>
          </cell>
          <cell r="AD7988">
            <v>200000</v>
          </cell>
        </row>
        <row r="7989">
          <cell r="W7989" t="str">
            <v>QMESI01</v>
          </cell>
          <cell r="AD7989">
            <v>200000</v>
          </cell>
        </row>
        <row r="7990">
          <cell r="W7990" t="str">
            <v>QMESI01</v>
          </cell>
          <cell r="AD7990">
            <v>200000</v>
          </cell>
        </row>
        <row r="7991">
          <cell r="W7991" t="str">
            <v>QMESI02</v>
          </cell>
          <cell r="AD7991">
            <v>175000</v>
          </cell>
        </row>
        <row r="7992">
          <cell r="W7992" t="str">
            <v>QMESI02</v>
          </cell>
          <cell r="AD7992">
            <v>175000</v>
          </cell>
        </row>
        <row r="7993">
          <cell r="W7993" t="str">
            <v>QMESI02</v>
          </cell>
          <cell r="AD7993">
            <v>175000</v>
          </cell>
        </row>
        <row r="7994">
          <cell r="W7994" t="str">
            <v>QMESI02</v>
          </cell>
          <cell r="AD7994">
            <v>185000</v>
          </cell>
        </row>
        <row r="7995">
          <cell r="W7995" t="str">
            <v>QMESI02</v>
          </cell>
          <cell r="AD7995">
            <v>185000</v>
          </cell>
        </row>
        <row r="7996">
          <cell r="W7996" t="str">
            <v>QMESI02</v>
          </cell>
          <cell r="AD7996">
            <v>185000</v>
          </cell>
        </row>
        <row r="7997">
          <cell r="W7997" t="str">
            <v>QMESI02</v>
          </cell>
          <cell r="AD7997">
            <v>190000</v>
          </cell>
        </row>
        <row r="7998">
          <cell r="W7998" t="str">
            <v>QMESI02</v>
          </cell>
          <cell r="AD7998">
            <v>190000</v>
          </cell>
        </row>
        <row r="7999">
          <cell r="W7999" t="str">
            <v>QMESI02</v>
          </cell>
          <cell r="AD7999">
            <v>190000</v>
          </cell>
        </row>
        <row r="8000">
          <cell r="W8000" t="str">
            <v>QMESI02</v>
          </cell>
          <cell r="AD8000">
            <v>190000</v>
          </cell>
        </row>
        <row r="8001">
          <cell r="W8001" t="str">
            <v>QMESI02</v>
          </cell>
          <cell r="AD8001">
            <v>190000</v>
          </cell>
        </row>
        <row r="8002">
          <cell r="W8002" t="str">
            <v>QMESI02</v>
          </cell>
          <cell r="AD8002">
            <v>190000</v>
          </cell>
        </row>
        <row r="8003">
          <cell r="W8003" t="str">
            <v>QMESI02</v>
          </cell>
          <cell r="AD8003">
            <v>195000</v>
          </cell>
        </row>
        <row r="8004">
          <cell r="W8004" t="str">
            <v>QMESI02</v>
          </cell>
          <cell r="AD8004">
            <v>195000</v>
          </cell>
        </row>
        <row r="8005">
          <cell r="W8005" t="str">
            <v>QMESI02</v>
          </cell>
          <cell r="AD8005">
            <v>195000</v>
          </cell>
        </row>
        <row r="8006">
          <cell r="W8006" t="str">
            <v>QMESI02</v>
          </cell>
          <cell r="AD8006">
            <v>200000</v>
          </cell>
        </row>
        <row r="8007">
          <cell r="W8007" t="str">
            <v>QMESI02</v>
          </cell>
          <cell r="AD8007">
            <v>200000</v>
          </cell>
        </row>
        <row r="8008">
          <cell r="W8008" t="str">
            <v>QMETA09</v>
          </cell>
          <cell r="AD8008">
            <v>18000</v>
          </cell>
        </row>
        <row r="8009">
          <cell r="W8009" t="str">
            <v>QMETA09</v>
          </cell>
          <cell r="AD8009">
            <v>18000</v>
          </cell>
        </row>
        <row r="8010">
          <cell r="W8010" t="str">
            <v>QMETA09</v>
          </cell>
          <cell r="AD8010">
            <v>18000</v>
          </cell>
        </row>
        <row r="8011">
          <cell r="W8011" t="str">
            <v>QMETA09</v>
          </cell>
          <cell r="AD8011">
            <v>18000</v>
          </cell>
        </row>
        <row r="8012">
          <cell r="W8012" t="str">
            <v>QMETA09</v>
          </cell>
          <cell r="AD8012">
            <v>18000</v>
          </cell>
        </row>
        <row r="8013">
          <cell r="W8013" t="str">
            <v>QMETA09</v>
          </cell>
          <cell r="AD8013">
            <v>18500</v>
          </cell>
        </row>
        <row r="8014">
          <cell r="W8014" t="str">
            <v>QMETA09</v>
          </cell>
          <cell r="AD8014">
            <v>19500</v>
          </cell>
        </row>
        <row r="8015">
          <cell r="W8015" t="str">
            <v>QMETA09</v>
          </cell>
          <cell r="AD8015">
            <v>19500</v>
          </cell>
        </row>
        <row r="8016">
          <cell r="W8016" t="str">
            <v>QMETA09</v>
          </cell>
          <cell r="AD8016">
            <v>20500</v>
          </cell>
        </row>
        <row r="8017">
          <cell r="W8017" t="str">
            <v>QMETA09</v>
          </cell>
          <cell r="AD8017">
            <v>20500</v>
          </cell>
        </row>
        <row r="8018">
          <cell r="W8018" t="str">
            <v>QMETA09</v>
          </cell>
          <cell r="AD8018">
            <v>20500</v>
          </cell>
        </row>
        <row r="8019">
          <cell r="W8019" t="str">
            <v>QMETA09</v>
          </cell>
          <cell r="AD8019">
            <v>20500</v>
          </cell>
        </row>
        <row r="8020">
          <cell r="W8020" t="str">
            <v>QMETA09</v>
          </cell>
          <cell r="AD8020">
            <v>20500</v>
          </cell>
        </row>
        <row r="8021">
          <cell r="W8021" t="str">
            <v>QMETA09</v>
          </cell>
          <cell r="AD8021">
            <v>20500</v>
          </cell>
        </row>
        <row r="8022">
          <cell r="W8022" t="str">
            <v>QMETA04</v>
          </cell>
          <cell r="AD8022">
            <v>135000</v>
          </cell>
        </row>
        <row r="8023">
          <cell r="W8023" t="str">
            <v>QMETA04</v>
          </cell>
          <cell r="AD8023">
            <v>135000</v>
          </cell>
        </row>
        <row r="8024">
          <cell r="W8024" t="str">
            <v>QMETA04</v>
          </cell>
          <cell r="AD8024">
            <v>135000</v>
          </cell>
        </row>
        <row r="8025">
          <cell r="W8025" t="str">
            <v>QMETA04</v>
          </cell>
          <cell r="AD8025">
            <v>135000</v>
          </cell>
        </row>
        <row r="8026">
          <cell r="W8026" t="str">
            <v>QMETA04</v>
          </cell>
          <cell r="AD8026">
            <v>135000</v>
          </cell>
        </row>
        <row r="8027">
          <cell r="W8027" t="str">
            <v>QMETA04</v>
          </cell>
          <cell r="AD8027">
            <v>135000</v>
          </cell>
        </row>
        <row r="8028">
          <cell r="W8028" t="str">
            <v>QMETA04</v>
          </cell>
          <cell r="AD8028">
            <v>155000</v>
          </cell>
        </row>
        <row r="8029">
          <cell r="W8029" t="str">
            <v>QMETA03</v>
          </cell>
          <cell r="AD8029">
            <v>69500</v>
          </cell>
        </row>
        <row r="8030">
          <cell r="W8030" t="str">
            <v>QMETA03</v>
          </cell>
          <cell r="AD8030">
            <v>69500</v>
          </cell>
        </row>
        <row r="8031">
          <cell r="W8031" t="str">
            <v>QMETA03</v>
          </cell>
          <cell r="AD8031">
            <v>69500</v>
          </cell>
        </row>
        <row r="8032">
          <cell r="W8032" t="str">
            <v>QMETA03</v>
          </cell>
          <cell r="AD8032">
            <v>69500</v>
          </cell>
        </row>
        <row r="8033">
          <cell r="W8033" t="str">
            <v>QMETA03</v>
          </cell>
          <cell r="AD8033">
            <v>69500</v>
          </cell>
        </row>
        <row r="8034">
          <cell r="W8034" t="str">
            <v>QMETA03</v>
          </cell>
          <cell r="AD8034">
            <v>69500</v>
          </cell>
        </row>
        <row r="8035">
          <cell r="W8035" t="str">
            <v>QMETA03</v>
          </cell>
          <cell r="AD8035">
            <v>69500</v>
          </cell>
        </row>
        <row r="8036">
          <cell r="W8036" t="str">
            <v>QMETA03</v>
          </cell>
          <cell r="AD8036">
            <v>69500</v>
          </cell>
        </row>
        <row r="8037">
          <cell r="W8037" t="str">
            <v>QMETA03</v>
          </cell>
          <cell r="AD8037">
            <v>69500</v>
          </cell>
        </row>
        <row r="8038">
          <cell r="W8038" t="str">
            <v>QMETA03</v>
          </cell>
          <cell r="AD8038">
            <v>69500</v>
          </cell>
        </row>
        <row r="8039">
          <cell r="W8039" t="str">
            <v>QMETA03</v>
          </cell>
          <cell r="AD8039">
            <v>69500</v>
          </cell>
        </row>
        <row r="8040">
          <cell r="W8040" t="str">
            <v>QMETA03</v>
          </cell>
          <cell r="AD8040">
            <v>69500</v>
          </cell>
        </row>
        <row r="8041">
          <cell r="W8041" t="str">
            <v>QMETA03</v>
          </cell>
          <cell r="AD8041">
            <v>69500</v>
          </cell>
        </row>
        <row r="8042">
          <cell r="W8042" t="str">
            <v>QMETA03</v>
          </cell>
          <cell r="AD8042">
            <v>69500</v>
          </cell>
        </row>
        <row r="8043">
          <cell r="W8043" t="str">
            <v>QMETA03</v>
          </cell>
          <cell r="AD8043">
            <v>70000</v>
          </cell>
        </row>
        <row r="8044">
          <cell r="W8044" t="str">
            <v>QMETA03</v>
          </cell>
          <cell r="AD8044">
            <v>72500</v>
          </cell>
        </row>
        <row r="8045">
          <cell r="W8045" t="str">
            <v>QMETA07</v>
          </cell>
          <cell r="AD8045">
            <v>40250</v>
          </cell>
        </row>
        <row r="8046">
          <cell r="W8046" t="str">
            <v>QMETA07</v>
          </cell>
          <cell r="AD8046">
            <v>41000</v>
          </cell>
        </row>
        <row r="8047">
          <cell r="W8047" t="str">
            <v>QMETA07</v>
          </cell>
          <cell r="AD8047">
            <v>41000</v>
          </cell>
        </row>
        <row r="8048">
          <cell r="W8048" t="str">
            <v>QMETA07</v>
          </cell>
          <cell r="AD8048">
            <v>41000</v>
          </cell>
        </row>
        <row r="8049">
          <cell r="W8049" t="str">
            <v>QMETA07</v>
          </cell>
          <cell r="AD8049">
            <v>41000</v>
          </cell>
        </row>
        <row r="8050">
          <cell r="W8050" t="str">
            <v>QMETA07</v>
          </cell>
          <cell r="AD8050">
            <v>41000</v>
          </cell>
        </row>
        <row r="8051">
          <cell r="W8051" t="str">
            <v>QMETA07</v>
          </cell>
          <cell r="AD8051">
            <v>41000</v>
          </cell>
        </row>
        <row r="8052">
          <cell r="W8052" t="str">
            <v>QMETA07</v>
          </cell>
          <cell r="AD8052">
            <v>41500</v>
          </cell>
        </row>
        <row r="8053">
          <cell r="W8053" t="str">
            <v>QMETA07</v>
          </cell>
          <cell r="AD8053">
            <v>41500</v>
          </cell>
        </row>
        <row r="8054">
          <cell r="W8054" t="str">
            <v>QMETA07</v>
          </cell>
          <cell r="AD8054">
            <v>41500</v>
          </cell>
        </row>
        <row r="8055">
          <cell r="W8055" t="str">
            <v>QMETA08</v>
          </cell>
          <cell r="AD8055">
            <v>11000</v>
          </cell>
        </row>
        <row r="8056">
          <cell r="W8056" t="str">
            <v>QMETA08</v>
          </cell>
          <cell r="AD8056">
            <v>11000</v>
          </cell>
        </row>
        <row r="8057">
          <cell r="W8057" t="str">
            <v>QMETA08</v>
          </cell>
          <cell r="AD8057">
            <v>11000</v>
          </cell>
        </row>
        <row r="8058">
          <cell r="W8058" t="str">
            <v>QMETI03</v>
          </cell>
          <cell r="AD8058">
            <v>14950</v>
          </cell>
        </row>
        <row r="8059">
          <cell r="W8059" t="str">
            <v>QMETI03</v>
          </cell>
          <cell r="AD8059">
            <v>14950</v>
          </cell>
        </row>
        <row r="8060">
          <cell r="W8060" t="str">
            <v>QMETI03</v>
          </cell>
          <cell r="AD8060">
            <v>15000</v>
          </cell>
        </row>
        <row r="8061">
          <cell r="W8061" t="str">
            <v>QMETI03</v>
          </cell>
          <cell r="AD8061">
            <v>15000</v>
          </cell>
        </row>
        <row r="8062">
          <cell r="W8062" t="str">
            <v>QMETI03</v>
          </cell>
          <cell r="AD8062">
            <v>15000</v>
          </cell>
        </row>
        <row r="8063">
          <cell r="W8063" t="str">
            <v>QMETI03</v>
          </cell>
          <cell r="AD8063">
            <v>15000</v>
          </cell>
        </row>
        <row r="8064">
          <cell r="W8064" t="str">
            <v>QMETI03</v>
          </cell>
          <cell r="AD8064">
            <v>15000</v>
          </cell>
        </row>
        <row r="8065">
          <cell r="W8065" t="str">
            <v>QMETI03</v>
          </cell>
          <cell r="AD8065">
            <v>15750</v>
          </cell>
        </row>
        <row r="8066">
          <cell r="W8066" t="str">
            <v>QMETI05</v>
          </cell>
          <cell r="AD8066">
            <v>35250</v>
          </cell>
        </row>
        <row r="8067">
          <cell r="W8067" t="str">
            <v>QMETI05</v>
          </cell>
          <cell r="AD8067">
            <v>36000</v>
          </cell>
        </row>
        <row r="8068">
          <cell r="W8068" t="str">
            <v>QMETI05</v>
          </cell>
          <cell r="AD8068">
            <v>36000</v>
          </cell>
        </row>
        <row r="8069">
          <cell r="W8069" t="str">
            <v>QMETI05</v>
          </cell>
          <cell r="AD8069">
            <v>36000</v>
          </cell>
        </row>
        <row r="8070">
          <cell r="W8070" t="str">
            <v>QMETI05</v>
          </cell>
          <cell r="AD8070">
            <v>36000</v>
          </cell>
        </row>
        <row r="8071">
          <cell r="W8071" t="str">
            <v>QMETI05</v>
          </cell>
          <cell r="AD8071">
            <v>36000</v>
          </cell>
        </row>
        <row r="8072">
          <cell r="W8072" t="str">
            <v>QMETI05</v>
          </cell>
          <cell r="AD8072">
            <v>36000</v>
          </cell>
        </row>
        <row r="8073">
          <cell r="W8073" t="str">
            <v>QMETI05</v>
          </cell>
          <cell r="AD8073">
            <v>36000</v>
          </cell>
        </row>
        <row r="8074">
          <cell r="W8074" t="str">
            <v>QMETI05</v>
          </cell>
          <cell r="AD8074">
            <v>36500</v>
          </cell>
        </row>
        <row r="8075">
          <cell r="W8075" t="str">
            <v>QMETI05</v>
          </cell>
          <cell r="AD8075">
            <v>36500</v>
          </cell>
        </row>
        <row r="8076">
          <cell r="W8076" t="str">
            <v>QMETI05</v>
          </cell>
          <cell r="AD8076">
            <v>36500</v>
          </cell>
        </row>
        <row r="8077">
          <cell r="W8077" t="str">
            <v>QMETI05</v>
          </cell>
          <cell r="AD8077">
            <v>36500</v>
          </cell>
        </row>
        <row r="8078">
          <cell r="W8078" t="str">
            <v>QMETI05</v>
          </cell>
          <cell r="AD8078">
            <v>36500</v>
          </cell>
        </row>
        <row r="8079">
          <cell r="W8079" t="str">
            <v>QMETI05</v>
          </cell>
          <cell r="AD8079">
            <v>36500</v>
          </cell>
        </row>
        <row r="8080">
          <cell r="W8080" t="str">
            <v>QMETI05</v>
          </cell>
          <cell r="AD8080">
            <v>36500</v>
          </cell>
        </row>
        <row r="8081">
          <cell r="W8081" t="str">
            <v>QMETI05</v>
          </cell>
          <cell r="AD8081">
            <v>37000</v>
          </cell>
        </row>
        <row r="8082">
          <cell r="W8082" t="str">
            <v>QMETI05</v>
          </cell>
          <cell r="AD8082">
            <v>37000</v>
          </cell>
        </row>
        <row r="8083">
          <cell r="W8083" t="str">
            <v>QMETI05</v>
          </cell>
          <cell r="AD8083">
            <v>37250</v>
          </cell>
        </row>
        <row r="8084">
          <cell r="W8084" t="str">
            <v>QMETI05</v>
          </cell>
          <cell r="AD8084">
            <v>38000</v>
          </cell>
        </row>
        <row r="8085">
          <cell r="W8085" t="str">
            <v>QMETI05</v>
          </cell>
          <cell r="AD8085">
            <v>38000</v>
          </cell>
        </row>
        <row r="8086">
          <cell r="W8086" t="str">
            <v>QMETI06</v>
          </cell>
          <cell r="AD8086">
            <v>67500</v>
          </cell>
        </row>
        <row r="8087">
          <cell r="W8087" t="str">
            <v>QMETI06</v>
          </cell>
          <cell r="AD8087">
            <v>67750</v>
          </cell>
        </row>
        <row r="8088">
          <cell r="W8088" t="str">
            <v>QMETI06</v>
          </cell>
          <cell r="AD8088">
            <v>68000</v>
          </cell>
        </row>
        <row r="8089">
          <cell r="W8089" t="str">
            <v>QMETI06</v>
          </cell>
          <cell r="AD8089">
            <v>68000</v>
          </cell>
        </row>
        <row r="8090">
          <cell r="W8090" t="str">
            <v>QMETI06</v>
          </cell>
          <cell r="AD8090">
            <v>68000</v>
          </cell>
        </row>
        <row r="8091">
          <cell r="W8091" t="str">
            <v>QMETI06</v>
          </cell>
          <cell r="AD8091">
            <v>69200</v>
          </cell>
        </row>
        <row r="8092">
          <cell r="W8092" t="str">
            <v>QMETI06</v>
          </cell>
          <cell r="AD8092">
            <v>69200</v>
          </cell>
        </row>
        <row r="8093">
          <cell r="W8093" t="str">
            <v>QMETI06</v>
          </cell>
          <cell r="AD8093">
            <v>69250</v>
          </cell>
        </row>
        <row r="8094">
          <cell r="W8094" t="str">
            <v>QMETI06</v>
          </cell>
          <cell r="AD8094">
            <v>69250</v>
          </cell>
        </row>
        <row r="8095">
          <cell r="W8095" t="str">
            <v>QMETI06</v>
          </cell>
          <cell r="AD8095">
            <v>69250</v>
          </cell>
        </row>
        <row r="8096">
          <cell r="W8096" t="str">
            <v>QMETI06</v>
          </cell>
          <cell r="AD8096">
            <v>69500</v>
          </cell>
        </row>
        <row r="8097">
          <cell r="W8097" t="str">
            <v>QMETI06</v>
          </cell>
          <cell r="AD8097">
            <v>69500</v>
          </cell>
        </row>
        <row r="8098">
          <cell r="W8098" t="str">
            <v>QMETI06</v>
          </cell>
          <cell r="AD8098">
            <v>70000</v>
          </cell>
        </row>
        <row r="8099">
          <cell r="W8099" t="str">
            <v>QMETI06</v>
          </cell>
          <cell r="AD8099">
            <v>70000</v>
          </cell>
        </row>
        <row r="8100">
          <cell r="W8100" t="str">
            <v>QMETI06</v>
          </cell>
          <cell r="AD8100">
            <v>70000</v>
          </cell>
        </row>
        <row r="8101">
          <cell r="W8101" t="str">
            <v>QMETI06</v>
          </cell>
          <cell r="AD8101">
            <v>71500</v>
          </cell>
        </row>
        <row r="8102">
          <cell r="W8102" t="str">
            <v>QMETI06</v>
          </cell>
          <cell r="AD8102">
            <v>74000</v>
          </cell>
        </row>
        <row r="8103">
          <cell r="W8103" t="str">
            <v>QMETI06</v>
          </cell>
          <cell r="AD8103">
            <v>75000</v>
          </cell>
        </row>
        <row r="8104">
          <cell r="W8104" t="str">
            <v>QMETI01</v>
          </cell>
          <cell r="AD8104">
            <v>21500</v>
          </cell>
        </row>
        <row r="8105">
          <cell r="W8105" t="str">
            <v>QMETI01</v>
          </cell>
          <cell r="AD8105">
            <v>21500</v>
          </cell>
        </row>
        <row r="8106">
          <cell r="W8106" t="str">
            <v>QMETI01</v>
          </cell>
          <cell r="AD8106">
            <v>21500</v>
          </cell>
        </row>
        <row r="8107">
          <cell r="W8107" t="str">
            <v>QMETI01</v>
          </cell>
          <cell r="AD8107">
            <v>22000</v>
          </cell>
        </row>
        <row r="8108">
          <cell r="W8108" t="str">
            <v>QMETI01</v>
          </cell>
          <cell r="AD8108">
            <v>22000</v>
          </cell>
        </row>
        <row r="8109">
          <cell r="W8109" t="str">
            <v>QMETI01</v>
          </cell>
          <cell r="AD8109">
            <v>22000</v>
          </cell>
        </row>
        <row r="8110">
          <cell r="W8110" t="str">
            <v>QMETI01</v>
          </cell>
          <cell r="AD8110">
            <v>22000</v>
          </cell>
        </row>
        <row r="8111">
          <cell r="W8111" t="str">
            <v>QMETI01</v>
          </cell>
          <cell r="AD8111">
            <v>22000</v>
          </cell>
        </row>
        <row r="8112">
          <cell r="W8112" t="str">
            <v>QMETI01</v>
          </cell>
          <cell r="AD8112">
            <v>22000</v>
          </cell>
        </row>
        <row r="8113">
          <cell r="W8113" t="str">
            <v>QMETI01</v>
          </cell>
          <cell r="AD8113">
            <v>22500</v>
          </cell>
        </row>
        <row r="8114">
          <cell r="W8114" t="str">
            <v>QMETI01</v>
          </cell>
          <cell r="AD8114">
            <v>22500</v>
          </cell>
        </row>
        <row r="8115">
          <cell r="W8115" t="str">
            <v>QMETI01</v>
          </cell>
          <cell r="AD8115">
            <v>22750</v>
          </cell>
        </row>
        <row r="8116">
          <cell r="W8116" t="str">
            <v>QMETI01</v>
          </cell>
          <cell r="AD8116">
            <v>22750</v>
          </cell>
        </row>
        <row r="8117">
          <cell r="W8117" t="str">
            <v>QMETI01</v>
          </cell>
          <cell r="AD8117">
            <v>23000</v>
          </cell>
        </row>
        <row r="8118">
          <cell r="W8118" t="str">
            <v>QMETI01</v>
          </cell>
          <cell r="AD8118">
            <v>23000</v>
          </cell>
        </row>
        <row r="8119">
          <cell r="W8119" t="str">
            <v>QMETI01</v>
          </cell>
          <cell r="AD8119">
            <v>23000</v>
          </cell>
        </row>
        <row r="8120">
          <cell r="W8120" t="str">
            <v>QMETI01</v>
          </cell>
          <cell r="AD8120">
            <v>23000</v>
          </cell>
        </row>
        <row r="8121">
          <cell r="W8121" t="str">
            <v>QMETI01</v>
          </cell>
          <cell r="AD8121">
            <v>23000</v>
          </cell>
        </row>
        <row r="8122">
          <cell r="W8122" t="str">
            <v>QMETI01</v>
          </cell>
          <cell r="AD8122">
            <v>23000</v>
          </cell>
        </row>
        <row r="8123">
          <cell r="W8123" t="str">
            <v>QMETI01</v>
          </cell>
          <cell r="AD8123">
            <v>23000</v>
          </cell>
        </row>
        <row r="8124">
          <cell r="W8124" t="str">
            <v>QMETI01</v>
          </cell>
          <cell r="AD8124">
            <v>23000</v>
          </cell>
        </row>
        <row r="8125">
          <cell r="W8125" t="str">
            <v>QMETI01</v>
          </cell>
          <cell r="AD8125">
            <v>23000</v>
          </cell>
        </row>
        <row r="8126">
          <cell r="W8126" t="str">
            <v>QMETI01</v>
          </cell>
          <cell r="AD8126">
            <v>23000</v>
          </cell>
        </row>
        <row r="8127">
          <cell r="W8127" t="str">
            <v>QMETI01</v>
          </cell>
          <cell r="AD8127">
            <v>23000</v>
          </cell>
        </row>
        <row r="8128">
          <cell r="W8128" t="str">
            <v>QMETI01</v>
          </cell>
          <cell r="AD8128">
            <v>23000</v>
          </cell>
        </row>
        <row r="8129">
          <cell r="W8129" t="str">
            <v>QMETI01</v>
          </cell>
          <cell r="AD8129">
            <v>23000</v>
          </cell>
        </row>
        <row r="8130">
          <cell r="W8130" t="str">
            <v>QMETI01</v>
          </cell>
          <cell r="AD8130">
            <v>23000</v>
          </cell>
        </row>
        <row r="8131">
          <cell r="W8131" t="str">
            <v>QMETI01</v>
          </cell>
          <cell r="AD8131">
            <v>23000</v>
          </cell>
        </row>
        <row r="8132">
          <cell r="W8132" t="str">
            <v>QMETI01</v>
          </cell>
          <cell r="AD8132">
            <v>23000</v>
          </cell>
        </row>
        <row r="8133">
          <cell r="W8133" t="str">
            <v>QMETI01</v>
          </cell>
          <cell r="AD8133">
            <v>23000</v>
          </cell>
        </row>
        <row r="8134">
          <cell r="W8134" t="str">
            <v>QMETI01</v>
          </cell>
          <cell r="AD8134">
            <v>23000</v>
          </cell>
        </row>
        <row r="8135">
          <cell r="W8135" t="str">
            <v>QMETI01</v>
          </cell>
          <cell r="AD8135">
            <v>23000</v>
          </cell>
        </row>
        <row r="8136">
          <cell r="W8136" t="str">
            <v>QMETI01</v>
          </cell>
          <cell r="AD8136">
            <v>23500</v>
          </cell>
        </row>
        <row r="8137">
          <cell r="W8137" t="str">
            <v>QMETI01</v>
          </cell>
          <cell r="AD8137">
            <v>23500</v>
          </cell>
        </row>
        <row r="8138">
          <cell r="W8138" t="str">
            <v>QMETI01</v>
          </cell>
          <cell r="AD8138">
            <v>23500</v>
          </cell>
        </row>
        <row r="8139">
          <cell r="W8139" t="str">
            <v>QMETI01</v>
          </cell>
          <cell r="AD8139">
            <v>24250</v>
          </cell>
        </row>
        <row r="8140">
          <cell r="W8140" t="str">
            <v>QMETI01</v>
          </cell>
          <cell r="AD8140">
            <v>25000</v>
          </cell>
        </row>
        <row r="8141">
          <cell r="W8141" t="str">
            <v>QMETI01</v>
          </cell>
          <cell r="AD8141">
            <v>25000</v>
          </cell>
        </row>
        <row r="8142">
          <cell r="W8142" t="str">
            <v>QMETI01</v>
          </cell>
          <cell r="AD8142">
            <v>25000</v>
          </cell>
        </row>
        <row r="8143">
          <cell r="W8143" t="str">
            <v>QMETI02</v>
          </cell>
          <cell r="AD8143">
            <v>41750</v>
          </cell>
        </row>
        <row r="8144">
          <cell r="W8144" t="str">
            <v>QMETI02</v>
          </cell>
          <cell r="AD8144">
            <v>41750</v>
          </cell>
        </row>
        <row r="8145">
          <cell r="W8145" t="str">
            <v>QMETI02</v>
          </cell>
          <cell r="AD8145">
            <v>42000</v>
          </cell>
        </row>
        <row r="8146">
          <cell r="W8146" t="str">
            <v>QMETI02</v>
          </cell>
          <cell r="AD8146">
            <v>42000</v>
          </cell>
        </row>
        <row r="8147">
          <cell r="W8147" t="str">
            <v>QMETI02</v>
          </cell>
          <cell r="AD8147">
            <v>42000</v>
          </cell>
        </row>
        <row r="8148">
          <cell r="W8148" t="str">
            <v>QMETI02</v>
          </cell>
          <cell r="AD8148">
            <v>42000</v>
          </cell>
        </row>
        <row r="8149">
          <cell r="W8149" t="str">
            <v>QMETI02</v>
          </cell>
          <cell r="AD8149">
            <v>42500</v>
          </cell>
        </row>
        <row r="8150">
          <cell r="W8150" t="str">
            <v>QMETI02</v>
          </cell>
          <cell r="AD8150">
            <v>42500</v>
          </cell>
        </row>
        <row r="8151">
          <cell r="W8151" t="str">
            <v>QMETI02</v>
          </cell>
          <cell r="AD8151">
            <v>42900</v>
          </cell>
        </row>
        <row r="8152">
          <cell r="W8152" t="str">
            <v>QMETI02</v>
          </cell>
          <cell r="AD8152">
            <v>43500</v>
          </cell>
        </row>
        <row r="8153">
          <cell r="W8153" t="str">
            <v>QMETI02</v>
          </cell>
          <cell r="AD8153">
            <v>43500</v>
          </cell>
        </row>
        <row r="8154">
          <cell r="W8154" t="str">
            <v>QMETI02</v>
          </cell>
          <cell r="AD8154">
            <v>43500</v>
          </cell>
        </row>
        <row r="8155">
          <cell r="W8155" t="str">
            <v>QMETI02</v>
          </cell>
          <cell r="AD8155">
            <v>43500</v>
          </cell>
        </row>
        <row r="8156">
          <cell r="W8156" t="str">
            <v>QMETI02</v>
          </cell>
          <cell r="AD8156">
            <v>43500</v>
          </cell>
        </row>
        <row r="8157">
          <cell r="W8157" t="str">
            <v>QMETI02</v>
          </cell>
          <cell r="AD8157">
            <v>43500</v>
          </cell>
        </row>
        <row r="8158">
          <cell r="W8158" t="str">
            <v>QMETI02</v>
          </cell>
          <cell r="AD8158">
            <v>43500</v>
          </cell>
        </row>
        <row r="8159">
          <cell r="W8159" t="str">
            <v>QMETI02</v>
          </cell>
          <cell r="AD8159">
            <v>43500</v>
          </cell>
        </row>
        <row r="8160">
          <cell r="W8160" t="str">
            <v>QMETI02</v>
          </cell>
          <cell r="AD8160">
            <v>43500</v>
          </cell>
        </row>
        <row r="8161">
          <cell r="W8161" t="str">
            <v>QMETI02</v>
          </cell>
          <cell r="AD8161">
            <v>43500</v>
          </cell>
        </row>
        <row r="8162">
          <cell r="W8162" t="str">
            <v>QMETI02</v>
          </cell>
          <cell r="AD8162">
            <v>43500</v>
          </cell>
        </row>
        <row r="8163">
          <cell r="W8163" t="str">
            <v>QMETI02</v>
          </cell>
          <cell r="AD8163">
            <v>43500</v>
          </cell>
        </row>
        <row r="8164">
          <cell r="W8164" t="str">
            <v>QMETI02</v>
          </cell>
          <cell r="AD8164">
            <v>43500</v>
          </cell>
        </row>
        <row r="8165">
          <cell r="W8165" t="str">
            <v>QMETI02</v>
          </cell>
          <cell r="AD8165">
            <v>43500</v>
          </cell>
        </row>
        <row r="8166">
          <cell r="W8166" t="str">
            <v>QMETI02</v>
          </cell>
          <cell r="AD8166">
            <v>43500</v>
          </cell>
        </row>
        <row r="8167">
          <cell r="W8167" t="str">
            <v>QMETI02</v>
          </cell>
          <cell r="AD8167">
            <v>44500</v>
          </cell>
        </row>
        <row r="8168">
          <cell r="W8168" t="str">
            <v>QMETI02</v>
          </cell>
          <cell r="AD8168">
            <v>46000</v>
          </cell>
        </row>
        <row r="8169">
          <cell r="W8169" t="str">
            <v>QMETI02</v>
          </cell>
          <cell r="AD8169">
            <v>46000</v>
          </cell>
        </row>
        <row r="8170">
          <cell r="W8170" t="str">
            <v>QMETI02</v>
          </cell>
          <cell r="AD8170">
            <v>46000</v>
          </cell>
        </row>
        <row r="8171">
          <cell r="W8171" t="str">
            <v>QMETI02</v>
          </cell>
          <cell r="AD8171">
            <v>47500</v>
          </cell>
        </row>
        <row r="8172">
          <cell r="W8172" t="str">
            <v>QMETI02</v>
          </cell>
          <cell r="AD8172">
            <v>48000</v>
          </cell>
        </row>
        <row r="8173">
          <cell r="W8173" t="str">
            <v>QMETI02</v>
          </cell>
          <cell r="AD8173">
            <v>48000</v>
          </cell>
        </row>
        <row r="8174">
          <cell r="W8174" t="str">
            <v>QMETI02</v>
          </cell>
          <cell r="AD8174">
            <v>48500</v>
          </cell>
        </row>
        <row r="8175">
          <cell r="W8175" t="str">
            <v>QMETI07</v>
          </cell>
          <cell r="AD8175">
            <v>81600</v>
          </cell>
        </row>
        <row r="8176">
          <cell r="W8176" t="str">
            <v>QMETI07</v>
          </cell>
          <cell r="AD8176">
            <v>81600</v>
          </cell>
        </row>
        <row r="8177">
          <cell r="W8177" t="str">
            <v>QMETI07</v>
          </cell>
          <cell r="AD8177">
            <v>82000</v>
          </cell>
        </row>
        <row r="8178">
          <cell r="W8178" t="str">
            <v>QMETI07</v>
          </cell>
          <cell r="AD8178">
            <v>84000</v>
          </cell>
        </row>
        <row r="8179">
          <cell r="W8179" t="str">
            <v>QMETI07</v>
          </cell>
          <cell r="AD8179">
            <v>84500</v>
          </cell>
        </row>
        <row r="8180">
          <cell r="W8180" t="str">
            <v>QMETI07</v>
          </cell>
          <cell r="AD8180">
            <v>85000</v>
          </cell>
        </row>
        <row r="8181">
          <cell r="W8181" t="str">
            <v>QMETI07</v>
          </cell>
          <cell r="AD8181">
            <v>85000</v>
          </cell>
        </row>
        <row r="8182">
          <cell r="W8182" t="str">
            <v>QMETI07</v>
          </cell>
          <cell r="AD8182">
            <v>85000</v>
          </cell>
        </row>
        <row r="8183">
          <cell r="W8183" t="str">
            <v>QMETI07</v>
          </cell>
          <cell r="AD8183">
            <v>85000</v>
          </cell>
        </row>
        <row r="8184">
          <cell r="W8184" t="str">
            <v>QMETI07</v>
          </cell>
          <cell r="AD8184">
            <v>85000</v>
          </cell>
        </row>
        <row r="8185">
          <cell r="W8185" t="str">
            <v>QMETI07</v>
          </cell>
          <cell r="AD8185">
            <v>85000</v>
          </cell>
        </row>
        <row r="8186">
          <cell r="W8186" t="str">
            <v>QMETI07</v>
          </cell>
          <cell r="AD8186">
            <v>85000</v>
          </cell>
        </row>
        <row r="8187">
          <cell r="W8187" t="str">
            <v>QMETI07</v>
          </cell>
          <cell r="AD8187">
            <v>85000</v>
          </cell>
        </row>
        <row r="8188">
          <cell r="W8188" t="str">
            <v>QMETI07</v>
          </cell>
          <cell r="AD8188">
            <v>85000</v>
          </cell>
        </row>
        <row r="8189">
          <cell r="W8189" t="str">
            <v>QMETI07</v>
          </cell>
          <cell r="AD8189">
            <v>85000</v>
          </cell>
        </row>
        <row r="8190">
          <cell r="W8190" t="str">
            <v>QMETS01</v>
          </cell>
          <cell r="AD8190">
            <v>7000</v>
          </cell>
        </row>
        <row r="8191">
          <cell r="W8191" t="str">
            <v>QMETS01</v>
          </cell>
          <cell r="AD8191">
            <v>7100</v>
          </cell>
        </row>
        <row r="8192">
          <cell r="W8192" t="str">
            <v>QMETS01</v>
          </cell>
          <cell r="AD8192">
            <v>7250</v>
          </cell>
        </row>
        <row r="8193">
          <cell r="W8193" t="str">
            <v>QMETS01</v>
          </cell>
          <cell r="AD8193">
            <v>7250</v>
          </cell>
        </row>
        <row r="8194">
          <cell r="W8194" t="str">
            <v>QMETS01</v>
          </cell>
          <cell r="AD8194">
            <v>7250</v>
          </cell>
        </row>
        <row r="8195">
          <cell r="W8195" t="str">
            <v>QMETS01</v>
          </cell>
          <cell r="AD8195">
            <v>7250</v>
          </cell>
        </row>
        <row r="8196">
          <cell r="W8196" t="str">
            <v>QMETS01</v>
          </cell>
          <cell r="AD8196">
            <v>7250</v>
          </cell>
        </row>
        <row r="8197">
          <cell r="W8197" t="str">
            <v>QMETS01</v>
          </cell>
          <cell r="AD8197">
            <v>7250</v>
          </cell>
        </row>
        <row r="8198">
          <cell r="W8198" t="str">
            <v>QMETS01</v>
          </cell>
          <cell r="AD8198">
            <v>7250</v>
          </cell>
        </row>
        <row r="8199">
          <cell r="W8199" t="str">
            <v>QMETS01</v>
          </cell>
          <cell r="AD8199">
            <v>7300</v>
          </cell>
        </row>
        <row r="8200">
          <cell r="W8200" t="str">
            <v>QMETS01</v>
          </cell>
          <cell r="AD8200">
            <v>7500</v>
          </cell>
        </row>
        <row r="8201">
          <cell r="W8201" t="str">
            <v>QMETS01</v>
          </cell>
          <cell r="AD8201">
            <v>7500</v>
          </cell>
        </row>
        <row r="8202">
          <cell r="W8202" t="str">
            <v>QMETS01</v>
          </cell>
          <cell r="AD8202">
            <v>7500</v>
          </cell>
        </row>
        <row r="8203">
          <cell r="W8203" t="str">
            <v>QMETS01</v>
          </cell>
          <cell r="AD8203">
            <v>7500</v>
          </cell>
        </row>
        <row r="8204">
          <cell r="W8204" t="str">
            <v>QMETS01</v>
          </cell>
          <cell r="AD8204">
            <v>7500</v>
          </cell>
        </row>
        <row r="8205">
          <cell r="W8205" t="str">
            <v>QMETS01</v>
          </cell>
          <cell r="AD8205">
            <v>7500</v>
          </cell>
        </row>
        <row r="8206">
          <cell r="W8206" t="str">
            <v>QMETS01</v>
          </cell>
          <cell r="AD8206">
            <v>7500</v>
          </cell>
        </row>
        <row r="8207">
          <cell r="W8207" t="str">
            <v>QMETS01</v>
          </cell>
          <cell r="AD8207">
            <v>7500</v>
          </cell>
        </row>
        <row r="8208">
          <cell r="W8208" t="str">
            <v>QMETS01</v>
          </cell>
          <cell r="AD8208">
            <v>7500</v>
          </cell>
        </row>
        <row r="8209">
          <cell r="W8209" t="str">
            <v>QMETS01</v>
          </cell>
          <cell r="AD8209">
            <v>7500</v>
          </cell>
        </row>
        <row r="8210">
          <cell r="W8210" t="str">
            <v>QMETS01</v>
          </cell>
          <cell r="AD8210">
            <v>7500</v>
          </cell>
        </row>
        <row r="8211">
          <cell r="W8211" t="str">
            <v>QMETS01</v>
          </cell>
          <cell r="AD8211">
            <v>7500</v>
          </cell>
        </row>
        <row r="8212">
          <cell r="W8212" t="str">
            <v>QMETS01</v>
          </cell>
          <cell r="AD8212">
            <v>7500</v>
          </cell>
        </row>
        <row r="8213">
          <cell r="W8213" t="str">
            <v>QMETS01</v>
          </cell>
          <cell r="AD8213">
            <v>7500</v>
          </cell>
        </row>
        <row r="8214">
          <cell r="W8214" t="str">
            <v>QMETS01</v>
          </cell>
          <cell r="AD8214">
            <v>7500</v>
          </cell>
        </row>
        <row r="8215">
          <cell r="W8215" t="str">
            <v>QMETS01</v>
          </cell>
          <cell r="AD8215">
            <v>7500</v>
          </cell>
        </row>
        <row r="8216">
          <cell r="W8216" t="str">
            <v>QMETS01</v>
          </cell>
          <cell r="AD8216">
            <v>7500</v>
          </cell>
        </row>
        <row r="8217">
          <cell r="W8217" t="str">
            <v>QMETS01</v>
          </cell>
          <cell r="AD8217">
            <v>7500</v>
          </cell>
        </row>
        <row r="8218">
          <cell r="W8218" t="str">
            <v>QMETS01</v>
          </cell>
          <cell r="AD8218">
            <v>7500</v>
          </cell>
        </row>
        <row r="8219">
          <cell r="W8219" t="str">
            <v>QMETS01</v>
          </cell>
          <cell r="AD8219">
            <v>7500</v>
          </cell>
        </row>
        <row r="8220">
          <cell r="W8220" t="str">
            <v>QMETS01</v>
          </cell>
          <cell r="AD8220">
            <v>7500</v>
          </cell>
        </row>
        <row r="8221">
          <cell r="W8221" t="str">
            <v>QMETS01</v>
          </cell>
          <cell r="AD8221">
            <v>7500</v>
          </cell>
        </row>
        <row r="8222">
          <cell r="W8222" t="str">
            <v>QMETS01</v>
          </cell>
          <cell r="AD8222">
            <v>7500</v>
          </cell>
        </row>
        <row r="8223">
          <cell r="W8223" t="str">
            <v>QMETS01</v>
          </cell>
          <cell r="AD8223">
            <v>7500</v>
          </cell>
        </row>
        <row r="8224">
          <cell r="W8224" t="str">
            <v>QMETS01</v>
          </cell>
          <cell r="AD8224">
            <v>7500</v>
          </cell>
        </row>
        <row r="8225">
          <cell r="W8225" t="str">
            <v>QMETS01</v>
          </cell>
          <cell r="AD8225">
            <v>7500</v>
          </cell>
        </row>
        <row r="8226">
          <cell r="W8226" t="str">
            <v>QMETS01</v>
          </cell>
          <cell r="AD8226">
            <v>7500</v>
          </cell>
        </row>
        <row r="8227">
          <cell r="W8227" t="str">
            <v>QMETS01</v>
          </cell>
          <cell r="AD8227">
            <v>7500</v>
          </cell>
        </row>
        <row r="8228">
          <cell r="W8228" t="str">
            <v>QMETS01</v>
          </cell>
          <cell r="AD8228">
            <v>7500</v>
          </cell>
        </row>
        <row r="8229">
          <cell r="W8229" t="str">
            <v>QMETS01</v>
          </cell>
          <cell r="AD8229">
            <v>7500</v>
          </cell>
        </row>
        <row r="8230">
          <cell r="W8230" t="str">
            <v>QMETS01</v>
          </cell>
          <cell r="AD8230">
            <v>7500</v>
          </cell>
        </row>
        <row r="8231">
          <cell r="W8231" t="str">
            <v>QMETS01</v>
          </cell>
          <cell r="AD8231">
            <v>7500</v>
          </cell>
        </row>
        <row r="8232">
          <cell r="W8232" t="str">
            <v>QMETS01</v>
          </cell>
          <cell r="AD8232">
            <v>7500</v>
          </cell>
        </row>
        <row r="8233">
          <cell r="W8233" t="str">
            <v>QMETS01</v>
          </cell>
          <cell r="AD8233">
            <v>7500</v>
          </cell>
        </row>
        <row r="8234">
          <cell r="W8234" t="str">
            <v>QMETS01</v>
          </cell>
          <cell r="AD8234">
            <v>7500</v>
          </cell>
        </row>
        <row r="8235">
          <cell r="W8235" t="str">
            <v>QMETS01</v>
          </cell>
          <cell r="AD8235">
            <v>7500</v>
          </cell>
        </row>
        <row r="8236">
          <cell r="W8236" t="str">
            <v>QMETS01</v>
          </cell>
          <cell r="AD8236">
            <v>7500</v>
          </cell>
        </row>
        <row r="8237">
          <cell r="W8237" t="str">
            <v>QMETS01</v>
          </cell>
          <cell r="AD8237">
            <v>7500</v>
          </cell>
        </row>
        <row r="8238">
          <cell r="W8238" t="str">
            <v>QMETS01</v>
          </cell>
          <cell r="AD8238">
            <v>7500</v>
          </cell>
        </row>
        <row r="8239">
          <cell r="W8239" t="str">
            <v>QMETS01</v>
          </cell>
          <cell r="AD8239">
            <v>7500</v>
          </cell>
        </row>
        <row r="8240">
          <cell r="W8240" t="str">
            <v>QMETS01</v>
          </cell>
          <cell r="AD8240">
            <v>7500</v>
          </cell>
        </row>
        <row r="8241">
          <cell r="W8241" t="str">
            <v>QMETS01</v>
          </cell>
          <cell r="AD8241">
            <v>7500</v>
          </cell>
        </row>
        <row r="8242">
          <cell r="W8242" t="str">
            <v>QMETS01</v>
          </cell>
          <cell r="AD8242">
            <v>7500</v>
          </cell>
        </row>
        <row r="8243">
          <cell r="W8243" t="str">
            <v>QMETS01</v>
          </cell>
          <cell r="AD8243">
            <v>7500</v>
          </cell>
        </row>
        <row r="8244">
          <cell r="W8244" t="str">
            <v>QMETS01</v>
          </cell>
          <cell r="AD8244">
            <v>7500</v>
          </cell>
        </row>
        <row r="8245">
          <cell r="W8245" t="str">
            <v>QMETS01</v>
          </cell>
          <cell r="AD8245">
            <v>7500</v>
          </cell>
        </row>
        <row r="8246">
          <cell r="W8246" t="str">
            <v>QMETS01</v>
          </cell>
          <cell r="AD8246">
            <v>7500</v>
          </cell>
        </row>
        <row r="8247">
          <cell r="W8247" t="str">
            <v>QMETS01</v>
          </cell>
          <cell r="AD8247">
            <v>7500</v>
          </cell>
        </row>
        <row r="8248">
          <cell r="W8248" t="str">
            <v>QMETS01</v>
          </cell>
          <cell r="AD8248">
            <v>7500</v>
          </cell>
        </row>
        <row r="8249">
          <cell r="W8249" t="str">
            <v>QMETS01</v>
          </cell>
          <cell r="AD8249">
            <v>7500</v>
          </cell>
        </row>
        <row r="8250">
          <cell r="W8250" t="str">
            <v>QMETS01</v>
          </cell>
          <cell r="AD8250">
            <v>7500</v>
          </cell>
        </row>
        <row r="8251">
          <cell r="W8251" t="str">
            <v>QMETS01</v>
          </cell>
          <cell r="AD8251">
            <v>7500</v>
          </cell>
        </row>
        <row r="8252">
          <cell r="W8252" t="str">
            <v>QMETS01</v>
          </cell>
          <cell r="AD8252">
            <v>7500</v>
          </cell>
        </row>
        <row r="8253">
          <cell r="W8253" t="str">
            <v>QMETS01</v>
          </cell>
          <cell r="AD8253">
            <v>7500</v>
          </cell>
        </row>
        <row r="8254">
          <cell r="W8254" t="str">
            <v>QMETS01</v>
          </cell>
          <cell r="AD8254">
            <v>7500</v>
          </cell>
        </row>
        <row r="8255">
          <cell r="W8255" t="str">
            <v>QMETS01</v>
          </cell>
          <cell r="AD8255">
            <v>7500</v>
          </cell>
        </row>
        <row r="8256">
          <cell r="W8256" t="str">
            <v>QMETS01</v>
          </cell>
          <cell r="AD8256">
            <v>7500</v>
          </cell>
        </row>
        <row r="8257">
          <cell r="W8257" t="str">
            <v>QMETS01</v>
          </cell>
          <cell r="AD8257">
            <v>7500</v>
          </cell>
        </row>
        <row r="8258">
          <cell r="W8258" t="str">
            <v>QMETS01</v>
          </cell>
          <cell r="AD8258">
            <v>7500</v>
          </cell>
        </row>
        <row r="8259">
          <cell r="W8259" t="str">
            <v>QMETS01</v>
          </cell>
          <cell r="AD8259">
            <v>7500</v>
          </cell>
        </row>
        <row r="8260">
          <cell r="W8260" t="str">
            <v>QMETS01</v>
          </cell>
          <cell r="AD8260">
            <v>7750</v>
          </cell>
        </row>
        <row r="8261">
          <cell r="W8261" t="str">
            <v>QMETS01</v>
          </cell>
          <cell r="AD8261">
            <v>7750</v>
          </cell>
        </row>
        <row r="8262">
          <cell r="W8262" t="str">
            <v>QMETS01</v>
          </cell>
          <cell r="AD8262">
            <v>7750</v>
          </cell>
        </row>
        <row r="8263">
          <cell r="W8263" t="str">
            <v>QMETS01</v>
          </cell>
          <cell r="AD8263">
            <v>7750</v>
          </cell>
        </row>
        <row r="8264">
          <cell r="W8264" t="str">
            <v>QMETS01</v>
          </cell>
          <cell r="AD8264">
            <v>7800</v>
          </cell>
        </row>
        <row r="8265">
          <cell r="W8265" t="str">
            <v>QMETS01</v>
          </cell>
          <cell r="AD8265">
            <v>7800</v>
          </cell>
        </row>
        <row r="8266">
          <cell r="W8266" t="str">
            <v>QMETS01</v>
          </cell>
          <cell r="AD8266">
            <v>7800</v>
          </cell>
        </row>
        <row r="8267">
          <cell r="W8267" t="str">
            <v>QMETS01</v>
          </cell>
          <cell r="AD8267">
            <v>7850</v>
          </cell>
        </row>
        <row r="8268">
          <cell r="W8268" t="str">
            <v>QMETS01</v>
          </cell>
          <cell r="AD8268">
            <v>7850</v>
          </cell>
        </row>
        <row r="8269">
          <cell r="W8269" t="str">
            <v>QMETS01</v>
          </cell>
          <cell r="AD8269">
            <v>7850</v>
          </cell>
        </row>
        <row r="8270">
          <cell r="W8270" t="str">
            <v>QMETS01</v>
          </cell>
          <cell r="AD8270">
            <v>8000</v>
          </cell>
        </row>
        <row r="8271">
          <cell r="W8271" t="str">
            <v>QMETS01</v>
          </cell>
          <cell r="AD8271">
            <v>8000</v>
          </cell>
        </row>
        <row r="8272">
          <cell r="W8272" t="str">
            <v>QMIRA01</v>
          </cell>
          <cell r="AD8272">
            <v>20500</v>
          </cell>
        </row>
        <row r="8273">
          <cell r="W8273" t="str">
            <v>QMIRA01</v>
          </cell>
          <cell r="AD8273">
            <v>20500</v>
          </cell>
        </row>
        <row r="8274">
          <cell r="W8274" t="str">
            <v>QMIRA01</v>
          </cell>
          <cell r="AD8274">
            <v>20500</v>
          </cell>
        </row>
        <row r="8275">
          <cell r="W8275" t="str">
            <v>QMIRA01</v>
          </cell>
          <cell r="AD8275">
            <v>20500</v>
          </cell>
        </row>
        <row r="8276">
          <cell r="W8276" t="str">
            <v>QMIRA01</v>
          </cell>
          <cell r="AD8276">
            <v>20500</v>
          </cell>
        </row>
        <row r="8277">
          <cell r="W8277" t="str">
            <v>QMIRA01</v>
          </cell>
          <cell r="AD8277">
            <v>20500</v>
          </cell>
        </row>
        <row r="8278">
          <cell r="W8278" t="str">
            <v>QMIRA01</v>
          </cell>
          <cell r="AD8278">
            <v>20500</v>
          </cell>
        </row>
        <row r="8279">
          <cell r="W8279" t="str">
            <v>QMIRA01</v>
          </cell>
          <cell r="AD8279">
            <v>21500</v>
          </cell>
        </row>
        <row r="8280">
          <cell r="W8280" t="str">
            <v>QMIRA01</v>
          </cell>
          <cell r="AD8280">
            <v>21500</v>
          </cell>
        </row>
        <row r="8281">
          <cell r="W8281" t="str">
            <v>QMIRA02</v>
          </cell>
          <cell r="AD8281">
            <v>78000</v>
          </cell>
        </row>
        <row r="8282">
          <cell r="W8282" t="str">
            <v>QMKP01</v>
          </cell>
          <cell r="AD8282">
            <v>30000</v>
          </cell>
        </row>
        <row r="8283">
          <cell r="W8283" t="str">
            <v>QMKP01</v>
          </cell>
          <cell r="AD8283">
            <v>30000</v>
          </cell>
        </row>
        <row r="8284">
          <cell r="W8284" t="str">
            <v>QMKP01</v>
          </cell>
          <cell r="AD8284">
            <v>30000</v>
          </cell>
        </row>
        <row r="8285">
          <cell r="W8285" t="str">
            <v>QMKP01</v>
          </cell>
          <cell r="AD8285">
            <v>30000</v>
          </cell>
        </row>
        <row r="8286">
          <cell r="W8286" t="str">
            <v>QMKP01</v>
          </cell>
          <cell r="AD8286">
            <v>30000</v>
          </cell>
        </row>
        <row r="8287">
          <cell r="W8287" t="str">
            <v>QMKP01</v>
          </cell>
          <cell r="AD8287">
            <v>30000</v>
          </cell>
        </row>
        <row r="8288">
          <cell r="W8288" t="str">
            <v>QMKP01</v>
          </cell>
          <cell r="AD8288">
            <v>30000</v>
          </cell>
        </row>
        <row r="8289">
          <cell r="W8289" t="str">
            <v>QMKP01</v>
          </cell>
          <cell r="AD8289">
            <v>30000</v>
          </cell>
        </row>
        <row r="8290">
          <cell r="W8290" t="str">
            <v>QMKP01</v>
          </cell>
          <cell r="AD8290">
            <v>30000</v>
          </cell>
        </row>
        <row r="8291">
          <cell r="W8291" t="str">
            <v>QMKP01</v>
          </cell>
          <cell r="AD8291">
            <v>30000</v>
          </cell>
        </row>
        <row r="8292">
          <cell r="W8292" t="str">
            <v>QMKP01</v>
          </cell>
          <cell r="AD8292">
            <v>30000</v>
          </cell>
        </row>
        <row r="8293">
          <cell r="W8293" t="str">
            <v>QMKP01</v>
          </cell>
          <cell r="AD8293">
            <v>30000</v>
          </cell>
        </row>
        <row r="8294">
          <cell r="W8294" t="str">
            <v>QMKP01</v>
          </cell>
          <cell r="AD8294">
            <v>30000</v>
          </cell>
        </row>
        <row r="8295">
          <cell r="W8295" t="str">
            <v>QMKP01</v>
          </cell>
          <cell r="AD8295">
            <v>30000</v>
          </cell>
        </row>
        <row r="8296">
          <cell r="W8296" t="str">
            <v>QMKP01</v>
          </cell>
          <cell r="AD8296">
            <v>30000</v>
          </cell>
        </row>
        <row r="8297">
          <cell r="W8297" t="str">
            <v>QMKP01</v>
          </cell>
          <cell r="AD8297">
            <v>30500</v>
          </cell>
        </row>
        <row r="8298">
          <cell r="W8298" t="str">
            <v>QMKP01</v>
          </cell>
          <cell r="AD8298">
            <v>31000</v>
          </cell>
        </row>
        <row r="8299">
          <cell r="W8299" t="str">
            <v>QMKP01</v>
          </cell>
          <cell r="AD8299">
            <v>31000</v>
          </cell>
        </row>
        <row r="8300">
          <cell r="W8300" t="str">
            <v>QMKP01</v>
          </cell>
          <cell r="AD8300">
            <v>31000</v>
          </cell>
        </row>
        <row r="8301">
          <cell r="W8301" t="str">
            <v>QMKP01</v>
          </cell>
          <cell r="AD8301">
            <v>31000</v>
          </cell>
        </row>
        <row r="8302">
          <cell r="W8302" t="str">
            <v>QMKP01</v>
          </cell>
          <cell r="AD8302">
            <v>31000</v>
          </cell>
        </row>
        <row r="8303">
          <cell r="W8303" t="str">
            <v>QMKP01</v>
          </cell>
          <cell r="AD8303">
            <v>31000</v>
          </cell>
        </row>
        <row r="8304">
          <cell r="W8304" t="str">
            <v>QMKP01</v>
          </cell>
          <cell r="AD8304">
            <v>31000</v>
          </cell>
        </row>
        <row r="8305">
          <cell r="W8305" t="str">
            <v>QMKP01</v>
          </cell>
          <cell r="AD8305">
            <v>31000</v>
          </cell>
        </row>
        <row r="8306">
          <cell r="W8306" t="str">
            <v>QMKP01</v>
          </cell>
          <cell r="AD8306">
            <v>31000</v>
          </cell>
        </row>
        <row r="8307">
          <cell r="W8307" t="str">
            <v>QMKP01</v>
          </cell>
          <cell r="AD8307">
            <v>31000</v>
          </cell>
        </row>
        <row r="8308">
          <cell r="W8308" t="str">
            <v>QMKP01</v>
          </cell>
          <cell r="AD8308">
            <v>31000</v>
          </cell>
        </row>
        <row r="8309">
          <cell r="W8309" t="str">
            <v>QMKP01</v>
          </cell>
          <cell r="AD8309">
            <v>31000</v>
          </cell>
        </row>
        <row r="8310">
          <cell r="W8310" t="str">
            <v>QMKP01</v>
          </cell>
          <cell r="AD8310">
            <v>31000</v>
          </cell>
        </row>
        <row r="8311">
          <cell r="W8311" t="str">
            <v>QMKP01</v>
          </cell>
          <cell r="AD8311">
            <v>31000</v>
          </cell>
        </row>
        <row r="8312">
          <cell r="W8312" t="str">
            <v>QMKP01</v>
          </cell>
          <cell r="AD8312">
            <v>31000</v>
          </cell>
        </row>
        <row r="8313">
          <cell r="W8313" t="str">
            <v>QMKP01</v>
          </cell>
          <cell r="AD8313">
            <v>31000</v>
          </cell>
        </row>
        <row r="8314">
          <cell r="W8314" t="str">
            <v>QMKP01</v>
          </cell>
          <cell r="AD8314">
            <v>31000</v>
          </cell>
        </row>
        <row r="8315">
          <cell r="W8315" t="str">
            <v>QMKP01</v>
          </cell>
          <cell r="AD8315">
            <v>31000</v>
          </cell>
        </row>
        <row r="8316">
          <cell r="W8316" t="str">
            <v>QMKP01</v>
          </cell>
          <cell r="AD8316">
            <v>31000</v>
          </cell>
        </row>
        <row r="8317">
          <cell r="W8317" t="str">
            <v>QMKP01</v>
          </cell>
          <cell r="AD8317">
            <v>31000</v>
          </cell>
        </row>
        <row r="8318">
          <cell r="W8318" t="str">
            <v>QMKP01</v>
          </cell>
          <cell r="AD8318">
            <v>31000</v>
          </cell>
        </row>
        <row r="8319">
          <cell r="W8319" t="str">
            <v>QMKP01</v>
          </cell>
          <cell r="AD8319">
            <v>31000</v>
          </cell>
        </row>
        <row r="8320">
          <cell r="W8320" t="str">
            <v>QMKP01</v>
          </cell>
          <cell r="AD8320">
            <v>31000</v>
          </cell>
        </row>
        <row r="8321">
          <cell r="W8321" t="str">
            <v>QMKP01</v>
          </cell>
          <cell r="AD8321">
            <v>31000</v>
          </cell>
        </row>
        <row r="8322">
          <cell r="W8322" t="str">
            <v>QMKP01</v>
          </cell>
          <cell r="AD8322">
            <v>31000</v>
          </cell>
        </row>
        <row r="8323">
          <cell r="W8323" t="str">
            <v>QMKP01</v>
          </cell>
          <cell r="AD8323">
            <v>31000</v>
          </cell>
        </row>
        <row r="8324">
          <cell r="W8324" t="str">
            <v>QMKP01</v>
          </cell>
          <cell r="AD8324">
            <v>31500</v>
          </cell>
        </row>
        <row r="8325">
          <cell r="W8325" t="str">
            <v>QMKP01</v>
          </cell>
          <cell r="AD8325">
            <v>31500</v>
          </cell>
        </row>
        <row r="8326">
          <cell r="W8326" t="str">
            <v>QMKP01</v>
          </cell>
          <cell r="AD8326">
            <v>31500</v>
          </cell>
        </row>
        <row r="8327">
          <cell r="W8327" t="str">
            <v>QMONE06</v>
          </cell>
          <cell r="AD8327">
            <v>51500</v>
          </cell>
        </row>
        <row r="8328">
          <cell r="W8328" t="str">
            <v>QMONE01</v>
          </cell>
          <cell r="AD8328">
            <v>24500</v>
          </cell>
        </row>
        <row r="8329">
          <cell r="W8329" t="str">
            <v>QMONE01</v>
          </cell>
          <cell r="AD8329">
            <v>31000</v>
          </cell>
        </row>
        <row r="8330">
          <cell r="W8330" t="str">
            <v>QMONE01</v>
          </cell>
          <cell r="AD8330">
            <v>31500</v>
          </cell>
        </row>
        <row r="8331">
          <cell r="W8331" t="str">
            <v>QMONE01</v>
          </cell>
          <cell r="AD8331">
            <v>31500</v>
          </cell>
        </row>
        <row r="8332">
          <cell r="W8332" t="str">
            <v>QMONE01</v>
          </cell>
          <cell r="AD8332">
            <v>31500</v>
          </cell>
        </row>
        <row r="8333">
          <cell r="W8333" t="str">
            <v>QMONE01</v>
          </cell>
          <cell r="AD8333">
            <v>31500</v>
          </cell>
        </row>
        <row r="8334">
          <cell r="W8334" t="str">
            <v>QMONE01</v>
          </cell>
          <cell r="AD8334">
            <v>31500</v>
          </cell>
        </row>
        <row r="8335">
          <cell r="W8335" t="str">
            <v>QMONE01</v>
          </cell>
          <cell r="AD8335">
            <v>31500</v>
          </cell>
        </row>
        <row r="8336">
          <cell r="W8336" t="str">
            <v>QMONE07</v>
          </cell>
          <cell r="AD8336">
            <v>13000</v>
          </cell>
        </row>
        <row r="8337">
          <cell r="W8337" t="str">
            <v>QMONE07</v>
          </cell>
          <cell r="AD8337">
            <v>13500</v>
          </cell>
        </row>
        <row r="8338">
          <cell r="W8338" t="str">
            <v>QMONE07</v>
          </cell>
          <cell r="AD8338">
            <v>13500</v>
          </cell>
        </row>
        <row r="8339">
          <cell r="W8339" t="str">
            <v>QMONE07</v>
          </cell>
          <cell r="AD8339">
            <v>13500</v>
          </cell>
        </row>
        <row r="8340">
          <cell r="W8340" t="str">
            <v>QMONE07</v>
          </cell>
          <cell r="AD8340">
            <v>13500</v>
          </cell>
        </row>
        <row r="8341">
          <cell r="W8341" t="str">
            <v>QMONE07</v>
          </cell>
          <cell r="AD8341">
            <v>13500</v>
          </cell>
        </row>
        <row r="8342">
          <cell r="W8342" t="str">
            <v>QMONT03</v>
          </cell>
          <cell r="AD8342">
            <v>215000</v>
          </cell>
        </row>
        <row r="8343">
          <cell r="W8343" t="str">
            <v>QMONT01</v>
          </cell>
          <cell r="AD8343">
            <v>120000</v>
          </cell>
        </row>
        <row r="8344">
          <cell r="W8344" t="str">
            <v>QMONT01</v>
          </cell>
          <cell r="AD8344">
            <v>120000</v>
          </cell>
        </row>
        <row r="8345">
          <cell r="W8345" t="str">
            <v>QMONT01</v>
          </cell>
          <cell r="AD8345">
            <v>120000</v>
          </cell>
        </row>
        <row r="8346">
          <cell r="W8346" t="str">
            <v>QMONT01</v>
          </cell>
          <cell r="AD8346">
            <v>120000</v>
          </cell>
        </row>
        <row r="8347">
          <cell r="W8347" t="str">
            <v>QMONT01</v>
          </cell>
          <cell r="AD8347">
            <v>120000</v>
          </cell>
        </row>
        <row r="8348">
          <cell r="W8348" t="str">
            <v>QMONT01</v>
          </cell>
          <cell r="AD8348">
            <v>120000</v>
          </cell>
        </row>
        <row r="8349">
          <cell r="W8349" t="str">
            <v>QMONT01</v>
          </cell>
          <cell r="AD8349">
            <v>120000</v>
          </cell>
        </row>
        <row r="8350">
          <cell r="W8350" t="str">
            <v>QMOPK03</v>
          </cell>
          <cell r="AD8350">
            <v>285000</v>
          </cell>
        </row>
        <row r="8351">
          <cell r="W8351" t="str">
            <v>QMOPK03</v>
          </cell>
          <cell r="AD8351">
            <v>285000</v>
          </cell>
        </row>
        <row r="8352">
          <cell r="W8352" t="str">
            <v>QMOPK03</v>
          </cell>
          <cell r="AD8352">
            <v>285000</v>
          </cell>
        </row>
        <row r="8353">
          <cell r="W8353" t="str">
            <v>QMOPK03</v>
          </cell>
          <cell r="AD8353">
            <v>285000</v>
          </cell>
        </row>
        <row r="8354">
          <cell r="W8354" t="str">
            <v>QMOPK03</v>
          </cell>
          <cell r="AD8354">
            <v>285000</v>
          </cell>
        </row>
        <row r="8355">
          <cell r="W8355" t="str">
            <v>QMOPK03</v>
          </cell>
          <cell r="AD8355">
            <v>285000</v>
          </cell>
        </row>
        <row r="8356">
          <cell r="W8356" t="str">
            <v>QMOPK03</v>
          </cell>
          <cell r="AD8356">
            <v>285000</v>
          </cell>
        </row>
        <row r="8357">
          <cell r="W8357" t="str">
            <v>QMOPK03</v>
          </cell>
          <cell r="AD8357">
            <v>285000</v>
          </cell>
        </row>
        <row r="8358">
          <cell r="W8358" t="str">
            <v>QMOPK02</v>
          </cell>
          <cell r="AD8358">
            <v>247727.26874999999</v>
          </cell>
        </row>
        <row r="8359">
          <cell r="W8359" t="str">
            <v>QMOSP02</v>
          </cell>
          <cell r="AD8359">
            <v>72500</v>
          </cell>
        </row>
        <row r="8360">
          <cell r="W8360" t="str">
            <v>QMOSP02</v>
          </cell>
          <cell r="AD8360">
            <v>72750</v>
          </cell>
        </row>
        <row r="8361">
          <cell r="W8361" t="str">
            <v>QMOSP02</v>
          </cell>
          <cell r="AD8361">
            <v>72750</v>
          </cell>
        </row>
        <row r="8362">
          <cell r="W8362" t="str">
            <v>QMOSP02</v>
          </cell>
          <cell r="AD8362">
            <v>72850</v>
          </cell>
        </row>
        <row r="8363">
          <cell r="W8363" t="str">
            <v>QMOSP02</v>
          </cell>
          <cell r="AD8363">
            <v>72850</v>
          </cell>
        </row>
        <row r="8364">
          <cell r="W8364" t="str">
            <v>QMOSP02</v>
          </cell>
          <cell r="AD8364">
            <v>73000</v>
          </cell>
        </row>
        <row r="8365">
          <cell r="W8365" t="str">
            <v>QMOSP02</v>
          </cell>
          <cell r="AD8365">
            <v>73000</v>
          </cell>
        </row>
        <row r="8366">
          <cell r="W8366" t="str">
            <v>QMOSP02</v>
          </cell>
          <cell r="AD8366">
            <v>73000</v>
          </cell>
        </row>
        <row r="8367">
          <cell r="W8367" t="str">
            <v>QMOSP02</v>
          </cell>
          <cell r="AD8367">
            <v>73000</v>
          </cell>
        </row>
        <row r="8368">
          <cell r="W8368" t="str">
            <v>QMOSP02</v>
          </cell>
          <cell r="AD8368">
            <v>73000</v>
          </cell>
        </row>
        <row r="8369">
          <cell r="W8369" t="str">
            <v>QMOSP02</v>
          </cell>
          <cell r="AD8369">
            <v>73000</v>
          </cell>
        </row>
        <row r="8370">
          <cell r="W8370" t="str">
            <v>QMOSP02</v>
          </cell>
          <cell r="AD8370">
            <v>73000</v>
          </cell>
        </row>
        <row r="8371">
          <cell r="W8371" t="str">
            <v>QMOSP02</v>
          </cell>
          <cell r="AD8371">
            <v>73000</v>
          </cell>
        </row>
        <row r="8372">
          <cell r="W8372" t="str">
            <v>QMOSP02</v>
          </cell>
          <cell r="AD8372">
            <v>73000</v>
          </cell>
        </row>
        <row r="8373">
          <cell r="W8373" t="str">
            <v>QMOSP02</v>
          </cell>
          <cell r="AD8373">
            <v>73000</v>
          </cell>
        </row>
        <row r="8374">
          <cell r="W8374" t="str">
            <v>QMOSP02</v>
          </cell>
          <cell r="AD8374">
            <v>73000</v>
          </cell>
        </row>
        <row r="8375">
          <cell r="W8375" t="str">
            <v>QMOSP02</v>
          </cell>
          <cell r="AD8375">
            <v>73000</v>
          </cell>
        </row>
        <row r="8376">
          <cell r="W8376" t="str">
            <v>QMOSP02</v>
          </cell>
          <cell r="AD8376">
            <v>73000</v>
          </cell>
        </row>
        <row r="8377">
          <cell r="W8377" t="str">
            <v>QMOSP02</v>
          </cell>
          <cell r="AD8377">
            <v>73000</v>
          </cell>
        </row>
        <row r="8378">
          <cell r="W8378" t="str">
            <v>QMOSP02</v>
          </cell>
          <cell r="AD8378">
            <v>73000</v>
          </cell>
        </row>
        <row r="8379">
          <cell r="W8379" t="str">
            <v>QMOSP02</v>
          </cell>
          <cell r="AD8379">
            <v>73000</v>
          </cell>
        </row>
        <row r="8380">
          <cell r="W8380" t="str">
            <v>QMOSP02</v>
          </cell>
          <cell r="AD8380">
            <v>73000</v>
          </cell>
        </row>
        <row r="8381">
          <cell r="W8381" t="str">
            <v>QMOSP02</v>
          </cell>
          <cell r="AD8381">
            <v>73000</v>
          </cell>
        </row>
        <row r="8382">
          <cell r="W8382" t="str">
            <v>QMOSP02</v>
          </cell>
          <cell r="AD8382">
            <v>73000</v>
          </cell>
        </row>
        <row r="8383">
          <cell r="W8383" t="str">
            <v>QMOSP02</v>
          </cell>
          <cell r="AD8383">
            <v>73000</v>
          </cell>
        </row>
        <row r="8384">
          <cell r="W8384" t="str">
            <v>QMOSP02</v>
          </cell>
          <cell r="AD8384">
            <v>73000</v>
          </cell>
        </row>
        <row r="8385">
          <cell r="W8385" t="str">
            <v>QMOSP02</v>
          </cell>
          <cell r="AD8385">
            <v>73500</v>
          </cell>
        </row>
        <row r="8386">
          <cell r="W8386" t="str">
            <v>QMOVE01</v>
          </cell>
          <cell r="AD8386">
            <v>90500</v>
          </cell>
        </row>
        <row r="8387">
          <cell r="W8387" t="str">
            <v>QMOVE01</v>
          </cell>
          <cell r="AD8387">
            <v>91000</v>
          </cell>
        </row>
        <row r="8388">
          <cell r="W8388" t="str">
            <v>QMOVE01</v>
          </cell>
          <cell r="AD8388">
            <v>91000</v>
          </cell>
        </row>
        <row r="8389">
          <cell r="W8389" t="str">
            <v>QMOVE01</v>
          </cell>
          <cell r="AD8389">
            <v>91000</v>
          </cell>
        </row>
        <row r="8390">
          <cell r="W8390" t="str">
            <v>QMOVE01</v>
          </cell>
          <cell r="AD8390">
            <v>91000</v>
          </cell>
        </row>
        <row r="8391">
          <cell r="W8391" t="str">
            <v>QMOVE01</v>
          </cell>
          <cell r="AD8391">
            <v>91000</v>
          </cell>
        </row>
        <row r="8392">
          <cell r="W8392" t="str">
            <v>QMOVE01</v>
          </cell>
          <cell r="AD8392">
            <v>91000</v>
          </cell>
        </row>
        <row r="8393">
          <cell r="W8393" t="str">
            <v>QMOVE02</v>
          </cell>
          <cell r="AD8393">
            <v>46500</v>
          </cell>
        </row>
        <row r="8394">
          <cell r="W8394" t="str">
            <v>QMOVE02</v>
          </cell>
          <cell r="AD8394">
            <v>47500</v>
          </cell>
        </row>
        <row r="8395">
          <cell r="W8395" t="str">
            <v>QMOVE02</v>
          </cell>
          <cell r="AD8395">
            <v>47500</v>
          </cell>
        </row>
        <row r="8396">
          <cell r="W8396" t="str">
            <v>QMOVE02</v>
          </cell>
          <cell r="AD8396">
            <v>47500</v>
          </cell>
        </row>
        <row r="8397">
          <cell r="W8397" t="str">
            <v>QMULS53</v>
          </cell>
          <cell r="AD8397">
            <v>29000</v>
          </cell>
        </row>
        <row r="8398">
          <cell r="W8398" t="str">
            <v>QMULS53</v>
          </cell>
          <cell r="AD8398">
            <v>29000</v>
          </cell>
        </row>
        <row r="8399">
          <cell r="W8399" t="str">
            <v>QMULS53</v>
          </cell>
          <cell r="AD8399">
            <v>29500</v>
          </cell>
        </row>
        <row r="8400">
          <cell r="W8400" t="str">
            <v>QMULS33</v>
          </cell>
          <cell r="AD8400">
            <v>466364</v>
          </cell>
        </row>
        <row r="8401">
          <cell r="W8401" t="str">
            <v>QMULS33</v>
          </cell>
          <cell r="AD8401">
            <v>576000</v>
          </cell>
        </row>
        <row r="8402">
          <cell r="W8402" t="str">
            <v>QMULS33</v>
          </cell>
          <cell r="AD8402">
            <v>576000</v>
          </cell>
        </row>
        <row r="8403">
          <cell r="W8403" t="str">
            <v>QMULS33</v>
          </cell>
          <cell r="AD8403">
            <v>576000</v>
          </cell>
        </row>
        <row r="8404">
          <cell r="W8404" t="str">
            <v>QMULS33</v>
          </cell>
          <cell r="AD8404">
            <v>580000</v>
          </cell>
        </row>
        <row r="8405">
          <cell r="W8405" t="str">
            <v>QMULS34</v>
          </cell>
          <cell r="AD8405">
            <v>288000</v>
          </cell>
        </row>
        <row r="8406">
          <cell r="W8406" t="str">
            <v>QMULS34</v>
          </cell>
          <cell r="AD8406">
            <v>288000</v>
          </cell>
        </row>
        <row r="8407">
          <cell r="W8407" t="str">
            <v>QMULS34</v>
          </cell>
          <cell r="AD8407">
            <v>288000</v>
          </cell>
        </row>
        <row r="8408">
          <cell r="W8408" t="str">
            <v>QMULS34</v>
          </cell>
          <cell r="AD8408">
            <v>288000</v>
          </cell>
        </row>
        <row r="8409">
          <cell r="W8409" t="str">
            <v>QMULS34</v>
          </cell>
          <cell r="AD8409">
            <v>290000</v>
          </cell>
        </row>
        <row r="8410">
          <cell r="W8410" t="str">
            <v>QMULS34</v>
          </cell>
          <cell r="AD8410">
            <v>290000</v>
          </cell>
        </row>
        <row r="8411">
          <cell r="W8411" t="str">
            <v>QMULS31</v>
          </cell>
          <cell r="AD8411">
            <v>553500</v>
          </cell>
        </row>
        <row r="8412">
          <cell r="W8412" t="str">
            <v>QMULS31</v>
          </cell>
          <cell r="AD8412">
            <v>553500</v>
          </cell>
        </row>
        <row r="8413">
          <cell r="W8413" t="str">
            <v>QMULS31</v>
          </cell>
          <cell r="AD8413">
            <v>553500</v>
          </cell>
        </row>
        <row r="8414">
          <cell r="W8414" t="str">
            <v>QMULS31</v>
          </cell>
          <cell r="AD8414">
            <v>576000</v>
          </cell>
        </row>
        <row r="8415">
          <cell r="W8415" t="str">
            <v>QMULS31</v>
          </cell>
          <cell r="AD8415">
            <v>576000</v>
          </cell>
        </row>
        <row r="8416">
          <cell r="W8416" t="str">
            <v>QMULS31</v>
          </cell>
          <cell r="AD8416">
            <v>576000</v>
          </cell>
        </row>
        <row r="8417">
          <cell r="W8417" t="str">
            <v>QMULS31</v>
          </cell>
          <cell r="AD8417">
            <v>576000</v>
          </cell>
        </row>
        <row r="8418">
          <cell r="W8418" t="str">
            <v>QMULS31</v>
          </cell>
          <cell r="AD8418">
            <v>576000</v>
          </cell>
        </row>
        <row r="8419">
          <cell r="W8419" t="str">
            <v>QMULS31</v>
          </cell>
          <cell r="AD8419">
            <v>576000</v>
          </cell>
        </row>
        <row r="8420">
          <cell r="W8420" t="str">
            <v>QMULS31</v>
          </cell>
          <cell r="AD8420">
            <v>576000</v>
          </cell>
        </row>
        <row r="8421">
          <cell r="W8421" t="str">
            <v>QMULS31</v>
          </cell>
          <cell r="AD8421">
            <v>576000</v>
          </cell>
        </row>
        <row r="8422">
          <cell r="W8422" t="str">
            <v>QMULS31</v>
          </cell>
          <cell r="AD8422">
            <v>580000</v>
          </cell>
        </row>
        <row r="8423">
          <cell r="W8423" t="str">
            <v>QMULS31</v>
          </cell>
          <cell r="AD8423">
            <v>580000</v>
          </cell>
        </row>
        <row r="8424">
          <cell r="W8424" t="str">
            <v>QMULS32</v>
          </cell>
          <cell r="AD8424">
            <v>276750</v>
          </cell>
        </row>
        <row r="8425">
          <cell r="W8425" t="str">
            <v>QMULS32</v>
          </cell>
          <cell r="AD8425">
            <v>276750</v>
          </cell>
        </row>
        <row r="8426">
          <cell r="W8426" t="str">
            <v>QMULS32</v>
          </cell>
          <cell r="AD8426">
            <v>276750</v>
          </cell>
        </row>
        <row r="8427">
          <cell r="W8427" t="str">
            <v>QMULS32</v>
          </cell>
          <cell r="AD8427">
            <v>276750</v>
          </cell>
        </row>
        <row r="8428">
          <cell r="W8428" t="str">
            <v>QMULS32</v>
          </cell>
          <cell r="AD8428">
            <v>288000</v>
          </cell>
        </row>
        <row r="8429">
          <cell r="W8429" t="str">
            <v>QMULS32</v>
          </cell>
          <cell r="AD8429">
            <v>288000</v>
          </cell>
        </row>
        <row r="8430">
          <cell r="W8430" t="str">
            <v>AMULS28</v>
          </cell>
          <cell r="AD8430">
            <v>288000</v>
          </cell>
        </row>
        <row r="8431">
          <cell r="W8431" t="str">
            <v>QMULS32</v>
          </cell>
          <cell r="AD8431">
            <v>292500</v>
          </cell>
        </row>
        <row r="8432">
          <cell r="W8432" t="str">
            <v>QMULS36</v>
          </cell>
          <cell r="AD8432">
            <v>288000</v>
          </cell>
        </row>
        <row r="8433">
          <cell r="W8433" t="str">
            <v>QMULS36</v>
          </cell>
          <cell r="AD8433">
            <v>292500</v>
          </cell>
        </row>
        <row r="8434">
          <cell r="W8434" t="str">
            <v>QMULS49</v>
          </cell>
          <cell r="AD8434">
            <v>288000</v>
          </cell>
        </row>
        <row r="8435">
          <cell r="W8435" t="str">
            <v>QMULS49</v>
          </cell>
          <cell r="AD8435">
            <v>292500</v>
          </cell>
        </row>
        <row r="8436">
          <cell r="W8436" t="str">
            <v>QMULS60</v>
          </cell>
          <cell r="AD8436">
            <v>26500</v>
          </cell>
        </row>
        <row r="8437">
          <cell r="W8437" t="str">
            <v>QMULS60</v>
          </cell>
          <cell r="AD8437">
            <v>27500</v>
          </cell>
        </row>
        <row r="8438">
          <cell r="W8438" t="str">
            <v>QMULS60</v>
          </cell>
          <cell r="AD8438">
            <v>27500</v>
          </cell>
        </row>
        <row r="8439">
          <cell r="W8439" t="str">
            <v>QMULS60</v>
          </cell>
          <cell r="AD8439">
            <v>28500</v>
          </cell>
        </row>
        <row r="8440">
          <cell r="W8440" t="str">
            <v>QMULS60</v>
          </cell>
          <cell r="AD8440">
            <v>28500</v>
          </cell>
        </row>
        <row r="8441">
          <cell r="W8441" t="str">
            <v>QMULS60</v>
          </cell>
          <cell r="AD8441">
            <v>28500</v>
          </cell>
        </row>
        <row r="8442">
          <cell r="W8442" t="str">
            <v>QMULS60</v>
          </cell>
          <cell r="AD8442">
            <v>30000</v>
          </cell>
        </row>
        <row r="8443">
          <cell r="W8443" t="str">
            <v>QMULS61</v>
          </cell>
          <cell r="AD8443">
            <v>27500</v>
          </cell>
        </row>
        <row r="8444">
          <cell r="W8444" t="str">
            <v>QMULS61</v>
          </cell>
          <cell r="AD8444">
            <v>27500</v>
          </cell>
        </row>
        <row r="8445">
          <cell r="W8445" t="str">
            <v>QMULS61</v>
          </cell>
          <cell r="AD8445">
            <v>28500</v>
          </cell>
        </row>
        <row r="8446">
          <cell r="W8446" t="str">
            <v>QMULS62</v>
          </cell>
          <cell r="AD8446">
            <v>27500</v>
          </cell>
        </row>
        <row r="8447">
          <cell r="W8447" t="str">
            <v>QMULS62</v>
          </cell>
          <cell r="AD8447">
            <v>27500</v>
          </cell>
        </row>
        <row r="8448">
          <cell r="W8448" t="str">
            <v>QMULS62</v>
          </cell>
          <cell r="AD8448">
            <v>28500</v>
          </cell>
        </row>
        <row r="8449">
          <cell r="W8449" t="str">
            <v>QMULS62</v>
          </cell>
          <cell r="AD8449">
            <v>28500</v>
          </cell>
        </row>
        <row r="8450">
          <cell r="W8450" t="str">
            <v>QMULS01</v>
          </cell>
          <cell r="AD8450">
            <v>26363.64</v>
          </cell>
        </row>
        <row r="8451">
          <cell r="W8451" t="str">
            <v>QMULS03</v>
          </cell>
          <cell r="AD8451">
            <v>27272.730909000002</v>
          </cell>
        </row>
        <row r="8452">
          <cell r="W8452" t="str">
            <v>QMULS02</v>
          </cell>
          <cell r="AD8452">
            <v>26919.191111100001</v>
          </cell>
        </row>
        <row r="8453">
          <cell r="W8453" t="str">
            <v>QMULS24</v>
          </cell>
          <cell r="AD8453">
            <v>286000</v>
          </cell>
        </row>
        <row r="8454">
          <cell r="W8454" t="str">
            <v>QMULS24</v>
          </cell>
          <cell r="AD8454">
            <v>288275</v>
          </cell>
        </row>
        <row r="8455">
          <cell r="W8455" t="str">
            <v>QMULS24</v>
          </cell>
          <cell r="AD8455">
            <v>306010</v>
          </cell>
        </row>
        <row r="8456">
          <cell r="W8456" t="str">
            <v>QMULS20</v>
          </cell>
          <cell r="AD8456">
            <v>552500</v>
          </cell>
        </row>
        <row r="8457">
          <cell r="W8457" t="str">
            <v>QMULS20</v>
          </cell>
          <cell r="AD8457">
            <v>556400</v>
          </cell>
        </row>
        <row r="8458">
          <cell r="W8458" t="str">
            <v>QMULS20</v>
          </cell>
          <cell r="AD8458">
            <v>559541.66666660004</v>
          </cell>
        </row>
        <row r="8459">
          <cell r="W8459" t="str">
            <v>QMULS20</v>
          </cell>
          <cell r="AD8459">
            <v>561275</v>
          </cell>
        </row>
        <row r="8460">
          <cell r="W8460" t="str">
            <v>QMULS20</v>
          </cell>
          <cell r="AD8460">
            <v>564200</v>
          </cell>
        </row>
        <row r="8461">
          <cell r="W8461" t="str">
            <v>QMULS22</v>
          </cell>
          <cell r="AD8461">
            <v>280800</v>
          </cell>
        </row>
        <row r="8462">
          <cell r="W8462" t="str">
            <v>QMULS22</v>
          </cell>
          <cell r="AD8462">
            <v>280800</v>
          </cell>
        </row>
        <row r="8463">
          <cell r="W8463" t="str">
            <v>QMULS22</v>
          </cell>
          <cell r="AD8463">
            <v>282750</v>
          </cell>
        </row>
        <row r="8464">
          <cell r="W8464" t="str">
            <v>QMULS22</v>
          </cell>
          <cell r="AD8464">
            <v>283400</v>
          </cell>
        </row>
        <row r="8465">
          <cell r="W8465" t="str">
            <v>QMULS22</v>
          </cell>
          <cell r="AD8465">
            <v>284375</v>
          </cell>
        </row>
        <row r="8466">
          <cell r="W8466" t="str">
            <v>QMULS22</v>
          </cell>
          <cell r="AD8466">
            <v>310980</v>
          </cell>
        </row>
        <row r="8467">
          <cell r="W8467" t="str">
            <v>QMULS22</v>
          </cell>
          <cell r="AD8467">
            <v>311690</v>
          </cell>
        </row>
        <row r="8468">
          <cell r="W8468" t="str">
            <v>QMULS21</v>
          </cell>
          <cell r="AD8468">
            <v>556855</v>
          </cell>
        </row>
        <row r="8469">
          <cell r="W8469" t="str">
            <v>QMULS21</v>
          </cell>
          <cell r="AD8469">
            <v>559000</v>
          </cell>
        </row>
        <row r="8470">
          <cell r="W8470" t="str">
            <v>QMULS21</v>
          </cell>
          <cell r="AD8470">
            <v>559195</v>
          </cell>
        </row>
        <row r="8471">
          <cell r="W8471" t="str">
            <v>QMULS21</v>
          </cell>
          <cell r="AD8471">
            <v>559206.34920599998</v>
          </cell>
        </row>
        <row r="8472">
          <cell r="W8472" t="str">
            <v>QMULS21</v>
          </cell>
          <cell r="AD8472">
            <v>563225</v>
          </cell>
        </row>
        <row r="8473">
          <cell r="W8473" t="str">
            <v>QMULS21</v>
          </cell>
          <cell r="AD8473">
            <v>611310</v>
          </cell>
        </row>
        <row r="8474">
          <cell r="W8474" t="str">
            <v>QMULS10</v>
          </cell>
          <cell r="AD8474">
            <v>567000</v>
          </cell>
        </row>
        <row r="8475">
          <cell r="W8475" t="str">
            <v>QMULS41</v>
          </cell>
          <cell r="AD8475">
            <v>585000</v>
          </cell>
        </row>
        <row r="8476">
          <cell r="W8476" t="str">
            <v>QMULS42</v>
          </cell>
          <cell r="AD8476">
            <v>256000</v>
          </cell>
        </row>
        <row r="8477">
          <cell r="W8477" t="str">
            <v>QMULS08</v>
          </cell>
          <cell r="AD8477">
            <v>233181.82</v>
          </cell>
        </row>
        <row r="8478">
          <cell r="W8478" t="str">
            <v>QMULS08</v>
          </cell>
          <cell r="AD8478">
            <v>283500</v>
          </cell>
        </row>
        <row r="8479">
          <cell r="W8479" t="str">
            <v>QMULS08</v>
          </cell>
          <cell r="AD8479">
            <v>292500</v>
          </cell>
        </row>
        <row r="8480">
          <cell r="W8480" t="str">
            <v>QMULS46</v>
          </cell>
          <cell r="AD8480">
            <v>288000</v>
          </cell>
        </row>
        <row r="8481">
          <cell r="W8481" t="str">
            <v>AMULS30</v>
          </cell>
          <cell r="AD8481">
            <v>288000</v>
          </cell>
        </row>
        <row r="8482">
          <cell r="W8482" t="str">
            <v>AMULS30</v>
          </cell>
          <cell r="AD8482">
            <v>288000</v>
          </cell>
        </row>
        <row r="8483">
          <cell r="W8483" t="str">
            <v>QMULS68</v>
          </cell>
          <cell r="AD8483">
            <v>567000</v>
          </cell>
        </row>
        <row r="8484">
          <cell r="W8484" t="str">
            <v>QMULS68</v>
          </cell>
          <cell r="AD8484">
            <v>580000</v>
          </cell>
        </row>
        <row r="8485">
          <cell r="W8485" t="str">
            <v>QMULS68</v>
          </cell>
          <cell r="AD8485">
            <v>580000</v>
          </cell>
        </row>
        <row r="8486">
          <cell r="W8486" t="str">
            <v>QMULS68</v>
          </cell>
          <cell r="AD8486">
            <v>585000</v>
          </cell>
        </row>
        <row r="8487">
          <cell r="W8487" t="str">
            <v>QMULS68</v>
          </cell>
          <cell r="AD8487">
            <v>585000</v>
          </cell>
        </row>
        <row r="8488">
          <cell r="W8488" t="str">
            <v>QMULS68</v>
          </cell>
          <cell r="AD8488">
            <v>585000</v>
          </cell>
        </row>
        <row r="8489">
          <cell r="W8489" t="str">
            <v>QMULS69</v>
          </cell>
          <cell r="AD8489">
            <v>288000</v>
          </cell>
        </row>
        <row r="8490">
          <cell r="W8490" t="str">
            <v>QMULS67</v>
          </cell>
          <cell r="AD8490">
            <v>567000</v>
          </cell>
        </row>
        <row r="8491">
          <cell r="W8491" t="str">
            <v>QMULS67</v>
          </cell>
          <cell r="AD8491">
            <v>567000</v>
          </cell>
        </row>
        <row r="8492">
          <cell r="W8492" t="str">
            <v>QMULS67</v>
          </cell>
          <cell r="AD8492">
            <v>567000</v>
          </cell>
        </row>
        <row r="8493">
          <cell r="W8493" t="str">
            <v>QMULS67</v>
          </cell>
          <cell r="AD8493">
            <v>567000</v>
          </cell>
        </row>
        <row r="8494">
          <cell r="W8494" t="str">
            <v>QMULS67</v>
          </cell>
          <cell r="AD8494">
            <v>576000</v>
          </cell>
        </row>
        <row r="8495">
          <cell r="W8495" t="str">
            <v>QMULS67</v>
          </cell>
          <cell r="AD8495">
            <v>576000</v>
          </cell>
        </row>
        <row r="8496">
          <cell r="W8496" t="str">
            <v>QMULS67</v>
          </cell>
          <cell r="AD8496">
            <v>576000</v>
          </cell>
        </row>
        <row r="8497">
          <cell r="W8497" t="str">
            <v>QMULS67</v>
          </cell>
          <cell r="AD8497">
            <v>576000</v>
          </cell>
        </row>
        <row r="8498">
          <cell r="W8498" t="str">
            <v>QMULS67</v>
          </cell>
          <cell r="AD8498">
            <v>585000</v>
          </cell>
        </row>
        <row r="8499">
          <cell r="W8499" t="str">
            <v>QMULS67</v>
          </cell>
          <cell r="AD8499">
            <v>585000</v>
          </cell>
        </row>
        <row r="8500">
          <cell r="W8500" t="str">
            <v>QMULS66</v>
          </cell>
          <cell r="AD8500">
            <v>283500</v>
          </cell>
        </row>
        <row r="8501">
          <cell r="W8501" t="str">
            <v>QMULS66</v>
          </cell>
          <cell r="AD8501">
            <v>283500</v>
          </cell>
        </row>
        <row r="8502">
          <cell r="W8502" t="str">
            <v>QMULS66</v>
          </cell>
          <cell r="AD8502">
            <v>283500</v>
          </cell>
        </row>
        <row r="8503">
          <cell r="W8503" t="str">
            <v>QMULS66</v>
          </cell>
          <cell r="AD8503">
            <v>288000</v>
          </cell>
        </row>
        <row r="8504">
          <cell r="W8504" t="str">
            <v>QMULS66</v>
          </cell>
          <cell r="AD8504">
            <v>288000</v>
          </cell>
        </row>
        <row r="8505">
          <cell r="W8505" t="str">
            <v>QMULS66</v>
          </cell>
          <cell r="AD8505">
            <v>288000</v>
          </cell>
        </row>
        <row r="8506">
          <cell r="W8506" t="str">
            <v>QMULS70</v>
          </cell>
          <cell r="AD8506">
            <v>576000</v>
          </cell>
        </row>
        <row r="8507">
          <cell r="W8507" t="str">
            <v>QMULS58</v>
          </cell>
          <cell r="AD8507">
            <v>567000</v>
          </cell>
        </row>
        <row r="8508">
          <cell r="W8508" t="str">
            <v>QMULS59</v>
          </cell>
          <cell r="AD8508">
            <v>233181.82</v>
          </cell>
        </row>
        <row r="8509">
          <cell r="W8509" t="str">
            <v>QMULS59</v>
          </cell>
          <cell r="AD8509">
            <v>283500</v>
          </cell>
        </row>
        <row r="8510">
          <cell r="W8510" t="str">
            <v>QMULT01</v>
          </cell>
          <cell r="AD8510">
            <v>29000</v>
          </cell>
        </row>
        <row r="8511">
          <cell r="W8511" t="str">
            <v>QMULT01</v>
          </cell>
          <cell r="AD8511">
            <v>29000</v>
          </cell>
        </row>
        <row r="8512">
          <cell r="W8512" t="str">
            <v>QMULT03</v>
          </cell>
          <cell r="AD8512">
            <v>33500</v>
          </cell>
        </row>
        <row r="8513">
          <cell r="W8513" t="str">
            <v>QMULT03</v>
          </cell>
          <cell r="AD8513">
            <v>34000</v>
          </cell>
        </row>
        <row r="8514">
          <cell r="W8514" t="str">
            <v>QNATI02</v>
          </cell>
          <cell r="AD8514">
            <v>53000</v>
          </cell>
        </row>
        <row r="8515">
          <cell r="W8515" t="str">
            <v>QNATI02</v>
          </cell>
          <cell r="AD8515">
            <v>54000</v>
          </cell>
        </row>
        <row r="8516">
          <cell r="W8516" t="str">
            <v>QNATI02</v>
          </cell>
          <cell r="AD8516">
            <v>54000</v>
          </cell>
        </row>
        <row r="8517">
          <cell r="W8517" t="str">
            <v>QNATI02</v>
          </cell>
          <cell r="AD8517">
            <v>54000</v>
          </cell>
        </row>
        <row r="8518">
          <cell r="W8518" t="str">
            <v>QNATI02</v>
          </cell>
          <cell r="AD8518">
            <v>54500</v>
          </cell>
        </row>
        <row r="8519">
          <cell r="W8519" t="str">
            <v>QNATI02</v>
          </cell>
          <cell r="AD8519">
            <v>54500</v>
          </cell>
        </row>
        <row r="8520">
          <cell r="W8520" t="str">
            <v>QNATI02</v>
          </cell>
          <cell r="AD8520">
            <v>55000</v>
          </cell>
        </row>
        <row r="8521">
          <cell r="W8521" t="str">
            <v>QNATI02</v>
          </cell>
          <cell r="AD8521">
            <v>56500</v>
          </cell>
        </row>
        <row r="8522">
          <cell r="W8522" t="str">
            <v>QNATI02</v>
          </cell>
          <cell r="AD8522">
            <v>56500</v>
          </cell>
        </row>
        <row r="8523">
          <cell r="W8523" t="str">
            <v>QNATI02</v>
          </cell>
          <cell r="AD8523">
            <v>56500</v>
          </cell>
        </row>
        <row r="8524">
          <cell r="W8524" t="str">
            <v>QNATI02</v>
          </cell>
          <cell r="AD8524">
            <v>56500</v>
          </cell>
        </row>
        <row r="8525">
          <cell r="W8525" t="str">
            <v>QNATI02</v>
          </cell>
          <cell r="AD8525">
            <v>56500</v>
          </cell>
        </row>
        <row r="8526">
          <cell r="W8526" t="str">
            <v>QNATI02</v>
          </cell>
          <cell r="AD8526">
            <v>56500</v>
          </cell>
        </row>
        <row r="8527">
          <cell r="W8527" t="str">
            <v>QNATI02</v>
          </cell>
          <cell r="AD8527">
            <v>56500</v>
          </cell>
        </row>
        <row r="8528">
          <cell r="W8528" t="str">
            <v>QNATI02</v>
          </cell>
          <cell r="AD8528">
            <v>56500</v>
          </cell>
        </row>
        <row r="8529">
          <cell r="W8529" t="str">
            <v>QNATI02</v>
          </cell>
          <cell r="AD8529">
            <v>56500</v>
          </cell>
        </row>
        <row r="8530">
          <cell r="W8530" t="str">
            <v>QNATI02</v>
          </cell>
          <cell r="AD8530">
            <v>56500</v>
          </cell>
        </row>
        <row r="8531">
          <cell r="W8531" t="str">
            <v>QNATI02</v>
          </cell>
          <cell r="AD8531">
            <v>56500</v>
          </cell>
        </row>
        <row r="8532">
          <cell r="W8532" t="str">
            <v>QNATI02</v>
          </cell>
          <cell r="AD8532">
            <v>56500</v>
          </cell>
        </row>
        <row r="8533">
          <cell r="W8533" t="str">
            <v>QNATI02</v>
          </cell>
          <cell r="AD8533">
            <v>56500</v>
          </cell>
        </row>
        <row r="8534">
          <cell r="W8534" t="str">
            <v>QNATI02</v>
          </cell>
          <cell r="AD8534">
            <v>56500</v>
          </cell>
        </row>
        <row r="8535">
          <cell r="W8535" t="str">
            <v>QNATI02</v>
          </cell>
          <cell r="AD8535">
            <v>60000</v>
          </cell>
        </row>
        <row r="8536">
          <cell r="W8536" t="str">
            <v>QNEOC02</v>
          </cell>
          <cell r="AD8536">
            <v>78000</v>
          </cell>
        </row>
        <row r="8537">
          <cell r="W8537" t="str">
            <v>QNEOC02</v>
          </cell>
          <cell r="AD8537">
            <v>78000</v>
          </cell>
        </row>
        <row r="8538">
          <cell r="W8538" t="str">
            <v>QNEOC02</v>
          </cell>
          <cell r="AD8538">
            <v>81000</v>
          </cell>
        </row>
        <row r="8539">
          <cell r="W8539" t="str">
            <v>QNEOC02</v>
          </cell>
          <cell r="AD8539">
            <v>81000</v>
          </cell>
        </row>
        <row r="8540">
          <cell r="W8540" t="str">
            <v>QNEOC02</v>
          </cell>
          <cell r="AD8540">
            <v>81000</v>
          </cell>
        </row>
        <row r="8541">
          <cell r="W8541" t="str">
            <v>QNEOC02</v>
          </cell>
          <cell r="AD8541">
            <v>81000</v>
          </cell>
        </row>
        <row r="8542">
          <cell r="W8542" t="str">
            <v>QNEOC02</v>
          </cell>
          <cell r="AD8542">
            <v>81000</v>
          </cell>
        </row>
        <row r="8543">
          <cell r="W8543" t="str">
            <v>QNEOC02</v>
          </cell>
          <cell r="AD8543">
            <v>81000</v>
          </cell>
        </row>
        <row r="8544">
          <cell r="W8544" t="str">
            <v>QNEOC02</v>
          </cell>
          <cell r="AD8544">
            <v>81000</v>
          </cell>
        </row>
        <row r="8545">
          <cell r="W8545" t="str">
            <v>QNEOC02</v>
          </cell>
          <cell r="AD8545">
            <v>81000</v>
          </cell>
        </row>
        <row r="8546">
          <cell r="W8546" t="str">
            <v>QNEOC02</v>
          </cell>
          <cell r="AD8546">
            <v>81000</v>
          </cell>
        </row>
        <row r="8547">
          <cell r="W8547" t="str">
            <v>QNEOC02</v>
          </cell>
          <cell r="AD8547">
            <v>81000</v>
          </cell>
        </row>
        <row r="8548">
          <cell r="W8548" t="str">
            <v>QNEOC02</v>
          </cell>
          <cell r="AD8548">
            <v>81000</v>
          </cell>
        </row>
        <row r="8549">
          <cell r="W8549" t="str">
            <v>QNEOC02</v>
          </cell>
          <cell r="AD8549">
            <v>81500</v>
          </cell>
        </row>
        <row r="8550">
          <cell r="W8550" t="str">
            <v>QNEOC02</v>
          </cell>
          <cell r="AD8550">
            <v>81500</v>
          </cell>
        </row>
        <row r="8551">
          <cell r="W8551" t="str">
            <v>QNEOC02</v>
          </cell>
          <cell r="AD8551">
            <v>82000</v>
          </cell>
        </row>
        <row r="8552">
          <cell r="W8552" t="str">
            <v>QNEOC02</v>
          </cell>
          <cell r="AD8552">
            <v>82500</v>
          </cell>
        </row>
        <row r="8553">
          <cell r="W8553" t="str">
            <v>QNEOC01</v>
          </cell>
          <cell r="AD8553">
            <v>140000</v>
          </cell>
        </row>
        <row r="8554">
          <cell r="W8554" t="str">
            <v>QNEOC01</v>
          </cell>
          <cell r="AD8554">
            <v>150000</v>
          </cell>
        </row>
        <row r="8555">
          <cell r="W8555" t="str">
            <v>QNEOC01</v>
          </cell>
          <cell r="AD8555">
            <v>150000</v>
          </cell>
        </row>
        <row r="8556">
          <cell r="W8556" t="str">
            <v>QNEOC01</v>
          </cell>
          <cell r="AD8556">
            <v>150000</v>
          </cell>
        </row>
        <row r="8557">
          <cell r="W8557" t="str">
            <v>QNEOC01</v>
          </cell>
          <cell r="AD8557">
            <v>150000</v>
          </cell>
        </row>
        <row r="8558">
          <cell r="W8558" t="str">
            <v>QNEOC01</v>
          </cell>
          <cell r="AD8558">
            <v>150000</v>
          </cell>
        </row>
        <row r="8559">
          <cell r="W8559" t="str">
            <v>QNEOC01</v>
          </cell>
          <cell r="AD8559">
            <v>150000</v>
          </cell>
        </row>
        <row r="8560">
          <cell r="W8560" t="str">
            <v>QNEOC01</v>
          </cell>
          <cell r="AD8560">
            <v>150000</v>
          </cell>
        </row>
        <row r="8561">
          <cell r="W8561" t="str">
            <v>QNEOC01</v>
          </cell>
          <cell r="AD8561">
            <v>150000</v>
          </cell>
        </row>
        <row r="8562">
          <cell r="W8562" t="str">
            <v>QNEOC01</v>
          </cell>
          <cell r="AD8562">
            <v>150000</v>
          </cell>
        </row>
        <row r="8563">
          <cell r="W8563" t="str">
            <v>QNEOC01</v>
          </cell>
          <cell r="AD8563">
            <v>150000</v>
          </cell>
        </row>
        <row r="8564">
          <cell r="W8564" t="str">
            <v>QNEOC01</v>
          </cell>
          <cell r="AD8564">
            <v>150000</v>
          </cell>
        </row>
        <row r="8565">
          <cell r="W8565" t="str">
            <v>QNEOC01</v>
          </cell>
          <cell r="AD8565">
            <v>150000</v>
          </cell>
        </row>
        <row r="8566">
          <cell r="W8566" t="str">
            <v>QNEOC01</v>
          </cell>
          <cell r="AD8566">
            <v>150000</v>
          </cell>
        </row>
        <row r="8567">
          <cell r="W8567" t="str">
            <v>QNEOC01</v>
          </cell>
          <cell r="AD8567">
            <v>150000</v>
          </cell>
        </row>
        <row r="8568">
          <cell r="W8568" t="str">
            <v>QNEOC01</v>
          </cell>
          <cell r="AD8568">
            <v>150000</v>
          </cell>
        </row>
        <row r="8569">
          <cell r="W8569" t="str">
            <v>QNEOC01</v>
          </cell>
          <cell r="AD8569">
            <v>150000</v>
          </cell>
        </row>
        <row r="8570">
          <cell r="W8570" t="str">
            <v>QNEOC01</v>
          </cell>
          <cell r="AD8570">
            <v>150000</v>
          </cell>
        </row>
        <row r="8571">
          <cell r="W8571" t="str">
            <v>QNEPT01</v>
          </cell>
          <cell r="AD8571">
            <v>11500</v>
          </cell>
        </row>
        <row r="8572">
          <cell r="W8572" t="str">
            <v>QNEPT01</v>
          </cell>
          <cell r="AD8572">
            <v>11500</v>
          </cell>
        </row>
        <row r="8573">
          <cell r="W8573" t="str">
            <v>QNEPT01</v>
          </cell>
          <cell r="AD8573">
            <v>11500</v>
          </cell>
        </row>
        <row r="8574">
          <cell r="W8574" t="str">
            <v>QNEPT01</v>
          </cell>
          <cell r="AD8574">
            <v>11500</v>
          </cell>
        </row>
        <row r="8575">
          <cell r="W8575" t="str">
            <v>QNEPT01</v>
          </cell>
          <cell r="AD8575">
            <v>11500</v>
          </cell>
        </row>
        <row r="8576">
          <cell r="W8576" t="str">
            <v>QNESH01</v>
          </cell>
          <cell r="AD8576">
            <v>35000</v>
          </cell>
        </row>
        <row r="8577">
          <cell r="W8577" t="str">
            <v>QNITR02</v>
          </cell>
          <cell r="AD8577">
            <v>146250</v>
          </cell>
        </row>
        <row r="8578">
          <cell r="W8578" t="str">
            <v>QNITR01</v>
          </cell>
          <cell r="AD8578">
            <v>29250</v>
          </cell>
        </row>
        <row r="8579">
          <cell r="W8579" t="str">
            <v>QNITR01</v>
          </cell>
          <cell r="AD8579">
            <v>29250</v>
          </cell>
        </row>
        <row r="8580">
          <cell r="W8580" t="str">
            <v>QNITR01</v>
          </cell>
          <cell r="AD8580">
            <v>30000</v>
          </cell>
        </row>
        <row r="8581">
          <cell r="W8581" t="str">
            <v>QNITR01</v>
          </cell>
          <cell r="AD8581">
            <v>30000</v>
          </cell>
        </row>
        <row r="8582">
          <cell r="W8582" t="str">
            <v>QNITR01</v>
          </cell>
          <cell r="AD8582">
            <v>30000</v>
          </cell>
        </row>
        <row r="8583">
          <cell r="W8583" t="str">
            <v>QNITR01</v>
          </cell>
          <cell r="AD8583">
            <v>30000</v>
          </cell>
        </row>
        <row r="8584">
          <cell r="W8584" t="str">
            <v>QNITR01</v>
          </cell>
          <cell r="AD8584">
            <v>30000</v>
          </cell>
        </row>
        <row r="8585">
          <cell r="W8585" t="str">
            <v>QNITR01</v>
          </cell>
          <cell r="AD8585">
            <v>30000</v>
          </cell>
        </row>
        <row r="8586">
          <cell r="W8586" t="str">
            <v>QNITR01</v>
          </cell>
          <cell r="AD8586">
            <v>30000</v>
          </cell>
        </row>
        <row r="8587">
          <cell r="W8587" t="str">
            <v>QNITR01</v>
          </cell>
          <cell r="AD8587">
            <v>30000</v>
          </cell>
        </row>
        <row r="8588">
          <cell r="W8588" t="str">
            <v>QNITR01</v>
          </cell>
          <cell r="AD8588">
            <v>30000</v>
          </cell>
        </row>
        <row r="8589">
          <cell r="W8589" t="str">
            <v>QNITR01</v>
          </cell>
          <cell r="AD8589">
            <v>30000</v>
          </cell>
        </row>
        <row r="8590">
          <cell r="W8590" t="str">
            <v>QNITR01</v>
          </cell>
          <cell r="AD8590">
            <v>30000</v>
          </cell>
        </row>
        <row r="8591">
          <cell r="W8591" t="str">
            <v>QNITR01</v>
          </cell>
          <cell r="AD8591">
            <v>30000</v>
          </cell>
        </row>
        <row r="8592">
          <cell r="W8592" t="str">
            <v>QNITR01</v>
          </cell>
          <cell r="AD8592">
            <v>30000</v>
          </cell>
        </row>
        <row r="8593">
          <cell r="W8593" t="str">
            <v>QNITR01</v>
          </cell>
          <cell r="AD8593">
            <v>30000</v>
          </cell>
        </row>
        <row r="8594">
          <cell r="W8594" t="str">
            <v>QNITR01</v>
          </cell>
          <cell r="AD8594">
            <v>30000</v>
          </cell>
        </row>
        <row r="8595">
          <cell r="W8595" t="str">
            <v>QNITR01</v>
          </cell>
          <cell r="AD8595">
            <v>30000</v>
          </cell>
        </row>
        <row r="8596">
          <cell r="W8596" t="str">
            <v>QNITR01</v>
          </cell>
          <cell r="AD8596">
            <v>30000</v>
          </cell>
        </row>
        <row r="8597">
          <cell r="W8597" t="str">
            <v>QNITR01</v>
          </cell>
          <cell r="AD8597">
            <v>30000</v>
          </cell>
        </row>
        <row r="8598">
          <cell r="W8598" t="str">
            <v>QNITR01</v>
          </cell>
          <cell r="AD8598">
            <v>30000</v>
          </cell>
        </row>
        <row r="8599">
          <cell r="W8599" t="str">
            <v>QNITR01</v>
          </cell>
          <cell r="AD8599">
            <v>30000</v>
          </cell>
        </row>
        <row r="8600">
          <cell r="W8600" t="str">
            <v>QNOST01</v>
          </cell>
          <cell r="AD8600">
            <v>78000</v>
          </cell>
        </row>
        <row r="8601">
          <cell r="W8601" t="str">
            <v>QNOST01</v>
          </cell>
          <cell r="AD8601">
            <v>79000</v>
          </cell>
        </row>
        <row r="8602">
          <cell r="W8602" t="str">
            <v>QNOST01</v>
          </cell>
          <cell r="AD8602">
            <v>79000</v>
          </cell>
        </row>
        <row r="8603">
          <cell r="W8603" t="str">
            <v>QNOST01</v>
          </cell>
          <cell r="AD8603">
            <v>79000</v>
          </cell>
        </row>
        <row r="8604">
          <cell r="W8604" t="str">
            <v>QNOST01</v>
          </cell>
          <cell r="AD8604">
            <v>79000</v>
          </cell>
        </row>
        <row r="8605">
          <cell r="W8605" t="str">
            <v>QNOST01</v>
          </cell>
          <cell r="AD8605">
            <v>79000</v>
          </cell>
        </row>
        <row r="8606">
          <cell r="W8606" t="str">
            <v>QNOST01</v>
          </cell>
          <cell r="AD8606">
            <v>79000</v>
          </cell>
        </row>
        <row r="8607">
          <cell r="W8607" t="str">
            <v>QNOST01</v>
          </cell>
          <cell r="AD8607">
            <v>79000</v>
          </cell>
        </row>
        <row r="8608">
          <cell r="W8608" t="str">
            <v>QNOST01</v>
          </cell>
          <cell r="AD8608">
            <v>79000</v>
          </cell>
        </row>
        <row r="8609">
          <cell r="W8609" t="str">
            <v>QNOST01</v>
          </cell>
          <cell r="AD8609">
            <v>79000</v>
          </cell>
        </row>
        <row r="8610">
          <cell r="W8610" t="str">
            <v>QNOST01</v>
          </cell>
          <cell r="AD8610">
            <v>79000</v>
          </cell>
        </row>
        <row r="8611">
          <cell r="W8611" t="str">
            <v>QNOST01</v>
          </cell>
          <cell r="AD8611">
            <v>79000</v>
          </cell>
        </row>
        <row r="8612">
          <cell r="W8612" t="str">
            <v>QNOST01</v>
          </cell>
          <cell r="AD8612">
            <v>79000</v>
          </cell>
        </row>
        <row r="8613">
          <cell r="W8613" t="str">
            <v>QNOST01</v>
          </cell>
          <cell r="AD8613">
            <v>79000</v>
          </cell>
        </row>
        <row r="8614">
          <cell r="W8614" t="str">
            <v>QNOST01</v>
          </cell>
          <cell r="AD8614">
            <v>79000</v>
          </cell>
        </row>
        <row r="8615">
          <cell r="W8615" t="str">
            <v>QNOST01</v>
          </cell>
          <cell r="AD8615">
            <v>79000</v>
          </cell>
        </row>
        <row r="8616">
          <cell r="W8616" t="str">
            <v>ANOST01</v>
          </cell>
          <cell r="AD8616">
            <v>79000</v>
          </cell>
        </row>
        <row r="8617">
          <cell r="W8617" t="str">
            <v>QNOST01</v>
          </cell>
          <cell r="AD8617">
            <v>79000</v>
          </cell>
        </row>
        <row r="8618">
          <cell r="W8618" t="str">
            <v>QNOST01</v>
          </cell>
          <cell r="AD8618">
            <v>79000</v>
          </cell>
        </row>
        <row r="8619">
          <cell r="W8619" t="str">
            <v>QNOST01</v>
          </cell>
          <cell r="AD8619">
            <v>79000</v>
          </cell>
        </row>
        <row r="8620">
          <cell r="W8620" t="str">
            <v>QNOST02</v>
          </cell>
          <cell r="AD8620">
            <v>41500</v>
          </cell>
        </row>
        <row r="8621">
          <cell r="W8621" t="str">
            <v>QNOST02</v>
          </cell>
          <cell r="AD8621">
            <v>41500</v>
          </cell>
        </row>
        <row r="8622">
          <cell r="W8622" t="str">
            <v>QNOST02</v>
          </cell>
          <cell r="AD8622">
            <v>41500</v>
          </cell>
        </row>
        <row r="8623">
          <cell r="W8623" t="str">
            <v>QNOST02</v>
          </cell>
          <cell r="AD8623">
            <v>41500</v>
          </cell>
        </row>
        <row r="8624">
          <cell r="W8624" t="str">
            <v>QNOST02</v>
          </cell>
          <cell r="AD8624">
            <v>41500</v>
          </cell>
        </row>
        <row r="8625">
          <cell r="W8625" t="str">
            <v>QNOST02</v>
          </cell>
          <cell r="AD8625">
            <v>41500</v>
          </cell>
        </row>
        <row r="8626">
          <cell r="W8626" t="str">
            <v>QNOST02</v>
          </cell>
          <cell r="AD8626">
            <v>41500</v>
          </cell>
        </row>
        <row r="8627">
          <cell r="W8627" t="str">
            <v>QNOST02</v>
          </cell>
          <cell r="AD8627">
            <v>41500</v>
          </cell>
        </row>
        <row r="8628">
          <cell r="W8628" t="str">
            <v>QNOST02</v>
          </cell>
          <cell r="AD8628">
            <v>41500</v>
          </cell>
        </row>
        <row r="8629">
          <cell r="W8629" t="str">
            <v>QNOST02</v>
          </cell>
          <cell r="AD8629">
            <v>41500</v>
          </cell>
        </row>
        <row r="8630">
          <cell r="W8630" t="str">
            <v>QNOST02</v>
          </cell>
          <cell r="AD8630">
            <v>41500</v>
          </cell>
        </row>
        <row r="8631">
          <cell r="W8631" t="str">
            <v>QNOST02</v>
          </cell>
          <cell r="AD8631">
            <v>41500</v>
          </cell>
        </row>
        <row r="8632">
          <cell r="W8632" t="str">
            <v>QNOST02</v>
          </cell>
          <cell r="AD8632">
            <v>41500</v>
          </cell>
        </row>
        <row r="8633">
          <cell r="W8633" t="str">
            <v>QNOST02</v>
          </cell>
          <cell r="AD8633">
            <v>41500</v>
          </cell>
        </row>
        <row r="8634">
          <cell r="W8634" t="str">
            <v>QNOST02</v>
          </cell>
          <cell r="AD8634">
            <v>41500</v>
          </cell>
        </row>
        <row r="8635">
          <cell r="W8635" t="str">
            <v>QNOST02</v>
          </cell>
          <cell r="AD8635">
            <v>41500</v>
          </cell>
        </row>
        <row r="8636">
          <cell r="W8636" t="str">
            <v>QNOST02</v>
          </cell>
          <cell r="AD8636">
            <v>41500</v>
          </cell>
        </row>
        <row r="8637">
          <cell r="W8637" t="str">
            <v>QNOST02</v>
          </cell>
          <cell r="AD8637">
            <v>41500</v>
          </cell>
        </row>
        <row r="8638">
          <cell r="W8638" t="str">
            <v>QNOST02</v>
          </cell>
          <cell r="AD8638">
            <v>41500</v>
          </cell>
        </row>
        <row r="8639">
          <cell r="W8639" t="str">
            <v>QNOST02</v>
          </cell>
          <cell r="AD8639">
            <v>41500</v>
          </cell>
        </row>
        <row r="8640">
          <cell r="W8640" t="str">
            <v>QNOST02</v>
          </cell>
          <cell r="AD8640">
            <v>41500</v>
          </cell>
        </row>
        <row r="8641">
          <cell r="W8641" t="str">
            <v>QNOST02</v>
          </cell>
          <cell r="AD8641">
            <v>41500</v>
          </cell>
        </row>
        <row r="8642">
          <cell r="W8642" t="str">
            <v>QNOST02</v>
          </cell>
          <cell r="AD8642">
            <v>41500</v>
          </cell>
        </row>
        <row r="8643">
          <cell r="W8643" t="str">
            <v>QNOST02</v>
          </cell>
          <cell r="AD8643">
            <v>41500</v>
          </cell>
        </row>
        <row r="8644">
          <cell r="W8644" t="str">
            <v>QNOST02</v>
          </cell>
          <cell r="AD8644">
            <v>41500</v>
          </cell>
        </row>
        <row r="8645">
          <cell r="W8645" t="str">
            <v>QNOST03</v>
          </cell>
          <cell r="AD8645">
            <v>18000</v>
          </cell>
        </row>
        <row r="8646">
          <cell r="W8646" t="str">
            <v>QNOST03</v>
          </cell>
          <cell r="AD8646">
            <v>18000</v>
          </cell>
        </row>
        <row r="8647">
          <cell r="W8647" t="str">
            <v>QNOST03</v>
          </cell>
          <cell r="AD8647">
            <v>18000</v>
          </cell>
        </row>
        <row r="8648">
          <cell r="W8648" t="str">
            <v>QNOST03</v>
          </cell>
          <cell r="AD8648">
            <v>18000</v>
          </cell>
        </row>
        <row r="8649">
          <cell r="W8649" t="str">
            <v>QNOST03</v>
          </cell>
          <cell r="AD8649">
            <v>18000</v>
          </cell>
        </row>
        <row r="8650">
          <cell r="W8650" t="str">
            <v>QNOST03</v>
          </cell>
          <cell r="AD8650">
            <v>18000</v>
          </cell>
        </row>
        <row r="8651">
          <cell r="W8651" t="str">
            <v>QNOST03</v>
          </cell>
          <cell r="AD8651">
            <v>18000</v>
          </cell>
        </row>
        <row r="8652">
          <cell r="W8652" t="str">
            <v>QNOST03</v>
          </cell>
          <cell r="AD8652">
            <v>18000</v>
          </cell>
        </row>
        <row r="8653">
          <cell r="W8653" t="str">
            <v>ANOWE01</v>
          </cell>
          <cell r="AD8653">
            <v>1</v>
          </cell>
        </row>
        <row r="8654">
          <cell r="W8654" t="str">
            <v>QNPK111</v>
          </cell>
          <cell r="AD8654">
            <v>9000</v>
          </cell>
        </row>
        <row r="8655">
          <cell r="W8655" t="str">
            <v>QNPK122</v>
          </cell>
          <cell r="AD8655">
            <v>180000</v>
          </cell>
        </row>
        <row r="8656">
          <cell r="W8656" t="str">
            <v>QNPK122</v>
          </cell>
          <cell r="AD8656">
            <v>180000</v>
          </cell>
        </row>
        <row r="8657">
          <cell r="W8657" t="str">
            <v>QNPK122</v>
          </cell>
          <cell r="AD8657">
            <v>180000</v>
          </cell>
        </row>
        <row r="8658">
          <cell r="W8658" t="str">
            <v>QNPK122</v>
          </cell>
          <cell r="AD8658">
            <v>180000</v>
          </cell>
        </row>
        <row r="8659">
          <cell r="W8659" t="str">
            <v>QNPK117</v>
          </cell>
          <cell r="AD8659">
            <v>9200</v>
          </cell>
        </row>
        <row r="8660">
          <cell r="W8660" t="str">
            <v>QNPK117</v>
          </cell>
          <cell r="AD8660">
            <v>9200</v>
          </cell>
        </row>
        <row r="8661">
          <cell r="W8661" t="str">
            <v>QNPK117</v>
          </cell>
          <cell r="AD8661">
            <v>9200</v>
          </cell>
        </row>
        <row r="8662">
          <cell r="W8662" t="str">
            <v>QNPK117</v>
          </cell>
          <cell r="AD8662">
            <v>9500</v>
          </cell>
        </row>
        <row r="8663">
          <cell r="W8663" t="str">
            <v>QNPK117</v>
          </cell>
          <cell r="AD8663">
            <v>9500</v>
          </cell>
        </row>
        <row r="8664">
          <cell r="W8664" t="str">
            <v>QNPK117</v>
          </cell>
          <cell r="AD8664">
            <v>10500</v>
          </cell>
        </row>
        <row r="8665">
          <cell r="W8665" t="str">
            <v>QNPK117</v>
          </cell>
          <cell r="AD8665">
            <v>10500</v>
          </cell>
        </row>
        <row r="8666">
          <cell r="W8666" t="str">
            <v>QNPK112</v>
          </cell>
          <cell r="AD8666">
            <v>375000</v>
          </cell>
        </row>
        <row r="8667">
          <cell r="W8667" t="str">
            <v>QNPK112</v>
          </cell>
          <cell r="AD8667">
            <v>425000</v>
          </cell>
        </row>
        <row r="8668">
          <cell r="W8668" t="str">
            <v>QNPK112</v>
          </cell>
          <cell r="AD8668">
            <v>425000</v>
          </cell>
        </row>
        <row r="8669">
          <cell r="W8669" t="str">
            <v>QNPK112</v>
          </cell>
          <cell r="AD8669">
            <v>425000</v>
          </cell>
        </row>
        <row r="8670">
          <cell r="W8670" t="str">
            <v>QNPK112</v>
          </cell>
          <cell r="AD8670">
            <v>425000</v>
          </cell>
        </row>
        <row r="8671">
          <cell r="W8671" t="str">
            <v>QNPK112</v>
          </cell>
          <cell r="AD8671">
            <v>425000</v>
          </cell>
        </row>
        <row r="8672">
          <cell r="W8672" t="str">
            <v>QNPK112</v>
          </cell>
          <cell r="AD8672">
            <v>425000</v>
          </cell>
        </row>
        <row r="8673">
          <cell r="W8673" t="str">
            <v>QNPK112</v>
          </cell>
          <cell r="AD8673">
            <v>425000</v>
          </cell>
        </row>
        <row r="8674">
          <cell r="W8674" t="str">
            <v>QNPK112</v>
          </cell>
          <cell r="AD8674">
            <v>425000</v>
          </cell>
        </row>
        <row r="8675">
          <cell r="W8675" t="str">
            <v>QNPK112</v>
          </cell>
          <cell r="AD8675">
            <v>425000</v>
          </cell>
        </row>
        <row r="8676">
          <cell r="W8676" t="str">
            <v>QNPK112</v>
          </cell>
          <cell r="AD8676">
            <v>425000</v>
          </cell>
        </row>
        <row r="8677">
          <cell r="W8677" t="str">
            <v>QNPK123</v>
          </cell>
          <cell r="AD8677">
            <v>46500</v>
          </cell>
        </row>
        <row r="8678">
          <cell r="W8678" t="str">
            <v>QNPK123</v>
          </cell>
          <cell r="AD8678">
            <v>46500</v>
          </cell>
        </row>
        <row r="8679">
          <cell r="W8679" t="str">
            <v>QNPK123</v>
          </cell>
          <cell r="AD8679">
            <v>47500</v>
          </cell>
        </row>
        <row r="8680">
          <cell r="W8680" t="str">
            <v>QNPK123</v>
          </cell>
          <cell r="AD8680">
            <v>47500</v>
          </cell>
        </row>
        <row r="8681">
          <cell r="W8681" t="str">
            <v>QNPK123</v>
          </cell>
          <cell r="AD8681">
            <v>47500</v>
          </cell>
        </row>
        <row r="8682">
          <cell r="W8682" t="str">
            <v>QNPK123</v>
          </cell>
          <cell r="AD8682">
            <v>48000</v>
          </cell>
        </row>
        <row r="8683">
          <cell r="W8683" t="str">
            <v>QNPK123</v>
          </cell>
          <cell r="AD8683">
            <v>48000</v>
          </cell>
        </row>
        <row r="8684">
          <cell r="W8684" t="str">
            <v>QNPK123</v>
          </cell>
          <cell r="AD8684">
            <v>48000</v>
          </cell>
        </row>
        <row r="8685">
          <cell r="W8685" t="str">
            <v>QNPK123</v>
          </cell>
          <cell r="AD8685">
            <v>48000</v>
          </cell>
        </row>
        <row r="8686">
          <cell r="W8686" t="str">
            <v>QNPK123</v>
          </cell>
          <cell r="AD8686">
            <v>48000</v>
          </cell>
        </row>
        <row r="8687">
          <cell r="W8687" t="str">
            <v>QNPK123</v>
          </cell>
          <cell r="AD8687">
            <v>48000</v>
          </cell>
        </row>
        <row r="8688">
          <cell r="W8688" t="str">
            <v>QNPK123</v>
          </cell>
          <cell r="AD8688">
            <v>48500</v>
          </cell>
        </row>
        <row r="8689">
          <cell r="W8689" t="str">
            <v>QNPK123</v>
          </cell>
          <cell r="AD8689">
            <v>48500</v>
          </cell>
        </row>
        <row r="8690">
          <cell r="W8690" t="str">
            <v>QNPK123</v>
          </cell>
          <cell r="AD8690">
            <v>48500</v>
          </cell>
        </row>
        <row r="8691">
          <cell r="W8691" t="str">
            <v>QNPK123</v>
          </cell>
          <cell r="AD8691">
            <v>48500</v>
          </cell>
        </row>
        <row r="8692">
          <cell r="W8692" t="str">
            <v>ANPK110</v>
          </cell>
          <cell r="AD8692">
            <v>48500</v>
          </cell>
        </row>
        <row r="8693">
          <cell r="W8693" t="str">
            <v>QNPK123</v>
          </cell>
          <cell r="AD8693">
            <v>48500</v>
          </cell>
        </row>
        <row r="8694">
          <cell r="W8694" t="str">
            <v>QNPK123</v>
          </cell>
          <cell r="AD8694">
            <v>48500</v>
          </cell>
        </row>
        <row r="8695">
          <cell r="W8695" t="str">
            <v>QNPK123</v>
          </cell>
          <cell r="AD8695">
            <v>48500</v>
          </cell>
        </row>
        <row r="8696">
          <cell r="W8696" t="str">
            <v>QNPK120</v>
          </cell>
          <cell r="AD8696">
            <v>10250</v>
          </cell>
        </row>
        <row r="8697">
          <cell r="W8697" t="str">
            <v>QNPK120</v>
          </cell>
          <cell r="AD8697">
            <v>10250</v>
          </cell>
        </row>
        <row r="8698">
          <cell r="W8698" t="str">
            <v>QNPK120</v>
          </cell>
          <cell r="AD8698">
            <v>10250</v>
          </cell>
        </row>
        <row r="8699">
          <cell r="W8699" t="str">
            <v>ANPK106</v>
          </cell>
          <cell r="AD8699">
            <v>10250</v>
          </cell>
        </row>
        <row r="8700">
          <cell r="W8700" t="str">
            <v>QNPK120</v>
          </cell>
          <cell r="AD8700">
            <v>10250</v>
          </cell>
        </row>
        <row r="8701">
          <cell r="W8701" t="str">
            <v>QNPK120</v>
          </cell>
          <cell r="AD8701">
            <v>10250</v>
          </cell>
        </row>
        <row r="8702">
          <cell r="W8702" t="str">
            <v>QNPK120</v>
          </cell>
          <cell r="AD8702">
            <v>10250</v>
          </cell>
        </row>
        <row r="8703">
          <cell r="W8703" t="str">
            <v>QNPK120</v>
          </cell>
          <cell r="AD8703">
            <v>10500</v>
          </cell>
        </row>
        <row r="8704">
          <cell r="W8704" t="str">
            <v>QNPK119</v>
          </cell>
          <cell r="AD8704">
            <v>410000</v>
          </cell>
        </row>
        <row r="8705">
          <cell r="W8705" t="str">
            <v>QNPK119</v>
          </cell>
          <cell r="AD8705">
            <v>410000</v>
          </cell>
        </row>
        <row r="8706">
          <cell r="W8706" t="str">
            <v>QNPK119</v>
          </cell>
          <cell r="AD8706">
            <v>410000</v>
          </cell>
        </row>
        <row r="8707">
          <cell r="W8707" t="str">
            <v>QNPK119</v>
          </cell>
          <cell r="AD8707">
            <v>410000</v>
          </cell>
        </row>
        <row r="8708">
          <cell r="W8708" t="str">
            <v>QNPK119</v>
          </cell>
          <cell r="AD8708">
            <v>410000</v>
          </cell>
        </row>
        <row r="8709">
          <cell r="W8709" t="str">
            <v>QNPK119</v>
          </cell>
          <cell r="AD8709">
            <v>410000</v>
          </cell>
        </row>
        <row r="8710">
          <cell r="W8710" t="str">
            <v>QNPK119</v>
          </cell>
          <cell r="AD8710">
            <v>410000</v>
          </cell>
        </row>
        <row r="8711">
          <cell r="W8711" t="str">
            <v>QNPK119</v>
          </cell>
          <cell r="AD8711">
            <v>410000</v>
          </cell>
        </row>
        <row r="8712">
          <cell r="W8712" t="str">
            <v>QNPK119</v>
          </cell>
          <cell r="AD8712">
            <v>410000</v>
          </cell>
        </row>
        <row r="8713">
          <cell r="W8713" t="str">
            <v>QNPK119</v>
          </cell>
          <cell r="AD8713">
            <v>410000</v>
          </cell>
        </row>
        <row r="8714">
          <cell r="W8714" t="str">
            <v>QNPK119</v>
          </cell>
          <cell r="AD8714">
            <v>410000</v>
          </cell>
        </row>
        <row r="8715">
          <cell r="W8715" t="str">
            <v>QNPK119</v>
          </cell>
          <cell r="AD8715">
            <v>410000</v>
          </cell>
        </row>
        <row r="8716">
          <cell r="W8716" t="str">
            <v>QNPK119</v>
          </cell>
          <cell r="AD8716">
            <v>410000</v>
          </cell>
        </row>
        <row r="8717">
          <cell r="W8717" t="str">
            <v>QNPK119</v>
          </cell>
          <cell r="AD8717">
            <v>410000</v>
          </cell>
        </row>
        <row r="8718">
          <cell r="W8718" t="str">
            <v>ANPK107</v>
          </cell>
          <cell r="AD8718">
            <v>410000</v>
          </cell>
        </row>
        <row r="8719">
          <cell r="W8719" t="str">
            <v>QNPK119</v>
          </cell>
          <cell r="AD8719">
            <v>410000</v>
          </cell>
        </row>
        <row r="8720">
          <cell r="W8720" t="str">
            <v>QNPK119</v>
          </cell>
          <cell r="AD8720">
            <v>410000</v>
          </cell>
        </row>
        <row r="8721">
          <cell r="W8721" t="str">
            <v>QNPK119</v>
          </cell>
          <cell r="AD8721">
            <v>410000</v>
          </cell>
        </row>
        <row r="8722">
          <cell r="W8722" t="str">
            <v>QNPK119</v>
          </cell>
          <cell r="AD8722">
            <v>410000</v>
          </cell>
        </row>
        <row r="8723">
          <cell r="W8723" t="str">
            <v>QNPK119</v>
          </cell>
          <cell r="AD8723">
            <v>410000</v>
          </cell>
        </row>
        <row r="8724">
          <cell r="W8724" t="str">
            <v>QNPK119</v>
          </cell>
          <cell r="AD8724">
            <v>410000</v>
          </cell>
        </row>
        <row r="8725">
          <cell r="W8725" t="str">
            <v>QNPK119</v>
          </cell>
          <cell r="AD8725">
            <v>410000</v>
          </cell>
        </row>
        <row r="8726">
          <cell r="W8726" t="str">
            <v>QNPK119</v>
          </cell>
          <cell r="AD8726">
            <v>425000</v>
          </cell>
        </row>
        <row r="8727">
          <cell r="W8727" t="str">
            <v>QNPK119</v>
          </cell>
          <cell r="AD8727">
            <v>425000</v>
          </cell>
        </row>
        <row r="8728">
          <cell r="W8728" t="str">
            <v>QNPKB08</v>
          </cell>
          <cell r="AD8728">
            <v>583000</v>
          </cell>
        </row>
        <row r="8729">
          <cell r="W8729" t="str">
            <v>QNPKB08</v>
          </cell>
          <cell r="AD8729">
            <v>583000</v>
          </cell>
        </row>
        <row r="8730">
          <cell r="W8730" t="str">
            <v>QNPKB08</v>
          </cell>
          <cell r="AD8730">
            <v>583000</v>
          </cell>
        </row>
        <row r="8731">
          <cell r="W8731" t="str">
            <v>QNPKB08</v>
          </cell>
          <cell r="AD8731">
            <v>587500</v>
          </cell>
        </row>
        <row r="8732">
          <cell r="W8732" t="str">
            <v>QNPKB08</v>
          </cell>
          <cell r="AD8732">
            <v>587500</v>
          </cell>
        </row>
        <row r="8733">
          <cell r="W8733" t="str">
            <v>QNPKB08</v>
          </cell>
          <cell r="AD8733">
            <v>587500</v>
          </cell>
        </row>
        <row r="8734">
          <cell r="W8734" t="str">
            <v>QNPKB08</v>
          </cell>
          <cell r="AD8734">
            <v>587500</v>
          </cell>
        </row>
        <row r="8735">
          <cell r="W8735" t="str">
            <v>QNPKB08</v>
          </cell>
          <cell r="AD8735">
            <v>587500</v>
          </cell>
        </row>
        <row r="8736">
          <cell r="W8736" t="str">
            <v>QNPKB07</v>
          </cell>
          <cell r="AD8736">
            <v>362500</v>
          </cell>
        </row>
        <row r="8737">
          <cell r="W8737" t="str">
            <v>QNPKB07</v>
          </cell>
          <cell r="AD8737">
            <v>362500</v>
          </cell>
        </row>
        <row r="8738">
          <cell r="W8738" t="str">
            <v>QNPKB07</v>
          </cell>
          <cell r="AD8738">
            <v>362500</v>
          </cell>
        </row>
        <row r="8739">
          <cell r="W8739" t="str">
            <v>QNPKB03</v>
          </cell>
          <cell r="AD8739">
            <v>362500</v>
          </cell>
        </row>
        <row r="8740">
          <cell r="W8740" t="str">
            <v>QNPKB03</v>
          </cell>
          <cell r="AD8740">
            <v>362500</v>
          </cell>
        </row>
        <row r="8741">
          <cell r="W8741" t="str">
            <v>QNPKB03</v>
          </cell>
          <cell r="AD8741">
            <v>362500</v>
          </cell>
        </row>
        <row r="8742">
          <cell r="W8742" t="str">
            <v>QNPKB03</v>
          </cell>
          <cell r="AD8742">
            <v>362500</v>
          </cell>
        </row>
        <row r="8743">
          <cell r="W8743" t="str">
            <v>QNPKB03</v>
          </cell>
          <cell r="AD8743">
            <v>362500</v>
          </cell>
        </row>
        <row r="8744">
          <cell r="W8744" t="str">
            <v>QNPKB03</v>
          </cell>
          <cell r="AD8744">
            <v>362500</v>
          </cell>
        </row>
        <row r="8745">
          <cell r="W8745" t="str">
            <v>QNPKB09</v>
          </cell>
          <cell r="AD8745">
            <v>250000</v>
          </cell>
        </row>
        <row r="8746">
          <cell r="W8746" t="str">
            <v>QNPKB09</v>
          </cell>
          <cell r="AD8746">
            <v>250000</v>
          </cell>
        </row>
        <row r="8747">
          <cell r="W8747" t="str">
            <v>QNPKB09</v>
          </cell>
          <cell r="AD8747">
            <v>362500</v>
          </cell>
        </row>
        <row r="8748">
          <cell r="W8748" t="str">
            <v>QNPKB09</v>
          </cell>
          <cell r="AD8748">
            <v>362500</v>
          </cell>
        </row>
        <row r="8749">
          <cell r="W8749" t="str">
            <v>QNPKB09</v>
          </cell>
          <cell r="AD8749">
            <v>362500</v>
          </cell>
        </row>
        <row r="8750">
          <cell r="W8750" t="str">
            <v>QNPKB09</v>
          </cell>
          <cell r="AD8750">
            <v>362500</v>
          </cell>
        </row>
        <row r="8751">
          <cell r="W8751" t="str">
            <v>QNPKB09</v>
          </cell>
          <cell r="AD8751">
            <v>362500</v>
          </cell>
        </row>
        <row r="8752">
          <cell r="W8752" t="str">
            <v>QNPKB09</v>
          </cell>
          <cell r="AD8752">
            <v>362500</v>
          </cell>
        </row>
        <row r="8753">
          <cell r="W8753" t="str">
            <v>QNPKB01</v>
          </cell>
          <cell r="AD8753">
            <v>440000</v>
          </cell>
        </row>
        <row r="8754">
          <cell r="W8754" t="str">
            <v>QNPKB01</v>
          </cell>
          <cell r="AD8754">
            <v>440000</v>
          </cell>
        </row>
        <row r="8755">
          <cell r="W8755" t="str">
            <v>QNPKB01</v>
          </cell>
          <cell r="AD8755">
            <v>440000</v>
          </cell>
        </row>
        <row r="8756">
          <cell r="W8756" t="str">
            <v>QNPKB01</v>
          </cell>
          <cell r="AD8756">
            <v>450000</v>
          </cell>
        </row>
        <row r="8757">
          <cell r="W8757" t="str">
            <v>QNPKB01</v>
          </cell>
          <cell r="AD8757">
            <v>450000</v>
          </cell>
        </row>
        <row r="8758">
          <cell r="W8758" t="str">
            <v>QNPKB01</v>
          </cell>
          <cell r="AD8758">
            <v>450000</v>
          </cell>
        </row>
        <row r="8759">
          <cell r="W8759" t="str">
            <v>QNPKB01</v>
          </cell>
          <cell r="AD8759">
            <v>450000</v>
          </cell>
        </row>
        <row r="8760">
          <cell r="W8760" t="str">
            <v>QNPKB01</v>
          </cell>
          <cell r="AD8760">
            <v>450000</v>
          </cell>
        </row>
        <row r="8761">
          <cell r="W8761" t="str">
            <v>QNPKB01</v>
          </cell>
          <cell r="AD8761">
            <v>450000</v>
          </cell>
        </row>
        <row r="8762">
          <cell r="W8762" t="str">
            <v>QNPKB01</v>
          </cell>
          <cell r="AD8762">
            <v>450000</v>
          </cell>
        </row>
        <row r="8763">
          <cell r="W8763" t="str">
            <v>QNPKB01</v>
          </cell>
          <cell r="AD8763">
            <v>450000</v>
          </cell>
        </row>
        <row r="8764">
          <cell r="W8764" t="str">
            <v>QNPKB01</v>
          </cell>
          <cell r="AD8764">
            <v>450000</v>
          </cell>
        </row>
        <row r="8765">
          <cell r="W8765" t="str">
            <v>QNPKB01</v>
          </cell>
          <cell r="AD8765">
            <v>450000</v>
          </cell>
        </row>
        <row r="8766">
          <cell r="W8766" t="str">
            <v>QNPKB01</v>
          </cell>
          <cell r="AD8766">
            <v>450000</v>
          </cell>
        </row>
        <row r="8767">
          <cell r="W8767" t="str">
            <v>QNPKB01</v>
          </cell>
          <cell r="AD8767">
            <v>450000</v>
          </cell>
        </row>
        <row r="8768">
          <cell r="W8768" t="str">
            <v>QNPKB01</v>
          </cell>
          <cell r="AD8768">
            <v>450000</v>
          </cell>
        </row>
        <row r="8769">
          <cell r="W8769" t="str">
            <v>QNPKB01</v>
          </cell>
          <cell r="AD8769">
            <v>450000</v>
          </cell>
        </row>
        <row r="8770">
          <cell r="W8770" t="str">
            <v>QNPKB01</v>
          </cell>
          <cell r="AD8770">
            <v>450000</v>
          </cell>
        </row>
        <row r="8771">
          <cell r="W8771" t="str">
            <v>QNPKB01</v>
          </cell>
          <cell r="AD8771">
            <v>450000</v>
          </cell>
        </row>
        <row r="8772">
          <cell r="W8772" t="str">
            <v>QNPKB01</v>
          </cell>
          <cell r="AD8772">
            <v>450000</v>
          </cell>
        </row>
        <row r="8773">
          <cell r="W8773" t="str">
            <v>QNPKB01</v>
          </cell>
          <cell r="AD8773">
            <v>450000</v>
          </cell>
        </row>
        <row r="8774">
          <cell r="W8774" t="str">
            <v>QNPKB01</v>
          </cell>
          <cell r="AD8774">
            <v>450000</v>
          </cell>
        </row>
        <row r="8775">
          <cell r="W8775" t="str">
            <v>QNPKB01</v>
          </cell>
          <cell r="AD8775">
            <v>450000</v>
          </cell>
        </row>
        <row r="8776">
          <cell r="W8776" t="str">
            <v>QNPKB01</v>
          </cell>
          <cell r="AD8776">
            <v>455000</v>
          </cell>
        </row>
        <row r="8777">
          <cell r="W8777" t="str">
            <v>QNPKB01</v>
          </cell>
          <cell r="AD8777">
            <v>455000</v>
          </cell>
        </row>
        <row r="8778">
          <cell r="W8778" t="str">
            <v>QNPKB01</v>
          </cell>
          <cell r="AD8778">
            <v>460000</v>
          </cell>
        </row>
        <row r="8779">
          <cell r="W8779" t="str">
            <v>QNPKB01</v>
          </cell>
          <cell r="AD8779">
            <v>460000</v>
          </cell>
        </row>
        <row r="8780">
          <cell r="W8780" t="str">
            <v>QNPKB01</v>
          </cell>
          <cell r="AD8780">
            <v>460000</v>
          </cell>
        </row>
        <row r="8781">
          <cell r="W8781" t="str">
            <v>QNPKB01</v>
          </cell>
          <cell r="AD8781">
            <v>460000</v>
          </cell>
        </row>
        <row r="8782">
          <cell r="W8782" t="str">
            <v>QNPKB01</v>
          </cell>
          <cell r="AD8782">
            <v>485000</v>
          </cell>
        </row>
        <row r="8783">
          <cell r="W8783" t="str">
            <v>QNPKB01</v>
          </cell>
          <cell r="AD8783">
            <v>485000</v>
          </cell>
        </row>
        <row r="8784">
          <cell r="W8784" t="str">
            <v>QNPKB01</v>
          </cell>
          <cell r="AD8784">
            <v>485000</v>
          </cell>
        </row>
        <row r="8785">
          <cell r="W8785" t="str">
            <v>QNPKB01</v>
          </cell>
          <cell r="AD8785">
            <v>485000</v>
          </cell>
        </row>
        <row r="8786">
          <cell r="W8786" t="str">
            <v>QNPKB06</v>
          </cell>
          <cell r="AD8786">
            <v>10000</v>
          </cell>
        </row>
        <row r="8787">
          <cell r="W8787" t="str">
            <v>QNPKB06</v>
          </cell>
          <cell r="AD8787">
            <v>10500</v>
          </cell>
        </row>
        <row r="8788">
          <cell r="W8788" t="str">
            <v>QNPKB06</v>
          </cell>
          <cell r="AD8788">
            <v>10750</v>
          </cell>
        </row>
        <row r="8789">
          <cell r="W8789" t="str">
            <v>QNPKB06</v>
          </cell>
          <cell r="AD8789">
            <v>10750</v>
          </cell>
        </row>
        <row r="8790">
          <cell r="W8790" t="str">
            <v>QNPKB06</v>
          </cell>
          <cell r="AD8790">
            <v>11000</v>
          </cell>
        </row>
        <row r="8791">
          <cell r="W8791" t="str">
            <v>QNPKB06</v>
          </cell>
          <cell r="AD8791">
            <v>11000</v>
          </cell>
        </row>
        <row r="8792">
          <cell r="W8792" t="str">
            <v>QNPKB06</v>
          </cell>
          <cell r="AD8792">
            <v>11000</v>
          </cell>
        </row>
        <row r="8793">
          <cell r="W8793" t="str">
            <v>QNPKB06</v>
          </cell>
          <cell r="AD8793">
            <v>11000</v>
          </cell>
        </row>
        <row r="8794">
          <cell r="W8794" t="str">
            <v>QNPKC08</v>
          </cell>
          <cell r="AD8794">
            <v>46500</v>
          </cell>
        </row>
        <row r="8795">
          <cell r="W8795" t="str">
            <v>QNPKC08</v>
          </cell>
          <cell r="AD8795">
            <v>46500</v>
          </cell>
        </row>
        <row r="8796">
          <cell r="W8796" t="str">
            <v>QNPKC08</v>
          </cell>
          <cell r="AD8796">
            <v>47500</v>
          </cell>
        </row>
        <row r="8797">
          <cell r="W8797" t="str">
            <v>QNPKC08</v>
          </cell>
          <cell r="AD8797">
            <v>47500</v>
          </cell>
        </row>
        <row r="8798">
          <cell r="W8798" t="str">
            <v>QNPKC08</v>
          </cell>
          <cell r="AD8798">
            <v>48500</v>
          </cell>
        </row>
        <row r="8799">
          <cell r="W8799" t="str">
            <v>QNPKC08</v>
          </cell>
          <cell r="AD8799">
            <v>48500</v>
          </cell>
        </row>
        <row r="8800">
          <cell r="W8800" t="str">
            <v>QNPKC08</v>
          </cell>
          <cell r="AD8800">
            <v>48500</v>
          </cell>
        </row>
        <row r="8801">
          <cell r="W8801" t="str">
            <v>QNPKC08</v>
          </cell>
          <cell r="AD8801">
            <v>48500</v>
          </cell>
        </row>
        <row r="8802">
          <cell r="W8802" t="str">
            <v>QNPKC08</v>
          </cell>
          <cell r="AD8802">
            <v>48500</v>
          </cell>
        </row>
        <row r="8803">
          <cell r="W8803" t="str">
            <v>QNPKC08</v>
          </cell>
          <cell r="AD8803">
            <v>48500</v>
          </cell>
        </row>
        <row r="8804">
          <cell r="W8804" t="str">
            <v>QNPKC08</v>
          </cell>
          <cell r="AD8804">
            <v>48500</v>
          </cell>
        </row>
        <row r="8805">
          <cell r="W8805" t="str">
            <v>QNPKC08</v>
          </cell>
          <cell r="AD8805">
            <v>48500</v>
          </cell>
        </row>
        <row r="8806">
          <cell r="W8806" t="str">
            <v>QNPKC08</v>
          </cell>
          <cell r="AD8806">
            <v>49000</v>
          </cell>
        </row>
        <row r="8807">
          <cell r="W8807" t="str">
            <v>QNPKC08</v>
          </cell>
          <cell r="AD8807">
            <v>49000</v>
          </cell>
        </row>
        <row r="8808">
          <cell r="W8808" t="str">
            <v>QNPKC08</v>
          </cell>
          <cell r="AD8808">
            <v>49000</v>
          </cell>
        </row>
        <row r="8809">
          <cell r="W8809" t="str">
            <v>QNPKC08</v>
          </cell>
          <cell r="AD8809">
            <v>49000</v>
          </cell>
        </row>
        <row r="8810">
          <cell r="W8810" t="str">
            <v>QNPKC08</v>
          </cell>
          <cell r="AD8810">
            <v>49000</v>
          </cell>
        </row>
        <row r="8811">
          <cell r="W8811" t="str">
            <v>QNPKC08</v>
          </cell>
          <cell r="AD8811">
            <v>50000</v>
          </cell>
        </row>
        <row r="8812">
          <cell r="W8812" t="str">
            <v>QNPKC08</v>
          </cell>
          <cell r="AD8812">
            <v>50000</v>
          </cell>
        </row>
        <row r="8813">
          <cell r="W8813" t="str">
            <v>QNPKC08</v>
          </cell>
          <cell r="AD8813">
            <v>50000</v>
          </cell>
        </row>
        <row r="8814">
          <cell r="W8814" t="str">
            <v>QNPKC08</v>
          </cell>
          <cell r="AD8814">
            <v>50000</v>
          </cell>
        </row>
        <row r="8815">
          <cell r="W8815" t="str">
            <v>QNPKC08</v>
          </cell>
          <cell r="AD8815">
            <v>50000</v>
          </cell>
        </row>
        <row r="8816">
          <cell r="W8816" t="str">
            <v>QNPKC08</v>
          </cell>
          <cell r="AD8816">
            <v>50000</v>
          </cell>
        </row>
        <row r="8817">
          <cell r="W8817" t="str">
            <v>QNPKC08</v>
          </cell>
          <cell r="AD8817">
            <v>50000</v>
          </cell>
        </row>
        <row r="8818">
          <cell r="W8818" t="str">
            <v>QNPKC08</v>
          </cell>
          <cell r="AD8818">
            <v>50000</v>
          </cell>
        </row>
        <row r="8819">
          <cell r="W8819" t="str">
            <v>QNPKC11</v>
          </cell>
          <cell r="AD8819">
            <v>9500</v>
          </cell>
        </row>
        <row r="8820">
          <cell r="W8820" t="str">
            <v>QNPKC11</v>
          </cell>
          <cell r="AD8820">
            <v>9800</v>
          </cell>
        </row>
        <row r="8821">
          <cell r="W8821" t="str">
            <v>QNPKC11</v>
          </cell>
          <cell r="AD8821">
            <v>9800</v>
          </cell>
        </row>
        <row r="8822">
          <cell r="W8822" t="str">
            <v>QNPKC11</v>
          </cell>
          <cell r="AD8822">
            <v>9800</v>
          </cell>
        </row>
        <row r="8823">
          <cell r="W8823" t="str">
            <v>QNPKC11</v>
          </cell>
          <cell r="AD8823">
            <v>9800</v>
          </cell>
        </row>
        <row r="8824">
          <cell r="W8824" t="str">
            <v>QNPKC11</v>
          </cell>
          <cell r="AD8824">
            <v>9800</v>
          </cell>
        </row>
        <row r="8825">
          <cell r="W8825" t="str">
            <v>QNPKC11</v>
          </cell>
          <cell r="AD8825">
            <v>10000</v>
          </cell>
        </row>
        <row r="8826">
          <cell r="W8826" t="str">
            <v>QNPKC11</v>
          </cell>
          <cell r="AD8826">
            <v>10000</v>
          </cell>
        </row>
        <row r="8827">
          <cell r="W8827" t="str">
            <v>QNPKC11</v>
          </cell>
          <cell r="AD8827">
            <v>10000</v>
          </cell>
        </row>
        <row r="8828">
          <cell r="W8828" t="str">
            <v>QNPKC11</v>
          </cell>
          <cell r="AD8828">
            <v>10000</v>
          </cell>
        </row>
        <row r="8829">
          <cell r="W8829" t="str">
            <v>QNPKC11</v>
          </cell>
          <cell r="AD8829">
            <v>10000</v>
          </cell>
        </row>
        <row r="8830">
          <cell r="W8830" t="str">
            <v>QNPKC11</v>
          </cell>
          <cell r="AD8830">
            <v>10000</v>
          </cell>
        </row>
        <row r="8831">
          <cell r="W8831" t="str">
            <v>QNPKC11</v>
          </cell>
          <cell r="AD8831">
            <v>10000</v>
          </cell>
        </row>
        <row r="8832">
          <cell r="W8832" t="str">
            <v>QNPKC11</v>
          </cell>
          <cell r="AD8832">
            <v>10500</v>
          </cell>
        </row>
        <row r="8833">
          <cell r="W8833" t="str">
            <v>QNPKC11</v>
          </cell>
          <cell r="AD8833">
            <v>10500</v>
          </cell>
        </row>
        <row r="8834">
          <cell r="W8834" t="str">
            <v>QNPKC02</v>
          </cell>
          <cell r="AD8834">
            <v>435000</v>
          </cell>
        </row>
        <row r="8835">
          <cell r="W8835" t="str">
            <v>QNPKC02</v>
          </cell>
          <cell r="AD8835">
            <v>440000</v>
          </cell>
        </row>
        <row r="8836">
          <cell r="W8836" t="str">
            <v>QNPKC02</v>
          </cell>
          <cell r="AD8836">
            <v>440000</v>
          </cell>
        </row>
        <row r="8837">
          <cell r="W8837" t="str">
            <v>QNPKC02</v>
          </cell>
          <cell r="AD8837">
            <v>440000</v>
          </cell>
        </row>
        <row r="8838">
          <cell r="W8838" t="str">
            <v>QNPKC02</v>
          </cell>
          <cell r="AD8838">
            <v>450000</v>
          </cell>
        </row>
        <row r="8839">
          <cell r="W8839" t="str">
            <v>QNPKC02</v>
          </cell>
          <cell r="AD8839">
            <v>450000</v>
          </cell>
        </row>
        <row r="8840">
          <cell r="W8840" t="str">
            <v>QNPKC02</v>
          </cell>
          <cell r="AD8840">
            <v>450000</v>
          </cell>
        </row>
        <row r="8841">
          <cell r="W8841" t="str">
            <v>QNPKC02</v>
          </cell>
          <cell r="AD8841">
            <v>450000</v>
          </cell>
        </row>
        <row r="8842">
          <cell r="W8842" t="str">
            <v>QNPKC02</v>
          </cell>
          <cell r="AD8842">
            <v>450000</v>
          </cell>
        </row>
        <row r="8843">
          <cell r="W8843" t="str">
            <v>QNPKC02</v>
          </cell>
          <cell r="AD8843">
            <v>475000</v>
          </cell>
        </row>
        <row r="8844">
          <cell r="W8844" t="str">
            <v>QNPKC02</v>
          </cell>
          <cell r="AD8844">
            <v>475000</v>
          </cell>
        </row>
        <row r="8845">
          <cell r="W8845" t="str">
            <v>QNPKC02</v>
          </cell>
          <cell r="AD8845">
            <v>475000</v>
          </cell>
        </row>
        <row r="8846">
          <cell r="W8846" t="str">
            <v>QNPKM01</v>
          </cell>
          <cell r="AD8846">
            <v>7409.09</v>
          </cell>
        </row>
        <row r="8847">
          <cell r="W8847" t="str">
            <v>QNPKM03</v>
          </cell>
          <cell r="AD8847">
            <v>1</v>
          </cell>
        </row>
        <row r="8848">
          <cell r="W8848" t="str">
            <v>QNPKM08</v>
          </cell>
          <cell r="AD8848">
            <v>100000</v>
          </cell>
        </row>
        <row r="8849">
          <cell r="W8849" t="str">
            <v>QNPKM08</v>
          </cell>
          <cell r="AD8849">
            <v>100000</v>
          </cell>
        </row>
        <row r="8850">
          <cell r="W8850" t="str">
            <v>QNPKN02</v>
          </cell>
          <cell r="AD8850">
            <v>362000</v>
          </cell>
        </row>
        <row r="8851">
          <cell r="W8851" t="str">
            <v>QNPKN02</v>
          </cell>
          <cell r="AD8851">
            <v>362500</v>
          </cell>
        </row>
        <row r="8852">
          <cell r="W8852" t="str">
            <v>QNPKN02</v>
          </cell>
          <cell r="AD8852">
            <v>362500</v>
          </cell>
        </row>
        <row r="8853">
          <cell r="W8853" t="str">
            <v>QNPKN02</v>
          </cell>
          <cell r="AD8853">
            <v>362500</v>
          </cell>
        </row>
        <row r="8854">
          <cell r="W8854" t="str">
            <v>QNPKN02</v>
          </cell>
          <cell r="AD8854">
            <v>362500</v>
          </cell>
        </row>
        <row r="8855">
          <cell r="W8855" t="str">
            <v>QNPKN02</v>
          </cell>
          <cell r="AD8855">
            <v>362500</v>
          </cell>
        </row>
        <row r="8856">
          <cell r="W8856" t="str">
            <v>QNPKN02</v>
          </cell>
          <cell r="AD8856">
            <v>362500</v>
          </cell>
        </row>
        <row r="8857">
          <cell r="W8857" t="str">
            <v>QNPKN02</v>
          </cell>
          <cell r="AD8857">
            <v>362500</v>
          </cell>
        </row>
        <row r="8858">
          <cell r="W8858" t="str">
            <v>QNPKN02</v>
          </cell>
          <cell r="AD8858">
            <v>362500</v>
          </cell>
        </row>
        <row r="8859">
          <cell r="W8859" t="str">
            <v>QNPKN02</v>
          </cell>
          <cell r="AD8859">
            <v>362500</v>
          </cell>
        </row>
        <row r="8860">
          <cell r="W8860" t="str">
            <v>QNPKN02</v>
          </cell>
          <cell r="AD8860">
            <v>362500</v>
          </cell>
        </row>
        <row r="8861">
          <cell r="W8861" t="str">
            <v>QNPKN02</v>
          </cell>
          <cell r="AD8861">
            <v>362500</v>
          </cell>
        </row>
        <row r="8862">
          <cell r="W8862" t="str">
            <v>QNPKN02</v>
          </cell>
          <cell r="AD8862">
            <v>362500</v>
          </cell>
        </row>
        <row r="8863">
          <cell r="W8863" t="str">
            <v>QNPKN02</v>
          </cell>
          <cell r="AD8863">
            <v>362500</v>
          </cell>
        </row>
        <row r="8864">
          <cell r="W8864" t="str">
            <v>QNPKN02</v>
          </cell>
          <cell r="AD8864">
            <v>362500</v>
          </cell>
        </row>
        <row r="8865">
          <cell r="W8865" t="str">
            <v>QNPKN02</v>
          </cell>
          <cell r="AD8865">
            <v>362500</v>
          </cell>
        </row>
        <row r="8866">
          <cell r="W8866" t="str">
            <v>QNPKN02</v>
          </cell>
          <cell r="AD8866">
            <v>362500</v>
          </cell>
        </row>
        <row r="8867">
          <cell r="W8867" t="str">
            <v>QNPKN02</v>
          </cell>
          <cell r="AD8867">
            <v>362500</v>
          </cell>
        </row>
        <row r="8868">
          <cell r="W8868" t="str">
            <v>QNPKN02</v>
          </cell>
          <cell r="AD8868">
            <v>362500</v>
          </cell>
        </row>
        <row r="8869">
          <cell r="W8869" t="str">
            <v>QNPKN02</v>
          </cell>
          <cell r="AD8869">
            <v>362500</v>
          </cell>
        </row>
        <row r="8870">
          <cell r="W8870" t="str">
            <v>QNPKN02</v>
          </cell>
          <cell r="AD8870">
            <v>362500</v>
          </cell>
        </row>
        <row r="8871">
          <cell r="W8871" t="str">
            <v>QNPKN02</v>
          </cell>
          <cell r="AD8871">
            <v>362500</v>
          </cell>
        </row>
        <row r="8872">
          <cell r="W8872" t="str">
            <v>QNPKN02</v>
          </cell>
          <cell r="AD8872">
            <v>362500</v>
          </cell>
        </row>
        <row r="8873">
          <cell r="W8873" t="str">
            <v>QNPKN02</v>
          </cell>
          <cell r="AD8873">
            <v>362500</v>
          </cell>
        </row>
        <row r="8874">
          <cell r="W8874" t="str">
            <v>QNPKN02</v>
          </cell>
          <cell r="AD8874">
            <v>362500</v>
          </cell>
        </row>
        <row r="8875">
          <cell r="W8875" t="str">
            <v>QNPKN02</v>
          </cell>
          <cell r="AD8875">
            <v>362500</v>
          </cell>
        </row>
        <row r="8876">
          <cell r="W8876" t="str">
            <v>QNPKN02</v>
          </cell>
          <cell r="AD8876">
            <v>362500</v>
          </cell>
        </row>
        <row r="8877">
          <cell r="W8877" t="str">
            <v>QNPKN02</v>
          </cell>
          <cell r="AD8877">
            <v>362500</v>
          </cell>
        </row>
        <row r="8878">
          <cell r="W8878" t="str">
            <v>QNPKN02</v>
          </cell>
          <cell r="AD8878">
            <v>387500</v>
          </cell>
        </row>
        <row r="8879">
          <cell r="W8879" t="str">
            <v>QNPKN02</v>
          </cell>
          <cell r="AD8879">
            <v>387500</v>
          </cell>
        </row>
        <row r="8880">
          <cell r="W8880" t="str">
            <v>QNPKN07</v>
          </cell>
          <cell r="AD8880">
            <v>77500</v>
          </cell>
        </row>
        <row r="8881">
          <cell r="W8881" t="str">
            <v>QNPKN07</v>
          </cell>
          <cell r="AD8881">
            <v>77500</v>
          </cell>
        </row>
        <row r="8882">
          <cell r="W8882" t="str">
            <v>QNPKN07</v>
          </cell>
          <cell r="AD8882">
            <v>80000</v>
          </cell>
        </row>
        <row r="8883">
          <cell r="W8883" t="str">
            <v>QNPKN07</v>
          </cell>
          <cell r="AD8883">
            <v>80000</v>
          </cell>
        </row>
        <row r="8884">
          <cell r="W8884" t="str">
            <v>QNPKN07</v>
          </cell>
          <cell r="AD8884">
            <v>80000</v>
          </cell>
        </row>
        <row r="8885">
          <cell r="W8885" t="str">
            <v>QNPKN07</v>
          </cell>
          <cell r="AD8885">
            <v>80000</v>
          </cell>
        </row>
        <row r="8886">
          <cell r="W8886" t="str">
            <v>QNPKN07</v>
          </cell>
          <cell r="AD8886">
            <v>80000</v>
          </cell>
        </row>
        <row r="8887">
          <cell r="W8887" t="str">
            <v>QNPKN07</v>
          </cell>
          <cell r="AD8887">
            <v>80000</v>
          </cell>
        </row>
        <row r="8888">
          <cell r="W8888" t="str">
            <v>QNPKN07</v>
          </cell>
          <cell r="AD8888">
            <v>80000</v>
          </cell>
        </row>
        <row r="8889">
          <cell r="W8889" t="str">
            <v>QNPKN07</v>
          </cell>
          <cell r="AD8889">
            <v>80000</v>
          </cell>
        </row>
        <row r="8890">
          <cell r="W8890" t="str">
            <v>QNPKN07</v>
          </cell>
          <cell r="AD8890">
            <v>80000</v>
          </cell>
        </row>
        <row r="8891">
          <cell r="W8891" t="str">
            <v>QNPKN07</v>
          </cell>
          <cell r="AD8891">
            <v>80000</v>
          </cell>
        </row>
        <row r="8892">
          <cell r="W8892" t="str">
            <v>QNPKN07</v>
          </cell>
          <cell r="AD8892">
            <v>80000</v>
          </cell>
        </row>
        <row r="8893">
          <cell r="W8893" t="str">
            <v>QNPKN07</v>
          </cell>
          <cell r="AD8893">
            <v>80000</v>
          </cell>
        </row>
        <row r="8894">
          <cell r="W8894" t="str">
            <v>QNPKN07</v>
          </cell>
          <cell r="AD8894">
            <v>80000</v>
          </cell>
        </row>
        <row r="8895">
          <cell r="W8895" t="str">
            <v>QNPKN07</v>
          </cell>
          <cell r="AD8895">
            <v>80000</v>
          </cell>
        </row>
        <row r="8896">
          <cell r="W8896" t="str">
            <v>QNPKN07</v>
          </cell>
          <cell r="AD8896">
            <v>82500</v>
          </cell>
        </row>
        <row r="8897">
          <cell r="W8897" t="str">
            <v>QNPKN07</v>
          </cell>
          <cell r="AD8897">
            <v>82500</v>
          </cell>
        </row>
        <row r="8898">
          <cell r="W8898" t="str">
            <v>QNPKN01</v>
          </cell>
          <cell r="AD8898">
            <v>310000</v>
          </cell>
        </row>
        <row r="8899">
          <cell r="W8899" t="str">
            <v>QNPKN01</v>
          </cell>
          <cell r="AD8899">
            <v>310000</v>
          </cell>
        </row>
        <row r="8900">
          <cell r="W8900" t="str">
            <v>QNPKN01</v>
          </cell>
          <cell r="AD8900">
            <v>362500</v>
          </cell>
        </row>
        <row r="8901">
          <cell r="W8901" t="str">
            <v>QNPKN01</v>
          </cell>
          <cell r="AD8901">
            <v>362500</v>
          </cell>
        </row>
        <row r="8902">
          <cell r="W8902" t="str">
            <v>QNPKN01</v>
          </cell>
          <cell r="AD8902">
            <v>362500</v>
          </cell>
        </row>
        <row r="8903">
          <cell r="W8903" t="str">
            <v>QNPKN01</v>
          </cell>
          <cell r="AD8903">
            <v>362500</v>
          </cell>
        </row>
        <row r="8904">
          <cell r="W8904" t="str">
            <v>QNPKN01</v>
          </cell>
          <cell r="AD8904">
            <v>362500</v>
          </cell>
        </row>
        <row r="8905">
          <cell r="W8905" t="str">
            <v>QNPKN01</v>
          </cell>
          <cell r="AD8905">
            <v>362500</v>
          </cell>
        </row>
        <row r="8906">
          <cell r="W8906" t="str">
            <v>QNPKN01</v>
          </cell>
          <cell r="AD8906">
            <v>362500</v>
          </cell>
        </row>
        <row r="8907">
          <cell r="W8907" t="str">
            <v>QNPKN06</v>
          </cell>
          <cell r="AD8907">
            <v>16500</v>
          </cell>
        </row>
        <row r="8908">
          <cell r="W8908" t="str">
            <v>QNPKN06</v>
          </cell>
          <cell r="AD8908">
            <v>16500</v>
          </cell>
        </row>
        <row r="8909">
          <cell r="W8909" t="str">
            <v>QNPKN06</v>
          </cell>
          <cell r="AD8909">
            <v>16500</v>
          </cell>
        </row>
        <row r="8910">
          <cell r="W8910" t="str">
            <v>QNPKN06</v>
          </cell>
          <cell r="AD8910">
            <v>16500</v>
          </cell>
        </row>
        <row r="8911">
          <cell r="W8911" t="str">
            <v>QNPKN06</v>
          </cell>
          <cell r="AD8911">
            <v>16500</v>
          </cell>
        </row>
        <row r="8912">
          <cell r="W8912" t="str">
            <v>QNPKN06</v>
          </cell>
          <cell r="AD8912">
            <v>16500</v>
          </cell>
        </row>
        <row r="8913">
          <cell r="W8913" t="str">
            <v>QNPKN06</v>
          </cell>
          <cell r="AD8913">
            <v>16500</v>
          </cell>
        </row>
        <row r="8914">
          <cell r="W8914" t="str">
            <v>QNUME01</v>
          </cell>
          <cell r="AD8914">
            <v>150000</v>
          </cell>
        </row>
        <row r="8915">
          <cell r="W8915" t="str">
            <v>QNUME01</v>
          </cell>
          <cell r="AD8915">
            <v>150000</v>
          </cell>
        </row>
        <row r="8916">
          <cell r="W8916" t="str">
            <v>QNUME01</v>
          </cell>
          <cell r="AD8916">
            <v>150000</v>
          </cell>
        </row>
        <row r="8917">
          <cell r="W8917" t="str">
            <v>QNUME01</v>
          </cell>
          <cell r="AD8917">
            <v>150000</v>
          </cell>
        </row>
        <row r="8918">
          <cell r="W8918" t="str">
            <v>QNUME01</v>
          </cell>
          <cell r="AD8918">
            <v>150000</v>
          </cell>
        </row>
        <row r="8919">
          <cell r="W8919" t="str">
            <v>QNUME01</v>
          </cell>
          <cell r="AD8919">
            <v>160000</v>
          </cell>
        </row>
        <row r="8920">
          <cell r="W8920" t="str">
            <v>QNUME01</v>
          </cell>
          <cell r="AD8920">
            <v>160000</v>
          </cell>
        </row>
        <row r="8921">
          <cell r="W8921" t="str">
            <v>QNUME01</v>
          </cell>
          <cell r="AD8921">
            <v>160000</v>
          </cell>
        </row>
        <row r="8922">
          <cell r="W8922" t="str">
            <v>QNUME01</v>
          </cell>
          <cell r="AD8922">
            <v>160000</v>
          </cell>
        </row>
        <row r="8923">
          <cell r="W8923" t="str">
            <v>QNUME01</v>
          </cell>
          <cell r="AD8923">
            <v>160000</v>
          </cell>
        </row>
        <row r="8924">
          <cell r="W8924" t="str">
            <v>QNUME01</v>
          </cell>
          <cell r="AD8924">
            <v>160000</v>
          </cell>
        </row>
        <row r="8925">
          <cell r="W8925" t="str">
            <v>QNUME01</v>
          </cell>
          <cell r="AD8925">
            <v>160000</v>
          </cell>
        </row>
        <row r="8926">
          <cell r="W8926" t="str">
            <v>QNUME01</v>
          </cell>
          <cell r="AD8926">
            <v>160000</v>
          </cell>
        </row>
        <row r="8927">
          <cell r="W8927" t="str">
            <v>QNUME01</v>
          </cell>
          <cell r="AD8927">
            <v>160000</v>
          </cell>
        </row>
        <row r="8928">
          <cell r="W8928" t="str">
            <v>QNUME01</v>
          </cell>
          <cell r="AD8928">
            <v>160000</v>
          </cell>
        </row>
        <row r="8929">
          <cell r="W8929" t="str">
            <v>QNUME01</v>
          </cell>
          <cell r="AD8929">
            <v>160000</v>
          </cell>
        </row>
        <row r="8930">
          <cell r="W8930" t="str">
            <v>QNUME01</v>
          </cell>
          <cell r="AD8930">
            <v>160000</v>
          </cell>
        </row>
        <row r="8931">
          <cell r="W8931" t="str">
            <v>QNUME01</v>
          </cell>
          <cell r="AD8931">
            <v>165500</v>
          </cell>
        </row>
        <row r="8932">
          <cell r="W8932" t="str">
            <v>QNURE01</v>
          </cell>
          <cell r="AD8932">
            <v>90000</v>
          </cell>
        </row>
        <row r="8933">
          <cell r="W8933" t="str">
            <v>QNURE01</v>
          </cell>
          <cell r="AD8933">
            <v>90000</v>
          </cell>
        </row>
        <row r="8934">
          <cell r="W8934" t="str">
            <v>QNURE01</v>
          </cell>
          <cell r="AD8934">
            <v>90000</v>
          </cell>
        </row>
        <row r="8935">
          <cell r="W8935" t="str">
            <v>QNURE01</v>
          </cell>
          <cell r="AD8935">
            <v>90000</v>
          </cell>
        </row>
        <row r="8936">
          <cell r="W8936" t="str">
            <v>QNURE01</v>
          </cell>
          <cell r="AD8936">
            <v>90000</v>
          </cell>
        </row>
        <row r="8937">
          <cell r="W8937" t="str">
            <v>QNURE01</v>
          </cell>
          <cell r="AD8937">
            <v>90000</v>
          </cell>
        </row>
        <row r="8938">
          <cell r="W8938" t="str">
            <v>QNURE01</v>
          </cell>
          <cell r="AD8938">
            <v>90000</v>
          </cell>
        </row>
        <row r="8939">
          <cell r="W8939" t="str">
            <v>QNURE01</v>
          </cell>
          <cell r="AD8939">
            <v>90000</v>
          </cell>
        </row>
        <row r="8940">
          <cell r="W8940" t="str">
            <v>QNURE01</v>
          </cell>
          <cell r="AD8940">
            <v>90000</v>
          </cell>
        </row>
        <row r="8941">
          <cell r="W8941" t="str">
            <v>QNURE01</v>
          </cell>
          <cell r="AD8941">
            <v>90000</v>
          </cell>
        </row>
        <row r="8942">
          <cell r="W8942" t="str">
            <v>QNURE01</v>
          </cell>
          <cell r="AD8942">
            <v>90000</v>
          </cell>
        </row>
        <row r="8943">
          <cell r="W8943" t="str">
            <v>QNURE01</v>
          </cell>
          <cell r="AD8943">
            <v>90000</v>
          </cell>
        </row>
        <row r="8944">
          <cell r="W8944" t="str">
            <v>QNURE01</v>
          </cell>
          <cell r="AD8944">
            <v>90000</v>
          </cell>
        </row>
        <row r="8945">
          <cell r="W8945" t="str">
            <v>QNURE01</v>
          </cell>
          <cell r="AD8945">
            <v>90000</v>
          </cell>
        </row>
        <row r="8946">
          <cell r="W8946" t="str">
            <v>QNURE01</v>
          </cell>
          <cell r="AD8946">
            <v>90000</v>
          </cell>
        </row>
        <row r="8947">
          <cell r="W8947" t="str">
            <v>QNURE01</v>
          </cell>
          <cell r="AD8947">
            <v>90000</v>
          </cell>
        </row>
        <row r="8948">
          <cell r="W8948" t="str">
            <v>QNURE01</v>
          </cell>
          <cell r="AD8948">
            <v>90000</v>
          </cell>
        </row>
        <row r="8949">
          <cell r="W8949" t="str">
            <v>QNURE01</v>
          </cell>
          <cell r="AD8949">
            <v>90000</v>
          </cell>
        </row>
        <row r="8950">
          <cell r="W8950" t="str">
            <v>QNURE01</v>
          </cell>
          <cell r="AD8950">
            <v>90000</v>
          </cell>
        </row>
        <row r="8951">
          <cell r="W8951" t="str">
            <v>QNURE01</v>
          </cell>
          <cell r="AD8951">
            <v>90000</v>
          </cell>
        </row>
        <row r="8952">
          <cell r="W8952" t="str">
            <v>QNURE01</v>
          </cell>
          <cell r="AD8952">
            <v>91000</v>
          </cell>
        </row>
        <row r="8953">
          <cell r="W8953" t="str">
            <v>QNURE01</v>
          </cell>
          <cell r="AD8953">
            <v>91000</v>
          </cell>
        </row>
        <row r="8954">
          <cell r="W8954" t="str">
            <v>QNURE01</v>
          </cell>
          <cell r="AD8954">
            <v>91000</v>
          </cell>
        </row>
        <row r="8955">
          <cell r="W8955" t="str">
            <v>QNURE01</v>
          </cell>
          <cell r="AD8955">
            <v>91000</v>
          </cell>
        </row>
        <row r="8956">
          <cell r="W8956" t="str">
            <v>QNURE01</v>
          </cell>
          <cell r="AD8956">
            <v>91000</v>
          </cell>
        </row>
        <row r="8957">
          <cell r="W8957" t="str">
            <v>QNURE01</v>
          </cell>
          <cell r="AD8957">
            <v>91000</v>
          </cell>
        </row>
        <row r="8958">
          <cell r="W8958" t="str">
            <v>QNURE01</v>
          </cell>
          <cell r="AD8958">
            <v>91000</v>
          </cell>
        </row>
        <row r="8959">
          <cell r="W8959" t="str">
            <v>QNURE01</v>
          </cell>
          <cell r="AD8959">
            <v>91500</v>
          </cell>
        </row>
        <row r="8960">
          <cell r="W8960" t="str">
            <v>QNURE01</v>
          </cell>
          <cell r="AD8960">
            <v>92500</v>
          </cell>
        </row>
        <row r="8961">
          <cell r="W8961" t="str">
            <v>QODEO01</v>
          </cell>
          <cell r="AD8961">
            <v>20000</v>
          </cell>
        </row>
        <row r="8962">
          <cell r="W8962" t="str">
            <v>QONES05</v>
          </cell>
          <cell r="AD8962">
            <v>40000</v>
          </cell>
        </row>
        <row r="8963">
          <cell r="W8963" t="str">
            <v>QONES03</v>
          </cell>
          <cell r="AD8963">
            <v>76000</v>
          </cell>
        </row>
        <row r="8964">
          <cell r="W8964" t="str">
            <v>QOPLO03</v>
          </cell>
          <cell r="AD8964">
            <v>73000</v>
          </cell>
        </row>
        <row r="8965">
          <cell r="W8965" t="str">
            <v>QOPLO03</v>
          </cell>
          <cell r="AD8965">
            <v>75000</v>
          </cell>
        </row>
        <row r="8966">
          <cell r="W8966" t="str">
            <v>QOPLO03</v>
          </cell>
          <cell r="AD8966">
            <v>77500</v>
          </cell>
        </row>
        <row r="8967">
          <cell r="W8967" t="str">
            <v>QOPLO03</v>
          </cell>
          <cell r="AD8967">
            <v>78000</v>
          </cell>
        </row>
        <row r="8968">
          <cell r="W8968" t="str">
            <v>QOPLO03</v>
          </cell>
          <cell r="AD8968">
            <v>78000</v>
          </cell>
        </row>
        <row r="8969">
          <cell r="W8969" t="str">
            <v>QOPLO03</v>
          </cell>
          <cell r="AD8969">
            <v>78000</v>
          </cell>
        </row>
        <row r="8970">
          <cell r="W8970" t="str">
            <v>QOPLO03</v>
          </cell>
          <cell r="AD8970">
            <v>78000</v>
          </cell>
        </row>
        <row r="8971">
          <cell r="W8971" t="str">
            <v>QOPLO03</v>
          </cell>
          <cell r="AD8971">
            <v>78000</v>
          </cell>
        </row>
        <row r="8972">
          <cell r="W8972" t="str">
            <v>QOPLO03</v>
          </cell>
          <cell r="AD8972">
            <v>78000</v>
          </cell>
        </row>
        <row r="8973">
          <cell r="W8973" t="str">
            <v>QOPLO03</v>
          </cell>
          <cell r="AD8973">
            <v>78000</v>
          </cell>
        </row>
        <row r="8974">
          <cell r="W8974" t="str">
            <v>QOPLO03</v>
          </cell>
          <cell r="AD8974">
            <v>78000</v>
          </cell>
        </row>
        <row r="8975">
          <cell r="W8975" t="str">
            <v>QOPLO03</v>
          </cell>
          <cell r="AD8975">
            <v>78000</v>
          </cell>
        </row>
        <row r="8976">
          <cell r="W8976" t="str">
            <v>QOPLO03</v>
          </cell>
          <cell r="AD8976">
            <v>78000</v>
          </cell>
        </row>
        <row r="8977">
          <cell r="W8977" t="str">
            <v>QOPLO03</v>
          </cell>
          <cell r="AD8977">
            <v>78000</v>
          </cell>
        </row>
        <row r="8978">
          <cell r="W8978" t="str">
            <v>QOPLO03</v>
          </cell>
          <cell r="AD8978">
            <v>78000</v>
          </cell>
        </row>
        <row r="8979">
          <cell r="W8979" t="str">
            <v>QOPLO03</v>
          </cell>
          <cell r="AD8979">
            <v>78000</v>
          </cell>
        </row>
        <row r="8980">
          <cell r="W8980" t="str">
            <v>QOPLO03</v>
          </cell>
          <cell r="AD8980">
            <v>78000</v>
          </cell>
        </row>
        <row r="8981">
          <cell r="W8981" t="str">
            <v>QOPLO03</v>
          </cell>
          <cell r="AD8981">
            <v>78500</v>
          </cell>
        </row>
        <row r="8982">
          <cell r="W8982" t="str">
            <v>QOPLO03</v>
          </cell>
          <cell r="AD8982">
            <v>78500</v>
          </cell>
        </row>
        <row r="8983">
          <cell r="W8983" t="str">
            <v>QOPLO03</v>
          </cell>
          <cell r="AD8983">
            <v>80000</v>
          </cell>
        </row>
        <row r="8984">
          <cell r="W8984" t="str">
            <v>QOPLO03</v>
          </cell>
          <cell r="AD8984">
            <v>152500</v>
          </cell>
        </row>
        <row r="8985">
          <cell r="W8985" t="str">
            <v>QOPLO04</v>
          </cell>
          <cell r="AD8985">
            <v>152000</v>
          </cell>
        </row>
        <row r="8986">
          <cell r="W8986" t="str">
            <v>QOPLO04</v>
          </cell>
          <cell r="AD8986">
            <v>152000</v>
          </cell>
        </row>
        <row r="8987">
          <cell r="W8987" t="str">
            <v>QOPLO04</v>
          </cell>
          <cell r="AD8987">
            <v>152000</v>
          </cell>
        </row>
        <row r="8988">
          <cell r="W8988" t="str">
            <v>QOPLO04</v>
          </cell>
          <cell r="AD8988">
            <v>152000</v>
          </cell>
        </row>
        <row r="8989">
          <cell r="W8989" t="str">
            <v>QOPLO02</v>
          </cell>
          <cell r="AD8989">
            <v>43000</v>
          </cell>
        </row>
        <row r="8990">
          <cell r="W8990" t="str">
            <v>QOPLO02</v>
          </cell>
          <cell r="AD8990">
            <v>43000</v>
          </cell>
        </row>
        <row r="8991">
          <cell r="W8991" t="str">
            <v>QOPLO02</v>
          </cell>
          <cell r="AD8991">
            <v>43000</v>
          </cell>
        </row>
        <row r="8992">
          <cell r="W8992" t="str">
            <v>QOPLO02</v>
          </cell>
          <cell r="AD8992">
            <v>43000</v>
          </cell>
        </row>
        <row r="8993">
          <cell r="W8993" t="str">
            <v>QOPLO02</v>
          </cell>
          <cell r="AD8993">
            <v>43000</v>
          </cell>
        </row>
        <row r="8994">
          <cell r="W8994" t="str">
            <v>QOPLO02</v>
          </cell>
          <cell r="AD8994">
            <v>43500</v>
          </cell>
        </row>
        <row r="8995">
          <cell r="W8995" t="str">
            <v>QOPLO02</v>
          </cell>
          <cell r="AD8995">
            <v>78000</v>
          </cell>
        </row>
        <row r="8996">
          <cell r="W8996" t="str">
            <v>QOPLO01</v>
          </cell>
          <cell r="AD8996">
            <v>23000</v>
          </cell>
        </row>
        <row r="8997">
          <cell r="W8997" t="str">
            <v>QOPLO01</v>
          </cell>
          <cell r="AD8997">
            <v>23000</v>
          </cell>
        </row>
        <row r="8998">
          <cell r="W8998" t="str">
            <v>QOPLO01</v>
          </cell>
          <cell r="AD8998">
            <v>23000</v>
          </cell>
        </row>
        <row r="8999">
          <cell r="W8999" t="str">
            <v>QOPLO01</v>
          </cell>
          <cell r="AD8999">
            <v>23000</v>
          </cell>
        </row>
        <row r="9000">
          <cell r="W9000" t="str">
            <v>QOPLO01</v>
          </cell>
          <cell r="AD9000">
            <v>23500</v>
          </cell>
        </row>
        <row r="9001">
          <cell r="W9001" t="str">
            <v>QOYON01</v>
          </cell>
          <cell r="AD9001">
            <v>15000</v>
          </cell>
        </row>
        <row r="9002">
          <cell r="W9002" t="str">
            <v>QOYON01</v>
          </cell>
          <cell r="AD9002">
            <v>15000</v>
          </cell>
        </row>
        <row r="9003">
          <cell r="W9003" t="str">
            <v>QOYON01</v>
          </cell>
          <cell r="AD9003">
            <v>17000</v>
          </cell>
        </row>
        <row r="9004">
          <cell r="W9004" t="str">
            <v>QOYON01</v>
          </cell>
          <cell r="AD9004">
            <v>17000</v>
          </cell>
        </row>
        <row r="9005">
          <cell r="W9005" t="str">
            <v>QOYON01</v>
          </cell>
          <cell r="AD9005">
            <v>17000</v>
          </cell>
        </row>
        <row r="9006">
          <cell r="W9006" t="str">
            <v>QOYON01</v>
          </cell>
          <cell r="AD9006">
            <v>17000</v>
          </cell>
        </row>
        <row r="9007">
          <cell r="W9007" t="str">
            <v>QOYON01</v>
          </cell>
          <cell r="AD9007">
            <v>17000</v>
          </cell>
        </row>
        <row r="9008">
          <cell r="W9008" t="str">
            <v>QOYON01</v>
          </cell>
          <cell r="AD9008">
            <v>17000</v>
          </cell>
        </row>
        <row r="9009">
          <cell r="W9009" t="str">
            <v>QOYON01</v>
          </cell>
          <cell r="AD9009">
            <v>17000</v>
          </cell>
        </row>
        <row r="9010">
          <cell r="W9010" t="str">
            <v>QOYON01</v>
          </cell>
          <cell r="AD9010">
            <v>17000</v>
          </cell>
        </row>
        <row r="9011">
          <cell r="W9011" t="str">
            <v>QOYON01</v>
          </cell>
          <cell r="AD9011">
            <v>17000</v>
          </cell>
        </row>
        <row r="9012">
          <cell r="W9012" t="str">
            <v>QOYON01</v>
          </cell>
          <cell r="AD9012">
            <v>17000</v>
          </cell>
        </row>
        <row r="9013">
          <cell r="W9013" t="str">
            <v>QOYON01</v>
          </cell>
          <cell r="AD9013">
            <v>17000</v>
          </cell>
        </row>
        <row r="9014">
          <cell r="W9014" t="str">
            <v>QOYON01</v>
          </cell>
          <cell r="AD9014">
            <v>17000</v>
          </cell>
        </row>
        <row r="9015">
          <cell r="W9015" t="str">
            <v>QOYON01</v>
          </cell>
          <cell r="AD9015">
            <v>17000</v>
          </cell>
        </row>
        <row r="9016">
          <cell r="W9016" t="str">
            <v>QOYON01</v>
          </cell>
          <cell r="AD9016">
            <v>17000</v>
          </cell>
        </row>
        <row r="9017">
          <cell r="W9017" t="str">
            <v>QOYON01</v>
          </cell>
          <cell r="AD9017">
            <v>17000</v>
          </cell>
        </row>
        <row r="9018">
          <cell r="W9018" t="str">
            <v>QOYON01</v>
          </cell>
          <cell r="AD9018">
            <v>17000</v>
          </cell>
        </row>
        <row r="9019">
          <cell r="W9019" t="str">
            <v>QOYON01</v>
          </cell>
          <cell r="AD9019">
            <v>17000</v>
          </cell>
        </row>
        <row r="9020">
          <cell r="W9020" t="str">
            <v>QOYON01</v>
          </cell>
          <cell r="AD9020">
            <v>17000</v>
          </cell>
        </row>
        <row r="9021">
          <cell r="W9021" t="str">
            <v>QOYON01</v>
          </cell>
          <cell r="AD9021">
            <v>17000</v>
          </cell>
        </row>
        <row r="9022">
          <cell r="W9022" t="str">
            <v>QOYON01</v>
          </cell>
          <cell r="AD9022">
            <v>18000</v>
          </cell>
        </row>
        <row r="9023">
          <cell r="W9023" t="str">
            <v>QPACL01</v>
          </cell>
          <cell r="AD9023">
            <v>37500</v>
          </cell>
        </row>
        <row r="9024">
          <cell r="W9024" t="str">
            <v>QPACL01</v>
          </cell>
          <cell r="AD9024">
            <v>37500</v>
          </cell>
        </row>
        <row r="9025">
          <cell r="W9025" t="str">
            <v>QPACL01</v>
          </cell>
          <cell r="AD9025">
            <v>37500</v>
          </cell>
        </row>
        <row r="9026">
          <cell r="W9026" t="str">
            <v>QPACL01</v>
          </cell>
          <cell r="AD9026">
            <v>37500</v>
          </cell>
        </row>
        <row r="9027">
          <cell r="W9027" t="str">
            <v>QPACL01</v>
          </cell>
          <cell r="AD9027">
            <v>37500</v>
          </cell>
        </row>
        <row r="9028">
          <cell r="W9028" t="str">
            <v>QPACL01</v>
          </cell>
          <cell r="AD9028">
            <v>37500</v>
          </cell>
        </row>
        <row r="9029">
          <cell r="W9029" t="str">
            <v>QPACL01</v>
          </cell>
          <cell r="AD9029">
            <v>38000</v>
          </cell>
        </row>
        <row r="9030">
          <cell r="W9030" t="str">
            <v>QPACL01</v>
          </cell>
          <cell r="AD9030">
            <v>38500</v>
          </cell>
        </row>
        <row r="9031">
          <cell r="W9031" t="str">
            <v>QPACL01</v>
          </cell>
          <cell r="AD9031">
            <v>38500</v>
          </cell>
        </row>
        <row r="9032">
          <cell r="W9032" t="str">
            <v>QPACL01</v>
          </cell>
          <cell r="AD9032">
            <v>38500</v>
          </cell>
        </row>
        <row r="9033">
          <cell r="W9033" t="str">
            <v>QPACL01</v>
          </cell>
          <cell r="AD9033">
            <v>38500</v>
          </cell>
        </row>
        <row r="9034">
          <cell r="W9034" t="str">
            <v>QPACL01</v>
          </cell>
          <cell r="AD9034">
            <v>38500</v>
          </cell>
        </row>
        <row r="9035">
          <cell r="W9035" t="str">
            <v>QPACL01</v>
          </cell>
          <cell r="AD9035">
            <v>38500</v>
          </cell>
        </row>
        <row r="9036">
          <cell r="W9036" t="str">
            <v>QPACL01</v>
          </cell>
          <cell r="AD9036">
            <v>38500</v>
          </cell>
        </row>
        <row r="9037">
          <cell r="W9037" t="str">
            <v>QPACL01</v>
          </cell>
          <cell r="AD9037">
            <v>38500</v>
          </cell>
        </row>
        <row r="9038">
          <cell r="W9038" t="str">
            <v>QPACL01</v>
          </cell>
          <cell r="AD9038">
            <v>38500</v>
          </cell>
        </row>
        <row r="9039">
          <cell r="W9039" t="str">
            <v>QPACL01</v>
          </cell>
          <cell r="AD9039">
            <v>38500</v>
          </cell>
        </row>
        <row r="9040">
          <cell r="W9040" t="str">
            <v>QPACL01</v>
          </cell>
          <cell r="AD9040">
            <v>38500</v>
          </cell>
        </row>
        <row r="9041">
          <cell r="W9041" t="str">
            <v>QPACL01</v>
          </cell>
          <cell r="AD9041">
            <v>38500</v>
          </cell>
        </row>
        <row r="9042">
          <cell r="W9042" t="str">
            <v>QPACL01</v>
          </cell>
          <cell r="AD9042">
            <v>38500</v>
          </cell>
        </row>
        <row r="9043">
          <cell r="W9043" t="str">
            <v>QPAKE03</v>
          </cell>
          <cell r="AD9043">
            <v>135000</v>
          </cell>
        </row>
        <row r="9044">
          <cell r="W9044" t="str">
            <v>QPAKE03</v>
          </cell>
          <cell r="AD9044">
            <v>135000</v>
          </cell>
        </row>
        <row r="9045">
          <cell r="W9045" t="str">
            <v>QPAKE03</v>
          </cell>
          <cell r="AD9045">
            <v>135000</v>
          </cell>
        </row>
        <row r="9046">
          <cell r="W9046" t="str">
            <v>QPAKE03</v>
          </cell>
          <cell r="AD9046">
            <v>135000</v>
          </cell>
        </row>
        <row r="9047">
          <cell r="W9047" t="str">
            <v>QPAKE03</v>
          </cell>
          <cell r="AD9047">
            <v>135000</v>
          </cell>
        </row>
        <row r="9048">
          <cell r="W9048" t="str">
            <v>QPAKE03</v>
          </cell>
          <cell r="AD9048">
            <v>135000</v>
          </cell>
        </row>
        <row r="9049">
          <cell r="W9049" t="str">
            <v>QPAKE03</v>
          </cell>
          <cell r="AD9049">
            <v>135000</v>
          </cell>
        </row>
        <row r="9050">
          <cell r="W9050" t="str">
            <v>QPAKE03</v>
          </cell>
          <cell r="AD9050">
            <v>135000</v>
          </cell>
        </row>
        <row r="9051">
          <cell r="W9051" t="str">
            <v>QPAKE03</v>
          </cell>
          <cell r="AD9051">
            <v>135000</v>
          </cell>
        </row>
        <row r="9052">
          <cell r="W9052" t="str">
            <v>QPAKE03</v>
          </cell>
          <cell r="AD9052">
            <v>135000</v>
          </cell>
        </row>
        <row r="9053">
          <cell r="W9053" t="str">
            <v>QPAKE03</v>
          </cell>
          <cell r="AD9053">
            <v>135000</v>
          </cell>
        </row>
        <row r="9054">
          <cell r="W9054" t="str">
            <v>QPAKE03</v>
          </cell>
          <cell r="AD9054">
            <v>135000</v>
          </cell>
        </row>
        <row r="9055">
          <cell r="W9055" t="str">
            <v>QPAKE03</v>
          </cell>
          <cell r="AD9055">
            <v>135000</v>
          </cell>
        </row>
        <row r="9056">
          <cell r="W9056" t="str">
            <v>QPAKE03</v>
          </cell>
          <cell r="AD9056">
            <v>135000</v>
          </cell>
        </row>
        <row r="9057">
          <cell r="W9057" t="str">
            <v>QPAKE03</v>
          </cell>
          <cell r="AD9057">
            <v>135000</v>
          </cell>
        </row>
        <row r="9058">
          <cell r="W9058" t="str">
            <v>QPAKE03</v>
          </cell>
          <cell r="AD9058">
            <v>135000</v>
          </cell>
        </row>
        <row r="9059">
          <cell r="W9059" t="str">
            <v>QPAKE03</v>
          </cell>
          <cell r="AD9059">
            <v>135000</v>
          </cell>
        </row>
        <row r="9060">
          <cell r="W9060" t="str">
            <v>QPAKE03</v>
          </cell>
          <cell r="AD9060">
            <v>135000</v>
          </cell>
        </row>
        <row r="9061">
          <cell r="W9061" t="str">
            <v>QPAKE03</v>
          </cell>
          <cell r="AD9061">
            <v>135000</v>
          </cell>
        </row>
        <row r="9062">
          <cell r="W9062" t="str">
            <v>QPAKE03</v>
          </cell>
          <cell r="AD9062">
            <v>135000</v>
          </cell>
        </row>
        <row r="9063">
          <cell r="W9063" t="str">
            <v>QPAKE03</v>
          </cell>
          <cell r="AD9063">
            <v>135000</v>
          </cell>
        </row>
        <row r="9064">
          <cell r="W9064" t="str">
            <v>QPAKE03</v>
          </cell>
          <cell r="AD9064">
            <v>135000</v>
          </cell>
        </row>
        <row r="9065">
          <cell r="W9065" t="str">
            <v>QPAKE03</v>
          </cell>
          <cell r="AD9065">
            <v>136000</v>
          </cell>
        </row>
        <row r="9066">
          <cell r="W9066" t="str">
            <v>QPAKE03</v>
          </cell>
          <cell r="AD9066">
            <v>136000</v>
          </cell>
        </row>
        <row r="9067">
          <cell r="W9067" t="str">
            <v>QPAKE03</v>
          </cell>
          <cell r="AD9067">
            <v>137500</v>
          </cell>
        </row>
        <row r="9068">
          <cell r="W9068" t="str">
            <v>QPAKE03</v>
          </cell>
          <cell r="AD9068">
            <v>138000</v>
          </cell>
        </row>
        <row r="9069">
          <cell r="W9069" t="str">
            <v>QPAKE03</v>
          </cell>
          <cell r="AD9069">
            <v>138000</v>
          </cell>
        </row>
        <row r="9070">
          <cell r="W9070" t="str">
            <v>QPAKE03</v>
          </cell>
          <cell r="AD9070">
            <v>138000</v>
          </cell>
        </row>
        <row r="9071">
          <cell r="W9071" t="str">
            <v>QPAKE03</v>
          </cell>
          <cell r="AD9071">
            <v>138000</v>
          </cell>
        </row>
        <row r="9072">
          <cell r="W9072" t="str">
            <v>QPAKE03</v>
          </cell>
          <cell r="AD9072">
            <v>138000</v>
          </cell>
        </row>
        <row r="9073">
          <cell r="W9073" t="str">
            <v>QPAKE03</v>
          </cell>
          <cell r="AD9073">
            <v>140000</v>
          </cell>
        </row>
        <row r="9074">
          <cell r="W9074" t="str">
            <v>QPAKE03</v>
          </cell>
          <cell r="AD9074">
            <v>140000</v>
          </cell>
        </row>
        <row r="9075">
          <cell r="W9075" t="str">
            <v>QPAKE03</v>
          </cell>
          <cell r="AD9075">
            <v>140000</v>
          </cell>
        </row>
        <row r="9076">
          <cell r="W9076" t="str">
            <v>QPAKE03</v>
          </cell>
          <cell r="AD9076">
            <v>140000</v>
          </cell>
        </row>
        <row r="9077">
          <cell r="W9077" t="str">
            <v>QPAKE03</v>
          </cell>
          <cell r="AD9077">
            <v>140000</v>
          </cell>
        </row>
        <row r="9078">
          <cell r="W9078" t="str">
            <v>QPAKE03</v>
          </cell>
          <cell r="AD9078">
            <v>140000</v>
          </cell>
        </row>
        <row r="9079">
          <cell r="W9079" t="str">
            <v>QPAKE03</v>
          </cell>
          <cell r="AD9079">
            <v>140000</v>
          </cell>
        </row>
        <row r="9080">
          <cell r="W9080" t="str">
            <v>QPAKE03</v>
          </cell>
          <cell r="AD9080">
            <v>145000</v>
          </cell>
        </row>
        <row r="9081">
          <cell r="W9081" t="str">
            <v>QPAKE03</v>
          </cell>
          <cell r="AD9081">
            <v>145000</v>
          </cell>
        </row>
        <row r="9082">
          <cell r="W9082" t="str">
            <v>QPAKE04</v>
          </cell>
          <cell r="AD9082">
            <v>75000</v>
          </cell>
        </row>
        <row r="9083">
          <cell r="W9083" t="str">
            <v>QPAKE04</v>
          </cell>
          <cell r="AD9083">
            <v>75000</v>
          </cell>
        </row>
        <row r="9084">
          <cell r="W9084" t="str">
            <v>QPAKE04</v>
          </cell>
          <cell r="AD9084">
            <v>75000</v>
          </cell>
        </row>
        <row r="9085">
          <cell r="W9085" t="str">
            <v>QPAKE04</v>
          </cell>
          <cell r="AD9085">
            <v>75000</v>
          </cell>
        </row>
        <row r="9086">
          <cell r="W9086" t="str">
            <v>QPAKE04</v>
          </cell>
          <cell r="AD9086">
            <v>75000</v>
          </cell>
        </row>
        <row r="9087">
          <cell r="W9087" t="str">
            <v>QPAKE04</v>
          </cell>
          <cell r="AD9087">
            <v>75500</v>
          </cell>
        </row>
        <row r="9088">
          <cell r="W9088" t="str">
            <v>QPAKE04</v>
          </cell>
          <cell r="AD9088">
            <v>75500</v>
          </cell>
        </row>
        <row r="9089">
          <cell r="W9089" t="str">
            <v>QPAKE04</v>
          </cell>
          <cell r="AD9089">
            <v>75500</v>
          </cell>
        </row>
        <row r="9090">
          <cell r="W9090" t="str">
            <v>QPAKE04</v>
          </cell>
          <cell r="AD9090">
            <v>75500</v>
          </cell>
        </row>
        <row r="9091">
          <cell r="W9091" t="str">
            <v>QPAKE04</v>
          </cell>
          <cell r="AD9091">
            <v>75500</v>
          </cell>
        </row>
        <row r="9092">
          <cell r="W9092" t="str">
            <v>QPAKE04</v>
          </cell>
          <cell r="AD9092">
            <v>75500</v>
          </cell>
        </row>
        <row r="9093">
          <cell r="W9093" t="str">
            <v>QPAKE04</v>
          </cell>
          <cell r="AD9093">
            <v>75500</v>
          </cell>
        </row>
        <row r="9094">
          <cell r="W9094" t="str">
            <v>QPAKE04</v>
          </cell>
          <cell r="AD9094">
            <v>75500</v>
          </cell>
        </row>
        <row r="9095">
          <cell r="W9095" t="str">
            <v>QPAKE04</v>
          </cell>
          <cell r="AD9095">
            <v>75500</v>
          </cell>
        </row>
        <row r="9096">
          <cell r="W9096" t="str">
            <v>QPAKE04</v>
          </cell>
          <cell r="AD9096">
            <v>75500</v>
          </cell>
        </row>
        <row r="9097">
          <cell r="W9097" t="str">
            <v>QPAKE04</v>
          </cell>
          <cell r="AD9097">
            <v>75500</v>
          </cell>
        </row>
        <row r="9098">
          <cell r="W9098" t="str">
            <v>QPAKE04</v>
          </cell>
          <cell r="AD9098">
            <v>75500</v>
          </cell>
        </row>
        <row r="9099">
          <cell r="W9099" t="str">
            <v>QPAKE04</v>
          </cell>
          <cell r="AD9099">
            <v>75500</v>
          </cell>
        </row>
        <row r="9100">
          <cell r="W9100" t="str">
            <v>QPAKE04</v>
          </cell>
          <cell r="AD9100">
            <v>75500</v>
          </cell>
        </row>
        <row r="9101">
          <cell r="W9101" t="str">
            <v>QPAKE04</v>
          </cell>
          <cell r="AD9101">
            <v>75500</v>
          </cell>
        </row>
        <row r="9102">
          <cell r="W9102" t="str">
            <v>QPAKE04</v>
          </cell>
          <cell r="AD9102">
            <v>75500</v>
          </cell>
        </row>
        <row r="9103">
          <cell r="W9103" t="str">
            <v>QPAKE04</v>
          </cell>
          <cell r="AD9103">
            <v>76000</v>
          </cell>
        </row>
        <row r="9104">
          <cell r="W9104" t="str">
            <v>QPAKE04</v>
          </cell>
          <cell r="AD9104">
            <v>76000</v>
          </cell>
        </row>
        <row r="9105">
          <cell r="W9105" t="str">
            <v>QPAKE04</v>
          </cell>
          <cell r="AD9105">
            <v>76000</v>
          </cell>
        </row>
        <row r="9106">
          <cell r="W9106" t="str">
            <v>QPAKE04</v>
          </cell>
          <cell r="AD9106">
            <v>76000</v>
          </cell>
        </row>
        <row r="9107">
          <cell r="W9107" t="str">
            <v>QPAKE04</v>
          </cell>
          <cell r="AD9107">
            <v>76000</v>
          </cell>
        </row>
        <row r="9108">
          <cell r="W9108" t="str">
            <v>QPAKE04</v>
          </cell>
          <cell r="AD9108">
            <v>76000</v>
          </cell>
        </row>
        <row r="9109">
          <cell r="W9109" t="str">
            <v>QPAKE04</v>
          </cell>
          <cell r="AD9109">
            <v>76000</v>
          </cell>
        </row>
        <row r="9110">
          <cell r="W9110" t="str">
            <v>QPAKE04</v>
          </cell>
          <cell r="AD9110">
            <v>77000</v>
          </cell>
        </row>
        <row r="9111">
          <cell r="W9111" t="str">
            <v>QPAKE04</v>
          </cell>
          <cell r="AD9111">
            <v>77000</v>
          </cell>
        </row>
        <row r="9112">
          <cell r="W9112" t="str">
            <v>QPAKE04</v>
          </cell>
          <cell r="AD9112">
            <v>78000</v>
          </cell>
        </row>
        <row r="9113">
          <cell r="W9113" t="str">
            <v>QPAKE04</v>
          </cell>
          <cell r="AD9113">
            <v>78000</v>
          </cell>
        </row>
        <row r="9114">
          <cell r="W9114" t="str">
            <v>QPAKE04</v>
          </cell>
          <cell r="AD9114">
            <v>78000</v>
          </cell>
        </row>
        <row r="9115">
          <cell r="W9115" t="str">
            <v>QPAKE04</v>
          </cell>
          <cell r="AD9115">
            <v>78000</v>
          </cell>
        </row>
        <row r="9116">
          <cell r="W9116" t="str">
            <v>QPAKE04</v>
          </cell>
          <cell r="AD9116">
            <v>78000</v>
          </cell>
        </row>
        <row r="9117">
          <cell r="W9117" t="str">
            <v>QPAKE04</v>
          </cell>
          <cell r="AD9117">
            <v>78000</v>
          </cell>
        </row>
        <row r="9118">
          <cell r="W9118" t="str">
            <v>QPAKE04</v>
          </cell>
          <cell r="AD9118">
            <v>78000</v>
          </cell>
        </row>
        <row r="9119">
          <cell r="W9119" t="str">
            <v>QPAKE04</v>
          </cell>
          <cell r="AD9119">
            <v>78000</v>
          </cell>
        </row>
        <row r="9120">
          <cell r="W9120" t="str">
            <v>QPAKE04</v>
          </cell>
          <cell r="AD9120">
            <v>78000</v>
          </cell>
        </row>
        <row r="9121">
          <cell r="W9121" t="str">
            <v>QPAKE04</v>
          </cell>
          <cell r="AD9121">
            <v>78000</v>
          </cell>
        </row>
        <row r="9122">
          <cell r="W9122" t="str">
            <v>QPAKE04</v>
          </cell>
          <cell r="AD9122">
            <v>78000</v>
          </cell>
        </row>
        <row r="9123">
          <cell r="W9123" t="str">
            <v>QPAKE04</v>
          </cell>
          <cell r="AD9123">
            <v>78000</v>
          </cell>
        </row>
        <row r="9124">
          <cell r="W9124" t="str">
            <v>QPAKE04</v>
          </cell>
          <cell r="AD9124">
            <v>78000</v>
          </cell>
        </row>
        <row r="9125">
          <cell r="W9125" t="str">
            <v>QPAKE04</v>
          </cell>
          <cell r="AD9125">
            <v>78000</v>
          </cell>
        </row>
        <row r="9126">
          <cell r="W9126" t="str">
            <v>QPAKE04</v>
          </cell>
          <cell r="AD9126">
            <v>78000</v>
          </cell>
        </row>
        <row r="9127">
          <cell r="W9127" t="str">
            <v>QPAKE04</v>
          </cell>
          <cell r="AD9127">
            <v>78000</v>
          </cell>
        </row>
        <row r="9128">
          <cell r="W9128" t="str">
            <v>QPAKE04</v>
          </cell>
          <cell r="AD9128">
            <v>78000</v>
          </cell>
        </row>
        <row r="9129">
          <cell r="W9129" t="str">
            <v>QPAKE04</v>
          </cell>
          <cell r="AD9129">
            <v>78000</v>
          </cell>
        </row>
        <row r="9130">
          <cell r="W9130" t="str">
            <v>QPAKE04</v>
          </cell>
          <cell r="AD9130">
            <v>78000</v>
          </cell>
        </row>
        <row r="9131">
          <cell r="W9131" t="str">
            <v>QPAKE04</v>
          </cell>
          <cell r="AD9131">
            <v>78000</v>
          </cell>
        </row>
        <row r="9132">
          <cell r="W9132" t="str">
            <v>QPAKE04</v>
          </cell>
          <cell r="AD9132">
            <v>78000</v>
          </cell>
        </row>
        <row r="9133">
          <cell r="W9133" t="str">
            <v>QPAKE04</v>
          </cell>
          <cell r="AD9133">
            <v>78000</v>
          </cell>
        </row>
        <row r="9134">
          <cell r="W9134" t="str">
            <v>QPAKE04</v>
          </cell>
          <cell r="AD9134">
            <v>78000</v>
          </cell>
        </row>
        <row r="9135">
          <cell r="W9135" t="str">
            <v>QPAKE04</v>
          </cell>
          <cell r="AD9135">
            <v>78000</v>
          </cell>
        </row>
        <row r="9136">
          <cell r="W9136" t="str">
            <v>QPAKE04</v>
          </cell>
          <cell r="AD9136">
            <v>78000</v>
          </cell>
        </row>
        <row r="9137">
          <cell r="W9137" t="str">
            <v>QPAKE04</v>
          </cell>
          <cell r="AD9137">
            <v>80000</v>
          </cell>
        </row>
        <row r="9138">
          <cell r="W9138" t="str">
            <v>QPAKE04</v>
          </cell>
          <cell r="AD9138">
            <v>80000</v>
          </cell>
        </row>
        <row r="9139">
          <cell r="W9139" t="str">
            <v>QPAKE04</v>
          </cell>
          <cell r="AD9139">
            <v>80000</v>
          </cell>
        </row>
        <row r="9140">
          <cell r="W9140" t="str">
            <v>QPAKE04</v>
          </cell>
          <cell r="AD9140">
            <v>80000</v>
          </cell>
        </row>
        <row r="9141">
          <cell r="W9141" t="str">
            <v>QPAKE04</v>
          </cell>
          <cell r="AD9141">
            <v>80000</v>
          </cell>
        </row>
        <row r="9142">
          <cell r="W9142" t="str">
            <v>QPAKE01</v>
          </cell>
          <cell r="AD9142">
            <v>273500</v>
          </cell>
        </row>
        <row r="9143">
          <cell r="W9143" t="str">
            <v>QPAKE01</v>
          </cell>
          <cell r="AD9143">
            <v>273500</v>
          </cell>
        </row>
        <row r="9144">
          <cell r="W9144" t="str">
            <v>QPAKE01</v>
          </cell>
          <cell r="AD9144">
            <v>274000</v>
          </cell>
        </row>
        <row r="9145">
          <cell r="W9145" t="str">
            <v>QPAKE01</v>
          </cell>
          <cell r="AD9145">
            <v>274000</v>
          </cell>
        </row>
        <row r="9146">
          <cell r="W9146" t="str">
            <v>QPAKE01</v>
          </cell>
          <cell r="AD9146">
            <v>274500</v>
          </cell>
        </row>
        <row r="9147">
          <cell r="W9147" t="str">
            <v>QPAKE01</v>
          </cell>
          <cell r="AD9147">
            <v>274500</v>
          </cell>
        </row>
        <row r="9148">
          <cell r="W9148" t="str">
            <v>QPAKE01</v>
          </cell>
          <cell r="AD9148">
            <v>274500</v>
          </cell>
        </row>
        <row r="9149">
          <cell r="W9149" t="str">
            <v>QPAKE01</v>
          </cell>
          <cell r="AD9149">
            <v>274500</v>
          </cell>
        </row>
        <row r="9150">
          <cell r="W9150" t="str">
            <v>QPAKE01</v>
          </cell>
          <cell r="AD9150">
            <v>274500</v>
          </cell>
        </row>
        <row r="9151">
          <cell r="W9151" t="str">
            <v>QPAKE01</v>
          </cell>
          <cell r="AD9151">
            <v>274500</v>
          </cell>
        </row>
        <row r="9152">
          <cell r="W9152" t="str">
            <v>QPAKE01</v>
          </cell>
          <cell r="AD9152">
            <v>275000</v>
          </cell>
        </row>
        <row r="9153">
          <cell r="W9153" t="str">
            <v>QPAKE01</v>
          </cell>
          <cell r="AD9153">
            <v>275000</v>
          </cell>
        </row>
        <row r="9154">
          <cell r="W9154" t="str">
            <v>QPAKE01</v>
          </cell>
          <cell r="AD9154">
            <v>275000</v>
          </cell>
        </row>
        <row r="9155">
          <cell r="W9155" t="str">
            <v>QPAKE01</v>
          </cell>
          <cell r="AD9155">
            <v>275000</v>
          </cell>
        </row>
        <row r="9156">
          <cell r="W9156" t="str">
            <v>QPAKE01</v>
          </cell>
          <cell r="AD9156">
            <v>278000</v>
          </cell>
        </row>
        <row r="9157">
          <cell r="W9157" t="str">
            <v>QPAKE01</v>
          </cell>
          <cell r="AD9157">
            <v>278000</v>
          </cell>
        </row>
        <row r="9158">
          <cell r="W9158" t="str">
            <v>QPAKE01</v>
          </cell>
          <cell r="AD9158">
            <v>278000</v>
          </cell>
        </row>
        <row r="9159">
          <cell r="W9159" t="str">
            <v>QPAKE01</v>
          </cell>
          <cell r="AD9159">
            <v>278500</v>
          </cell>
        </row>
        <row r="9160">
          <cell r="W9160" t="str">
            <v>QPAKE01</v>
          </cell>
          <cell r="AD9160">
            <v>278500</v>
          </cell>
        </row>
        <row r="9161">
          <cell r="W9161" t="str">
            <v>QPAKE01</v>
          </cell>
          <cell r="AD9161">
            <v>278500</v>
          </cell>
        </row>
        <row r="9162">
          <cell r="W9162" t="str">
            <v>QPAKE01</v>
          </cell>
          <cell r="AD9162">
            <v>278500</v>
          </cell>
        </row>
        <row r="9163">
          <cell r="W9163" t="str">
            <v>QPAKE01</v>
          </cell>
          <cell r="AD9163">
            <v>278500</v>
          </cell>
        </row>
        <row r="9164">
          <cell r="W9164" t="str">
            <v>QPAKE01</v>
          </cell>
          <cell r="AD9164">
            <v>278500</v>
          </cell>
        </row>
        <row r="9165">
          <cell r="W9165" t="str">
            <v>QPAKE01</v>
          </cell>
          <cell r="AD9165">
            <v>278500</v>
          </cell>
        </row>
        <row r="9166">
          <cell r="W9166" t="str">
            <v>QPAKE01</v>
          </cell>
          <cell r="AD9166">
            <v>278500</v>
          </cell>
        </row>
        <row r="9167">
          <cell r="W9167" t="str">
            <v>QPAKE01</v>
          </cell>
          <cell r="AD9167">
            <v>278500</v>
          </cell>
        </row>
        <row r="9168">
          <cell r="W9168" t="str">
            <v>QPAKE01</v>
          </cell>
          <cell r="AD9168">
            <v>278500</v>
          </cell>
        </row>
        <row r="9169">
          <cell r="W9169" t="str">
            <v>QPAKE01</v>
          </cell>
          <cell r="AD9169">
            <v>278500</v>
          </cell>
        </row>
        <row r="9170">
          <cell r="W9170" t="str">
            <v>QPAKE01</v>
          </cell>
          <cell r="AD9170">
            <v>278500</v>
          </cell>
        </row>
        <row r="9171">
          <cell r="W9171" t="str">
            <v>QPAKE01</v>
          </cell>
          <cell r="AD9171">
            <v>278500</v>
          </cell>
        </row>
        <row r="9172">
          <cell r="W9172" t="str">
            <v>QPAKE01</v>
          </cell>
          <cell r="AD9172">
            <v>278500</v>
          </cell>
        </row>
        <row r="9173">
          <cell r="W9173" t="str">
            <v>QPAKE01</v>
          </cell>
          <cell r="AD9173">
            <v>278500</v>
          </cell>
        </row>
        <row r="9174">
          <cell r="W9174" t="str">
            <v>QPAKE01</v>
          </cell>
          <cell r="AD9174">
            <v>278500</v>
          </cell>
        </row>
        <row r="9175">
          <cell r="W9175" t="str">
            <v>QPAKE01</v>
          </cell>
          <cell r="AD9175">
            <v>278500</v>
          </cell>
        </row>
        <row r="9176">
          <cell r="W9176" t="str">
            <v>QPAKE01</v>
          </cell>
          <cell r="AD9176">
            <v>278500</v>
          </cell>
        </row>
        <row r="9177">
          <cell r="W9177" t="str">
            <v>QPAKE01</v>
          </cell>
          <cell r="AD9177">
            <v>278500</v>
          </cell>
        </row>
        <row r="9178">
          <cell r="W9178" t="str">
            <v>QPAKE01</v>
          </cell>
          <cell r="AD9178">
            <v>278500</v>
          </cell>
        </row>
        <row r="9179">
          <cell r="W9179" t="str">
            <v>QPAKE01</v>
          </cell>
          <cell r="AD9179">
            <v>278500</v>
          </cell>
        </row>
        <row r="9180">
          <cell r="W9180" t="str">
            <v>QPAKE01</v>
          </cell>
          <cell r="AD9180">
            <v>278500</v>
          </cell>
        </row>
        <row r="9181">
          <cell r="W9181" t="str">
            <v>QPAKE01</v>
          </cell>
          <cell r="AD9181">
            <v>279000</v>
          </cell>
        </row>
        <row r="9182">
          <cell r="W9182" t="str">
            <v>QPAKE01</v>
          </cell>
          <cell r="AD9182">
            <v>279000</v>
          </cell>
        </row>
        <row r="9183">
          <cell r="W9183" t="str">
            <v>QPAKE01</v>
          </cell>
          <cell r="AD9183">
            <v>279000</v>
          </cell>
        </row>
        <row r="9184">
          <cell r="W9184" t="str">
            <v>QPAKE01</v>
          </cell>
          <cell r="AD9184">
            <v>279000</v>
          </cell>
        </row>
        <row r="9185">
          <cell r="W9185" t="str">
            <v>QPAKE01</v>
          </cell>
          <cell r="AD9185">
            <v>280000</v>
          </cell>
        </row>
        <row r="9186">
          <cell r="W9186" t="str">
            <v>QPAKE01</v>
          </cell>
          <cell r="AD9186">
            <v>280000</v>
          </cell>
        </row>
        <row r="9187">
          <cell r="W9187" t="str">
            <v>QPAKE01</v>
          </cell>
          <cell r="AD9187">
            <v>280000</v>
          </cell>
        </row>
        <row r="9188">
          <cell r="W9188" t="str">
            <v>QPAKE01</v>
          </cell>
          <cell r="AD9188">
            <v>280000</v>
          </cell>
        </row>
        <row r="9189">
          <cell r="W9189" t="str">
            <v>QPAKE01</v>
          </cell>
          <cell r="AD9189">
            <v>280000</v>
          </cell>
        </row>
        <row r="9190">
          <cell r="W9190" t="str">
            <v>QPAKE01</v>
          </cell>
          <cell r="AD9190">
            <v>280000</v>
          </cell>
        </row>
        <row r="9191">
          <cell r="W9191" t="str">
            <v>QPAKE01</v>
          </cell>
          <cell r="AD9191">
            <v>280000</v>
          </cell>
        </row>
        <row r="9192">
          <cell r="W9192" t="str">
            <v>QPAKE01</v>
          </cell>
          <cell r="AD9192">
            <v>280000</v>
          </cell>
        </row>
        <row r="9193">
          <cell r="W9193" t="str">
            <v>QPAKE01</v>
          </cell>
          <cell r="AD9193">
            <v>280000</v>
          </cell>
        </row>
        <row r="9194">
          <cell r="W9194" t="str">
            <v>QPAKE01</v>
          </cell>
          <cell r="AD9194">
            <v>282000</v>
          </cell>
        </row>
        <row r="9195">
          <cell r="W9195" t="str">
            <v>QPAKE01</v>
          </cell>
          <cell r="AD9195">
            <v>282500</v>
          </cell>
        </row>
        <row r="9196">
          <cell r="W9196" t="str">
            <v>QPAKE01</v>
          </cell>
          <cell r="AD9196">
            <v>285000</v>
          </cell>
        </row>
        <row r="9197">
          <cell r="W9197" t="str">
            <v>QPAKE01</v>
          </cell>
          <cell r="AD9197">
            <v>285000</v>
          </cell>
        </row>
        <row r="9198">
          <cell r="W9198" t="str">
            <v>QPAKE01</v>
          </cell>
          <cell r="AD9198">
            <v>285000</v>
          </cell>
        </row>
        <row r="9199">
          <cell r="W9199" t="str">
            <v>QPAKE01</v>
          </cell>
          <cell r="AD9199">
            <v>285000</v>
          </cell>
        </row>
        <row r="9200">
          <cell r="W9200" t="str">
            <v>QPAKE02</v>
          </cell>
          <cell r="AD9200">
            <v>163000</v>
          </cell>
        </row>
        <row r="9201">
          <cell r="W9201" t="str">
            <v>QPAKE02</v>
          </cell>
          <cell r="AD9201">
            <v>163000</v>
          </cell>
        </row>
        <row r="9202">
          <cell r="W9202" t="str">
            <v>QPAKE02</v>
          </cell>
          <cell r="AD9202">
            <v>163000</v>
          </cell>
        </row>
        <row r="9203">
          <cell r="W9203" t="str">
            <v>QPAKE02</v>
          </cell>
          <cell r="AD9203">
            <v>163000</v>
          </cell>
        </row>
        <row r="9204">
          <cell r="W9204" t="str">
            <v>QPAKE02</v>
          </cell>
          <cell r="AD9204">
            <v>163000</v>
          </cell>
        </row>
        <row r="9205">
          <cell r="W9205" t="str">
            <v>QPAKE02</v>
          </cell>
          <cell r="AD9205">
            <v>163500</v>
          </cell>
        </row>
        <row r="9206">
          <cell r="W9206" t="str">
            <v>QPAKE02</v>
          </cell>
          <cell r="AD9206">
            <v>165000</v>
          </cell>
        </row>
        <row r="9207">
          <cell r="W9207" t="str">
            <v>QPAKE02</v>
          </cell>
          <cell r="AD9207">
            <v>165000</v>
          </cell>
        </row>
        <row r="9208">
          <cell r="W9208" t="str">
            <v>QPAKE02</v>
          </cell>
          <cell r="AD9208">
            <v>167000</v>
          </cell>
        </row>
        <row r="9209">
          <cell r="W9209" t="str">
            <v>QPAKE02</v>
          </cell>
          <cell r="AD9209">
            <v>167000</v>
          </cell>
        </row>
        <row r="9210">
          <cell r="W9210" t="str">
            <v>QPAKE02</v>
          </cell>
          <cell r="AD9210">
            <v>167000</v>
          </cell>
        </row>
        <row r="9211">
          <cell r="W9211" t="str">
            <v>QPAKE02</v>
          </cell>
          <cell r="AD9211">
            <v>167000</v>
          </cell>
        </row>
        <row r="9212">
          <cell r="W9212" t="str">
            <v>QPAKE02</v>
          </cell>
          <cell r="AD9212">
            <v>167000</v>
          </cell>
        </row>
        <row r="9213">
          <cell r="W9213" t="str">
            <v>QPAKE02</v>
          </cell>
          <cell r="AD9213">
            <v>168000</v>
          </cell>
        </row>
        <row r="9214">
          <cell r="W9214" t="str">
            <v>QPAKE02</v>
          </cell>
          <cell r="AD9214">
            <v>168000</v>
          </cell>
        </row>
        <row r="9215">
          <cell r="W9215" t="str">
            <v>QPAKE02</v>
          </cell>
          <cell r="AD9215">
            <v>168000</v>
          </cell>
        </row>
        <row r="9216">
          <cell r="W9216" t="str">
            <v>QPAKE02</v>
          </cell>
          <cell r="AD9216">
            <v>168000</v>
          </cell>
        </row>
        <row r="9217">
          <cell r="W9217" t="str">
            <v>QPAKE02</v>
          </cell>
          <cell r="AD9217">
            <v>168500</v>
          </cell>
        </row>
        <row r="9218">
          <cell r="W9218" t="str">
            <v>QPAKE02</v>
          </cell>
          <cell r="AD9218">
            <v>168500</v>
          </cell>
        </row>
        <row r="9219">
          <cell r="W9219" t="str">
            <v>QPAKE02</v>
          </cell>
          <cell r="AD9219">
            <v>168500</v>
          </cell>
        </row>
        <row r="9220">
          <cell r="W9220" t="str">
            <v>QPAKE02</v>
          </cell>
          <cell r="AD9220">
            <v>168500</v>
          </cell>
        </row>
        <row r="9221">
          <cell r="W9221" t="str">
            <v>QPAKE02</v>
          </cell>
          <cell r="AD9221">
            <v>168500</v>
          </cell>
        </row>
        <row r="9222">
          <cell r="W9222" t="str">
            <v>QPAKE02</v>
          </cell>
          <cell r="AD9222">
            <v>168500</v>
          </cell>
        </row>
        <row r="9223">
          <cell r="W9223" t="str">
            <v>QPAKE02</v>
          </cell>
          <cell r="AD9223">
            <v>168500</v>
          </cell>
        </row>
        <row r="9224">
          <cell r="W9224" t="str">
            <v>QPAKE02</v>
          </cell>
          <cell r="AD9224">
            <v>168500</v>
          </cell>
        </row>
        <row r="9225">
          <cell r="W9225" t="str">
            <v>QPAKE02</v>
          </cell>
          <cell r="AD9225">
            <v>168500</v>
          </cell>
        </row>
        <row r="9226">
          <cell r="W9226" t="str">
            <v>QPAKE02</v>
          </cell>
          <cell r="AD9226">
            <v>168500</v>
          </cell>
        </row>
        <row r="9227">
          <cell r="W9227" t="str">
            <v>QPAKE02</v>
          </cell>
          <cell r="AD9227">
            <v>168500</v>
          </cell>
        </row>
        <row r="9228">
          <cell r="W9228" t="str">
            <v>QPAKE02</v>
          </cell>
          <cell r="AD9228">
            <v>170000</v>
          </cell>
        </row>
        <row r="9229">
          <cell r="W9229" t="str">
            <v>QPAKE02</v>
          </cell>
          <cell r="AD9229">
            <v>170000</v>
          </cell>
        </row>
        <row r="9230">
          <cell r="W9230" t="str">
            <v>QPAKE02</v>
          </cell>
          <cell r="AD9230">
            <v>170000</v>
          </cell>
        </row>
        <row r="9231">
          <cell r="W9231" t="str">
            <v>QPAKE02</v>
          </cell>
          <cell r="AD9231">
            <v>170000</v>
          </cell>
        </row>
        <row r="9232">
          <cell r="W9232" t="str">
            <v>QPAKE02</v>
          </cell>
          <cell r="AD9232">
            <v>170000</v>
          </cell>
        </row>
        <row r="9233">
          <cell r="W9233" t="str">
            <v>QPAKE02</v>
          </cell>
          <cell r="AD9233">
            <v>170000</v>
          </cell>
        </row>
        <row r="9234">
          <cell r="W9234" t="str">
            <v>QPAKE02</v>
          </cell>
          <cell r="AD9234">
            <v>170000</v>
          </cell>
        </row>
        <row r="9235">
          <cell r="W9235" t="str">
            <v>QPAKE02</v>
          </cell>
          <cell r="AD9235">
            <v>170000</v>
          </cell>
        </row>
        <row r="9236">
          <cell r="W9236" t="str">
            <v>QPAKE02</v>
          </cell>
          <cell r="AD9236">
            <v>170000</v>
          </cell>
        </row>
        <row r="9237">
          <cell r="W9237" t="str">
            <v>QPAKE07</v>
          </cell>
          <cell r="AD9237">
            <v>120000</v>
          </cell>
        </row>
        <row r="9238">
          <cell r="W9238" t="str">
            <v>QPAKE07</v>
          </cell>
          <cell r="AD9238">
            <v>120000</v>
          </cell>
        </row>
        <row r="9239">
          <cell r="W9239" t="str">
            <v>QPAKE07</v>
          </cell>
          <cell r="AD9239">
            <v>120000</v>
          </cell>
        </row>
        <row r="9240">
          <cell r="W9240" t="str">
            <v>QPAKE07</v>
          </cell>
          <cell r="AD9240">
            <v>120000</v>
          </cell>
        </row>
        <row r="9241">
          <cell r="W9241" t="str">
            <v>QPAPA03</v>
          </cell>
          <cell r="AD9241">
            <v>760000</v>
          </cell>
        </row>
        <row r="9242">
          <cell r="W9242" t="str">
            <v>QPAPA03</v>
          </cell>
          <cell r="AD9242">
            <v>860000</v>
          </cell>
        </row>
        <row r="9243">
          <cell r="W9243" t="str">
            <v>QPAPA03</v>
          </cell>
          <cell r="AD9243">
            <v>880000</v>
          </cell>
        </row>
        <row r="9244">
          <cell r="W9244" t="str">
            <v>QPAPA03</v>
          </cell>
          <cell r="AD9244">
            <v>880000</v>
          </cell>
        </row>
        <row r="9245">
          <cell r="W9245" t="str">
            <v>QPAPA01</v>
          </cell>
          <cell r="AD9245">
            <v>43000</v>
          </cell>
        </row>
        <row r="9246">
          <cell r="W9246" t="str">
            <v>QPAPA01</v>
          </cell>
          <cell r="AD9246">
            <v>43000</v>
          </cell>
        </row>
        <row r="9247">
          <cell r="W9247" t="str">
            <v>QPAPA01</v>
          </cell>
          <cell r="AD9247">
            <v>43000</v>
          </cell>
        </row>
        <row r="9248">
          <cell r="W9248" t="str">
            <v>QPAPA01</v>
          </cell>
          <cell r="AD9248">
            <v>43000</v>
          </cell>
        </row>
        <row r="9249">
          <cell r="W9249" t="str">
            <v>QPAPA01</v>
          </cell>
          <cell r="AD9249">
            <v>43000</v>
          </cell>
        </row>
        <row r="9250">
          <cell r="W9250" t="str">
            <v>QPAPA01</v>
          </cell>
          <cell r="AD9250">
            <v>43000</v>
          </cell>
        </row>
        <row r="9251">
          <cell r="W9251" t="str">
            <v>QPAPA01</v>
          </cell>
          <cell r="AD9251">
            <v>43000</v>
          </cell>
        </row>
        <row r="9252">
          <cell r="W9252" t="str">
            <v>QPAPA01</v>
          </cell>
          <cell r="AD9252">
            <v>43000</v>
          </cell>
        </row>
        <row r="9253">
          <cell r="W9253" t="str">
            <v>QPAPA01</v>
          </cell>
          <cell r="AD9253">
            <v>46000</v>
          </cell>
        </row>
        <row r="9254">
          <cell r="W9254" t="str">
            <v>QPAPA01</v>
          </cell>
          <cell r="AD9254">
            <v>46000</v>
          </cell>
        </row>
        <row r="9255">
          <cell r="W9255" t="str">
            <v>QPAPA01</v>
          </cell>
          <cell r="AD9255">
            <v>46000</v>
          </cell>
        </row>
        <row r="9256">
          <cell r="W9256" t="str">
            <v>QPAPA01</v>
          </cell>
          <cell r="AD9256">
            <v>46000</v>
          </cell>
        </row>
        <row r="9257">
          <cell r="W9257" t="str">
            <v>QPAPA01</v>
          </cell>
          <cell r="AD9257">
            <v>46000</v>
          </cell>
        </row>
        <row r="9258">
          <cell r="W9258" t="str">
            <v>QPAPA02</v>
          </cell>
          <cell r="AD9258">
            <v>195000</v>
          </cell>
        </row>
        <row r="9259">
          <cell r="W9259" t="str">
            <v>QPAPA02</v>
          </cell>
          <cell r="AD9259">
            <v>195000</v>
          </cell>
        </row>
        <row r="9260">
          <cell r="W9260" t="str">
            <v>APAPA02</v>
          </cell>
          <cell r="AD9260">
            <v>195000</v>
          </cell>
        </row>
        <row r="9261">
          <cell r="W9261" t="str">
            <v>APAPA02</v>
          </cell>
          <cell r="AD9261">
            <v>195000</v>
          </cell>
        </row>
        <row r="9262">
          <cell r="W9262" t="str">
            <v>APAPA02</v>
          </cell>
          <cell r="AD9262">
            <v>220000</v>
          </cell>
        </row>
        <row r="9263">
          <cell r="W9263" t="str">
            <v>APAPA02</v>
          </cell>
          <cell r="AD9263">
            <v>220000</v>
          </cell>
        </row>
        <row r="9264">
          <cell r="W9264" t="str">
            <v>QPAPA02</v>
          </cell>
          <cell r="AD9264">
            <v>220000</v>
          </cell>
        </row>
        <row r="9265">
          <cell r="W9265" t="str">
            <v>QPARA02</v>
          </cell>
          <cell r="AD9265">
            <v>56000</v>
          </cell>
        </row>
        <row r="9266">
          <cell r="W9266" t="str">
            <v>QPARA02</v>
          </cell>
          <cell r="AD9266">
            <v>56000</v>
          </cell>
        </row>
        <row r="9267">
          <cell r="W9267" t="str">
            <v>QPARA02</v>
          </cell>
          <cell r="AD9267">
            <v>56000</v>
          </cell>
        </row>
        <row r="9268">
          <cell r="W9268" t="str">
            <v>QPARA02</v>
          </cell>
          <cell r="AD9268">
            <v>57000</v>
          </cell>
        </row>
        <row r="9269">
          <cell r="W9269" t="str">
            <v>QPARA02</v>
          </cell>
          <cell r="AD9269">
            <v>57000</v>
          </cell>
        </row>
        <row r="9270">
          <cell r="W9270" t="str">
            <v>QPARA02</v>
          </cell>
          <cell r="AD9270">
            <v>57000</v>
          </cell>
        </row>
        <row r="9271">
          <cell r="W9271" t="str">
            <v>QPARA02</v>
          </cell>
          <cell r="AD9271">
            <v>57000</v>
          </cell>
        </row>
        <row r="9272">
          <cell r="W9272" t="str">
            <v>QPARA02</v>
          </cell>
          <cell r="AD9272">
            <v>57500</v>
          </cell>
        </row>
        <row r="9273">
          <cell r="W9273" t="str">
            <v>QPARA02</v>
          </cell>
          <cell r="AD9273">
            <v>57500</v>
          </cell>
        </row>
        <row r="9274">
          <cell r="W9274" t="str">
            <v>QPARA02</v>
          </cell>
          <cell r="AD9274">
            <v>57500</v>
          </cell>
        </row>
        <row r="9275">
          <cell r="W9275" t="str">
            <v>QPARA02</v>
          </cell>
          <cell r="AD9275">
            <v>58000</v>
          </cell>
        </row>
        <row r="9276">
          <cell r="W9276" t="str">
            <v>QPARA02</v>
          </cell>
          <cell r="AD9276">
            <v>58000</v>
          </cell>
        </row>
        <row r="9277">
          <cell r="W9277" t="str">
            <v>QPARE04</v>
          </cell>
          <cell r="AD9277">
            <v>16500</v>
          </cell>
        </row>
        <row r="9278">
          <cell r="W9278" t="str">
            <v>QPARE04</v>
          </cell>
          <cell r="AD9278">
            <v>21000</v>
          </cell>
        </row>
        <row r="9279">
          <cell r="W9279" t="str">
            <v>QPARE04</v>
          </cell>
          <cell r="AD9279">
            <v>21000</v>
          </cell>
        </row>
        <row r="9280">
          <cell r="W9280" t="str">
            <v>APARE01</v>
          </cell>
          <cell r="AD9280">
            <v>1</v>
          </cell>
        </row>
        <row r="9281">
          <cell r="W9281" t="str">
            <v>QPARE01</v>
          </cell>
          <cell r="AD9281">
            <v>16000</v>
          </cell>
        </row>
        <row r="9282">
          <cell r="W9282" t="str">
            <v>QPARE01</v>
          </cell>
          <cell r="AD9282">
            <v>16000</v>
          </cell>
        </row>
        <row r="9283">
          <cell r="W9283" t="str">
            <v>QPARE01</v>
          </cell>
          <cell r="AD9283">
            <v>16000</v>
          </cell>
        </row>
        <row r="9284">
          <cell r="W9284" t="str">
            <v>QPARE01</v>
          </cell>
          <cell r="AD9284">
            <v>16000</v>
          </cell>
        </row>
        <row r="9285">
          <cell r="W9285" t="str">
            <v>QPARE01</v>
          </cell>
          <cell r="AD9285">
            <v>16500</v>
          </cell>
        </row>
        <row r="9286">
          <cell r="W9286" t="str">
            <v>QPARE01</v>
          </cell>
          <cell r="AD9286">
            <v>16500</v>
          </cell>
        </row>
        <row r="9287">
          <cell r="W9287" t="str">
            <v>QPARE01</v>
          </cell>
          <cell r="AD9287">
            <v>16500</v>
          </cell>
        </row>
        <row r="9288">
          <cell r="W9288" t="str">
            <v>QPARE01</v>
          </cell>
          <cell r="AD9288">
            <v>16500</v>
          </cell>
        </row>
        <row r="9289">
          <cell r="W9289" t="str">
            <v>QPARE01</v>
          </cell>
          <cell r="AD9289">
            <v>16500</v>
          </cell>
        </row>
        <row r="9290">
          <cell r="W9290" t="str">
            <v>QPARE01</v>
          </cell>
          <cell r="AD9290">
            <v>16500</v>
          </cell>
        </row>
        <row r="9291">
          <cell r="W9291" t="str">
            <v>QPARE01</v>
          </cell>
          <cell r="AD9291">
            <v>16500</v>
          </cell>
        </row>
        <row r="9292">
          <cell r="W9292" t="str">
            <v>QPARE01</v>
          </cell>
          <cell r="AD9292">
            <v>17000</v>
          </cell>
        </row>
        <row r="9293">
          <cell r="W9293" t="str">
            <v>QPARE01</v>
          </cell>
          <cell r="AD9293">
            <v>17000</v>
          </cell>
        </row>
        <row r="9294">
          <cell r="W9294" t="str">
            <v>QPARE01</v>
          </cell>
          <cell r="AD9294">
            <v>17000</v>
          </cell>
        </row>
        <row r="9295">
          <cell r="W9295" t="str">
            <v>QPARE01</v>
          </cell>
          <cell r="AD9295">
            <v>17000</v>
          </cell>
        </row>
        <row r="9296">
          <cell r="W9296" t="str">
            <v>QPARE01</v>
          </cell>
          <cell r="AD9296">
            <v>17000</v>
          </cell>
        </row>
        <row r="9297">
          <cell r="W9297" t="str">
            <v>QPARE01</v>
          </cell>
          <cell r="AD9297">
            <v>17000</v>
          </cell>
        </row>
        <row r="9298">
          <cell r="W9298" t="str">
            <v>QPARE01</v>
          </cell>
          <cell r="AD9298">
            <v>17000</v>
          </cell>
        </row>
        <row r="9299">
          <cell r="W9299" t="str">
            <v>QPARE01</v>
          </cell>
          <cell r="AD9299">
            <v>17000</v>
          </cell>
        </row>
        <row r="9300">
          <cell r="W9300" t="str">
            <v>QPARE01</v>
          </cell>
          <cell r="AD9300">
            <v>17000</v>
          </cell>
        </row>
        <row r="9301">
          <cell r="W9301" t="str">
            <v>QPARE01</v>
          </cell>
          <cell r="AD9301">
            <v>17000</v>
          </cell>
        </row>
        <row r="9302">
          <cell r="W9302" t="str">
            <v>QPARE01</v>
          </cell>
          <cell r="AD9302">
            <v>17000</v>
          </cell>
        </row>
        <row r="9303">
          <cell r="W9303" t="str">
            <v>QPARE01</v>
          </cell>
          <cell r="AD9303">
            <v>17000</v>
          </cell>
        </row>
        <row r="9304">
          <cell r="W9304" t="str">
            <v>QPARE01</v>
          </cell>
          <cell r="AD9304">
            <v>17000</v>
          </cell>
        </row>
        <row r="9305">
          <cell r="W9305" t="str">
            <v>QPARE01</v>
          </cell>
          <cell r="AD9305">
            <v>17500</v>
          </cell>
        </row>
        <row r="9306">
          <cell r="W9306" t="str">
            <v>QPARE01</v>
          </cell>
          <cell r="AD9306">
            <v>18000</v>
          </cell>
        </row>
        <row r="9307">
          <cell r="W9307" t="str">
            <v>QPARE07</v>
          </cell>
          <cell r="AD9307">
            <v>18000</v>
          </cell>
        </row>
        <row r="9308">
          <cell r="W9308" t="str">
            <v>QPARE06</v>
          </cell>
          <cell r="AD9308">
            <v>18000</v>
          </cell>
        </row>
        <row r="9309">
          <cell r="W9309" t="str">
            <v>QPARE06</v>
          </cell>
          <cell r="AD9309">
            <v>18000</v>
          </cell>
        </row>
        <row r="9310">
          <cell r="W9310" t="str">
            <v>QPARE06</v>
          </cell>
          <cell r="AD9310">
            <v>18000</v>
          </cell>
        </row>
        <row r="9311">
          <cell r="W9311" t="str">
            <v>QPASK02</v>
          </cell>
          <cell r="AD9311">
            <v>41000</v>
          </cell>
        </row>
        <row r="9312">
          <cell r="W9312" t="str">
            <v>QPASK02</v>
          </cell>
          <cell r="AD9312">
            <v>41000</v>
          </cell>
        </row>
        <row r="9313">
          <cell r="W9313" t="str">
            <v>QPASK02</v>
          </cell>
          <cell r="AD9313">
            <v>41000</v>
          </cell>
        </row>
        <row r="9314">
          <cell r="W9314" t="str">
            <v>QPEGA01</v>
          </cell>
          <cell r="AD9314">
            <v>68500</v>
          </cell>
        </row>
        <row r="9315">
          <cell r="W9315" t="str">
            <v>QPEGA01</v>
          </cell>
          <cell r="AD9315">
            <v>70000</v>
          </cell>
        </row>
        <row r="9316">
          <cell r="W9316" t="str">
            <v>QPEGA01</v>
          </cell>
          <cell r="AD9316">
            <v>70650</v>
          </cell>
        </row>
        <row r="9317">
          <cell r="W9317" t="str">
            <v>QPEGA01</v>
          </cell>
          <cell r="AD9317">
            <v>70700</v>
          </cell>
        </row>
        <row r="9318">
          <cell r="W9318" t="str">
            <v>QPEGA01</v>
          </cell>
          <cell r="AD9318">
            <v>70750</v>
          </cell>
        </row>
        <row r="9319">
          <cell r="W9319" t="str">
            <v>QPEGA01</v>
          </cell>
          <cell r="AD9319">
            <v>70750</v>
          </cell>
        </row>
        <row r="9320">
          <cell r="W9320" t="str">
            <v>QPEGA01</v>
          </cell>
          <cell r="AD9320">
            <v>71000</v>
          </cell>
        </row>
        <row r="9321">
          <cell r="W9321" t="str">
            <v>QPETR01</v>
          </cell>
          <cell r="AD9321">
            <v>4000</v>
          </cell>
        </row>
        <row r="9322">
          <cell r="W9322" t="str">
            <v>QPETR01</v>
          </cell>
          <cell r="AD9322">
            <v>4000</v>
          </cell>
        </row>
        <row r="9323">
          <cell r="W9323" t="str">
            <v>QPETR01</v>
          </cell>
          <cell r="AD9323">
            <v>4000</v>
          </cell>
        </row>
        <row r="9324">
          <cell r="W9324" t="str">
            <v>QPETR01</v>
          </cell>
          <cell r="AD9324">
            <v>4250</v>
          </cell>
        </row>
        <row r="9325">
          <cell r="W9325" t="str">
            <v>QPETR01</v>
          </cell>
          <cell r="AD9325">
            <v>4250</v>
          </cell>
        </row>
        <row r="9326">
          <cell r="W9326" t="str">
            <v>QPETR01</v>
          </cell>
          <cell r="AD9326">
            <v>4500</v>
          </cell>
        </row>
        <row r="9327">
          <cell r="W9327" t="str">
            <v>QPETR01</v>
          </cell>
          <cell r="AD9327">
            <v>4500</v>
          </cell>
        </row>
        <row r="9328">
          <cell r="W9328" t="str">
            <v>QPETR01</v>
          </cell>
          <cell r="AD9328">
            <v>4500</v>
          </cell>
        </row>
        <row r="9329">
          <cell r="W9329" t="str">
            <v>QPETR01</v>
          </cell>
          <cell r="AD9329">
            <v>4800</v>
          </cell>
        </row>
        <row r="9330">
          <cell r="W9330" t="str">
            <v>QPETR01</v>
          </cell>
          <cell r="AD9330">
            <v>4800</v>
          </cell>
        </row>
        <row r="9331">
          <cell r="W9331" t="str">
            <v>QPETR01</v>
          </cell>
          <cell r="AD9331">
            <v>4800</v>
          </cell>
        </row>
        <row r="9332">
          <cell r="W9332" t="str">
            <v>QPETR01</v>
          </cell>
          <cell r="AD9332">
            <v>4800</v>
          </cell>
        </row>
        <row r="9333">
          <cell r="W9333" t="str">
            <v>QPETR01</v>
          </cell>
          <cell r="AD9333">
            <v>4800</v>
          </cell>
        </row>
        <row r="9334">
          <cell r="W9334" t="str">
            <v>QPETR01</v>
          </cell>
          <cell r="AD9334">
            <v>4800</v>
          </cell>
        </row>
        <row r="9335">
          <cell r="W9335" t="str">
            <v>QPETR01</v>
          </cell>
          <cell r="AD9335">
            <v>4800</v>
          </cell>
        </row>
        <row r="9336">
          <cell r="W9336" t="str">
            <v>QPETR01</v>
          </cell>
          <cell r="AD9336">
            <v>4800</v>
          </cell>
        </row>
        <row r="9337">
          <cell r="W9337" t="str">
            <v>QPETR01</v>
          </cell>
          <cell r="AD9337">
            <v>4800</v>
          </cell>
        </row>
        <row r="9338">
          <cell r="W9338" t="str">
            <v>QPETR01</v>
          </cell>
          <cell r="AD9338">
            <v>4800</v>
          </cell>
        </row>
        <row r="9339">
          <cell r="W9339" t="str">
            <v>QPETR01</v>
          </cell>
          <cell r="AD9339">
            <v>4800</v>
          </cell>
        </row>
        <row r="9340">
          <cell r="W9340" t="str">
            <v>QPETR02</v>
          </cell>
          <cell r="AD9340">
            <v>3750</v>
          </cell>
        </row>
        <row r="9341">
          <cell r="W9341" t="str">
            <v>QPETR02</v>
          </cell>
          <cell r="AD9341">
            <v>3750</v>
          </cell>
        </row>
        <row r="9342">
          <cell r="W9342" t="str">
            <v>QPETR02</v>
          </cell>
          <cell r="AD9342">
            <v>3750</v>
          </cell>
        </row>
        <row r="9343">
          <cell r="W9343" t="str">
            <v>QPETR02</v>
          </cell>
          <cell r="AD9343">
            <v>3750</v>
          </cell>
        </row>
        <row r="9344">
          <cell r="W9344" t="str">
            <v>QPETR02</v>
          </cell>
          <cell r="AD9344">
            <v>3750</v>
          </cell>
        </row>
        <row r="9345">
          <cell r="W9345" t="str">
            <v>QPETR02</v>
          </cell>
          <cell r="AD9345">
            <v>3750</v>
          </cell>
        </row>
        <row r="9346">
          <cell r="W9346" t="str">
            <v>QPETR02</v>
          </cell>
          <cell r="AD9346">
            <v>4000</v>
          </cell>
        </row>
        <row r="9347">
          <cell r="W9347" t="str">
            <v>QPETR02</v>
          </cell>
          <cell r="AD9347">
            <v>4000</v>
          </cell>
        </row>
        <row r="9348">
          <cell r="W9348" t="str">
            <v>QPETR02</v>
          </cell>
          <cell r="AD9348">
            <v>4000</v>
          </cell>
        </row>
        <row r="9349">
          <cell r="W9349" t="str">
            <v>QPETR02</v>
          </cell>
          <cell r="AD9349">
            <v>4000</v>
          </cell>
        </row>
        <row r="9350">
          <cell r="W9350" t="str">
            <v>QPETR02</v>
          </cell>
          <cell r="AD9350">
            <v>4000</v>
          </cell>
        </row>
        <row r="9351">
          <cell r="W9351" t="str">
            <v>QPETR02</v>
          </cell>
          <cell r="AD9351">
            <v>4000</v>
          </cell>
        </row>
        <row r="9352">
          <cell r="W9352" t="str">
            <v>QPETR02</v>
          </cell>
          <cell r="AD9352">
            <v>4000</v>
          </cell>
        </row>
        <row r="9353">
          <cell r="W9353" t="str">
            <v>QPETR02</v>
          </cell>
          <cell r="AD9353">
            <v>4000</v>
          </cell>
        </row>
        <row r="9354">
          <cell r="W9354" t="str">
            <v>QPETR02</v>
          </cell>
          <cell r="AD9354">
            <v>4000</v>
          </cell>
        </row>
        <row r="9355">
          <cell r="W9355" t="str">
            <v>QPETR02</v>
          </cell>
          <cell r="AD9355">
            <v>4500</v>
          </cell>
        </row>
        <row r="9356">
          <cell r="W9356" t="str">
            <v>QPETR02</v>
          </cell>
          <cell r="AD9356">
            <v>4500</v>
          </cell>
        </row>
        <row r="9357">
          <cell r="W9357" t="str">
            <v>QPEXA01</v>
          </cell>
          <cell r="AD9357">
            <v>240000</v>
          </cell>
        </row>
        <row r="9358">
          <cell r="W9358" t="str">
            <v>QPEXA01</v>
          </cell>
          <cell r="AD9358">
            <v>240000</v>
          </cell>
        </row>
        <row r="9359">
          <cell r="W9359" t="str">
            <v>QPEXA01</v>
          </cell>
          <cell r="AD9359">
            <v>240000</v>
          </cell>
        </row>
        <row r="9360">
          <cell r="W9360" t="str">
            <v>QPEXA01</v>
          </cell>
          <cell r="AD9360">
            <v>240000</v>
          </cell>
        </row>
        <row r="9361">
          <cell r="W9361" t="str">
            <v>QPEXA01</v>
          </cell>
          <cell r="AD9361">
            <v>245000</v>
          </cell>
        </row>
        <row r="9362">
          <cell r="W9362" t="str">
            <v>QPEXA01</v>
          </cell>
          <cell r="AD9362">
            <v>245000</v>
          </cell>
        </row>
        <row r="9363">
          <cell r="W9363" t="str">
            <v>QPEXA01</v>
          </cell>
          <cell r="AD9363">
            <v>245000</v>
          </cell>
        </row>
        <row r="9364">
          <cell r="W9364" t="str">
            <v>QPHOS03</v>
          </cell>
          <cell r="AD9364">
            <v>125000</v>
          </cell>
        </row>
        <row r="9365">
          <cell r="W9365" t="str">
            <v>QPHOS03</v>
          </cell>
          <cell r="AD9365">
            <v>125000</v>
          </cell>
        </row>
        <row r="9366">
          <cell r="W9366" t="str">
            <v>QPHOS03</v>
          </cell>
          <cell r="AD9366">
            <v>125000</v>
          </cell>
        </row>
        <row r="9367">
          <cell r="W9367" t="str">
            <v>QPINA04</v>
          </cell>
          <cell r="AD9367">
            <v>150000</v>
          </cell>
        </row>
        <row r="9368">
          <cell r="W9368" t="str">
            <v>QPINA04</v>
          </cell>
          <cell r="AD9368">
            <v>150000</v>
          </cell>
        </row>
        <row r="9369">
          <cell r="W9369" t="str">
            <v>QPINA04</v>
          </cell>
          <cell r="AD9369">
            <v>150000</v>
          </cell>
        </row>
        <row r="9370">
          <cell r="W9370" t="str">
            <v>QPINA04</v>
          </cell>
          <cell r="AD9370">
            <v>150000</v>
          </cell>
        </row>
        <row r="9371">
          <cell r="W9371" t="str">
            <v>QPINA04</v>
          </cell>
          <cell r="AD9371">
            <v>150000</v>
          </cell>
        </row>
        <row r="9372">
          <cell r="W9372" t="str">
            <v>QPINA04</v>
          </cell>
          <cell r="AD9372">
            <v>150000</v>
          </cell>
        </row>
        <row r="9373">
          <cell r="W9373" t="str">
            <v>QPINA04</v>
          </cell>
          <cell r="AD9373">
            <v>150000</v>
          </cell>
        </row>
        <row r="9374">
          <cell r="W9374" t="str">
            <v>QPINA04</v>
          </cell>
          <cell r="AD9374">
            <v>150000</v>
          </cell>
        </row>
        <row r="9375">
          <cell r="W9375" t="str">
            <v>QPINA04</v>
          </cell>
          <cell r="AD9375">
            <v>150000</v>
          </cell>
        </row>
        <row r="9376">
          <cell r="W9376" t="str">
            <v>QPINA04</v>
          </cell>
          <cell r="AD9376">
            <v>150000</v>
          </cell>
        </row>
        <row r="9377">
          <cell r="W9377" t="str">
            <v>QPINA04</v>
          </cell>
          <cell r="AD9377">
            <v>150000</v>
          </cell>
        </row>
        <row r="9378">
          <cell r="W9378" t="str">
            <v>QPINA04</v>
          </cell>
          <cell r="AD9378">
            <v>150000</v>
          </cell>
        </row>
        <row r="9379">
          <cell r="W9379" t="str">
            <v>QPINA04</v>
          </cell>
          <cell r="AD9379">
            <v>150000</v>
          </cell>
        </row>
        <row r="9380">
          <cell r="W9380" t="str">
            <v>QPINA04</v>
          </cell>
          <cell r="AD9380">
            <v>150000</v>
          </cell>
        </row>
        <row r="9381">
          <cell r="W9381" t="str">
            <v>QPINA04</v>
          </cell>
          <cell r="AD9381">
            <v>150000</v>
          </cell>
        </row>
        <row r="9382">
          <cell r="W9382" t="str">
            <v>QPINA04</v>
          </cell>
          <cell r="AD9382">
            <v>150000</v>
          </cell>
        </row>
        <row r="9383">
          <cell r="W9383" t="str">
            <v>QPINA03</v>
          </cell>
          <cell r="AD9383">
            <v>83500</v>
          </cell>
        </row>
        <row r="9384">
          <cell r="W9384" t="str">
            <v>QPINA03</v>
          </cell>
          <cell r="AD9384">
            <v>83500</v>
          </cell>
        </row>
        <row r="9385">
          <cell r="W9385" t="str">
            <v>QPINA03</v>
          </cell>
          <cell r="AD9385">
            <v>83500</v>
          </cell>
        </row>
        <row r="9386">
          <cell r="W9386" t="str">
            <v>QPINA03</v>
          </cell>
          <cell r="AD9386">
            <v>83500</v>
          </cell>
        </row>
        <row r="9387">
          <cell r="W9387" t="str">
            <v>QPINA03</v>
          </cell>
          <cell r="AD9387">
            <v>83500</v>
          </cell>
        </row>
        <row r="9388">
          <cell r="W9388" t="str">
            <v>QPINA03</v>
          </cell>
          <cell r="AD9388">
            <v>83500</v>
          </cell>
        </row>
        <row r="9389">
          <cell r="W9389" t="str">
            <v>QPINA03</v>
          </cell>
          <cell r="AD9389">
            <v>83500</v>
          </cell>
        </row>
        <row r="9390">
          <cell r="W9390" t="str">
            <v>QPINA03</v>
          </cell>
          <cell r="AD9390">
            <v>83500</v>
          </cell>
        </row>
        <row r="9391">
          <cell r="W9391" t="str">
            <v>QPINA03</v>
          </cell>
          <cell r="AD9391">
            <v>83500</v>
          </cell>
        </row>
        <row r="9392">
          <cell r="W9392" t="str">
            <v>QPINA03</v>
          </cell>
          <cell r="AD9392">
            <v>83500</v>
          </cell>
        </row>
        <row r="9393">
          <cell r="W9393" t="str">
            <v>QPINA02</v>
          </cell>
          <cell r="AD9393">
            <v>44000</v>
          </cell>
        </row>
        <row r="9394">
          <cell r="W9394" t="str">
            <v>QPINA02</v>
          </cell>
          <cell r="AD9394">
            <v>44500</v>
          </cell>
        </row>
        <row r="9395">
          <cell r="W9395" t="str">
            <v>QPINA02</v>
          </cell>
          <cell r="AD9395">
            <v>44500</v>
          </cell>
        </row>
        <row r="9396">
          <cell r="W9396" t="str">
            <v>QPINA02</v>
          </cell>
          <cell r="AD9396">
            <v>44500</v>
          </cell>
        </row>
        <row r="9397">
          <cell r="W9397" t="str">
            <v>QPINA02</v>
          </cell>
          <cell r="AD9397">
            <v>44500</v>
          </cell>
        </row>
        <row r="9398">
          <cell r="W9398" t="str">
            <v>QPINA02</v>
          </cell>
          <cell r="AD9398">
            <v>44500</v>
          </cell>
        </row>
        <row r="9399">
          <cell r="W9399" t="str">
            <v>QPINA02</v>
          </cell>
          <cell r="AD9399">
            <v>44500</v>
          </cell>
        </row>
        <row r="9400">
          <cell r="W9400" t="str">
            <v>QPINA02</v>
          </cell>
          <cell r="AD9400">
            <v>44500</v>
          </cell>
        </row>
        <row r="9401">
          <cell r="W9401" t="str">
            <v>QPINA02</v>
          </cell>
          <cell r="AD9401">
            <v>44500</v>
          </cell>
        </row>
        <row r="9402">
          <cell r="W9402" t="str">
            <v>QPINA02</v>
          </cell>
          <cell r="AD9402">
            <v>44500</v>
          </cell>
        </row>
        <row r="9403">
          <cell r="W9403" t="str">
            <v>QPINA02</v>
          </cell>
          <cell r="AD9403">
            <v>44500</v>
          </cell>
        </row>
        <row r="9404">
          <cell r="W9404" t="str">
            <v>QPINA02</v>
          </cell>
          <cell r="AD9404">
            <v>44500</v>
          </cell>
        </row>
        <row r="9405">
          <cell r="W9405" t="str">
            <v>QPINA02</v>
          </cell>
          <cell r="AD9405">
            <v>44500</v>
          </cell>
        </row>
        <row r="9406">
          <cell r="W9406" t="str">
            <v>QPINA02</v>
          </cell>
          <cell r="AD9406">
            <v>44500</v>
          </cell>
        </row>
        <row r="9407">
          <cell r="W9407" t="str">
            <v>QPINA01</v>
          </cell>
          <cell r="AD9407">
            <v>20500</v>
          </cell>
        </row>
        <row r="9408">
          <cell r="W9408" t="str">
            <v>QPINA01</v>
          </cell>
          <cell r="AD9408">
            <v>20500</v>
          </cell>
        </row>
        <row r="9409">
          <cell r="W9409" t="str">
            <v>QPINA01</v>
          </cell>
          <cell r="AD9409">
            <v>20500</v>
          </cell>
        </row>
        <row r="9410">
          <cell r="W9410" t="str">
            <v>QPINA01</v>
          </cell>
          <cell r="AD9410">
            <v>20500</v>
          </cell>
        </row>
        <row r="9411">
          <cell r="W9411" t="str">
            <v>QPINA01</v>
          </cell>
          <cell r="AD9411">
            <v>20500</v>
          </cell>
        </row>
        <row r="9412">
          <cell r="W9412" t="str">
            <v>QPINA01</v>
          </cell>
          <cell r="AD9412">
            <v>20500</v>
          </cell>
        </row>
        <row r="9413">
          <cell r="W9413" t="str">
            <v>QPINA01</v>
          </cell>
          <cell r="AD9413">
            <v>20500</v>
          </cell>
        </row>
        <row r="9414">
          <cell r="W9414" t="str">
            <v>QPINA01</v>
          </cell>
          <cell r="AD9414">
            <v>20500</v>
          </cell>
        </row>
        <row r="9415">
          <cell r="W9415" t="str">
            <v>QPINA01</v>
          </cell>
          <cell r="AD9415">
            <v>20500</v>
          </cell>
        </row>
        <row r="9416">
          <cell r="W9416" t="str">
            <v>QPIRA01</v>
          </cell>
          <cell r="AD9416">
            <v>52800</v>
          </cell>
        </row>
        <row r="9417">
          <cell r="W9417" t="str">
            <v>QPIRA01</v>
          </cell>
          <cell r="AD9417">
            <v>52800</v>
          </cell>
        </row>
        <row r="9418">
          <cell r="W9418" t="str">
            <v>QPIRA01</v>
          </cell>
          <cell r="AD9418">
            <v>52800</v>
          </cell>
        </row>
        <row r="9419">
          <cell r="W9419" t="str">
            <v>QPIRA01</v>
          </cell>
          <cell r="AD9419">
            <v>52800</v>
          </cell>
        </row>
        <row r="9420">
          <cell r="W9420" t="str">
            <v>QPIRA01</v>
          </cell>
          <cell r="AD9420">
            <v>52800</v>
          </cell>
        </row>
        <row r="9421">
          <cell r="W9421" t="str">
            <v>QPIRA01</v>
          </cell>
          <cell r="AD9421">
            <v>52800</v>
          </cell>
        </row>
        <row r="9422">
          <cell r="W9422" t="str">
            <v>QPIRA01</v>
          </cell>
          <cell r="AD9422">
            <v>52800</v>
          </cell>
        </row>
        <row r="9423">
          <cell r="W9423" t="str">
            <v>QPIRA01</v>
          </cell>
          <cell r="AD9423">
            <v>59650</v>
          </cell>
        </row>
        <row r="9424">
          <cell r="W9424" t="str">
            <v>QPIRA01</v>
          </cell>
          <cell r="AD9424">
            <v>67000</v>
          </cell>
        </row>
        <row r="9425">
          <cell r="W9425" t="str">
            <v>QPIRA01</v>
          </cell>
          <cell r="AD9425">
            <v>67000</v>
          </cell>
        </row>
        <row r="9426">
          <cell r="W9426" t="str">
            <v>QPIRA01</v>
          </cell>
          <cell r="AD9426">
            <v>67000</v>
          </cell>
        </row>
        <row r="9427">
          <cell r="W9427" t="str">
            <v>QPIRA01</v>
          </cell>
          <cell r="AD9427">
            <v>67000</v>
          </cell>
        </row>
        <row r="9428">
          <cell r="W9428" t="str">
            <v>QPIRA01</v>
          </cell>
          <cell r="AD9428">
            <v>67000</v>
          </cell>
        </row>
        <row r="9429">
          <cell r="W9429" t="str">
            <v>QPIRA01</v>
          </cell>
          <cell r="AD9429">
            <v>67000</v>
          </cell>
        </row>
        <row r="9430">
          <cell r="W9430" t="str">
            <v>QPIRA01</v>
          </cell>
          <cell r="AD9430">
            <v>67000</v>
          </cell>
        </row>
        <row r="9431">
          <cell r="W9431" t="str">
            <v>QPIRA01</v>
          </cell>
          <cell r="AD9431">
            <v>67000</v>
          </cell>
        </row>
        <row r="9432">
          <cell r="W9432" t="str">
            <v>QPIRA01</v>
          </cell>
          <cell r="AD9432">
            <v>67000</v>
          </cell>
        </row>
        <row r="9433">
          <cell r="W9433" t="str">
            <v>QPIRA01</v>
          </cell>
          <cell r="AD9433">
            <v>67000</v>
          </cell>
        </row>
        <row r="9434">
          <cell r="W9434" t="str">
            <v>QPIRA01</v>
          </cell>
          <cell r="AD9434">
            <v>67000</v>
          </cell>
        </row>
        <row r="9435">
          <cell r="W9435" t="str">
            <v>QPIRA01</v>
          </cell>
          <cell r="AD9435">
            <v>67000</v>
          </cell>
        </row>
        <row r="9436">
          <cell r="W9436" t="str">
            <v>QPIRA01</v>
          </cell>
          <cell r="AD9436">
            <v>67000</v>
          </cell>
        </row>
        <row r="9437">
          <cell r="W9437" t="str">
            <v>QPIRA01</v>
          </cell>
          <cell r="AD9437">
            <v>67000</v>
          </cell>
        </row>
        <row r="9438">
          <cell r="W9438" t="str">
            <v>QPIRA01</v>
          </cell>
          <cell r="AD9438">
            <v>67000</v>
          </cell>
        </row>
        <row r="9439">
          <cell r="W9439" t="str">
            <v>QPIRA01</v>
          </cell>
          <cell r="AD9439">
            <v>67000</v>
          </cell>
        </row>
        <row r="9440">
          <cell r="W9440" t="str">
            <v>QPIRA01</v>
          </cell>
          <cell r="AD9440">
            <v>67500</v>
          </cell>
        </row>
        <row r="9441">
          <cell r="W9441" t="str">
            <v>QPIRA02</v>
          </cell>
          <cell r="AD9441">
            <v>161000</v>
          </cell>
        </row>
        <row r="9442">
          <cell r="W9442" t="str">
            <v>QPIRA02</v>
          </cell>
          <cell r="AD9442">
            <v>161000</v>
          </cell>
        </row>
        <row r="9443">
          <cell r="W9443" t="str">
            <v>QPIRA02</v>
          </cell>
          <cell r="AD9443">
            <v>161000</v>
          </cell>
        </row>
        <row r="9444">
          <cell r="W9444" t="str">
            <v>QPIRA02</v>
          </cell>
          <cell r="AD9444">
            <v>161000</v>
          </cell>
        </row>
        <row r="9445">
          <cell r="W9445" t="str">
            <v>QPIRA02</v>
          </cell>
          <cell r="AD9445">
            <v>161000</v>
          </cell>
        </row>
        <row r="9446">
          <cell r="W9446" t="str">
            <v>QPIRA02</v>
          </cell>
          <cell r="AD9446">
            <v>161000</v>
          </cell>
        </row>
        <row r="9447">
          <cell r="W9447" t="str">
            <v>QPIRA02</v>
          </cell>
          <cell r="AD9447">
            <v>161000</v>
          </cell>
        </row>
        <row r="9448">
          <cell r="W9448" t="str">
            <v>QPIRA02</v>
          </cell>
          <cell r="AD9448">
            <v>161000</v>
          </cell>
        </row>
        <row r="9449">
          <cell r="W9449" t="str">
            <v>QPIRA02</v>
          </cell>
          <cell r="AD9449">
            <v>161000</v>
          </cell>
        </row>
        <row r="9450">
          <cell r="W9450" t="str">
            <v>QPIRA02</v>
          </cell>
          <cell r="AD9450">
            <v>161000</v>
          </cell>
        </row>
        <row r="9451">
          <cell r="W9451" t="str">
            <v>QPIRA02</v>
          </cell>
          <cell r="AD9451">
            <v>161000</v>
          </cell>
        </row>
        <row r="9452">
          <cell r="W9452" t="str">
            <v>APIRA02</v>
          </cell>
          <cell r="AD9452">
            <v>161000</v>
          </cell>
        </row>
        <row r="9453">
          <cell r="W9453" t="str">
            <v>APIRA02</v>
          </cell>
          <cell r="AD9453">
            <v>161000</v>
          </cell>
        </row>
        <row r="9454">
          <cell r="W9454" t="str">
            <v>QPIRA02</v>
          </cell>
          <cell r="AD9454">
            <v>161000</v>
          </cell>
        </row>
        <row r="9455">
          <cell r="W9455" t="str">
            <v>QPIRA02</v>
          </cell>
          <cell r="AD9455">
            <v>161000</v>
          </cell>
        </row>
        <row r="9456">
          <cell r="W9456" t="str">
            <v>QPIRA02</v>
          </cell>
          <cell r="AD9456">
            <v>161000</v>
          </cell>
        </row>
        <row r="9457">
          <cell r="W9457" t="str">
            <v>APIRA02</v>
          </cell>
          <cell r="AD9457">
            <v>161000</v>
          </cell>
        </row>
        <row r="9458">
          <cell r="W9458" t="str">
            <v>QPIRA02</v>
          </cell>
          <cell r="AD9458">
            <v>161000</v>
          </cell>
        </row>
        <row r="9459">
          <cell r="W9459" t="str">
            <v>QPIRA02</v>
          </cell>
          <cell r="AD9459">
            <v>161000</v>
          </cell>
        </row>
        <row r="9460">
          <cell r="W9460" t="str">
            <v>QPIRA02</v>
          </cell>
          <cell r="AD9460">
            <v>161000</v>
          </cell>
        </row>
        <row r="9461">
          <cell r="W9461" t="str">
            <v>QPIRA02</v>
          </cell>
          <cell r="AD9461">
            <v>161000</v>
          </cell>
        </row>
        <row r="9462">
          <cell r="W9462" t="str">
            <v>APIRA02</v>
          </cell>
          <cell r="AD9462">
            <v>161000</v>
          </cell>
        </row>
        <row r="9463">
          <cell r="W9463" t="str">
            <v>APIRA02</v>
          </cell>
          <cell r="AD9463">
            <v>161000</v>
          </cell>
        </row>
        <row r="9464">
          <cell r="W9464" t="str">
            <v>QPIRA02</v>
          </cell>
          <cell r="AD9464">
            <v>161000</v>
          </cell>
        </row>
        <row r="9465">
          <cell r="W9465" t="str">
            <v>QPIRA02</v>
          </cell>
          <cell r="AD9465">
            <v>161000</v>
          </cell>
        </row>
        <row r="9466">
          <cell r="W9466" t="str">
            <v>QPIRA02</v>
          </cell>
          <cell r="AD9466">
            <v>161000</v>
          </cell>
        </row>
        <row r="9467">
          <cell r="W9467" t="str">
            <v>QPIRA02</v>
          </cell>
          <cell r="AD9467">
            <v>161000</v>
          </cell>
        </row>
        <row r="9468">
          <cell r="W9468" t="str">
            <v>QPIRA02</v>
          </cell>
          <cell r="AD9468">
            <v>161000</v>
          </cell>
        </row>
        <row r="9469">
          <cell r="W9469" t="str">
            <v>QPIRA02</v>
          </cell>
          <cell r="AD9469">
            <v>161000</v>
          </cell>
        </row>
        <row r="9470">
          <cell r="W9470" t="str">
            <v>QPIRA02</v>
          </cell>
          <cell r="AD9470">
            <v>170000</v>
          </cell>
        </row>
        <row r="9471">
          <cell r="W9471" t="str">
            <v>QPIRI02</v>
          </cell>
          <cell r="AD9471">
            <v>135000</v>
          </cell>
        </row>
        <row r="9472">
          <cell r="W9472" t="str">
            <v>QPIRI02</v>
          </cell>
          <cell r="AD9472">
            <v>135000</v>
          </cell>
        </row>
        <row r="9473">
          <cell r="W9473" t="str">
            <v>QPIRI02</v>
          </cell>
          <cell r="AD9473">
            <v>135000</v>
          </cell>
        </row>
        <row r="9474">
          <cell r="W9474" t="str">
            <v>QPIRI04</v>
          </cell>
          <cell r="AD9474">
            <v>75000</v>
          </cell>
        </row>
        <row r="9475">
          <cell r="W9475" t="str">
            <v>QPIRI04</v>
          </cell>
          <cell r="AD9475">
            <v>75500</v>
          </cell>
        </row>
        <row r="9476">
          <cell r="W9476" t="str">
            <v>APLED01</v>
          </cell>
          <cell r="AD9476">
            <v>1</v>
          </cell>
        </row>
        <row r="9477">
          <cell r="W9477" t="str">
            <v>APLED02</v>
          </cell>
          <cell r="AD9477">
            <v>1</v>
          </cell>
        </row>
        <row r="9478">
          <cell r="W9478" t="str">
            <v>QPLEN02</v>
          </cell>
          <cell r="AD9478">
            <v>48500</v>
          </cell>
        </row>
        <row r="9479">
          <cell r="W9479" t="str">
            <v>QPLEN02</v>
          </cell>
          <cell r="AD9479">
            <v>48750</v>
          </cell>
        </row>
        <row r="9480">
          <cell r="W9480" t="str">
            <v>QPLEN02</v>
          </cell>
          <cell r="AD9480">
            <v>48750</v>
          </cell>
        </row>
        <row r="9481">
          <cell r="W9481" t="str">
            <v>QPLEN02</v>
          </cell>
          <cell r="AD9481">
            <v>49000</v>
          </cell>
        </row>
        <row r="9482">
          <cell r="W9482" t="str">
            <v>QPLEN02</v>
          </cell>
          <cell r="AD9482">
            <v>49000</v>
          </cell>
        </row>
        <row r="9483">
          <cell r="W9483" t="str">
            <v>QPLEN02</v>
          </cell>
          <cell r="AD9483">
            <v>49000</v>
          </cell>
        </row>
        <row r="9484">
          <cell r="W9484" t="str">
            <v>QPLEN02</v>
          </cell>
          <cell r="AD9484">
            <v>49000</v>
          </cell>
        </row>
        <row r="9485">
          <cell r="W9485" t="str">
            <v>QPLEN02</v>
          </cell>
          <cell r="AD9485">
            <v>49000</v>
          </cell>
        </row>
        <row r="9486">
          <cell r="W9486" t="str">
            <v>QPLEN02</v>
          </cell>
          <cell r="AD9486">
            <v>49000</v>
          </cell>
        </row>
        <row r="9487">
          <cell r="W9487" t="str">
            <v>QPLEN02</v>
          </cell>
          <cell r="AD9487">
            <v>49000</v>
          </cell>
        </row>
        <row r="9488">
          <cell r="W9488" t="str">
            <v>QPLEN02</v>
          </cell>
          <cell r="AD9488">
            <v>49000</v>
          </cell>
        </row>
        <row r="9489">
          <cell r="W9489" t="str">
            <v>QPLEN02</v>
          </cell>
          <cell r="AD9489">
            <v>49000</v>
          </cell>
        </row>
        <row r="9490">
          <cell r="W9490" t="str">
            <v>QPLEN02</v>
          </cell>
          <cell r="AD9490">
            <v>49000</v>
          </cell>
        </row>
        <row r="9491">
          <cell r="W9491" t="str">
            <v>QPLEN02</v>
          </cell>
          <cell r="AD9491">
            <v>49500</v>
          </cell>
        </row>
        <row r="9492">
          <cell r="W9492" t="str">
            <v>QPLEN02</v>
          </cell>
          <cell r="AD9492">
            <v>49500</v>
          </cell>
        </row>
        <row r="9493">
          <cell r="W9493" t="str">
            <v>QPLEN02</v>
          </cell>
          <cell r="AD9493">
            <v>49500</v>
          </cell>
        </row>
        <row r="9494">
          <cell r="W9494" t="str">
            <v>QPLEN02</v>
          </cell>
          <cell r="AD9494">
            <v>49500</v>
          </cell>
        </row>
        <row r="9495">
          <cell r="W9495" t="str">
            <v>QPLEN02</v>
          </cell>
          <cell r="AD9495">
            <v>49500</v>
          </cell>
        </row>
        <row r="9496">
          <cell r="W9496" t="str">
            <v>QPLEN02</v>
          </cell>
          <cell r="AD9496">
            <v>49500</v>
          </cell>
        </row>
        <row r="9497">
          <cell r="W9497" t="str">
            <v>QPLEN02</v>
          </cell>
          <cell r="AD9497">
            <v>49500</v>
          </cell>
        </row>
        <row r="9498">
          <cell r="W9498" t="str">
            <v>QPLEN02</v>
          </cell>
          <cell r="AD9498">
            <v>49500</v>
          </cell>
        </row>
        <row r="9499">
          <cell r="W9499" t="str">
            <v>QPLEN02</v>
          </cell>
          <cell r="AD9499">
            <v>49500</v>
          </cell>
        </row>
        <row r="9500">
          <cell r="W9500" t="str">
            <v>QPLEN02</v>
          </cell>
          <cell r="AD9500">
            <v>50000</v>
          </cell>
        </row>
        <row r="9501">
          <cell r="W9501" t="str">
            <v>QPLEN02</v>
          </cell>
          <cell r="AD9501">
            <v>50000</v>
          </cell>
        </row>
        <row r="9502">
          <cell r="W9502" t="str">
            <v>QPLEN02</v>
          </cell>
          <cell r="AD9502">
            <v>50000</v>
          </cell>
        </row>
        <row r="9503">
          <cell r="W9503" t="str">
            <v>QPLEN02</v>
          </cell>
          <cell r="AD9503">
            <v>50000</v>
          </cell>
        </row>
        <row r="9504">
          <cell r="W9504" t="str">
            <v>QPLEN02</v>
          </cell>
          <cell r="AD9504">
            <v>50000</v>
          </cell>
        </row>
        <row r="9505">
          <cell r="W9505" t="str">
            <v>QPLEN02</v>
          </cell>
          <cell r="AD9505">
            <v>50000</v>
          </cell>
        </row>
        <row r="9506">
          <cell r="W9506" t="str">
            <v>QPLEN02</v>
          </cell>
          <cell r="AD9506">
            <v>50250</v>
          </cell>
        </row>
        <row r="9507">
          <cell r="W9507" t="str">
            <v>QPLEN01</v>
          </cell>
          <cell r="AD9507">
            <v>180000</v>
          </cell>
        </row>
        <row r="9508">
          <cell r="W9508" t="str">
            <v>QPLEN01</v>
          </cell>
          <cell r="AD9508">
            <v>180000</v>
          </cell>
        </row>
        <row r="9509">
          <cell r="W9509" t="str">
            <v>QPLEN01</v>
          </cell>
          <cell r="AD9509">
            <v>180500</v>
          </cell>
        </row>
        <row r="9510">
          <cell r="W9510" t="str">
            <v>QPLEN01</v>
          </cell>
          <cell r="AD9510">
            <v>180500</v>
          </cell>
        </row>
        <row r="9511">
          <cell r="W9511" t="str">
            <v>QPLEN01</v>
          </cell>
          <cell r="AD9511">
            <v>180500</v>
          </cell>
        </row>
        <row r="9512">
          <cell r="W9512" t="str">
            <v>QPLEN01</v>
          </cell>
          <cell r="AD9512">
            <v>180500</v>
          </cell>
        </row>
        <row r="9513">
          <cell r="W9513" t="str">
            <v>QPLEN01</v>
          </cell>
          <cell r="AD9513">
            <v>181000</v>
          </cell>
        </row>
        <row r="9514">
          <cell r="W9514" t="str">
            <v>QPLEN01</v>
          </cell>
          <cell r="AD9514">
            <v>181000</v>
          </cell>
        </row>
        <row r="9515">
          <cell r="W9515" t="str">
            <v>QPLEN01</v>
          </cell>
          <cell r="AD9515">
            <v>182500</v>
          </cell>
        </row>
        <row r="9516">
          <cell r="W9516" t="str">
            <v>QPLEN01</v>
          </cell>
          <cell r="AD9516">
            <v>183000</v>
          </cell>
        </row>
        <row r="9517">
          <cell r="W9517" t="str">
            <v>QPLEN01</v>
          </cell>
          <cell r="AD9517">
            <v>183000</v>
          </cell>
        </row>
        <row r="9518">
          <cell r="W9518" t="str">
            <v>QPLEN01</v>
          </cell>
          <cell r="AD9518">
            <v>183000</v>
          </cell>
        </row>
        <row r="9519">
          <cell r="W9519" t="str">
            <v>QPLEN01</v>
          </cell>
          <cell r="AD9519">
            <v>183000</v>
          </cell>
        </row>
        <row r="9520">
          <cell r="W9520" t="str">
            <v>QPLEN01</v>
          </cell>
          <cell r="AD9520">
            <v>183000</v>
          </cell>
        </row>
        <row r="9521">
          <cell r="W9521" t="str">
            <v>QPLEN01</v>
          </cell>
          <cell r="AD9521">
            <v>183000</v>
          </cell>
        </row>
        <row r="9522">
          <cell r="W9522" t="str">
            <v>QPLEN01</v>
          </cell>
          <cell r="AD9522">
            <v>183000</v>
          </cell>
        </row>
        <row r="9523">
          <cell r="W9523" t="str">
            <v>QPLEN01</v>
          </cell>
          <cell r="AD9523">
            <v>183000</v>
          </cell>
        </row>
        <row r="9524">
          <cell r="W9524" t="str">
            <v>QPLEN01</v>
          </cell>
          <cell r="AD9524">
            <v>183000</v>
          </cell>
        </row>
        <row r="9525">
          <cell r="W9525" t="str">
            <v>QPOIN03</v>
          </cell>
          <cell r="AD9525">
            <v>840000</v>
          </cell>
        </row>
        <row r="9526">
          <cell r="W9526" t="str">
            <v>QPOIN03</v>
          </cell>
          <cell r="AD9526">
            <v>840000</v>
          </cell>
        </row>
        <row r="9527">
          <cell r="W9527" t="str">
            <v>QPOIN03</v>
          </cell>
          <cell r="AD9527">
            <v>860000</v>
          </cell>
        </row>
        <row r="9528">
          <cell r="W9528" t="str">
            <v>QPOIN03</v>
          </cell>
          <cell r="AD9528">
            <v>860000</v>
          </cell>
        </row>
        <row r="9529">
          <cell r="W9529" t="str">
            <v>QPOIN03</v>
          </cell>
          <cell r="AD9529">
            <v>860000</v>
          </cell>
        </row>
        <row r="9530">
          <cell r="W9530" t="str">
            <v>QPOIN03</v>
          </cell>
          <cell r="AD9530">
            <v>860000</v>
          </cell>
        </row>
        <row r="9531">
          <cell r="W9531" t="str">
            <v>QPOIN01</v>
          </cell>
          <cell r="AD9531">
            <v>43000</v>
          </cell>
        </row>
        <row r="9532">
          <cell r="W9532" t="str">
            <v>QPOIN01</v>
          </cell>
          <cell r="AD9532">
            <v>43000</v>
          </cell>
        </row>
        <row r="9533">
          <cell r="W9533" t="str">
            <v>QPOIN01</v>
          </cell>
          <cell r="AD9533">
            <v>43000</v>
          </cell>
        </row>
        <row r="9534">
          <cell r="W9534" t="str">
            <v>QPOIN01</v>
          </cell>
          <cell r="AD9534">
            <v>43500</v>
          </cell>
        </row>
        <row r="9535">
          <cell r="W9535" t="str">
            <v>QPOIN01</v>
          </cell>
          <cell r="AD9535">
            <v>44000</v>
          </cell>
        </row>
        <row r="9536">
          <cell r="W9536" t="str">
            <v>QPOIN01</v>
          </cell>
          <cell r="AD9536">
            <v>44000</v>
          </cell>
        </row>
        <row r="9537">
          <cell r="W9537" t="str">
            <v>QPOIN01</v>
          </cell>
          <cell r="AD9537">
            <v>44000</v>
          </cell>
        </row>
        <row r="9538">
          <cell r="W9538" t="str">
            <v>QPOIN01</v>
          </cell>
          <cell r="AD9538">
            <v>44000</v>
          </cell>
        </row>
        <row r="9539">
          <cell r="W9539" t="str">
            <v>QPOIN01</v>
          </cell>
          <cell r="AD9539">
            <v>44500</v>
          </cell>
        </row>
        <row r="9540">
          <cell r="W9540" t="str">
            <v>QPOIN01</v>
          </cell>
          <cell r="AD9540">
            <v>44500</v>
          </cell>
        </row>
        <row r="9541">
          <cell r="W9541" t="str">
            <v>QPOIN01</v>
          </cell>
          <cell r="AD9541">
            <v>44500</v>
          </cell>
        </row>
        <row r="9542">
          <cell r="W9542" t="str">
            <v>QPOIN01</v>
          </cell>
          <cell r="AD9542">
            <v>45000</v>
          </cell>
        </row>
        <row r="9543">
          <cell r="W9543" t="str">
            <v>QPOIN01</v>
          </cell>
          <cell r="AD9543">
            <v>45000</v>
          </cell>
        </row>
        <row r="9544">
          <cell r="W9544" t="str">
            <v>QPOIN01</v>
          </cell>
          <cell r="AD9544">
            <v>45000</v>
          </cell>
        </row>
        <row r="9545">
          <cell r="W9545" t="str">
            <v>QPOIN01</v>
          </cell>
          <cell r="AD9545">
            <v>45000</v>
          </cell>
        </row>
        <row r="9546">
          <cell r="W9546" t="str">
            <v>QPOIN01</v>
          </cell>
          <cell r="AD9546">
            <v>45000</v>
          </cell>
        </row>
        <row r="9547">
          <cell r="W9547" t="str">
            <v>QPOIN01</v>
          </cell>
          <cell r="AD9547">
            <v>45000</v>
          </cell>
        </row>
        <row r="9548">
          <cell r="W9548" t="str">
            <v>QPOIN01</v>
          </cell>
          <cell r="AD9548">
            <v>45000</v>
          </cell>
        </row>
        <row r="9549">
          <cell r="W9549" t="str">
            <v>QPOIN01</v>
          </cell>
          <cell r="AD9549">
            <v>45000</v>
          </cell>
        </row>
        <row r="9550">
          <cell r="W9550" t="str">
            <v>QPOIN01</v>
          </cell>
          <cell r="AD9550">
            <v>45000</v>
          </cell>
        </row>
        <row r="9551">
          <cell r="W9551" t="str">
            <v>QPOIN01</v>
          </cell>
          <cell r="AD9551">
            <v>45000</v>
          </cell>
        </row>
        <row r="9552">
          <cell r="W9552" t="str">
            <v>QPOIN01</v>
          </cell>
          <cell r="AD9552">
            <v>45000</v>
          </cell>
        </row>
        <row r="9553">
          <cell r="W9553" t="str">
            <v>QPOIN01</v>
          </cell>
          <cell r="AD9553">
            <v>45000</v>
          </cell>
        </row>
        <row r="9554">
          <cell r="W9554" t="str">
            <v>QPOIN01</v>
          </cell>
          <cell r="AD9554">
            <v>45000</v>
          </cell>
        </row>
        <row r="9555">
          <cell r="W9555" t="str">
            <v>QPOIN01</v>
          </cell>
          <cell r="AD9555">
            <v>45000</v>
          </cell>
        </row>
        <row r="9556">
          <cell r="W9556" t="str">
            <v>QPOIN02</v>
          </cell>
          <cell r="AD9556">
            <v>217500</v>
          </cell>
        </row>
        <row r="9557">
          <cell r="W9557" t="str">
            <v>QPOIN02</v>
          </cell>
          <cell r="AD9557">
            <v>217500</v>
          </cell>
        </row>
        <row r="9558">
          <cell r="W9558" t="str">
            <v>QPOIN02</v>
          </cell>
          <cell r="AD9558">
            <v>220000</v>
          </cell>
        </row>
        <row r="9559">
          <cell r="W9559" t="str">
            <v>QPOLY16</v>
          </cell>
          <cell r="AD9559">
            <v>17272.73</v>
          </cell>
        </row>
        <row r="9560">
          <cell r="W9560" t="str">
            <v>QPOLY17</v>
          </cell>
          <cell r="AD9560">
            <v>17272.732</v>
          </cell>
        </row>
        <row r="9561">
          <cell r="W9561" t="str">
            <v>QPOLY11</v>
          </cell>
          <cell r="AD9561">
            <v>17272.7288888</v>
          </cell>
        </row>
        <row r="9562">
          <cell r="W9562" t="str">
            <v>QPOUN01</v>
          </cell>
          <cell r="AD9562">
            <v>27000</v>
          </cell>
        </row>
        <row r="9563">
          <cell r="W9563" t="str">
            <v>QPOUN01</v>
          </cell>
          <cell r="AD9563">
            <v>27500</v>
          </cell>
        </row>
        <row r="9564">
          <cell r="W9564" t="str">
            <v>QPOUN01</v>
          </cell>
          <cell r="AD9564">
            <v>28000</v>
          </cell>
        </row>
        <row r="9565">
          <cell r="W9565" t="str">
            <v>QPOUN01</v>
          </cell>
          <cell r="AD9565">
            <v>28000</v>
          </cell>
        </row>
        <row r="9566">
          <cell r="W9566" t="str">
            <v>QPOUN01</v>
          </cell>
          <cell r="AD9566">
            <v>28000</v>
          </cell>
        </row>
        <row r="9567">
          <cell r="W9567" t="str">
            <v>QPOUN01</v>
          </cell>
          <cell r="AD9567">
            <v>28000</v>
          </cell>
        </row>
        <row r="9568">
          <cell r="W9568" t="str">
            <v>QPOUN01</v>
          </cell>
          <cell r="AD9568">
            <v>28500</v>
          </cell>
        </row>
        <row r="9569">
          <cell r="W9569" t="str">
            <v>QPOUN01</v>
          </cell>
          <cell r="AD9569">
            <v>28500</v>
          </cell>
        </row>
        <row r="9570">
          <cell r="W9570" t="str">
            <v>APOWE01</v>
          </cell>
          <cell r="AD9570">
            <v>15000</v>
          </cell>
        </row>
        <row r="9571">
          <cell r="W9571" t="str">
            <v>APOWE01</v>
          </cell>
          <cell r="AD9571">
            <v>15000</v>
          </cell>
        </row>
        <row r="9572">
          <cell r="W9572" t="str">
            <v>QPREV01</v>
          </cell>
          <cell r="AD9572">
            <v>113500</v>
          </cell>
        </row>
        <row r="9573">
          <cell r="W9573" t="str">
            <v>QPREV01</v>
          </cell>
          <cell r="AD9573">
            <v>115000</v>
          </cell>
        </row>
        <row r="9574">
          <cell r="W9574" t="str">
            <v>QPREV01</v>
          </cell>
          <cell r="AD9574">
            <v>115000</v>
          </cell>
        </row>
        <row r="9575">
          <cell r="W9575" t="str">
            <v>QPREV01</v>
          </cell>
          <cell r="AD9575">
            <v>115000</v>
          </cell>
        </row>
        <row r="9576">
          <cell r="W9576" t="str">
            <v>QPREV01</v>
          </cell>
          <cell r="AD9576">
            <v>115000</v>
          </cell>
        </row>
        <row r="9577">
          <cell r="W9577" t="str">
            <v>QPREV01</v>
          </cell>
          <cell r="AD9577">
            <v>116000</v>
          </cell>
        </row>
        <row r="9578">
          <cell r="W9578" t="str">
            <v>QPREV01</v>
          </cell>
          <cell r="AD9578">
            <v>116000</v>
          </cell>
        </row>
        <row r="9579">
          <cell r="W9579" t="str">
            <v>QPREV01</v>
          </cell>
          <cell r="AD9579">
            <v>116000</v>
          </cell>
        </row>
        <row r="9580">
          <cell r="W9580" t="str">
            <v>QPREV01</v>
          </cell>
          <cell r="AD9580">
            <v>116000</v>
          </cell>
        </row>
        <row r="9581">
          <cell r="W9581" t="str">
            <v>QPREV01</v>
          </cell>
          <cell r="AD9581">
            <v>116000</v>
          </cell>
        </row>
        <row r="9582">
          <cell r="W9582" t="str">
            <v>QPREV01</v>
          </cell>
          <cell r="AD9582">
            <v>116000</v>
          </cell>
        </row>
        <row r="9583">
          <cell r="W9583" t="str">
            <v>QPREV01</v>
          </cell>
          <cell r="AD9583">
            <v>116000</v>
          </cell>
        </row>
        <row r="9584">
          <cell r="W9584" t="str">
            <v>QPREV01</v>
          </cell>
          <cell r="AD9584">
            <v>116000</v>
          </cell>
        </row>
        <row r="9585">
          <cell r="W9585" t="str">
            <v>QPREV01</v>
          </cell>
          <cell r="AD9585">
            <v>116000</v>
          </cell>
        </row>
        <row r="9586">
          <cell r="W9586" t="str">
            <v>QPREV01</v>
          </cell>
          <cell r="AD9586">
            <v>116000</v>
          </cell>
        </row>
        <row r="9587">
          <cell r="W9587" t="str">
            <v>QPREV01</v>
          </cell>
          <cell r="AD9587">
            <v>116000</v>
          </cell>
        </row>
        <row r="9588">
          <cell r="W9588" t="str">
            <v>QPREV01</v>
          </cell>
          <cell r="AD9588">
            <v>116000</v>
          </cell>
        </row>
        <row r="9589">
          <cell r="W9589" t="str">
            <v>QPREV01</v>
          </cell>
          <cell r="AD9589">
            <v>116000</v>
          </cell>
        </row>
        <row r="9590">
          <cell r="W9590" t="str">
            <v>QPREV01</v>
          </cell>
          <cell r="AD9590">
            <v>116000</v>
          </cell>
        </row>
        <row r="9591">
          <cell r="W9591" t="str">
            <v>QPREV01</v>
          </cell>
          <cell r="AD9591">
            <v>116000</v>
          </cell>
        </row>
        <row r="9592">
          <cell r="W9592" t="str">
            <v>QPREV01</v>
          </cell>
          <cell r="AD9592">
            <v>116000</v>
          </cell>
        </row>
        <row r="9593">
          <cell r="W9593" t="str">
            <v>QPREV01</v>
          </cell>
          <cell r="AD9593">
            <v>116000</v>
          </cell>
        </row>
        <row r="9594">
          <cell r="W9594" t="str">
            <v>QPREV01</v>
          </cell>
          <cell r="AD9594">
            <v>116000</v>
          </cell>
        </row>
        <row r="9595">
          <cell r="W9595" t="str">
            <v>QPREV01</v>
          </cell>
          <cell r="AD9595">
            <v>116000</v>
          </cell>
        </row>
        <row r="9596">
          <cell r="W9596" t="str">
            <v>QPREV01</v>
          </cell>
          <cell r="AD9596">
            <v>116000</v>
          </cell>
        </row>
        <row r="9597">
          <cell r="W9597" t="str">
            <v>QPREV01</v>
          </cell>
          <cell r="AD9597">
            <v>116000</v>
          </cell>
        </row>
        <row r="9598">
          <cell r="W9598" t="str">
            <v>QPREV01</v>
          </cell>
          <cell r="AD9598">
            <v>116000</v>
          </cell>
        </row>
        <row r="9599">
          <cell r="W9599" t="str">
            <v>QPREV01</v>
          </cell>
          <cell r="AD9599">
            <v>116000</v>
          </cell>
        </row>
        <row r="9600">
          <cell r="W9600" t="str">
            <v>QPREV01</v>
          </cell>
          <cell r="AD9600">
            <v>116000</v>
          </cell>
        </row>
        <row r="9601">
          <cell r="W9601" t="str">
            <v>QPREV01</v>
          </cell>
          <cell r="AD9601">
            <v>116000</v>
          </cell>
        </row>
        <row r="9602">
          <cell r="W9602" t="str">
            <v>QPREV01</v>
          </cell>
          <cell r="AD9602">
            <v>116000</v>
          </cell>
        </row>
        <row r="9603">
          <cell r="W9603" t="str">
            <v>QPREV01</v>
          </cell>
          <cell r="AD9603">
            <v>116000</v>
          </cell>
        </row>
        <row r="9604">
          <cell r="W9604" t="str">
            <v>QPREV01</v>
          </cell>
          <cell r="AD9604">
            <v>116000</v>
          </cell>
        </row>
        <row r="9605">
          <cell r="W9605" t="str">
            <v>QPREV01</v>
          </cell>
          <cell r="AD9605">
            <v>116000</v>
          </cell>
        </row>
        <row r="9606">
          <cell r="W9606" t="str">
            <v>QPREV01</v>
          </cell>
          <cell r="AD9606">
            <v>116000</v>
          </cell>
        </row>
        <row r="9607">
          <cell r="W9607" t="str">
            <v>QPREV01</v>
          </cell>
          <cell r="AD9607">
            <v>116000</v>
          </cell>
        </row>
        <row r="9608">
          <cell r="W9608" t="str">
            <v>QPREV01</v>
          </cell>
          <cell r="AD9608">
            <v>116000</v>
          </cell>
        </row>
        <row r="9609">
          <cell r="W9609" t="str">
            <v>QPREV01</v>
          </cell>
          <cell r="AD9609">
            <v>116000</v>
          </cell>
        </row>
        <row r="9610">
          <cell r="W9610" t="str">
            <v>QPREV01</v>
          </cell>
          <cell r="AD9610">
            <v>116000</v>
          </cell>
        </row>
        <row r="9611">
          <cell r="W9611" t="str">
            <v>QPREV01</v>
          </cell>
          <cell r="AD9611">
            <v>116000</v>
          </cell>
        </row>
        <row r="9612">
          <cell r="W9612" t="str">
            <v>QPREV01</v>
          </cell>
          <cell r="AD9612">
            <v>116000</v>
          </cell>
        </row>
        <row r="9613">
          <cell r="W9613" t="str">
            <v>QPREV01</v>
          </cell>
          <cell r="AD9613">
            <v>116000</v>
          </cell>
        </row>
        <row r="9614">
          <cell r="W9614" t="str">
            <v>QPREV01</v>
          </cell>
          <cell r="AD9614">
            <v>116000</v>
          </cell>
        </row>
        <row r="9615">
          <cell r="W9615" t="str">
            <v>QPREV01</v>
          </cell>
          <cell r="AD9615">
            <v>116000</v>
          </cell>
        </row>
        <row r="9616">
          <cell r="W9616" t="str">
            <v>QPREV01</v>
          </cell>
          <cell r="AD9616">
            <v>116000</v>
          </cell>
        </row>
        <row r="9617">
          <cell r="W9617" t="str">
            <v>QPREV01</v>
          </cell>
          <cell r="AD9617">
            <v>116000</v>
          </cell>
        </row>
        <row r="9618">
          <cell r="W9618" t="str">
            <v>QPREV01</v>
          </cell>
          <cell r="AD9618">
            <v>116000</v>
          </cell>
        </row>
        <row r="9619">
          <cell r="W9619" t="str">
            <v>QPREV01</v>
          </cell>
          <cell r="AD9619">
            <v>116000</v>
          </cell>
        </row>
        <row r="9620">
          <cell r="W9620" t="str">
            <v>QPREV01</v>
          </cell>
          <cell r="AD9620">
            <v>116000</v>
          </cell>
        </row>
        <row r="9621">
          <cell r="W9621" t="str">
            <v>QPREV01</v>
          </cell>
          <cell r="AD9621">
            <v>116000</v>
          </cell>
        </row>
        <row r="9622">
          <cell r="W9622" t="str">
            <v>QPREV01</v>
          </cell>
          <cell r="AD9622">
            <v>116500</v>
          </cell>
        </row>
        <row r="9623">
          <cell r="W9623" t="str">
            <v>QPREV01</v>
          </cell>
          <cell r="AD9623">
            <v>116500</v>
          </cell>
        </row>
        <row r="9624">
          <cell r="W9624" t="str">
            <v>QPREV01</v>
          </cell>
          <cell r="AD9624">
            <v>116500</v>
          </cell>
        </row>
        <row r="9625">
          <cell r="W9625" t="str">
            <v>QPREV01</v>
          </cell>
          <cell r="AD9625">
            <v>116500</v>
          </cell>
        </row>
        <row r="9626">
          <cell r="W9626" t="str">
            <v>QPREV01</v>
          </cell>
          <cell r="AD9626">
            <v>116500</v>
          </cell>
        </row>
        <row r="9627">
          <cell r="W9627" t="str">
            <v>QPREV01</v>
          </cell>
          <cell r="AD9627">
            <v>116500</v>
          </cell>
        </row>
        <row r="9628">
          <cell r="W9628" t="str">
            <v>QPREV01</v>
          </cell>
          <cell r="AD9628">
            <v>117000</v>
          </cell>
        </row>
        <row r="9629">
          <cell r="W9629" t="str">
            <v>QPREV01</v>
          </cell>
          <cell r="AD9629">
            <v>117000</v>
          </cell>
        </row>
        <row r="9630">
          <cell r="W9630" t="str">
            <v>QPREV01</v>
          </cell>
          <cell r="AD9630">
            <v>117000</v>
          </cell>
        </row>
        <row r="9631">
          <cell r="W9631" t="str">
            <v>QPREV01</v>
          </cell>
          <cell r="AD9631">
            <v>117000</v>
          </cell>
        </row>
        <row r="9632">
          <cell r="W9632" t="str">
            <v>QPREV01</v>
          </cell>
          <cell r="AD9632">
            <v>117000</v>
          </cell>
        </row>
        <row r="9633">
          <cell r="W9633" t="str">
            <v>QPREV01</v>
          </cell>
          <cell r="AD9633">
            <v>117000</v>
          </cell>
        </row>
        <row r="9634">
          <cell r="W9634" t="str">
            <v>QPREV01</v>
          </cell>
          <cell r="AD9634">
            <v>117000</v>
          </cell>
        </row>
        <row r="9635">
          <cell r="W9635" t="str">
            <v>QPREV01</v>
          </cell>
          <cell r="AD9635">
            <v>117000</v>
          </cell>
        </row>
        <row r="9636">
          <cell r="W9636" t="str">
            <v>QPREV01</v>
          </cell>
          <cell r="AD9636">
            <v>117000</v>
          </cell>
        </row>
        <row r="9637">
          <cell r="W9637" t="str">
            <v>QPREV01</v>
          </cell>
          <cell r="AD9637">
            <v>117000</v>
          </cell>
        </row>
        <row r="9638">
          <cell r="W9638" t="str">
            <v>QPREV01</v>
          </cell>
          <cell r="AD9638">
            <v>117000</v>
          </cell>
        </row>
        <row r="9639">
          <cell r="W9639" t="str">
            <v>QPREV01</v>
          </cell>
          <cell r="AD9639">
            <v>117000</v>
          </cell>
        </row>
        <row r="9640">
          <cell r="W9640" t="str">
            <v>QPREV01</v>
          </cell>
          <cell r="AD9640">
            <v>117000</v>
          </cell>
        </row>
        <row r="9641">
          <cell r="W9641" t="str">
            <v>QPREV01</v>
          </cell>
          <cell r="AD9641">
            <v>117000</v>
          </cell>
        </row>
        <row r="9642">
          <cell r="W9642" t="str">
            <v>QPREV01</v>
          </cell>
          <cell r="AD9642">
            <v>117000</v>
          </cell>
        </row>
        <row r="9643">
          <cell r="W9643" t="str">
            <v>QPREV01</v>
          </cell>
          <cell r="AD9643">
            <v>117000</v>
          </cell>
        </row>
        <row r="9644">
          <cell r="W9644" t="str">
            <v>QPREV01</v>
          </cell>
          <cell r="AD9644">
            <v>117000</v>
          </cell>
        </row>
        <row r="9645">
          <cell r="W9645" t="str">
            <v>QPREV01</v>
          </cell>
          <cell r="AD9645">
            <v>117000</v>
          </cell>
        </row>
        <row r="9646">
          <cell r="W9646" t="str">
            <v>QPREV01</v>
          </cell>
          <cell r="AD9646">
            <v>117000</v>
          </cell>
        </row>
        <row r="9647">
          <cell r="W9647" t="str">
            <v>QPREV01</v>
          </cell>
          <cell r="AD9647">
            <v>117000</v>
          </cell>
        </row>
        <row r="9648">
          <cell r="W9648" t="str">
            <v>QPREV01</v>
          </cell>
          <cell r="AD9648">
            <v>117000</v>
          </cell>
        </row>
        <row r="9649">
          <cell r="W9649" t="str">
            <v>QPREV01</v>
          </cell>
          <cell r="AD9649">
            <v>117500</v>
          </cell>
        </row>
        <row r="9650">
          <cell r="W9650" t="str">
            <v>QPREV01</v>
          </cell>
          <cell r="AD9650">
            <v>117500</v>
          </cell>
        </row>
        <row r="9651">
          <cell r="W9651" t="str">
            <v>QPREV01</v>
          </cell>
          <cell r="AD9651">
            <v>117500</v>
          </cell>
        </row>
        <row r="9652">
          <cell r="W9652" t="str">
            <v>QPREV01</v>
          </cell>
          <cell r="AD9652">
            <v>117500</v>
          </cell>
        </row>
        <row r="9653">
          <cell r="W9653" t="str">
            <v>QPREV01</v>
          </cell>
          <cell r="AD9653">
            <v>117500</v>
          </cell>
        </row>
        <row r="9654">
          <cell r="W9654" t="str">
            <v>QPREV01</v>
          </cell>
          <cell r="AD9654">
            <v>117500</v>
          </cell>
        </row>
        <row r="9655">
          <cell r="W9655" t="str">
            <v>QPREV01</v>
          </cell>
          <cell r="AD9655">
            <v>117500</v>
          </cell>
        </row>
        <row r="9656">
          <cell r="W9656" t="str">
            <v>QPREV01</v>
          </cell>
          <cell r="AD9656">
            <v>118000</v>
          </cell>
        </row>
        <row r="9657">
          <cell r="W9657" t="str">
            <v>QPREV01</v>
          </cell>
          <cell r="AD9657">
            <v>118000</v>
          </cell>
        </row>
        <row r="9658">
          <cell r="W9658" t="str">
            <v>QPREV01</v>
          </cell>
          <cell r="AD9658">
            <v>118000</v>
          </cell>
        </row>
        <row r="9659">
          <cell r="W9659" t="str">
            <v>QPREV01</v>
          </cell>
          <cell r="AD9659">
            <v>118000</v>
          </cell>
        </row>
        <row r="9660">
          <cell r="W9660" t="str">
            <v>QPREV01</v>
          </cell>
          <cell r="AD9660">
            <v>118000</v>
          </cell>
        </row>
        <row r="9661">
          <cell r="W9661" t="str">
            <v>QPREV01</v>
          </cell>
          <cell r="AD9661">
            <v>118000</v>
          </cell>
        </row>
        <row r="9662">
          <cell r="W9662" t="str">
            <v>QPREV01</v>
          </cell>
          <cell r="AD9662">
            <v>118000</v>
          </cell>
        </row>
        <row r="9663">
          <cell r="W9663" t="str">
            <v>QPREV01</v>
          </cell>
          <cell r="AD9663">
            <v>118000</v>
          </cell>
        </row>
        <row r="9664">
          <cell r="W9664" t="str">
            <v>QPREV01</v>
          </cell>
          <cell r="AD9664">
            <v>118000</v>
          </cell>
        </row>
        <row r="9665">
          <cell r="W9665" t="str">
            <v>QPREV01</v>
          </cell>
          <cell r="AD9665">
            <v>118000</v>
          </cell>
        </row>
        <row r="9666">
          <cell r="W9666" t="str">
            <v>QPREV01</v>
          </cell>
          <cell r="AD9666">
            <v>118000</v>
          </cell>
        </row>
        <row r="9667">
          <cell r="W9667" t="str">
            <v>QPREV01</v>
          </cell>
          <cell r="AD9667">
            <v>118000</v>
          </cell>
        </row>
        <row r="9668">
          <cell r="W9668" t="str">
            <v>QPREV01</v>
          </cell>
          <cell r="AD9668">
            <v>118000</v>
          </cell>
        </row>
        <row r="9669">
          <cell r="W9669" t="str">
            <v>QPREV01</v>
          </cell>
          <cell r="AD9669">
            <v>118000</v>
          </cell>
        </row>
        <row r="9670">
          <cell r="W9670" t="str">
            <v>QPREV01</v>
          </cell>
          <cell r="AD9670">
            <v>118000</v>
          </cell>
        </row>
        <row r="9671">
          <cell r="W9671" t="str">
            <v>QPREV01</v>
          </cell>
          <cell r="AD9671">
            <v>118000</v>
          </cell>
        </row>
        <row r="9672">
          <cell r="W9672" t="str">
            <v>QPREV01</v>
          </cell>
          <cell r="AD9672">
            <v>118000</v>
          </cell>
        </row>
        <row r="9673">
          <cell r="W9673" t="str">
            <v>QPREV01</v>
          </cell>
          <cell r="AD9673">
            <v>118000</v>
          </cell>
        </row>
        <row r="9674">
          <cell r="W9674" t="str">
            <v>QPREV01</v>
          </cell>
          <cell r="AD9674">
            <v>118000</v>
          </cell>
        </row>
        <row r="9675">
          <cell r="W9675" t="str">
            <v>QPREV01</v>
          </cell>
          <cell r="AD9675">
            <v>118000</v>
          </cell>
        </row>
        <row r="9676">
          <cell r="W9676" t="str">
            <v>QPREV01</v>
          </cell>
          <cell r="AD9676">
            <v>118000</v>
          </cell>
        </row>
        <row r="9677">
          <cell r="W9677" t="str">
            <v>QPREV01</v>
          </cell>
          <cell r="AD9677">
            <v>118000</v>
          </cell>
        </row>
        <row r="9678">
          <cell r="W9678" t="str">
            <v>QPREV01</v>
          </cell>
          <cell r="AD9678">
            <v>118000</v>
          </cell>
        </row>
        <row r="9679">
          <cell r="W9679" t="str">
            <v>QPREV01</v>
          </cell>
          <cell r="AD9679">
            <v>118000</v>
          </cell>
        </row>
        <row r="9680">
          <cell r="W9680" t="str">
            <v>QPREV01</v>
          </cell>
          <cell r="AD9680">
            <v>118000</v>
          </cell>
        </row>
        <row r="9681">
          <cell r="W9681" t="str">
            <v>QPREV01</v>
          </cell>
          <cell r="AD9681">
            <v>118000</v>
          </cell>
        </row>
        <row r="9682">
          <cell r="W9682" t="str">
            <v>QPREV01</v>
          </cell>
          <cell r="AD9682">
            <v>118000</v>
          </cell>
        </row>
        <row r="9683">
          <cell r="W9683" t="str">
            <v>QPREV01</v>
          </cell>
          <cell r="AD9683">
            <v>118000</v>
          </cell>
        </row>
        <row r="9684">
          <cell r="W9684" t="str">
            <v>QPREV01</v>
          </cell>
          <cell r="AD9684">
            <v>118000</v>
          </cell>
        </row>
        <row r="9685">
          <cell r="W9685" t="str">
            <v>QPREV01</v>
          </cell>
          <cell r="AD9685">
            <v>118000</v>
          </cell>
        </row>
        <row r="9686">
          <cell r="W9686" t="str">
            <v>QPREV01</v>
          </cell>
          <cell r="AD9686">
            <v>118000</v>
          </cell>
        </row>
        <row r="9687">
          <cell r="W9687" t="str">
            <v>QPREV01</v>
          </cell>
          <cell r="AD9687">
            <v>118000</v>
          </cell>
        </row>
        <row r="9688">
          <cell r="W9688" t="str">
            <v>QPREV01</v>
          </cell>
          <cell r="AD9688">
            <v>118000</v>
          </cell>
        </row>
        <row r="9689">
          <cell r="W9689" t="str">
            <v>QPREV01</v>
          </cell>
          <cell r="AD9689">
            <v>118000</v>
          </cell>
        </row>
        <row r="9690">
          <cell r="W9690" t="str">
            <v>QPREV01</v>
          </cell>
          <cell r="AD9690">
            <v>118000</v>
          </cell>
        </row>
        <row r="9691">
          <cell r="W9691" t="str">
            <v>QPREV01</v>
          </cell>
          <cell r="AD9691">
            <v>118000</v>
          </cell>
        </row>
        <row r="9692">
          <cell r="W9692" t="str">
            <v>QPREV01</v>
          </cell>
          <cell r="AD9692">
            <v>118000</v>
          </cell>
        </row>
        <row r="9693">
          <cell r="W9693" t="str">
            <v>QPREV01</v>
          </cell>
          <cell r="AD9693">
            <v>118000</v>
          </cell>
        </row>
        <row r="9694">
          <cell r="W9694" t="str">
            <v>QPREV01</v>
          </cell>
          <cell r="AD9694">
            <v>118000</v>
          </cell>
        </row>
        <row r="9695">
          <cell r="W9695" t="str">
            <v>QPREV01</v>
          </cell>
          <cell r="AD9695">
            <v>118000</v>
          </cell>
        </row>
        <row r="9696">
          <cell r="W9696" t="str">
            <v>QPREV01</v>
          </cell>
          <cell r="AD9696">
            <v>118000</v>
          </cell>
        </row>
        <row r="9697">
          <cell r="W9697" t="str">
            <v>QPREV01</v>
          </cell>
          <cell r="AD9697">
            <v>118000</v>
          </cell>
        </row>
        <row r="9698">
          <cell r="W9698" t="str">
            <v>QPREV01</v>
          </cell>
          <cell r="AD9698">
            <v>118000</v>
          </cell>
        </row>
        <row r="9699">
          <cell r="W9699" t="str">
            <v>QPREV01</v>
          </cell>
          <cell r="AD9699">
            <v>118000</v>
          </cell>
        </row>
        <row r="9700">
          <cell r="W9700" t="str">
            <v>QPREV01</v>
          </cell>
          <cell r="AD9700">
            <v>118000</v>
          </cell>
        </row>
        <row r="9701">
          <cell r="W9701" t="str">
            <v>QPREV01</v>
          </cell>
          <cell r="AD9701">
            <v>118000</v>
          </cell>
        </row>
        <row r="9702">
          <cell r="W9702" t="str">
            <v>QPREV01</v>
          </cell>
          <cell r="AD9702">
            <v>118500</v>
          </cell>
        </row>
        <row r="9703">
          <cell r="W9703" t="str">
            <v>QPREV01</v>
          </cell>
          <cell r="AD9703">
            <v>119000</v>
          </cell>
        </row>
        <row r="9704">
          <cell r="W9704" t="str">
            <v>QPREV01</v>
          </cell>
          <cell r="AD9704">
            <v>119000</v>
          </cell>
        </row>
        <row r="9705">
          <cell r="W9705" t="str">
            <v>QPREV01</v>
          </cell>
          <cell r="AD9705">
            <v>119000</v>
          </cell>
        </row>
        <row r="9706">
          <cell r="W9706" t="str">
            <v>QPREV01</v>
          </cell>
          <cell r="AD9706">
            <v>120000</v>
          </cell>
        </row>
        <row r="9707">
          <cell r="W9707" t="str">
            <v>QPREV01</v>
          </cell>
          <cell r="AD9707">
            <v>120000</v>
          </cell>
        </row>
        <row r="9708">
          <cell r="W9708" t="str">
            <v>QPREV01</v>
          </cell>
          <cell r="AD9708">
            <v>120000</v>
          </cell>
        </row>
        <row r="9709">
          <cell r="W9709" t="str">
            <v>QPREV01</v>
          </cell>
          <cell r="AD9709">
            <v>120000</v>
          </cell>
        </row>
        <row r="9710">
          <cell r="W9710" t="str">
            <v>QPREV01</v>
          </cell>
          <cell r="AD9710">
            <v>120000</v>
          </cell>
        </row>
        <row r="9711">
          <cell r="W9711" t="str">
            <v>QPREV01</v>
          </cell>
          <cell r="AD9711">
            <v>120000</v>
          </cell>
        </row>
        <row r="9712">
          <cell r="W9712" t="str">
            <v>QPREV01</v>
          </cell>
          <cell r="AD9712">
            <v>120000</v>
          </cell>
        </row>
        <row r="9713">
          <cell r="W9713" t="str">
            <v>QPREV02</v>
          </cell>
          <cell r="AD9713">
            <v>58750</v>
          </cell>
        </row>
        <row r="9714">
          <cell r="W9714" t="str">
            <v>QPREV02</v>
          </cell>
          <cell r="AD9714">
            <v>59000</v>
          </cell>
        </row>
        <row r="9715">
          <cell r="W9715" t="str">
            <v>QPREV02</v>
          </cell>
          <cell r="AD9715">
            <v>59000</v>
          </cell>
        </row>
        <row r="9716">
          <cell r="W9716" t="str">
            <v>QPREV02</v>
          </cell>
          <cell r="AD9716">
            <v>59000</v>
          </cell>
        </row>
        <row r="9717">
          <cell r="W9717" t="str">
            <v>QPREV02</v>
          </cell>
          <cell r="AD9717">
            <v>59000</v>
          </cell>
        </row>
        <row r="9718">
          <cell r="W9718" t="str">
            <v>QPREV02</v>
          </cell>
          <cell r="AD9718">
            <v>59000</v>
          </cell>
        </row>
        <row r="9719">
          <cell r="W9719" t="str">
            <v>QPREV02</v>
          </cell>
          <cell r="AD9719">
            <v>59000</v>
          </cell>
        </row>
        <row r="9720">
          <cell r="W9720" t="str">
            <v>QPREV02</v>
          </cell>
          <cell r="AD9720">
            <v>59000</v>
          </cell>
        </row>
        <row r="9721">
          <cell r="W9721" t="str">
            <v>QPREV02</v>
          </cell>
          <cell r="AD9721">
            <v>59000</v>
          </cell>
        </row>
        <row r="9722">
          <cell r="W9722" t="str">
            <v>QPREV02</v>
          </cell>
          <cell r="AD9722">
            <v>59000</v>
          </cell>
        </row>
        <row r="9723">
          <cell r="W9723" t="str">
            <v>QPREV02</v>
          </cell>
          <cell r="AD9723">
            <v>59000</v>
          </cell>
        </row>
        <row r="9724">
          <cell r="W9724" t="str">
            <v>QPREV02</v>
          </cell>
          <cell r="AD9724">
            <v>59000</v>
          </cell>
        </row>
        <row r="9725">
          <cell r="W9725" t="str">
            <v>QPREV02</v>
          </cell>
          <cell r="AD9725">
            <v>59000</v>
          </cell>
        </row>
        <row r="9726">
          <cell r="W9726" t="str">
            <v>QPREV02</v>
          </cell>
          <cell r="AD9726">
            <v>59000</v>
          </cell>
        </row>
        <row r="9727">
          <cell r="W9727" t="str">
            <v>QPREV02</v>
          </cell>
          <cell r="AD9727">
            <v>59000</v>
          </cell>
        </row>
        <row r="9728">
          <cell r="W9728" t="str">
            <v>QPREV02</v>
          </cell>
          <cell r="AD9728">
            <v>59000</v>
          </cell>
        </row>
        <row r="9729">
          <cell r="W9729" t="str">
            <v>QPREV02</v>
          </cell>
          <cell r="AD9729">
            <v>59000</v>
          </cell>
        </row>
        <row r="9730">
          <cell r="W9730" t="str">
            <v>QPREV02</v>
          </cell>
          <cell r="AD9730">
            <v>59000</v>
          </cell>
        </row>
        <row r="9731">
          <cell r="W9731" t="str">
            <v>QPREV02</v>
          </cell>
          <cell r="AD9731">
            <v>59000</v>
          </cell>
        </row>
        <row r="9732">
          <cell r="W9732" t="str">
            <v>QPREV02</v>
          </cell>
          <cell r="AD9732">
            <v>59000</v>
          </cell>
        </row>
        <row r="9733">
          <cell r="W9733" t="str">
            <v>QPREV02</v>
          </cell>
          <cell r="AD9733">
            <v>59000</v>
          </cell>
        </row>
        <row r="9734">
          <cell r="W9734" t="str">
            <v>QPREV02</v>
          </cell>
          <cell r="AD9734">
            <v>59000</v>
          </cell>
        </row>
        <row r="9735">
          <cell r="W9735" t="str">
            <v>QPREV02</v>
          </cell>
          <cell r="AD9735">
            <v>59000</v>
          </cell>
        </row>
        <row r="9736">
          <cell r="W9736" t="str">
            <v>QPREV02</v>
          </cell>
          <cell r="AD9736">
            <v>59500</v>
          </cell>
        </row>
        <row r="9737">
          <cell r="W9737" t="str">
            <v>QPREV02</v>
          </cell>
          <cell r="AD9737">
            <v>59500</v>
          </cell>
        </row>
        <row r="9738">
          <cell r="W9738" t="str">
            <v>QPREV02</v>
          </cell>
          <cell r="AD9738">
            <v>60000</v>
          </cell>
        </row>
        <row r="9739">
          <cell r="W9739" t="str">
            <v>QPREV02</v>
          </cell>
          <cell r="AD9739">
            <v>60000</v>
          </cell>
        </row>
        <row r="9740">
          <cell r="W9740" t="str">
            <v>QPREV02</v>
          </cell>
          <cell r="AD9740">
            <v>60000</v>
          </cell>
        </row>
        <row r="9741">
          <cell r="W9741" t="str">
            <v>QPREV02</v>
          </cell>
          <cell r="AD9741">
            <v>60000</v>
          </cell>
        </row>
        <row r="9742">
          <cell r="W9742" t="str">
            <v>QPREV02</v>
          </cell>
          <cell r="AD9742">
            <v>60000</v>
          </cell>
        </row>
        <row r="9743">
          <cell r="W9743" t="str">
            <v>QPREV02</v>
          </cell>
          <cell r="AD9743">
            <v>60000</v>
          </cell>
        </row>
        <row r="9744">
          <cell r="W9744" t="str">
            <v>QPREV02</v>
          </cell>
          <cell r="AD9744">
            <v>60000</v>
          </cell>
        </row>
        <row r="9745">
          <cell r="W9745" t="str">
            <v>QPREV02</v>
          </cell>
          <cell r="AD9745">
            <v>60000</v>
          </cell>
        </row>
        <row r="9746">
          <cell r="W9746" t="str">
            <v>QPREV02</v>
          </cell>
          <cell r="AD9746">
            <v>60000</v>
          </cell>
        </row>
        <row r="9747">
          <cell r="W9747" t="str">
            <v>QPREV02</v>
          </cell>
          <cell r="AD9747">
            <v>60000</v>
          </cell>
        </row>
        <row r="9748">
          <cell r="W9748" t="str">
            <v>QPREV02</v>
          </cell>
          <cell r="AD9748">
            <v>60000</v>
          </cell>
        </row>
        <row r="9749">
          <cell r="W9749" t="str">
            <v>QPREV02</v>
          </cell>
          <cell r="AD9749">
            <v>60000</v>
          </cell>
        </row>
        <row r="9750">
          <cell r="W9750" t="str">
            <v>QPREV02</v>
          </cell>
          <cell r="AD9750">
            <v>60000</v>
          </cell>
        </row>
        <row r="9751">
          <cell r="W9751" t="str">
            <v>QPREV02</v>
          </cell>
          <cell r="AD9751">
            <v>60000</v>
          </cell>
        </row>
        <row r="9752">
          <cell r="W9752" t="str">
            <v>QPREV02</v>
          </cell>
          <cell r="AD9752">
            <v>60000</v>
          </cell>
        </row>
        <row r="9753">
          <cell r="W9753" t="str">
            <v>QPREV02</v>
          </cell>
          <cell r="AD9753">
            <v>60000</v>
          </cell>
        </row>
        <row r="9754">
          <cell r="W9754" t="str">
            <v>QPREV02</v>
          </cell>
          <cell r="AD9754">
            <v>60000</v>
          </cell>
        </row>
        <row r="9755">
          <cell r="W9755" t="str">
            <v>QPREV02</v>
          </cell>
          <cell r="AD9755">
            <v>60000</v>
          </cell>
        </row>
        <row r="9756">
          <cell r="W9756" t="str">
            <v>QPREV02</v>
          </cell>
          <cell r="AD9756">
            <v>60000</v>
          </cell>
        </row>
        <row r="9757">
          <cell r="W9757" t="str">
            <v>QPREV02</v>
          </cell>
          <cell r="AD9757">
            <v>60000</v>
          </cell>
        </row>
        <row r="9758">
          <cell r="W9758" t="str">
            <v>QPREV02</v>
          </cell>
          <cell r="AD9758">
            <v>60000</v>
          </cell>
        </row>
        <row r="9759">
          <cell r="W9759" t="str">
            <v>QPREV02</v>
          </cell>
          <cell r="AD9759">
            <v>60000</v>
          </cell>
        </row>
        <row r="9760">
          <cell r="W9760" t="str">
            <v>QPREV02</v>
          </cell>
          <cell r="AD9760">
            <v>60000</v>
          </cell>
        </row>
        <row r="9761">
          <cell r="W9761" t="str">
            <v>QPREV02</v>
          </cell>
          <cell r="AD9761">
            <v>60000</v>
          </cell>
        </row>
        <row r="9762">
          <cell r="W9762" t="str">
            <v>QPREV02</v>
          </cell>
          <cell r="AD9762">
            <v>60000</v>
          </cell>
        </row>
        <row r="9763">
          <cell r="W9763" t="str">
            <v>QPREV02</v>
          </cell>
          <cell r="AD9763">
            <v>60000</v>
          </cell>
        </row>
        <row r="9764">
          <cell r="W9764" t="str">
            <v>QPREV02</v>
          </cell>
          <cell r="AD9764">
            <v>60000</v>
          </cell>
        </row>
        <row r="9765">
          <cell r="W9765" t="str">
            <v>QPREV02</v>
          </cell>
          <cell r="AD9765">
            <v>60000</v>
          </cell>
        </row>
        <row r="9766">
          <cell r="W9766" t="str">
            <v>QPREV02</v>
          </cell>
          <cell r="AD9766">
            <v>60000</v>
          </cell>
        </row>
        <row r="9767">
          <cell r="W9767" t="str">
            <v>QPREV02</v>
          </cell>
          <cell r="AD9767">
            <v>60000</v>
          </cell>
        </row>
        <row r="9768">
          <cell r="W9768" t="str">
            <v>QPREV02</v>
          </cell>
          <cell r="AD9768">
            <v>60000</v>
          </cell>
        </row>
        <row r="9769">
          <cell r="W9769" t="str">
            <v>QPREV02</v>
          </cell>
          <cell r="AD9769">
            <v>60000</v>
          </cell>
        </row>
        <row r="9770">
          <cell r="W9770" t="str">
            <v>QPREV02</v>
          </cell>
          <cell r="AD9770">
            <v>60000</v>
          </cell>
        </row>
        <row r="9771">
          <cell r="W9771" t="str">
            <v>QPREV02</v>
          </cell>
          <cell r="AD9771">
            <v>60000</v>
          </cell>
        </row>
        <row r="9772">
          <cell r="W9772" t="str">
            <v>QPREV02</v>
          </cell>
          <cell r="AD9772">
            <v>60000</v>
          </cell>
        </row>
        <row r="9773">
          <cell r="W9773" t="str">
            <v>QPREV02</v>
          </cell>
          <cell r="AD9773">
            <v>60000</v>
          </cell>
        </row>
        <row r="9774">
          <cell r="W9774" t="str">
            <v>QPREV02</v>
          </cell>
          <cell r="AD9774">
            <v>60000</v>
          </cell>
        </row>
        <row r="9775">
          <cell r="W9775" t="str">
            <v>QPREV02</v>
          </cell>
          <cell r="AD9775">
            <v>60000</v>
          </cell>
        </row>
        <row r="9776">
          <cell r="W9776" t="str">
            <v>QPREV02</v>
          </cell>
          <cell r="AD9776">
            <v>60000</v>
          </cell>
        </row>
        <row r="9777">
          <cell r="W9777" t="str">
            <v>QPREV02</v>
          </cell>
          <cell r="AD9777">
            <v>60000</v>
          </cell>
        </row>
        <row r="9778">
          <cell r="W9778" t="str">
            <v>QPREV02</v>
          </cell>
          <cell r="AD9778">
            <v>60000</v>
          </cell>
        </row>
        <row r="9779">
          <cell r="W9779" t="str">
            <v>QPREV02</v>
          </cell>
          <cell r="AD9779">
            <v>60000</v>
          </cell>
        </row>
        <row r="9780">
          <cell r="W9780" t="str">
            <v>QPREV02</v>
          </cell>
          <cell r="AD9780">
            <v>60000</v>
          </cell>
        </row>
        <row r="9781">
          <cell r="W9781" t="str">
            <v>QPREV02</v>
          </cell>
          <cell r="AD9781">
            <v>60000</v>
          </cell>
        </row>
        <row r="9782">
          <cell r="W9782" t="str">
            <v>QPREV02</v>
          </cell>
          <cell r="AD9782">
            <v>60000</v>
          </cell>
        </row>
        <row r="9783">
          <cell r="W9783" t="str">
            <v>QPREV02</v>
          </cell>
          <cell r="AD9783">
            <v>60500</v>
          </cell>
        </row>
        <row r="9784">
          <cell r="W9784" t="str">
            <v>QPREV02</v>
          </cell>
          <cell r="AD9784">
            <v>60500</v>
          </cell>
        </row>
        <row r="9785">
          <cell r="W9785" t="str">
            <v>QPREV02</v>
          </cell>
          <cell r="AD9785">
            <v>60500</v>
          </cell>
        </row>
        <row r="9786">
          <cell r="W9786" t="str">
            <v>QPREV02</v>
          </cell>
          <cell r="AD9786">
            <v>60500</v>
          </cell>
        </row>
        <row r="9787">
          <cell r="W9787" t="str">
            <v>QPREV02</v>
          </cell>
          <cell r="AD9787">
            <v>60500</v>
          </cell>
        </row>
        <row r="9788">
          <cell r="W9788" t="str">
            <v>QPREV02</v>
          </cell>
          <cell r="AD9788">
            <v>60500</v>
          </cell>
        </row>
        <row r="9789">
          <cell r="W9789" t="str">
            <v>QPREV02</v>
          </cell>
          <cell r="AD9789">
            <v>60500</v>
          </cell>
        </row>
        <row r="9790">
          <cell r="W9790" t="str">
            <v>QPREV02</v>
          </cell>
          <cell r="AD9790">
            <v>60500</v>
          </cell>
        </row>
        <row r="9791">
          <cell r="W9791" t="str">
            <v>QPREV02</v>
          </cell>
          <cell r="AD9791">
            <v>60500</v>
          </cell>
        </row>
        <row r="9792">
          <cell r="W9792" t="str">
            <v>QPREV02</v>
          </cell>
          <cell r="AD9792">
            <v>60500</v>
          </cell>
        </row>
        <row r="9793">
          <cell r="W9793" t="str">
            <v>QPREV02</v>
          </cell>
          <cell r="AD9793">
            <v>60500</v>
          </cell>
        </row>
        <row r="9794">
          <cell r="W9794" t="str">
            <v>QPREV02</v>
          </cell>
          <cell r="AD9794">
            <v>60500</v>
          </cell>
        </row>
        <row r="9795">
          <cell r="W9795" t="str">
            <v>QPREV02</v>
          </cell>
          <cell r="AD9795">
            <v>60500</v>
          </cell>
        </row>
        <row r="9796">
          <cell r="W9796" t="str">
            <v>QPREV02</v>
          </cell>
          <cell r="AD9796">
            <v>60500</v>
          </cell>
        </row>
        <row r="9797">
          <cell r="W9797" t="str">
            <v>QPREV02</v>
          </cell>
          <cell r="AD9797">
            <v>60750</v>
          </cell>
        </row>
        <row r="9798">
          <cell r="W9798" t="str">
            <v>QPREV02</v>
          </cell>
          <cell r="AD9798">
            <v>61000</v>
          </cell>
        </row>
        <row r="9799">
          <cell r="W9799" t="str">
            <v>QPREV02</v>
          </cell>
          <cell r="AD9799">
            <v>61000</v>
          </cell>
        </row>
        <row r="9800">
          <cell r="W9800" t="str">
            <v>QPREV02</v>
          </cell>
          <cell r="AD9800">
            <v>61000</v>
          </cell>
        </row>
        <row r="9801">
          <cell r="W9801" t="str">
            <v>QPREV02</v>
          </cell>
          <cell r="AD9801">
            <v>61000</v>
          </cell>
        </row>
        <row r="9802">
          <cell r="W9802" t="str">
            <v>QPREV02</v>
          </cell>
          <cell r="AD9802">
            <v>61000</v>
          </cell>
        </row>
        <row r="9803">
          <cell r="W9803" t="str">
            <v>QPREV02</v>
          </cell>
          <cell r="AD9803">
            <v>61000</v>
          </cell>
        </row>
        <row r="9804">
          <cell r="W9804" t="str">
            <v>QPREV02</v>
          </cell>
          <cell r="AD9804">
            <v>61000</v>
          </cell>
        </row>
        <row r="9805">
          <cell r="W9805" t="str">
            <v>QPREV02</v>
          </cell>
          <cell r="AD9805">
            <v>61000</v>
          </cell>
        </row>
        <row r="9806">
          <cell r="W9806" t="str">
            <v>QPREV02</v>
          </cell>
          <cell r="AD9806">
            <v>61000</v>
          </cell>
        </row>
        <row r="9807">
          <cell r="W9807" t="str">
            <v>QPREV02</v>
          </cell>
          <cell r="AD9807">
            <v>61000</v>
          </cell>
        </row>
        <row r="9808">
          <cell r="W9808" t="str">
            <v>QPREV02</v>
          </cell>
          <cell r="AD9808">
            <v>61000</v>
          </cell>
        </row>
        <row r="9809">
          <cell r="W9809" t="str">
            <v>QPREV02</v>
          </cell>
          <cell r="AD9809">
            <v>61000</v>
          </cell>
        </row>
        <row r="9810">
          <cell r="W9810" t="str">
            <v>QPREV02</v>
          </cell>
          <cell r="AD9810">
            <v>61000</v>
          </cell>
        </row>
        <row r="9811">
          <cell r="W9811" t="str">
            <v>QPREV02</v>
          </cell>
          <cell r="AD9811">
            <v>61000</v>
          </cell>
        </row>
        <row r="9812">
          <cell r="W9812" t="str">
            <v>QPREV02</v>
          </cell>
          <cell r="AD9812">
            <v>61000</v>
          </cell>
        </row>
        <row r="9813">
          <cell r="W9813" t="str">
            <v>QPREV02</v>
          </cell>
          <cell r="AD9813">
            <v>61000</v>
          </cell>
        </row>
        <row r="9814">
          <cell r="W9814" t="str">
            <v>QPREV02</v>
          </cell>
          <cell r="AD9814">
            <v>61000</v>
          </cell>
        </row>
        <row r="9815">
          <cell r="W9815" t="str">
            <v>QPREV02</v>
          </cell>
          <cell r="AD9815">
            <v>61000</v>
          </cell>
        </row>
        <row r="9816">
          <cell r="W9816" t="str">
            <v>QPREV02</v>
          </cell>
          <cell r="AD9816">
            <v>61000</v>
          </cell>
        </row>
        <row r="9817">
          <cell r="W9817" t="str">
            <v>QPREV02</v>
          </cell>
          <cell r="AD9817">
            <v>61000</v>
          </cell>
        </row>
        <row r="9818">
          <cell r="W9818" t="str">
            <v>QPREV02</v>
          </cell>
          <cell r="AD9818">
            <v>61000</v>
          </cell>
        </row>
        <row r="9819">
          <cell r="W9819" t="str">
            <v>QPREV03</v>
          </cell>
          <cell r="AD9819">
            <v>29250</v>
          </cell>
        </row>
        <row r="9820">
          <cell r="W9820" t="str">
            <v>QPREV03</v>
          </cell>
          <cell r="AD9820">
            <v>29250</v>
          </cell>
        </row>
        <row r="9821">
          <cell r="W9821" t="str">
            <v>QPREV03</v>
          </cell>
          <cell r="AD9821">
            <v>29250</v>
          </cell>
        </row>
        <row r="9822">
          <cell r="W9822" t="str">
            <v>QPREV03</v>
          </cell>
          <cell r="AD9822">
            <v>29250</v>
          </cell>
        </row>
        <row r="9823">
          <cell r="W9823" t="str">
            <v>QPREV03</v>
          </cell>
          <cell r="AD9823">
            <v>29250</v>
          </cell>
        </row>
        <row r="9824">
          <cell r="W9824" t="str">
            <v>QPREV03</v>
          </cell>
          <cell r="AD9824">
            <v>29250</v>
          </cell>
        </row>
        <row r="9825">
          <cell r="W9825" t="str">
            <v>QPREV03</v>
          </cell>
          <cell r="AD9825">
            <v>29250</v>
          </cell>
        </row>
        <row r="9826">
          <cell r="W9826" t="str">
            <v>QPREV03</v>
          </cell>
          <cell r="AD9826">
            <v>29250</v>
          </cell>
        </row>
        <row r="9827">
          <cell r="W9827" t="str">
            <v>QPREV03</v>
          </cell>
          <cell r="AD9827">
            <v>29250</v>
          </cell>
        </row>
        <row r="9828">
          <cell r="W9828" t="str">
            <v>QPREV03</v>
          </cell>
          <cell r="AD9828">
            <v>29500</v>
          </cell>
        </row>
        <row r="9829">
          <cell r="W9829" t="str">
            <v>QPREV03</v>
          </cell>
          <cell r="AD9829">
            <v>29500</v>
          </cell>
        </row>
        <row r="9830">
          <cell r="W9830" t="str">
            <v>QPREV03</v>
          </cell>
          <cell r="AD9830">
            <v>29500</v>
          </cell>
        </row>
        <row r="9831">
          <cell r="W9831" t="str">
            <v>QPREV03</v>
          </cell>
          <cell r="AD9831">
            <v>29500</v>
          </cell>
        </row>
        <row r="9832">
          <cell r="W9832" t="str">
            <v>QPREV03</v>
          </cell>
          <cell r="AD9832">
            <v>29500</v>
          </cell>
        </row>
        <row r="9833">
          <cell r="W9833" t="str">
            <v>QPREV03</v>
          </cell>
          <cell r="AD9833">
            <v>29500</v>
          </cell>
        </row>
        <row r="9834">
          <cell r="W9834" t="str">
            <v>QPREV03</v>
          </cell>
          <cell r="AD9834">
            <v>29500</v>
          </cell>
        </row>
        <row r="9835">
          <cell r="W9835" t="str">
            <v>QPREV03</v>
          </cell>
          <cell r="AD9835">
            <v>29500</v>
          </cell>
        </row>
        <row r="9836">
          <cell r="W9836" t="str">
            <v>QPREV04</v>
          </cell>
          <cell r="AD9836">
            <v>133000</v>
          </cell>
        </row>
        <row r="9837">
          <cell r="W9837" t="str">
            <v>QPREV04</v>
          </cell>
          <cell r="AD9837">
            <v>133000</v>
          </cell>
        </row>
        <row r="9838">
          <cell r="W9838" t="str">
            <v>QPREV04</v>
          </cell>
          <cell r="AD9838">
            <v>133000</v>
          </cell>
        </row>
        <row r="9839">
          <cell r="W9839" t="str">
            <v>QPREV04</v>
          </cell>
          <cell r="AD9839">
            <v>133000</v>
          </cell>
        </row>
        <row r="9840">
          <cell r="W9840" t="str">
            <v>QPREV04</v>
          </cell>
          <cell r="AD9840">
            <v>133000</v>
          </cell>
        </row>
        <row r="9841">
          <cell r="W9841" t="str">
            <v>QPREV04</v>
          </cell>
          <cell r="AD9841">
            <v>133000</v>
          </cell>
        </row>
        <row r="9842">
          <cell r="W9842" t="str">
            <v>QPREV04</v>
          </cell>
          <cell r="AD9842">
            <v>134000</v>
          </cell>
        </row>
        <row r="9843">
          <cell r="W9843" t="str">
            <v>QPREV04</v>
          </cell>
          <cell r="AD9843">
            <v>134000</v>
          </cell>
        </row>
        <row r="9844">
          <cell r="W9844" t="str">
            <v>QPREV04</v>
          </cell>
          <cell r="AD9844">
            <v>134000</v>
          </cell>
        </row>
        <row r="9845">
          <cell r="W9845" t="str">
            <v>QPREV04</v>
          </cell>
          <cell r="AD9845">
            <v>134000</v>
          </cell>
        </row>
        <row r="9846">
          <cell r="W9846" t="str">
            <v>QPREV04</v>
          </cell>
          <cell r="AD9846">
            <v>134000</v>
          </cell>
        </row>
        <row r="9847">
          <cell r="W9847" t="str">
            <v>QPREV04</v>
          </cell>
          <cell r="AD9847">
            <v>134000</v>
          </cell>
        </row>
        <row r="9848">
          <cell r="W9848" t="str">
            <v>QPREV04</v>
          </cell>
          <cell r="AD9848">
            <v>134000</v>
          </cell>
        </row>
        <row r="9849">
          <cell r="W9849" t="str">
            <v>QPREV04</v>
          </cell>
          <cell r="AD9849">
            <v>134000</v>
          </cell>
        </row>
        <row r="9850">
          <cell r="W9850" t="str">
            <v>QPREV04</v>
          </cell>
          <cell r="AD9850">
            <v>134000</v>
          </cell>
        </row>
        <row r="9851">
          <cell r="W9851" t="str">
            <v>QPREV04</v>
          </cell>
          <cell r="AD9851">
            <v>134000</v>
          </cell>
        </row>
        <row r="9852">
          <cell r="W9852" t="str">
            <v>QPREV04</v>
          </cell>
          <cell r="AD9852">
            <v>134000</v>
          </cell>
        </row>
        <row r="9853">
          <cell r="W9853" t="str">
            <v>QPREV04</v>
          </cell>
          <cell r="AD9853">
            <v>134000</v>
          </cell>
        </row>
        <row r="9854">
          <cell r="W9854" t="str">
            <v>QPREV04</v>
          </cell>
          <cell r="AD9854">
            <v>134000</v>
          </cell>
        </row>
        <row r="9855">
          <cell r="W9855" t="str">
            <v>QPREV04</v>
          </cell>
          <cell r="AD9855">
            <v>134000</v>
          </cell>
        </row>
        <row r="9856">
          <cell r="W9856" t="str">
            <v>QPREV04</v>
          </cell>
          <cell r="AD9856">
            <v>134000</v>
          </cell>
        </row>
        <row r="9857">
          <cell r="W9857" t="str">
            <v>QPREV04</v>
          </cell>
          <cell r="AD9857">
            <v>135000</v>
          </cell>
        </row>
        <row r="9858">
          <cell r="W9858" t="str">
            <v>QPREV04</v>
          </cell>
          <cell r="AD9858">
            <v>135000</v>
          </cell>
        </row>
        <row r="9859">
          <cell r="W9859" t="str">
            <v>QPREV04</v>
          </cell>
          <cell r="AD9859">
            <v>135000</v>
          </cell>
        </row>
        <row r="9860">
          <cell r="W9860" t="str">
            <v>QPREV04</v>
          </cell>
          <cell r="AD9860">
            <v>135000</v>
          </cell>
        </row>
        <row r="9861">
          <cell r="W9861" t="str">
            <v>QPREV04</v>
          </cell>
          <cell r="AD9861">
            <v>135000</v>
          </cell>
        </row>
        <row r="9862">
          <cell r="W9862" t="str">
            <v>QPREV04</v>
          </cell>
          <cell r="AD9862">
            <v>135000</v>
          </cell>
        </row>
        <row r="9863">
          <cell r="W9863" t="str">
            <v>QPREZ01</v>
          </cell>
          <cell r="AD9863">
            <v>265000</v>
          </cell>
        </row>
        <row r="9864">
          <cell r="W9864" t="str">
            <v>QPREZ01</v>
          </cell>
          <cell r="AD9864">
            <v>268000</v>
          </cell>
        </row>
        <row r="9865">
          <cell r="W9865" t="str">
            <v>QPREZ01</v>
          </cell>
          <cell r="AD9865">
            <v>268000</v>
          </cell>
        </row>
        <row r="9866">
          <cell r="W9866" t="str">
            <v>QPREZ01</v>
          </cell>
          <cell r="AD9866">
            <v>268000</v>
          </cell>
        </row>
        <row r="9867">
          <cell r="W9867" t="str">
            <v>QPREZ01</v>
          </cell>
          <cell r="AD9867">
            <v>270000</v>
          </cell>
        </row>
        <row r="9868">
          <cell r="W9868" t="str">
            <v>QPREZ01</v>
          </cell>
          <cell r="AD9868">
            <v>270000</v>
          </cell>
        </row>
        <row r="9869">
          <cell r="W9869" t="str">
            <v>QPREZ01</v>
          </cell>
          <cell r="AD9869">
            <v>270000</v>
          </cell>
        </row>
        <row r="9870">
          <cell r="W9870" t="str">
            <v>QPREZ01</v>
          </cell>
          <cell r="AD9870">
            <v>270000</v>
          </cell>
        </row>
        <row r="9871">
          <cell r="W9871" t="str">
            <v>QPREZ01</v>
          </cell>
          <cell r="AD9871">
            <v>270000</v>
          </cell>
        </row>
        <row r="9872">
          <cell r="W9872" t="str">
            <v>QPREZ01</v>
          </cell>
          <cell r="AD9872">
            <v>272500</v>
          </cell>
        </row>
        <row r="9873">
          <cell r="W9873" t="str">
            <v>QPREZ01</v>
          </cell>
          <cell r="AD9873">
            <v>273000</v>
          </cell>
        </row>
        <row r="9874">
          <cell r="W9874" t="str">
            <v>QPREZ01</v>
          </cell>
          <cell r="AD9874">
            <v>275000</v>
          </cell>
        </row>
        <row r="9875">
          <cell r="W9875" t="str">
            <v>QPREZ01</v>
          </cell>
          <cell r="AD9875">
            <v>275000</v>
          </cell>
        </row>
        <row r="9876">
          <cell r="W9876" t="str">
            <v>QPREZ01</v>
          </cell>
          <cell r="AD9876">
            <v>275000</v>
          </cell>
        </row>
        <row r="9877">
          <cell r="W9877" t="str">
            <v>QPREZ01</v>
          </cell>
          <cell r="AD9877">
            <v>275000</v>
          </cell>
        </row>
        <row r="9878">
          <cell r="W9878" t="str">
            <v>QPREZ01</v>
          </cell>
          <cell r="AD9878">
            <v>275000</v>
          </cell>
        </row>
        <row r="9879">
          <cell r="W9879" t="str">
            <v>QPREZ01</v>
          </cell>
          <cell r="AD9879">
            <v>275000</v>
          </cell>
        </row>
        <row r="9880">
          <cell r="W9880" t="str">
            <v>QPREZ01</v>
          </cell>
          <cell r="AD9880">
            <v>275000</v>
          </cell>
        </row>
        <row r="9881">
          <cell r="W9881" t="str">
            <v>QPREZ01</v>
          </cell>
          <cell r="AD9881">
            <v>278000</v>
          </cell>
        </row>
        <row r="9882">
          <cell r="W9882" t="str">
            <v>QPREZ01</v>
          </cell>
          <cell r="AD9882">
            <v>280000</v>
          </cell>
        </row>
        <row r="9883">
          <cell r="W9883" t="str">
            <v>QPREZ01</v>
          </cell>
          <cell r="AD9883">
            <v>280000</v>
          </cell>
        </row>
        <row r="9884">
          <cell r="W9884" t="str">
            <v>QPREZ01</v>
          </cell>
          <cell r="AD9884">
            <v>285000</v>
          </cell>
        </row>
        <row r="9885">
          <cell r="W9885" t="str">
            <v>QPREZ01</v>
          </cell>
          <cell r="AD9885">
            <v>285000</v>
          </cell>
        </row>
        <row r="9886">
          <cell r="W9886" t="str">
            <v>QPREZ01</v>
          </cell>
          <cell r="AD9886">
            <v>285000</v>
          </cell>
        </row>
        <row r="9887">
          <cell r="W9887" t="str">
            <v>QPREZ02</v>
          </cell>
          <cell r="AD9887">
            <v>68750</v>
          </cell>
        </row>
        <row r="9888">
          <cell r="W9888" t="str">
            <v>QPREZ02</v>
          </cell>
          <cell r="AD9888">
            <v>68750</v>
          </cell>
        </row>
        <row r="9889">
          <cell r="W9889" t="str">
            <v>QPREZ02</v>
          </cell>
          <cell r="AD9889">
            <v>74000</v>
          </cell>
        </row>
        <row r="9890">
          <cell r="W9890" t="str">
            <v>QPREZ02</v>
          </cell>
          <cell r="AD9890">
            <v>74000</v>
          </cell>
        </row>
        <row r="9891">
          <cell r="W9891" t="str">
            <v>QPREZ02</v>
          </cell>
          <cell r="AD9891">
            <v>75000</v>
          </cell>
        </row>
        <row r="9892">
          <cell r="W9892" t="str">
            <v>QPREZ02</v>
          </cell>
          <cell r="AD9892">
            <v>80000</v>
          </cell>
        </row>
        <row r="9893">
          <cell r="W9893" t="str">
            <v>QPREZ02</v>
          </cell>
          <cell r="AD9893">
            <v>80000</v>
          </cell>
        </row>
        <row r="9894">
          <cell r="W9894" t="str">
            <v>QPREZ02</v>
          </cell>
          <cell r="AD9894">
            <v>80000</v>
          </cell>
        </row>
        <row r="9895">
          <cell r="W9895" t="str">
            <v>APRIM06</v>
          </cell>
          <cell r="AD9895">
            <v>196000</v>
          </cell>
        </row>
        <row r="9896">
          <cell r="W9896" t="str">
            <v>APRIM06</v>
          </cell>
          <cell r="AD9896">
            <v>196000</v>
          </cell>
        </row>
        <row r="9897">
          <cell r="W9897" t="str">
            <v>APRIM06</v>
          </cell>
          <cell r="AD9897">
            <v>196000</v>
          </cell>
        </row>
        <row r="9898">
          <cell r="W9898" t="str">
            <v>APRIM06</v>
          </cell>
          <cell r="AD9898">
            <v>196000</v>
          </cell>
        </row>
        <row r="9899">
          <cell r="W9899" t="str">
            <v>APRIM06</v>
          </cell>
          <cell r="AD9899">
            <v>196000</v>
          </cell>
        </row>
        <row r="9900">
          <cell r="W9900" t="str">
            <v>APRIM07</v>
          </cell>
          <cell r="AD9900">
            <v>99000</v>
          </cell>
        </row>
        <row r="9901">
          <cell r="W9901" t="str">
            <v>QPRIM13</v>
          </cell>
          <cell r="AD9901">
            <v>99000</v>
          </cell>
        </row>
        <row r="9902">
          <cell r="W9902" t="str">
            <v>APRIM07</v>
          </cell>
          <cell r="AD9902">
            <v>99000</v>
          </cell>
        </row>
        <row r="9903">
          <cell r="W9903" t="str">
            <v>APRIM07</v>
          </cell>
          <cell r="AD9903">
            <v>99000</v>
          </cell>
        </row>
        <row r="9904">
          <cell r="W9904" t="str">
            <v>QPRIM13</v>
          </cell>
          <cell r="AD9904">
            <v>99000</v>
          </cell>
        </row>
        <row r="9905">
          <cell r="W9905" t="str">
            <v>APRIM07</v>
          </cell>
          <cell r="AD9905">
            <v>99000</v>
          </cell>
        </row>
        <row r="9906">
          <cell r="W9906" t="str">
            <v>QPRIM12</v>
          </cell>
          <cell r="AD9906">
            <v>53000</v>
          </cell>
        </row>
        <row r="9907">
          <cell r="W9907" t="str">
            <v>APRIM08</v>
          </cell>
          <cell r="AD9907">
            <v>53000</v>
          </cell>
        </row>
        <row r="9908">
          <cell r="W9908" t="str">
            <v>APRIM08</v>
          </cell>
          <cell r="AD9908">
            <v>53000</v>
          </cell>
        </row>
        <row r="9909">
          <cell r="W9909" t="str">
            <v>APRIM08</v>
          </cell>
          <cell r="AD9909">
            <v>53000</v>
          </cell>
        </row>
        <row r="9910">
          <cell r="W9910" t="str">
            <v>QPRIM12</v>
          </cell>
          <cell r="AD9910">
            <v>53000</v>
          </cell>
        </row>
        <row r="9911">
          <cell r="W9911" t="str">
            <v>QPRIM12</v>
          </cell>
          <cell r="AD9911">
            <v>53000</v>
          </cell>
        </row>
        <row r="9912">
          <cell r="W9912" t="str">
            <v>APRIM05</v>
          </cell>
          <cell r="AD9912">
            <v>22000</v>
          </cell>
        </row>
        <row r="9913">
          <cell r="W9913" t="str">
            <v>QPRIM11</v>
          </cell>
          <cell r="AD9913">
            <v>22000</v>
          </cell>
        </row>
        <row r="9914">
          <cell r="W9914" t="str">
            <v>QPRIM11</v>
          </cell>
          <cell r="AD9914">
            <v>22000</v>
          </cell>
        </row>
        <row r="9915">
          <cell r="W9915" t="str">
            <v>APRIM05</v>
          </cell>
          <cell r="AD9915">
            <v>22000</v>
          </cell>
        </row>
        <row r="9916">
          <cell r="W9916" t="str">
            <v>QPROC01</v>
          </cell>
          <cell r="AD9916">
            <v>110000</v>
          </cell>
        </row>
        <row r="9917">
          <cell r="W9917" t="str">
            <v>QPROC01</v>
          </cell>
          <cell r="AD9917">
            <v>110000</v>
          </cell>
        </row>
        <row r="9918">
          <cell r="W9918" t="str">
            <v>QPROC01</v>
          </cell>
          <cell r="AD9918">
            <v>116000</v>
          </cell>
        </row>
        <row r="9919">
          <cell r="W9919" t="str">
            <v>QPROC01</v>
          </cell>
          <cell r="AD9919">
            <v>116000</v>
          </cell>
        </row>
        <row r="9920">
          <cell r="W9920" t="str">
            <v>QPROC01</v>
          </cell>
          <cell r="AD9920">
            <v>116000</v>
          </cell>
        </row>
        <row r="9921">
          <cell r="W9921" t="str">
            <v>QPROC01</v>
          </cell>
          <cell r="AD9921">
            <v>116000</v>
          </cell>
        </row>
        <row r="9922">
          <cell r="W9922" t="str">
            <v>QPROC01</v>
          </cell>
          <cell r="AD9922">
            <v>116000</v>
          </cell>
        </row>
        <row r="9923">
          <cell r="W9923" t="str">
            <v>QPROC01</v>
          </cell>
          <cell r="AD9923">
            <v>117000</v>
          </cell>
        </row>
        <row r="9924">
          <cell r="W9924" t="str">
            <v>QPROC01</v>
          </cell>
          <cell r="AD9924">
            <v>119000</v>
          </cell>
        </row>
        <row r="9925">
          <cell r="W9925" t="str">
            <v>QPROC01</v>
          </cell>
          <cell r="AD9925">
            <v>120000</v>
          </cell>
        </row>
        <row r="9926">
          <cell r="W9926" t="str">
            <v>QPROC01</v>
          </cell>
          <cell r="AD9926">
            <v>120000</v>
          </cell>
        </row>
        <row r="9927">
          <cell r="W9927" t="str">
            <v>QPROC01</v>
          </cell>
          <cell r="AD9927">
            <v>120000</v>
          </cell>
        </row>
        <row r="9928">
          <cell r="W9928" t="str">
            <v>QPROF03</v>
          </cell>
          <cell r="AD9928">
            <v>135000</v>
          </cell>
        </row>
        <row r="9929">
          <cell r="W9929" t="str">
            <v>QPROF03</v>
          </cell>
          <cell r="AD9929">
            <v>150000</v>
          </cell>
        </row>
        <row r="9930">
          <cell r="W9930" t="str">
            <v>QPROF03</v>
          </cell>
          <cell r="AD9930">
            <v>150000</v>
          </cell>
        </row>
        <row r="9931">
          <cell r="W9931" t="str">
            <v>QPROF03</v>
          </cell>
          <cell r="AD9931">
            <v>150000</v>
          </cell>
        </row>
        <row r="9932">
          <cell r="W9932" t="str">
            <v>QPROF03</v>
          </cell>
          <cell r="AD9932">
            <v>150000</v>
          </cell>
        </row>
        <row r="9933">
          <cell r="W9933" t="str">
            <v>APROF01</v>
          </cell>
          <cell r="AD9933">
            <v>150000</v>
          </cell>
        </row>
        <row r="9934">
          <cell r="W9934" t="str">
            <v>APROF01</v>
          </cell>
          <cell r="AD9934">
            <v>150000</v>
          </cell>
        </row>
        <row r="9935">
          <cell r="W9935" t="str">
            <v>QPROF03</v>
          </cell>
          <cell r="AD9935">
            <v>150000</v>
          </cell>
        </row>
        <row r="9936">
          <cell r="W9936" t="str">
            <v>QPROF02</v>
          </cell>
          <cell r="AD9936">
            <v>77500</v>
          </cell>
        </row>
        <row r="9937">
          <cell r="W9937" t="str">
            <v>QPROF02</v>
          </cell>
          <cell r="AD9937">
            <v>77500</v>
          </cell>
        </row>
        <row r="9938">
          <cell r="W9938" t="str">
            <v>QPROF02</v>
          </cell>
          <cell r="AD9938">
            <v>77500</v>
          </cell>
        </row>
        <row r="9939">
          <cell r="W9939" t="str">
            <v>QPROF02</v>
          </cell>
          <cell r="AD9939">
            <v>77500</v>
          </cell>
        </row>
        <row r="9940">
          <cell r="W9940" t="str">
            <v>QPROF02</v>
          </cell>
          <cell r="AD9940">
            <v>77500</v>
          </cell>
        </row>
        <row r="9941">
          <cell r="W9941" t="str">
            <v>QPROF02</v>
          </cell>
          <cell r="AD9941">
            <v>77500</v>
          </cell>
        </row>
        <row r="9942">
          <cell r="W9942" t="str">
            <v>QPROF02</v>
          </cell>
          <cell r="AD9942">
            <v>77500</v>
          </cell>
        </row>
        <row r="9943">
          <cell r="W9943" t="str">
            <v>QPROF02</v>
          </cell>
          <cell r="AD9943">
            <v>77500</v>
          </cell>
        </row>
        <row r="9944">
          <cell r="W9944" t="str">
            <v>QPROF02</v>
          </cell>
          <cell r="AD9944">
            <v>77500</v>
          </cell>
        </row>
        <row r="9945">
          <cell r="W9945" t="str">
            <v>QPROF02</v>
          </cell>
          <cell r="AD9945">
            <v>77500</v>
          </cell>
        </row>
        <row r="9946">
          <cell r="W9946" t="str">
            <v>QPROF02</v>
          </cell>
          <cell r="AD9946">
            <v>77500</v>
          </cell>
        </row>
        <row r="9947">
          <cell r="W9947" t="str">
            <v>QPROF01</v>
          </cell>
          <cell r="AD9947">
            <v>31000</v>
          </cell>
        </row>
        <row r="9948">
          <cell r="W9948" t="str">
            <v>QPROM10</v>
          </cell>
          <cell r="AD9948">
            <v>215000</v>
          </cell>
        </row>
        <row r="9949">
          <cell r="W9949" t="str">
            <v>QPROM10</v>
          </cell>
          <cell r="AD9949">
            <v>215000</v>
          </cell>
        </row>
        <row r="9950">
          <cell r="W9950" t="str">
            <v>QPROM09</v>
          </cell>
          <cell r="AD9950">
            <v>115000</v>
          </cell>
        </row>
        <row r="9951">
          <cell r="W9951" t="str">
            <v>QPUPU04</v>
          </cell>
          <cell r="AD9951">
            <v>105000</v>
          </cell>
        </row>
        <row r="9952">
          <cell r="W9952" t="str">
            <v>QPUPU04</v>
          </cell>
          <cell r="AD9952">
            <v>132500</v>
          </cell>
        </row>
        <row r="9953">
          <cell r="W9953" t="str">
            <v>QPUPU04</v>
          </cell>
          <cell r="AD9953">
            <v>132500</v>
          </cell>
        </row>
        <row r="9954">
          <cell r="W9954" t="str">
            <v>QPUPU04</v>
          </cell>
          <cell r="AD9954">
            <v>132500</v>
          </cell>
        </row>
        <row r="9955">
          <cell r="W9955" t="str">
            <v>QPUPU04</v>
          </cell>
          <cell r="AD9955">
            <v>132500</v>
          </cell>
        </row>
        <row r="9956">
          <cell r="W9956" t="str">
            <v>QPUPU04</v>
          </cell>
          <cell r="AD9956">
            <v>132500</v>
          </cell>
        </row>
        <row r="9957">
          <cell r="W9957" t="str">
            <v>QPUPU04</v>
          </cell>
          <cell r="AD9957">
            <v>132500</v>
          </cell>
        </row>
        <row r="9958">
          <cell r="W9958" t="str">
            <v>QPUPU04</v>
          </cell>
          <cell r="AD9958">
            <v>132500</v>
          </cell>
        </row>
        <row r="9959">
          <cell r="W9959" t="str">
            <v>QPUPU04</v>
          </cell>
          <cell r="AD9959">
            <v>132500</v>
          </cell>
        </row>
        <row r="9960">
          <cell r="W9960" t="str">
            <v>QPUPU04</v>
          </cell>
          <cell r="AD9960">
            <v>132500</v>
          </cell>
        </row>
        <row r="9961">
          <cell r="W9961" t="str">
            <v>QPUPU04</v>
          </cell>
          <cell r="AD9961">
            <v>132500</v>
          </cell>
        </row>
        <row r="9962">
          <cell r="W9962" t="str">
            <v>QPUPU04</v>
          </cell>
          <cell r="AD9962">
            <v>132500</v>
          </cell>
        </row>
        <row r="9963">
          <cell r="W9963" t="str">
            <v>QPUPU04</v>
          </cell>
          <cell r="AD9963">
            <v>132500</v>
          </cell>
        </row>
        <row r="9964">
          <cell r="W9964" t="str">
            <v>QPUPU04</v>
          </cell>
          <cell r="AD9964">
            <v>132500</v>
          </cell>
        </row>
        <row r="9965">
          <cell r="W9965" t="str">
            <v>QPUPU04</v>
          </cell>
          <cell r="AD9965">
            <v>132500</v>
          </cell>
        </row>
        <row r="9966">
          <cell r="W9966" t="str">
            <v>QPUPU04</v>
          </cell>
          <cell r="AD9966">
            <v>132500</v>
          </cell>
        </row>
        <row r="9967">
          <cell r="W9967" t="str">
            <v>QPUPU04</v>
          </cell>
          <cell r="AD9967">
            <v>132500</v>
          </cell>
        </row>
        <row r="9968">
          <cell r="W9968" t="str">
            <v>QPUPU04</v>
          </cell>
          <cell r="AD9968">
            <v>132500</v>
          </cell>
        </row>
        <row r="9969">
          <cell r="W9969" t="str">
            <v>QPUPU04</v>
          </cell>
          <cell r="AD9969">
            <v>132500</v>
          </cell>
        </row>
        <row r="9970">
          <cell r="W9970" t="str">
            <v>QPUPU04</v>
          </cell>
          <cell r="AD9970">
            <v>132500</v>
          </cell>
        </row>
        <row r="9971">
          <cell r="W9971" t="str">
            <v>QPUPU04</v>
          </cell>
          <cell r="AD9971">
            <v>132500</v>
          </cell>
        </row>
        <row r="9972">
          <cell r="W9972" t="str">
            <v>QPUPU04</v>
          </cell>
          <cell r="AD9972">
            <v>132500</v>
          </cell>
        </row>
        <row r="9973">
          <cell r="W9973" t="str">
            <v>QPUPU04</v>
          </cell>
          <cell r="AD9973">
            <v>132500</v>
          </cell>
        </row>
        <row r="9974">
          <cell r="W9974" t="str">
            <v>QPUPU04</v>
          </cell>
          <cell r="AD9974">
            <v>132500</v>
          </cell>
        </row>
        <row r="9975">
          <cell r="W9975" t="str">
            <v>QPUPU04</v>
          </cell>
          <cell r="AD9975">
            <v>132500</v>
          </cell>
        </row>
        <row r="9976">
          <cell r="W9976" t="str">
            <v>QPUPU04</v>
          </cell>
          <cell r="AD9976">
            <v>132500</v>
          </cell>
        </row>
        <row r="9977">
          <cell r="W9977" t="str">
            <v>QPUPU04</v>
          </cell>
          <cell r="AD9977">
            <v>132500</v>
          </cell>
        </row>
        <row r="9978">
          <cell r="W9978" t="str">
            <v>QPUPU04</v>
          </cell>
          <cell r="AD9978">
            <v>132500</v>
          </cell>
        </row>
        <row r="9979">
          <cell r="W9979" t="str">
            <v>QPUPU04</v>
          </cell>
          <cell r="AD9979">
            <v>132500</v>
          </cell>
        </row>
        <row r="9980">
          <cell r="W9980" t="str">
            <v>QPUPU04</v>
          </cell>
          <cell r="AD9980">
            <v>132500</v>
          </cell>
        </row>
        <row r="9981">
          <cell r="W9981" t="str">
            <v>QPUPU04</v>
          </cell>
          <cell r="AD9981">
            <v>132500</v>
          </cell>
        </row>
        <row r="9982">
          <cell r="W9982" t="str">
            <v>QPUPU04</v>
          </cell>
          <cell r="AD9982">
            <v>132500</v>
          </cell>
        </row>
        <row r="9983">
          <cell r="W9983" t="str">
            <v>QPUPU04</v>
          </cell>
          <cell r="AD9983">
            <v>132500</v>
          </cell>
        </row>
        <row r="9984">
          <cell r="W9984" t="str">
            <v>QPUPU04</v>
          </cell>
          <cell r="AD9984">
            <v>132500</v>
          </cell>
        </row>
        <row r="9985">
          <cell r="W9985" t="str">
            <v>QPUPU04</v>
          </cell>
          <cell r="AD9985">
            <v>132500</v>
          </cell>
        </row>
        <row r="9986">
          <cell r="W9986" t="str">
            <v>QPUPU04</v>
          </cell>
          <cell r="AD9986">
            <v>132500</v>
          </cell>
        </row>
        <row r="9987">
          <cell r="W9987" t="str">
            <v>QPUPU04</v>
          </cell>
          <cell r="AD9987">
            <v>132500</v>
          </cell>
        </row>
        <row r="9988">
          <cell r="W9988" t="str">
            <v>QPUPU04</v>
          </cell>
          <cell r="AD9988">
            <v>132500</v>
          </cell>
        </row>
        <row r="9989">
          <cell r="W9989" t="str">
            <v>QPUPU04</v>
          </cell>
          <cell r="AD9989">
            <v>132500</v>
          </cell>
        </row>
        <row r="9990">
          <cell r="W9990" t="str">
            <v>QPUPU04</v>
          </cell>
          <cell r="AD9990">
            <v>132500</v>
          </cell>
        </row>
        <row r="9991">
          <cell r="W9991" t="str">
            <v>QPUPU04</v>
          </cell>
          <cell r="AD9991">
            <v>132500</v>
          </cell>
        </row>
        <row r="9992">
          <cell r="W9992" t="str">
            <v>QPUPU04</v>
          </cell>
          <cell r="AD9992">
            <v>132500</v>
          </cell>
        </row>
        <row r="9993">
          <cell r="W9993" t="str">
            <v>QPUPU04</v>
          </cell>
          <cell r="AD9993">
            <v>132500</v>
          </cell>
        </row>
        <row r="9994">
          <cell r="W9994" t="str">
            <v>QPUPU04</v>
          </cell>
          <cell r="AD9994">
            <v>132500</v>
          </cell>
        </row>
        <row r="9995">
          <cell r="W9995" t="str">
            <v>QPUPU04</v>
          </cell>
          <cell r="AD9995">
            <v>132500</v>
          </cell>
        </row>
        <row r="9996">
          <cell r="W9996" t="str">
            <v>QPUPU04</v>
          </cell>
          <cell r="AD9996">
            <v>132500</v>
          </cell>
        </row>
        <row r="9997">
          <cell r="W9997" t="str">
            <v>QPUPU04</v>
          </cell>
          <cell r="AD9997">
            <v>132500</v>
          </cell>
        </row>
        <row r="9998">
          <cell r="W9998" t="str">
            <v>QPUPU04</v>
          </cell>
          <cell r="AD9998">
            <v>132500</v>
          </cell>
        </row>
        <row r="9999">
          <cell r="W9999" t="str">
            <v>QPUPU04</v>
          </cell>
          <cell r="AD9999">
            <v>132500</v>
          </cell>
        </row>
        <row r="10000">
          <cell r="W10000" t="str">
            <v>QPUPU04</v>
          </cell>
          <cell r="AD10000">
            <v>132500</v>
          </cell>
        </row>
        <row r="10001">
          <cell r="W10001" t="str">
            <v>QPUPU04</v>
          </cell>
          <cell r="AD10001">
            <v>132500</v>
          </cell>
        </row>
        <row r="10002">
          <cell r="W10002" t="str">
            <v>QPUPU04</v>
          </cell>
          <cell r="AD10002">
            <v>132500</v>
          </cell>
        </row>
        <row r="10003">
          <cell r="W10003" t="str">
            <v>QPUPU04</v>
          </cell>
          <cell r="AD10003">
            <v>132500</v>
          </cell>
        </row>
        <row r="10004">
          <cell r="W10004" t="str">
            <v>QPUPU04</v>
          </cell>
          <cell r="AD10004">
            <v>132500</v>
          </cell>
        </row>
        <row r="10005">
          <cell r="W10005" t="str">
            <v>QPUPU04</v>
          </cell>
          <cell r="AD10005">
            <v>140000</v>
          </cell>
        </row>
        <row r="10006">
          <cell r="W10006" t="str">
            <v>QPUPU04</v>
          </cell>
          <cell r="AD10006">
            <v>140000</v>
          </cell>
        </row>
        <row r="10007">
          <cell r="W10007" t="str">
            <v>QPUPU04</v>
          </cell>
          <cell r="AD10007">
            <v>140000</v>
          </cell>
        </row>
        <row r="10008">
          <cell r="W10008" t="str">
            <v>QPUPU04</v>
          </cell>
          <cell r="AD10008">
            <v>140000</v>
          </cell>
        </row>
        <row r="10009">
          <cell r="W10009" t="str">
            <v>QPUPU04</v>
          </cell>
          <cell r="AD10009">
            <v>140000</v>
          </cell>
        </row>
        <row r="10010">
          <cell r="W10010" t="str">
            <v>QPUPU04</v>
          </cell>
          <cell r="AD10010">
            <v>140000</v>
          </cell>
        </row>
        <row r="10011">
          <cell r="W10011" t="str">
            <v>QPUPU13</v>
          </cell>
          <cell r="AD10011">
            <v>56000</v>
          </cell>
        </row>
        <row r="10012">
          <cell r="W10012" t="str">
            <v>QPUPU13</v>
          </cell>
          <cell r="AD10012">
            <v>56000</v>
          </cell>
        </row>
        <row r="10013">
          <cell r="W10013" t="str">
            <v>QPUPU13</v>
          </cell>
          <cell r="AD10013">
            <v>120000</v>
          </cell>
        </row>
        <row r="10014">
          <cell r="W10014" t="str">
            <v>QPUPU08</v>
          </cell>
          <cell r="AD10014">
            <v>27500</v>
          </cell>
        </row>
        <row r="10015">
          <cell r="W10015" t="str">
            <v>QPUPU08</v>
          </cell>
          <cell r="AD10015">
            <v>27500</v>
          </cell>
        </row>
        <row r="10016">
          <cell r="W10016" t="str">
            <v>QPUPU08</v>
          </cell>
          <cell r="AD10016">
            <v>27500</v>
          </cell>
        </row>
        <row r="10017">
          <cell r="W10017" t="str">
            <v>QPUPU08</v>
          </cell>
          <cell r="AD10017">
            <v>27500</v>
          </cell>
        </row>
        <row r="10018">
          <cell r="W10018" t="str">
            <v>QPUPU08</v>
          </cell>
          <cell r="AD10018">
            <v>27500</v>
          </cell>
        </row>
        <row r="10019">
          <cell r="W10019" t="str">
            <v>QPUPU08</v>
          </cell>
          <cell r="AD10019">
            <v>27500</v>
          </cell>
        </row>
        <row r="10020">
          <cell r="W10020" t="str">
            <v>QPUPU08</v>
          </cell>
          <cell r="AD10020">
            <v>27500</v>
          </cell>
        </row>
        <row r="10021">
          <cell r="W10021" t="str">
            <v>QPUPU08</v>
          </cell>
          <cell r="AD10021">
            <v>27500</v>
          </cell>
        </row>
        <row r="10022">
          <cell r="W10022" t="str">
            <v>QPUPU08</v>
          </cell>
          <cell r="AD10022">
            <v>27500</v>
          </cell>
        </row>
        <row r="10023">
          <cell r="W10023" t="str">
            <v>QPUPU08</v>
          </cell>
          <cell r="AD10023">
            <v>28000</v>
          </cell>
        </row>
        <row r="10024">
          <cell r="W10024" t="str">
            <v>APUPU09</v>
          </cell>
          <cell r="AD10024">
            <v>1</v>
          </cell>
        </row>
        <row r="10025">
          <cell r="W10025" t="str">
            <v>QPUPU09</v>
          </cell>
          <cell r="AD10025">
            <v>19500</v>
          </cell>
        </row>
        <row r="10026">
          <cell r="W10026" t="str">
            <v>QPUPU09</v>
          </cell>
          <cell r="AD10026">
            <v>19500</v>
          </cell>
        </row>
        <row r="10027">
          <cell r="W10027" t="str">
            <v>QPUPU09</v>
          </cell>
          <cell r="AD10027">
            <v>19500</v>
          </cell>
        </row>
        <row r="10028">
          <cell r="W10028" t="str">
            <v>QPUPU09</v>
          </cell>
          <cell r="AD10028">
            <v>19500</v>
          </cell>
        </row>
        <row r="10029">
          <cell r="W10029" t="str">
            <v>QPUPU09</v>
          </cell>
          <cell r="AD10029">
            <v>19500</v>
          </cell>
        </row>
        <row r="10030">
          <cell r="W10030" t="str">
            <v>QPUPU09</v>
          </cell>
          <cell r="AD10030">
            <v>19500</v>
          </cell>
        </row>
        <row r="10031">
          <cell r="W10031" t="str">
            <v>QPUPU09</v>
          </cell>
          <cell r="AD10031">
            <v>19500</v>
          </cell>
        </row>
        <row r="10032">
          <cell r="W10032" t="str">
            <v>QPUPU09</v>
          </cell>
          <cell r="AD10032">
            <v>19500</v>
          </cell>
        </row>
        <row r="10033">
          <cell r="W10033" t="str">
            <v>QPUPU09</v>
          </cell>
          <cell r="AD10033">
            <v>19500</v>
          </cell>
        </row>
        <row r="10034">
          <cell r="W10034" t="str">
            <v>QPUPU09</v>
          </cell>
          <cell r="AD10034">
            <v>19500</v>
          </cell>
        </row>
        <row r="10035">
          <cell r="W10035" t="str">
            <v>QPUPU09</v>
          </cell>
          <cell r="AD10035">
            <v>19500</v>
          </cell>
        </row>
        <row r="10036">
          <cell r="W10036" t="str">
            <v>QPUPU09</v>
          </cell>
          <cell r="AD10036">
            <v>19500</v>
          </cell>
        </row>
        <row r="10037">
          <cell r="W10037" t="str">
            <v>QPUPU09</v>
          </cell>
          <cell r="AD10037">
            <v>19500</v>
          </cell>
        </row>
        <row r="10038">
          <cell r="W10038" t="str">
            <v>QPUPU09</v>
          </cell>
          <cell r="AD10038">
            <v>19500</v>
          </cell>
        </row>
        <row r="10039">
          <cell r="W10039" t="str">
            <v>QPUPU09</v>
          </cell>
          <cell r="AD10039">
            <v>19500</v>
          </cell>
        </row>
        <row r="10040">
          <cell r="W10040" t="str">
            <v>QPUPU09</v>
          </cell>
          <cell r="AD10040">
            <v>19500</v>
          </cell>
        </row>
        <row r="10041">
          <cell r="W10041" t="str">
            <v>QPUPU09</v>
          </cell>
          <cell r="AD10041">
            <v>19500</v>
          </cell>
        </row>
        <row r="10042">
          <cell r="W10042" t="str">
            <v>QPUPU09</v>
          </cell>
          <cell r="AD10042">
            <v>20500</v>
          </cell>
        </row>
        <row r="10043">
          <cell r="W10043" t="str">
            <v>QPUPU09</v>
          </cell>
          <cell r="AD10043">
            <v>22000</v>
          </cell>
        </row>
        <row r="10044">
          <cell r="W10044" t="str">
            <v>QPUPU11</v>
          </cell>
          <cell r="AD10044">
            <v>520000</v>
          </cell>
        </row>
        <row r="10045">
          <cell r="W10045" t="str">
            <v>QPUPU11</v>
          </cell>
          <cell r="AD10045">
            <v>520000</v>
          </cell>
        </row>
        <row r="10046">
          <cell r="W10046" t="str">
            <v>QPUPU11</v>
          </cell>
          <cell r="AD10046">
            <v>520000</v>
          </cell>
        </row>
        <row r="10047">
          <cell r="W10047" t="str">
            <v>QPUPU11</v>
          </cell>
          <cell r="AD10047">
            <v>520000</v>
          </cell>
        </row>
        <row r="10048">
          <cell r="W10048" t="str">
            <v>QPUPU11</v>
          </cell>
          <cell r="AD10048">
            <v>520000</v>
          </cell>
        </row>
        <row r="10049">
          <cell r="W10049" t="str">
            <v>QPUPU10</v>
          </cell>
          <cell r="AD10049">
            <v>79500</v>
          </cell>
        </row>
        <row r="10050">
          <cell r="W10050" t="str">
            <v>QPUPU10</v>
          </cell>
          <cell r="AD10050">
            <v>79500</v>
          </cell>
        </row>
        <row r="10051">
          <cell r="W10051" t="str">
            <v>QPUPU10</v>
          </cell>
          <cell r="AD10051">
            <v>79500</v>
          </cell>
        </row>
        <row r="10052">
          <cell r="W10052" t="str">
            <v>QPUPU10</v>
          </cell>
          <cell r="AD10052">
            <v>79500</v>
          </cell>
        </row>
        <row r="10053">
          <cell r="W10053" t="str">
            <v>QPUPU10</v>
          </cell>
          <cell r="AD10053">
            <v>79500</v>
          </cell>
        </row>
        <row r="10054">
          <cell r="W10054" t="str">
            <v>QPUPU10</v>
          </cell>
          <cell r="AD10054">
            <v>85000</v>
          </cell>
        </row>
        <row r="10055">
          <cell r="W10055" t="str">
            <v>QPUPU06</v>
          </cell>
          <cell r="AD10055">
            <v>120000</v>
          </cell>
        </row>
        <row r="10056">
          <cell r="W10056" t="str">
            <v>QPUPU06</v>
          </cell>
          <cell r="AD10056">
            <v>120000</v>
          </cell>
        </row>
        <row r="10057">
          <cell r="W10057" t="str">
            <v>QPUPU06</v>
          </cell>
          <cell r="AD10057">
            <v>120000</v>
          </cell>
        </row>
        <row r="10058">
          <cell r="W10058" t="str">
            <v>QPUPU06</v>
          </cell>
          <cell r="AD10058">
            <v>120000</v>
          </cell>
        </row>
        <row r="10059">
          <cell r="W10059" t="str">
            <v>QPUPU06</v>
          </cell>
          <cell r="AD10059">
            <v>120000</v>
          </cell>
        </row>
        <row r="10060">
          <cell r="W10060" t="str">
            <v>QPUPU06</v>
          </cell>
          <cell r="AD10060">
            <v>120000</v>
          </cell>
        </row>
        <row r="10061">
          <cell r="W10061" t="str">
            <v>QPUPU06</v>
          </cell>
          <cell r="AD10061">
            <v>120000</v>
          </cell>
        </row>
        <row r="10062">
          <cell r="W10062" t="str">
            <v>QPUPU06</v>
          </cell>
          <cell r="AD10062">
            <v>120000</v>
          </cell>
        </row>
        <row r="10063">
          <cell r="W10063" t="str">
            <v>QPUPU06</v>
          </cell>
          <cell r="AD10063">
            <v>120000</v>
          </cell>
        </row>
        <row r="10064">
          <cell r="W10064" t="str">
            <v>QPUPU06</v>
          </cell>
          <cell r="AD10064">
            <v>120000</v>
          </cell>
        </row>
        <row r="10065">
          <cell r="W10065" t="str">
            <v>QPUPU06</v>
          </cell>
          <cell r="AD10065">
            <v>120000</v>
          </cell>
        </row>
        <row r="10066">
          <cell r="W10066" t="str">
            <v>QPUPU06</v>
          </cell>
          <cell r="AD10066">
            <v>120000</v>
          </cell>
        </row>
        <row r="10067">
          <cell r="W10067" t="str">
            <v>QPUPU06</v>
          </cell>
          <cell r="AD10067">
            <v>135000</v>
          </cell>
        </row>
        <row r="10068">
          <cell r="W10068" t="str">
            <v>QPUPU06</v>
          </cell>
          <cell r="AD10068">
            <v>135000</v>
          </cell>
        </row>
        <row r="10069">
          <cell r="W10069" t="str">
            <v>QPUPU06</v>
          </cell>
          <cell r="AD10069">
            <v>135000</v>
          </cell>
        </row>
        <row r="10070">
          <cell r="W10070" t="str">
            <v>QPUPU06</v>
          </cell>
          <cell r="AD10070">
            <v>135000</v>
          </cell>
        </row>
        <row r="10071">
          <cell r="W10071" t="str">
            <v>QPYPE02</v>
          </cell>
          <cell r="AD10071">
            <v>115000</v>
          </cell>
        </row>
        <row r="10072">
          <cell r="W10072" t="str">
            <v>QPYPE02</v>
          </cell>
          <cell r="AD10072">
            <v>120000</v>
          </cell>
        </row>
        <row r="10073">
          <cell r="W10073" t="str">
            <v>QPYPE02</v>
          </cell>
          <cell r="AD10073">
            <v>120000</v>
          </cell>
        </row>
        <row r="10074">
          <cell r="W10074" t="str">
            <v>QPYPE01</v>
          </cell>
          <cell r="AD10074">
            <v>51500</v>
          </cell>
        </row>
        <row r="10075">
          <cell r="W10075" t="str">
            <v>QPYPE01</v>
          </cell>
          <cell r="AD10075">
            <v>51500</v>
          </cell>
        </row>
        <row r="10076">
          <cell r="W10076" t="str">
            <v>QPYPE01</v>
          </cell>
          <cell r="AD10076">
            <v>51500</v>
          </cell>
        </row>
        <row r="10077">
          <cell r="W10077" t="str">
            <v>QPYZE01</v>
          </cell>
          <cell r="AD10077">
            <v>157500</v>
          </cell>
        </row>
        <row r="10078">
          <cell r="W10078" t="str">
            <v>QPYZE01</v>
          </cell>
          <cell r="AD10078">
            <v>158000</v>
          </cell>
        </row>
        <row r="10079">
          <cell r="W10079" t="str">
            <v>QQAIS02</v>
          </cell>
          <cell r="AD10079">
            <v>22000</v>
          </cell>
        </row>
        <row r="10080">
          <cell r="W10080" t="str">
            <v>QQAIS02</v>
          </cell>
          <cell r="AD10080">
            <v>22000</v>
          </cell>
        </row>
        <row r="10081">
          <cell r="W10081" t="str">
            <v>QQAIS02</v>
          </cell>
          <cell r="AD10081">
            <v>22000</v>
          </cell>
        </row>
        <row r="10082">
          <cell r="W10082" t="str">
            <v>QQAIS02</v>
          </cell>
          <cell r="AD10082">
            <v>22000</v>
          </cell>
        </row>
        <row r="10083">
          <cell r="W10083" t="str">
            <v>QQAIS02</v>
          </cell>
          <cell r="AD10083">
            <v>22000</v>
          </cell>
        </row>
        <row r="10084">
          <cell r="W10084" t="str">
            <v>QQAIS02</v>
          </cell>
          <cell r="AD10084">
            <v>22000</v>
          </cell>
        </row>
        <row r="10085">
          <cell r="W10085" t="str">
            <v>QQAIS02</v>
          </cell>
          <cell r="AD10085">
            <v>22000</v>
          </cell>
        </row>
        <row r="10086">
          <cell r="W10086" t="str">
            <v>QQAIS02</v>
          </cell>
          <cell r="AD10086">
            <v>22000</v>
          </cell>
        </row>
        <row r="10087">
          <cell r="W10087" t="str">
            <v>QQAIS02</v>
          </cell>
          <cell r="AD10087">
            <v>22000</v>
          </cell>
        </row>
        <row r="10088">
          <cell r="W10088" t="str">
            <v>QQAIS02</v>
          </cell>
          <cell r="AD10088">
            <v>22500</v>
          </cell>
        </row>
        <row r="10089">
          <cell r="W10089" t="str">
            <v>AQAIS02</v>
          </cell>
          <cell r="AD10089">
            <v>24000</v>
          </cell>
        </row>
        <row r="10090">
          <cell r="W10090" t="str">
            <v>QQIUD01</v>
          </cell>
          <cell r="AD10090">
            <v>14550</v>
          </cell>
        </row>
        <row r="10091">
          <cell r="W10091" t="str">
            <v>QQIUD01</v>
          </cell>
          <cell r="AD10091">
            <v>18000</v>
          </cell>
        </row>
        <row r="10092">
          <cell r="W10092" t="str">
            <v>QQIUD01</v>
          </cell>
          <cell r="AD10092">
            <v>18000</v>
          </cell>
        </row>
        <row r="10093">
          <cell r="W10093" t="str">
            <v>QQIUD01</v>
          </cell>
          <cell r="AD10093">
            <v>21500</v>
          </cell>
        </row>
        <row r="10094">
          <cell r="W10094" t="str">
            <v>QQIUD01</v>
          </cell>
          <cell r="AD10094">
            <v>21500</v>
          </cell>
        </row>
        <row r="10095">
          <cell r="W10095" t="str">
            <v>QQIUD01</v>
          </cell>
          <cell r="AD10095">
            <v>21500</v>
          </cell>
        </row>
        <row r="10096">
          <cell r="W10096" t="str">
            <v>QQIUD01</v>
          </cell>
          <cell r="AD10096">
            <v>21500</v>
          </cell>
        </row>
        <row r="10097">
          <cell r="W10097" t="str">
            <v>QQIUD01</v>
          </cell>
          <cell r="AD10097">
            <v>21500</v>
          </cell>
        </row>
        <row r="10098">
          <cell r="W10098" t="str">
            <v>QQIUD01</v>
          </cell>
          <cell r="AD10098">
            <v>21500</v>
          </cell>
        </row>
        <row r="10099">
          <cell r="W10099" t="str">
            <v>QQIUD01</v>
          </cell>
          <cell r="AD10099">
            <v>23500</v>
          </cell>
        </row>
        <row r="10100">
          <cell r="W10100" t="str">
            <v>QQIUM07</v>
          </cell>
          <cell r="AD10100">
            <v>200000</v>
          </cell>
        </row>
        <row r="10101">
          <cell r="W10101" t="str">
            <v>QQIUM07</v>
          </cell>
          <cell r="AD10101">
            <v>200000</v>
          </cell>
        </row>
        <row r="10102">
          <cell r="W10102" t="str">
            <v>QQIUM07</v>
          </cell>
          <cell r="AD10102">
            <v>200000</v>
          </cell>
        </row>
        <row r="10103">
          <cell r="W10103" t="str">
            <v>QQIUM07</v>
          </cell>
          <cell r="AD10103">
            <v>200000</v>
          </cell>
        </row>
        <row r="10104">
          <cell r="W10104" t="str">
            <v>QQIUM07</v>
          </cell>
          <cell r="AD10104">
            <v>200000</v>
          </cell>
        </row>
        <row r="10105">
          <cell r="W10105" t="str">
            <v>QQIUM07</v>
          </cell>
          <cell r="AD10105">
            <v>200000</v>
          </cell>
        </row>
        <row r="10106">
          <cell r="W10106" t="str">
            <v>QQIUM07</v>
          </cell>
          <cell r="AD10106">
            <v>200000</v>
          </cell>
        </row>
        <row r="10107">
          <cell r="W10107" t="str">
            <v>QQIUM07</v>
          </cell>
          <cell r="AD10107">
            <v>200000</v>
          </cell>
        </row>
        <row r="10108">
          <cell r="W10108" t="str">
            <v>QQIUM07</v>
          </cell>
          <cell r="AD10108">
            <v>200000</v>
          </cell>
        </row>
        <row r="10109">
          <cell r="W10109" t="str">
            <v>QQIUM07</v>
          </cell>
          <cell r="AD10109">
            <v>200000</v>
          </cell>
        </row>
        <row r="10110">
          <cell r="W10110" t="str">
            <v>QQIUM07</v>
          </cell>
          <cell r="AD10110">
            <v>200000</v>
          </cell>
        </row>
        <row r="10111">
          <cell r="W10111" t="str">
            <v>QQIUM07</v>
          </cell>
          <cell r="AD10111">
            <v>200000</v>
          </cell>
        </row>
        <row r="10112">
          <cell r="W10112" t="str">
            <v>QQIUM07</v>
          </cell>
          <cell r="AD10112">
            <v>200000</v>
          </cell>
        </row>
        <row r="10113">
          <cell r="W10113" t="str">
            <v>QQIUM07</v>
          </cell>
          <cell r="AD10113">
            <v>200000</v>
          </cell>
        </row>
        <row r="10114">
          <cell r="W10114" t="str">
            <v>QQIUM08</v>
          </cell>
          <cell r="AD10114">
            <v>21000</v>
          </cell>
        </row>
        <row r="10115">
          <cell r="W10115" t="str">
            <v>QQIUM08</v>
          </cell>
          <cell r="AD10115">
            <v>21500</v>
          </cell>
        </row>
        <row r="10116">
          <cell r="W10116" t="str">
            <v>QQIUM08</v>
          </cell>
          <cell r="AD10116">
            <v>21500</v>
          </cell>
        </row>
        <row r="10117">
          <cell r="W10117" t="str">
            <v>QQIUM08</v>
          </cell>
          <cell r="AD10117">
            <v>21500</v>
          </cell>
        </row>
        <row r="10118">
          <cell r="W10118" t="str">
            <v>QQIUM08</v>
          </cell>
          <cell r="AD10118">
            <v>21500</v>
          </cell>
        </row>
        <row r="10119">
          <cell r="W10119" t="str">
            <v>QQIUM08</v>
          </cell>
          <cell r="AD10119">
            <v>21500</v>
          </cell>
        </row>
        <row r="10120">
          <cell r="W10120" t="str">
            <v>QQIUM08</v>
          </cell>
          <cell r="AD10120">
            <v>21500</v>
          </cell>
        </row>
        <row r="10121">
          <cell r="W10121" t="str">
            <v>QQIUM08</v>
          </cell>
          <cell r="AD10121">
            <v>21500</v>
          </cell>
        </row>
        <row r="10122">
          <cell r="W10122" t="str">
            <v>QQIUM08</v>
          </cell>
          <cell r="AD10122">
            <v>21500</v>
          </cell>
        </row>
        <row r="10123">
          <cell r="W10123" t="str">
            <v>QQIUM08</v>
          </cell>
          <cell r="AD10123">
            <v>21500</v>
          </cell>
        </row>
        <row r="10124">
          <cell r="W10124" t="str">
            <v>QQIUM08</v>
          </cell>
          <cell r="AD10124">
            <v>21500</v>
          </cell>
        </row>
        <row r="10125">
          <cell r="W10125" t="str">
            <v>QQIUM08</v>
          </cell>
          <cell r="AD10125">
            <v>21500</v>
          </cell>
        </row>
        <row r="10126">
          <cell r="W10126" t="str">
            <v>QQIUM08</v>
          </cell>
          <cell r="AD10126">
            <v>21500</v>
          </cell>
        </row>
        <row r="10127">
          <cell r="W10127" t="str">
            <v>QQIUM08</v>
          </cell>
          <cell r="AD10127">
            <v>21500</v>
          </cell>
        </row>
        <row r="10128">
          <cell r="W10128" t="str">
            <v>QQIUM08</v>
          </cell>
          <cell r="AD10128">
            <v>21500</v>
          </cell>
        </row>
        <row r="10129">
          <cell r="W10129" t="str">
            <v>QQIUM08</v>
          </cell>
          <cell r="AD10129">
            <v>21500</v>
          </cell>
        </row>
        <row r="10130">
          <cell r="W10130" t="str">
            <v>QQIUM08</v>
          </cell>
          <cell r="AD10130">
            <v>21500</v>
          </cell>
        </row>
        <row r="10131">
          <cell r="W10131" t="str">
            <v>QQIUM08</v>
          </cell>
          <cell r="AD10131">
            <v>21500</v>
          </cell>
        </row>
        <row r="10132">
          <cell r="W10132" t="str">
            <v>QQIUM08</v>
          </cell>
          <cell r="AD10132">
            <v>21500</v>
          </cell>
        </row>
        <row r="10133">
          <cell r="W10133" t="str">
            <v>QQIUM08</v>
          </cell>
          <cell r="AD10133">
            <v>21500</v>
          </cell>
        </row>
        <row r="10134">
          <cell r="W10134" t="str">
            <v>QQIUM08</v>
          </cell>
          <cell r="AD10134">
            <v>21500</v>
          </cell>
        </row>
        <row r="10135">
          <cell r="W10135" t="str">
            <v>QQIUM08</v>
          </cell>
          <cell r="AD10135">
            <v>21500</v>
          </cell>
        </row>
        <row r="10136">
          <cell r="W10136" t="str">
            <v>QQIUM08</v>
          </cell>
          <cell r="AD10136">
            <v>21500</v>
          </cell>
        </row>
        <row r="10137">
          <cell r="W10137" t="str">
            <v>QQIUM08</v>
          </cell>
          <cell r="AD10137">
            <v>21500</v>
          </cell>
        </row>
        <row r="10138">
          <cell r="W10138" t="str">
            <v>QQIUM08</v>
          </cell>
          <cell r="AD10138">
            <v>21500</v>
          </cell>
        </row>
        <row r="10139">
          <cell r="W10139" t="str">
            <v>QQIUM08</v>
          </cell>
          <cell r="AD10139">
            <v>28000</v>
          </cell>
        </row>
        <row r="10140">
          <cell r="W10140" t="str">
            <v>QQIUM08</v>
          </cell>
          <cell r="AD10140">
            <v>30000</v>
          </cell>
        </row>
        <row r="10141">
          <cell r="W10141" t="str">
            <v>QQIUM08</v>
          </cell>
          <cell r="AD10141">
            <v>30000</v>
          </cell>
        </row>
        <row r="10142">
          <cell r="W10142" t="str">
            <v>QQIUM08</v>
          </cell>
          <cell r="AD10142">
            <v>30000</v>
          </cell>
        </row>
        <row r="10143">
          <cell r="W10143" t="str">
            <v>QQIUM08</v>
          </cell>
          <cell r="AD10143">
            <v>30000</v>
          </cell>
        </row>
        <row r="10144">
          <cell r="W10144" t="str">
            <v>QQIUM03</v>
          </cell>
          <cell r="AD10144">
            <v>105000</v>
          </cell>
        </row>
        <row r="10145">
          <cell r="W10145" t="str">
            <v>QQIUM03</v>
          </cell>
          <cell r="AD10145">
            <v>105000</v>
          </cell>
        </row>
        <row r="10146">
          <cell r="W10146" t="str">
            <v>QQIUM03</v>
          </cell>
          <cell r="AD10146">
            <v>105000</v>
          </cell>
        </row>
        <row r="10147">
          <cell r="W10147" t="str">
            <v>QQIUM03</v>
          </cell>
          <cell r="AD10147">
            <v>105000</v>
          </cell>
        </row>
        <row r="10148">
          <cell r="W10148" t="str">
            <v>QQIUM03</v>
          </cell>
          <cell r="AD10148">
            <v>105000</v>
          </cell>
        </row>
        <row r="10149">
          <cell r="W10149" t="str">
            <v>QQIUM03</v>
          </cell>
          <cell r="AD10149">
            <v>105000</v>
          </cell>
        </row>
        <row r="10150">
          <cell r="W10150" t="str">
            <v>QQIUM03</v>
          </cell>
          <cell r="AD10150">
            <v>105000</v>
          </cell>
        </row>
        <row r="10151">
          <cell r="W10151" t="str">
            <v>QQIUM03</v>
          </cell>
          <cell r="AD10151">
            <v>105000</v>
          </cell>
        </row>
        <row r="10152">
          <cell r="W10152" t="str">
            <v>QQIUM03</v>
          </cell>
          <cell r="AD10152">
            <v>105000</v>
          </cell>
        </row>
        <row r="10153">
          <cell r="W10153" t="str">
            <v>QQIUM03</v>
          </cell>
          <cell r="AD10153">
            <v>105000</v>
          </cell>
        </row>
        <row r="10154">
          <cell r="W10154" t="str">
            <v>QQIUM03</v>
          </cell>
          <cell r="AD10154">
            <v>105000</v>
          </cell>
        </row>
        <row r="10155">
          <cell r="W10155" t="str">
            <v>QQIUM03</v>
          </cell>
          <cell r="AD10155">
            <v>105000</v>
          </cell>
        </row>
        <row r="10156">
          <cell r="W10156" t="str">
            <v>QQIUM03</v>
          </cell>
          <cell r="AD10156">
            <v>105000</v>
          </cell>
        </row>
        <row r="10157">
          <cell r="W10157" t="str">
            <v>QQIUM03</v>
          </cell>
          <cell r="AD10157">
            <v>105000</v>
          </cell>
        </row>
        <row r="10158">
          <cell r="W10158" t="str">
            <v>QQIUM03</v>
          </cell>
          <cell r="AD10158">
            <v>105000</v>
          </cell>
        </row>
        <row r="10159">
          <cell r="W10159" t="str">
            <v>QQIUM03</v>
          </cell>
          <cell r="AD10159">
            <v>140000</v>
          </cell>
        </row>
        <row r="10160">
          <cell r="W10160" t="str">
            <v>AQIUM06</v>
          </cell>
          <cell r="AD10160">
            <v>38000</v>
          </cell>
        </row>
        <row r="10161">
          <cell r="W10161" t="str">
            <v>QQIUM06</v>
          </cell>
          <cell r="AD10161">
            <v>53000</v>
          </cell>
        </row>
        <row r="10162">
          <cell r="W10162" t="str">
            <v>QQIUM06</v>
          </cell>
          <cell r="AD10162">
            <v>53000</v>
          </cell>
        </row>
        <row r="10163">
          <cell r="W10163" t="str">
            <v>QQIUM06</v>
          </cell>
          <cell r="AD10163">
            <v>53000</v>
          </cell>
        </row>
        <row r="10164">
          <cell r="W10164" t="str">
            <v>QQIUM06</v>
          </cell>
          <cell r="AD10164">
            <v>53000</v>
          </cell>
        </row>
        <row r="10165">
          <cell r="W10165" t="str">
            <v>QQIUM06</v>
          </cell>
          <cell r="AD10165">
            <v>53000</v>
          </cell>
        </row>
        <row r="10166">
          <cell r="W10166" t="str">
            <v>QQIUM06</v>
          </cell>
          <cell r="AD10166">
            <v>53000</v>
          </cell>
        </row>
        <row r="10167">
          <cell r="W10167" t="str">
            <v>QQIUM06</v>
          </cell>
          <cell r="AD10167">
            <v>53000</v>
          </cell>
        </row>
        <row r="10168">
          <cell r="W10168" t="str">
            <v>QQIUM06</v>
          </cell>
          <cell r="AD10168">
            <v>53000</v>
          </cell>
        </row>
        <row r="10169">
          <cell r="W10169" t="str">
            <v>QQIUM06</v>
          </cell>
          <cell r="AD10169">
            <v>53000</v>
          </cell>
        </row>
        <row r="10170">
          <cell r="W10170" t="str">
            <v>QQIUM06</v>
          </cell>
          <cell r="AD10170">
            <v>53000</v>
          </cell>
        </row>
        <row r="10171">
          <cell r="W10171" t="str">
            <v>QQIUM06</v>
          </cell>
          <cell r="AD10171">
            <v>53000</v>
          </cell>
        </row>
        <row r="10172">
          <cell r="W10172" t="str">
            <v>QQIUM06</v>
          </cell>
          <cell r="AD10172">
            <v>53000</v>
          </cell>
        </row>
        <row r="10173">
          <cell r="W10173" t="str">
            <v>QQIUM06</v>
          </cell>
          <cell r="AD10173">
            <v>53000</v>
          </cell>
        </row>
        <row r="10174">
          <cell r="W10174" t="str">
            <v>QQIUM06</v>
          </cell>
          <cell r="AD10174">
            <v>53000</v>
          </cell>
        </row>
        <row r="10175">
          <cell r="W10175" t="str">
            <v>QQIUM06</v>
          </cell>
          <cell r="AD10175">
            <v>53000</v>
          </cell>
        </row>
        <row r="10176">
          <cell r="W10176" t="str">
            <v>QQIUM06</v>
          </cell>
          <cell r="AD10176">
            <v>53000</v>
          </cell>
        </row>
        <row r="10177">
          <cell r="W10177" t="str">
            <v>QQIUM06</v>
          </cell>
          <cell r="AD10177">
            <v>53000</v>
          </cell>
        </row>
        <row r="10178">
          <cell r="W10178" t="str">
            <v>QQIUM06</v>
          </cell>
          <cell r="AD10178">
            <v>53000</v>
          </cell>
        </row>
        <row r="10179">
          <cell r="W10179" t="str">
            <v>QQIUM06</v>
          </cell>
          <cell r="AD10179">
            <v>53000</v>
          </cell>
        </row>
        <row r="10180">
          <cell r="W10180" t="str">
            <v>QQIUM06</v>
          </cell>
          <cell r="AD10180">
            <v>53000</v>
          </cell>
        </row>
        <row r="10181">
          <cell r="W10181" t="str">
            <v>QQIUM06</v>
          </cell>
          <cell r="AD10181">
            <v>53000</v>
          </cell>
        </row>
        <row r="10182">
          <cell r="W10182" t="str">
            <v>QQIUM06</v>
          </cell>
          <cell r="AD10182">
            <v>55000</v>
          </cell>
        </row>
        <row r="10183">
          <cell r="W10183" t="str">
            <v>QQIUM06</v>
          </cell>
          <cell r="AD10183">
            <v>61000</v>
          </cell>
        </row>
        <row r="10184">
          <cell r="W10184" t="str">
            <v>QQIUM06</v>
          </cell>
          <cell r="AD10184">
            <v>65000</v>
          </cell>
        </row>
        <row r="10185">
          <cell r="W10185" t="str">
            <v>QQIUM06</v>
          </cell>
          <cell r="AD10185">
            <v>68000</v>
          </cell>
        </row>
        <row r="10186">
          <cell r="W10186" t="str">
            <v>QQIUM06</v>
          </cell>
          <cell r="AD10186">
            <v>68000</v>
          </cell>
        </row>
        <row r="10187">
          <cell r="W10187" t="str">
            <v>QQIUM06</v>
          </cell>
          <cell r="AD10187">
            <v>68000</v>
          </cell>
        </row>
        <row r="10188">
          <cell r="W10188" t="str">
            <v>QQIUM06</v>
          </cell>
          <cell r="AD10188">
            <v>68000</v>
          </cell>
        </row>
        <row r="10189">
          <cell r="W10189" t="str">
            <v>QQIUM06</v>
          </cell>
          <cell r="AD10189">
            <v>70000</v>
          </cell>
        </row>
        <row r="10190">
          <cell r="W10190" t="str">
            <v>QQIUM06</v>
          </cell>
          <cell r="AD10190">
            <v>70000</v>
          </cell>
        </row>
        <row r="10191">
          <cell r="W10191" t="str">
            <v>QQIUM06</v>
          </cell>
          <cell r="AD10191">
            <v>70000</v>
          </cell>
        </row>
        <row r="10192">
          <cell r="W10192" t="str">
            <v>QQIUM06</v>
          </cell>
          <cell r="AD10192">
            <v>70000</v>
          </cell>
        </row>
        <row r="10193">
          <cell r="W10193" t="str">
            <v>QQIUM06</v>
          </cell>
          <cell r="AD10193">
            <v>73000</v>
          </cell>
        </row>
        <row r="10194">
          <cell r="W10194" t="str">
            <v>QQIUM06</v>
          </cell>
          <cell r="AD10194">
            <v>73000</v>
          </cell>
        </row>
        <row r="10195">
          <cell r="W10195" t="str">
            <v>QQIUN01</v>
          </cell>
          <cell r="AD10195">
            <v>82500</v>
          </cell>
        </row>
        <row r="10196">
          <cell r="W10196" t="str">
            <v>QQIUN01</v>
          </cell>
          <cell r="AD10196">
            <v>82500</v>
          </cell>
        </row>
        <row r="10197">
          <cell r="W10197" t="str">
            <v>QQIUN01</v>
          </cell>
          <cell r="AD10197">
            <v>82500</v>
          </cell>
        </row>
        <row r="10198">
          <cell r="W10198" t="str">
            <v>QQIUS02</v>
          </cell>
          <cell r="AD10198">
            <v>195000</v>
          </cell>
        </row>
        <row r="10199">
          <cell r="W10199" t="str">
            <v>QQIUT02</v>
          </cell>
          <cell r="AD10199">
            <v>71000</v>
          </cell>
        </row>
        <row r="10200">
          <cell r="W10200" t="str">
            <v>QQIUT02</v>
          </cell>
          <cell r="AD10200">
            <v>71000</v>
          </cell>
        </row>
        <row r="10201">
          <cell r="W10201" t="str">
            <v>QQIUT02</v>
          </cell>
          <cell r="AD10201">
            <v>71000</v>
          </cell>
        </row>
        <row r="10202">
          <cell r="W10202" t="str">
            <v>QQIUT02</v>
          </cell>
          <cell r="AD10202">
            <v>71000</v>
          </cell>
        </row>
        <row r="10203">
          <cell r="W10203" t="str">
            <v>QQIUT02</v>
          </cell>
          <cell r="AD10203">
            <v>71000</v>
          </cell>
        </row>
        <row r="10204">
          <cell r="W10204" t="str">
            <v>QQIUT02</v>
          </cell>
          <cell r="AD10204">
            <v>71000</v>
          </cell>
        </row>
        <row r="10205">
          <cell r="W10205" t="str">
            <v>QQIUT02</v>
          </cell>
          <cell r="AD10205">
            <v>71000</v>
          </cell>
        </row>
        <row r="10206">
          <cell r="W10206" t="str">
            <v>QQIUT02</v>
          </cell>
          <cell r="AD10206">
            <v>71000</v>
          </cell>
        </row>
        <row r="10207">
          <cell r="W10207" t="str">
            <v>QQIUT02</v>
          </cell>
          <cell r="AD10207">
            <v>71000</v>
          </cell>
        </row>
        <row r="10208">
          <cell r="W10208" t="str">
            <v>QQIUV01</v>
          </cell>
          <cell r="AD10208">
            <v>4725</v>
          </cell>
        </row>
        <row r="10209">
          <cell r="W10209" t="str">
            <v>QQIUV01</v>
          </cell>
          <cell r="AD10209">
            <v>4725</v>
          </cell>
        </row>
        <row r="10210">
          <cell r="W10210" t="str">
            <v>QQIUV01</v>
          </cell>
          <cell r="AD10210">
            <v>4725</v>
          </cell>
        </row>
        <row r="10211">
          <cell r="W10211" t="str">
            <v>QQIUV01</v>
          </cell>
          <cell r="AD10211">
            <v>4725</v>
          </cell>
        </row>
        <row r="10212">
          <cell r="W10212" t="str">
            <v>QQIUV01</v>
          </cell>
          <cell r="AD10212">
            <v>9750</v>
          </cell>
        </row>
        <row r="10213">
          <cell r="W10213" t="str">
            <v>QQIUV01</v>
          </cell>
          <cell r="AD10213">
            <v>9750</v>
          </cell>
        </row>
        <row r="10214">
          <cell r="W10214" t="str">
            <v>QQIUV01</v>
          </cell>
          <cell r="AD10214">
            <v>9750</v>
          </cell>
        </row>
        <row r="10215">
          <cell r="W10215" t="str">
            <v>AQIUV04</v>
          </cell>
          <cell r="AD10215">
            <v>9750</v>
          </cell>
        </row>
        <row r="10216">
          <cell r="W10216" t="str">
            <v>QQIUV01</v>
          </cell>
          <cell r="AD10216">
            <v>9750</v>
          </cell>
        </row>
        <row r="10217">
          <cell r="W10217" t="str">
            <v>QQIUV01</v>
          </cell>
          <cell r="AD10217">
            <v>9750</v>
          </cell>
        </row>
        <row r="10218">
          <cell r="W10218" t="str">
            <v>QQIUV01</v>
          </cell>
          <cell r="AD10218">
            <v>9750</v>
          </cell>
        </row>
        <row r="10219">
          <cell r="W10219" t="str">
            <v>QQIUV01</v>
          </cell>
          <cell r="AD10219">
            <v>10000</v>
          </cell>
        </row>
        <row r="10220">
          <cell r="W10220" t="str">
            <v>QQIUV01</v>
          </cell>
          <cell r="AD10220">
            <v>10250</v>
          </cell>
        </row>
        <row r="10221">
          <cell r="W10221" t="str">
            <v>QQIUV01</v>
          </cell>
          <cell r="AD10221">
            <v>10750</v>
          </cell>
        </row>
        <row r="10222">
          <cell r="W10222" t="str">
            <v>QQIUV01</v>
          </cell>
          <cell r="AD10222">
            <v>13500</v>
          </cell>
        </row>
        <row r="10223">
          <cell r="W10223" t="str">
            <v>QQIUV01</v>
          </cell>
          <cell r="AD10223">
            <v>13500</v>
          </cell>
        </row>
        <row r="10224">
          <cell r="W10224" t="str">
            <v>QQIUV01</v>
          </cell>
          <cell r="AD10224">
            <v>13500</v>
          </cell>
        </row>
        <row r="10225">
          <cell r="W10225" t="str">
            <v>QQIUV02</v>
          </cell>
          <cell r="AD10225">
            <v>29500</v>
          </cell>
        </row>
        <row r="10226">
          <cell r="W10226" t="str">
            <v>QQIUV02</v>
          </cell>
          <cell r="AD10226">
            <v>29500</v>
          </cell>
        </row>
        <row r="10227">
          <cell r="W10227" t="str">
            <v>QQIUV02</v>
          </cell>
          <cell r="AD10227">
            <v>30250</v>
          </cell>
        </row>
        <row r="10228">
          <cell r="W10228" t="str">
            <v>QQIUV02</v>
          </cell>
          <cell r="AD10228">
            <v>30500</v>
          </cell>
        </row>
        <row r="10229">
          <cell r="W10229" t="str">
            <v>QQIUV02</v>
          </cell>
          <cell r="AD10229">
            <v>30500</v>
          </cell>
        </row>
        <row r="10230">
          <cell r="W10230" t="str">
            <v>QQIUV02</v>
          </cell>
          <cell r="AD10230">
            <v>30500</v>
          </cell>
        </row>
        <row r="10231">
          <cell r="W10231" t="str">
            <v>QQIUV02</v>
          </cell>
          <cell r="AD10231">
            <v>30500</v>
          </cell>
        </row>
        <row r="10232">
          <cell r="W10232" t="str">
            <v>QQIUV02</v>
          </cell>
          <cell r="AD10232">
            <v>30500</v>
          </cell>
        </row>
        <row r="10233">
          <cell r="W10233" t="str">
            <v>QQIUV02</v>
          </cell>
          <cell r="AD10233">
            <v>30500</v>
          </cell>
        </row>
        <row r="10234">
          <cell r="W10234" t="str">
            <v>QQIUV02</v>
          </cell>
          <cell r="AD10234">
            <v>30500</v>
          </cell>
        </row>
        <row r="10235">
          <cell r="W10235" t="str">
            <v>QQIUV02</v>
          </cell>
          <cell r="AD10235">
            <v>30500</v>
          </cell>
        </row>
        <row r="10236">
          <cell r="W10236" t="str">
            <v>QQIUV02</v>
          </cell>
          <cell r="AD10236">
            <v>30500</v>
          </cell>
        </row>
        <row r="10237">
          <cell r="W10237" t="str">
            <v>QQIUV02</v>
          </cell>
          <cell r="AD10237">
            <v>30500</v>
          </cell>
        </row>
        <row r="10238">
          <cell r="W10238" t="str">
            <v>QQIUV02</v>
          </cell>
          <cell r="AD10238">
            <v>30500</v>
          </cell>
        </row>
        <row r="10239">
          <cell r="W10239" t="str">
            <v>QQIUV02</v>
          </cell>
          <cell r="AD10239">
            <v>30500</v>
          </cell>
        </row>
        <row r="10240">
          <cell r="W10240" t="str">
            <v>QQIUV02</v>
          </cell>
          <cell r="AD10240">
            <v>30500</v>
          </cell>
        </row>
        <row r="10241">
          <cell r="W10241" t="str">
            <v>QQIUV02</v>
          </cell>
          <cell r="AD10241">
            <v>30500</v>
          </cell>
        </row>
        <row r="10242">
          <cell r="W10242" t="str">
            <v>QQIUV02</v>
          </cell>
          <cell r="AD10242">
            <v>30500</v>
          </cell>
        </row>
        <row r="10243">
          <cell r="W10243" t="str">
            <v>QQIUV02</v>
          </cell>
          <cell r="AD10243">
            <v>30500</v>
          </cell>
        </row>
        <row r="10244">
          <cell r="W10244" t="str">
            <v>QQIUV02</v>
          </cell>
          <cell r="AD10244">
            <v>30500</v>
          </cell>
        </row>
        <row r="10245">
          <cell r="W10245" t="str">
            <v>QQIUV02</v>
          </cell>
          <cell r="AD10245">
            <v>30500</v>
          </cell>
        </row>
        <row r="10246">
          <cell r="W10246" t="str">
            <v>QQIUV02</v>
          </cell>
          <cell r="AD10246">
            <v>30500</v>
          </cell>
        </row>
        <row r="10247">
          <cell r="W10247" t="str">
            <v>QQIUV02</v>
          </cell>
          <cell r="AD10247">
            <v>30500</v>
          </cell>
        </row>
        <row r="10248">
          <cell r="W10248" t="str">
            <v>QQIUV02</v>
          </cell>
          <cell r="AD10248">
            <v>30500</v>
          </cell>
        </row>
        <row r="10249">
          <cell r="W10249" t="str">
            <v>QQIUV02</v>
          </cell>
          <cell r="AD10249">
            <v>30500</v>
          </cell>
        </row>
        <row r="10250">
          <cell r="W10250" t="str">
            <v>QQIUV02</v>
          </cell>
          <cell r="AD10250">
            <v>30500</v>
          </cell>
        </row>
        <row r="10251">
          <cell r="W10251" t="str">
            <v>QQIUV02</v>
          </cell>
          <cell r="AD10251">
            <v>30500</v>
          </cell>
        </row>
        <row r="10252">
          <cell r="W10252" t="str">
            <v>QQIUV02</v>
          </cell>
          <cell r="AD10252">
            <v>30500</v>
          </cell>
        </row>
        <row r="10253">
          <cell r="W10253" t="str">
            <v>QQIUV02</v>
          </cell>
          <cell r="AD10253">
            <v>30500</v>
          </cell>
        </row>
        <row r="10254">
          <cell r="W10254" t="str">
            <v>QQIUV02</v>
          </cell>
          <cell r="AD10254">
            <v>30500</v>
          </cell>
        </row>
        <row r="10255">
          <cell r="W10255" t="str">
            <v>QQIUV02</v>
          </cell>
          <cell r="AD10255">
            <v>30500</v>
          </cell>
        </row>
        <row r="10256">
          <cell r="W10256" t="str">
            <v>QQIUV02</v>
          </cell>
          <cell r="AD10256">
            <v>30500</v>
          </cell>
        </row>
        <row r="10257">
          <cell r="W10257" t="str">
            <v>QQIUV02</v>
          </cell>
          <cell r="AD10257">
            <v>30500</v>
          </cell>
        </row>
        <row r="10258">
          <cell r="W10258" t="str">
            <v>QQIUV02</v>
          </cell>
          <cell r="AD10258">
            <v>30500</v>
          </cell>
        </row>
        <row r="10259">
          <cell r="W10259" t="str">
            <v>QQIUV02</v>
          </cell>
          <cell r="AD10259">
            <v>30500</v>
          </cell>
        </row>
        <row r="10260">
          <cell r="W10260" t="str">
            <v>QQIUV02</v>
          </cell>
          <cell r="AD10260">
            <v>30500</v>
          </cell>
        </row>
        <row r="10261">
          <cell r="W10261" t="str">
            <v>QQIUV02</v>
          </cell>
          <cell r="AD10261">
            <v>30500</v>
          </cell>
        </row>
        <row r="10262">
          <cell r="W10262" t="str">
            <v>QQIUV02</v>
          </cell>
          <cell r="AD10262">
            <v>30500</v>
          </cell>
        </row>
        <row r="10263">
          <cell r="W10263" t="str">
            <v>QQIUV02</v>
          </cell>
          <cell r="AD10263">
            <v>30500</v>
          </cell>
        </row>
        <row r="10264">
          <cell r="W10264" t="str">
            <v>QQIUV02</v>
          </cell>
          <cell r="AD10264">
            <v>30500</v>
          </cell>
        </row>
        <row r="10265">
          <cell r="W10265" t="str">
            <v>QQIUV02</v>
          </cell>
          <cell r="AD10265">
            <v>30500</v>
          </cell>
        </row>
        <row r="10266">
          <cell r="W10266" t="str">
            <v>QQIUV02</v>
          </cell>
          <cell r="AD10266">
            <v>30500</v>
          </cell>
        </row>
        <row r="10267">
          <cell r="W10267" t="str">
            <v>QQIUV02</v>
          </cell>
          <cell r="AD10267">
            <v>30500</v>
          </cell>
        </row>
        <row r="10268">
          <cell r="W10268" t="str">
            <v>QQIUV02</v>
          </cell>
          <cell r="AD10268">
            <v>30500</v>
          </cell>
        </row>
        <row r="10269">
          <cell r="W10269" t="str">
            <v>QQIUV02</v>
          </cell>
          <cell r="AD10269">
            <v>30500</v>
          </cell>
        </row>
        <row r="10270">
          <cell r="W10270" t="str">
            <v>QQIUV02</v>
          </cell>
          <cell r="AD10270">
            <v>30500</v>
          </cell>
        </row>
        <row r="10271">
          <cell r="W10271" t="str">
            <v>QQIUV02</v>
          </cell>
          <cell r="AD10271">
            <v>30500</v>
          </cell>
        </row>
        <row r="10272">
          <cell r="W10272" t="str">
            <v>QQIUV02</v>
          </cell>
          <cell r="AD10272">
            <v>30500</v>
          </cell>
        </row>
        <row r="10273">
          <cell r="W10273" t="str">
            <v>QQIUV02</v>
          </cell>
          <cell r="AD10273">
            <v>32500</v>
          </cell>
        </row>
        <row r="10274">
          <cell r="W10274" t="str">
            <v>QQIUV02</v>
          </cell>
          <cell r="AD10274">
            <v>32500</v>
          </cell>
        </row>
        <row r="10275">
          <cell r="W10275" t="str">
            <v>QQIUV02</v>
          </cell>
          <cell r="AD10275">
            <v>32500</v>
          </cell>
        </row>
        <row r="10276">
          <cell r="W10276" t="str">
            <v>QQIUV02</v>
          </cell>
          <cell r="AD10276">
            <v>32500</v>
          </cell>
        </row>
        <row r="10277">
          <cell r="W10277" t="str">
            <v>QQIUV02</v>
          </cell>
          <cell r="AD10277">
            <v>32500</v>
          </cell>
        </row>
        <row r="10278">
          <cell r="W10278" t="str">
            <v>QQIUV02</v>
          </cell>
          <cell r="AD10278">
            <v>32500</v>
          </cell>
        </row>
        <row r="10279">
          <cell r="W10279" t="str">
            <v>QQIUV02</v>
          </cell>
          <cell r="AD10279">
            <v>32500</v>
          </cell>
        </row>
        <row r="10280">
          <cell r="W10280" t="str">
            <v>QQIUV02</v>
          </cell>
          <cell r="AD10280">
            <v>32500</v>
          </cell>
        </row>
        <row r="10281">
          <cell r="W10281" t="str">
            <v>QQIUV02</v>
          </cell>
          <cell r="AD10281">
            <v>32500</v>
          </cell>
        </row>
        <row r="10282">
          <cell r="W10282" t="str">
            <v>QQIUV02</v>
          </cell>
          <cell r="AD10282">
            <v>32500</v>
          </cell>
        </row>
        <row r="10283">
          <cell r="W10283" t="str">
            <v>QQIUV02</v>
          </cell>
          <cell r="AD10283">
            <v>37500</v>
          </cell>
        </row>
        <row r="10284">
          <cell r="W10284" t="str">
            <v>QQIUV02</v>
          </cell>
          <cell r="AD10284">
            <v>40000</v>
          </cell>
        </row>
        <row r="10285">
          <cell r="W10285" t="str">
            <v>QQIUV03</v>
          </cell>
          <cell r="AD10285">
            <v>3770.45</v>
          </cell>
        </row>
        <row r="10286">
          <cell r="W10286" t="str">
            <v>QQIUV03</v>
          </cell>
          <cell r="AD10286">
            <v>4150</v>
          </cell>
        </row>
        <row r="10287">
          <cell r="W10287" t="str">
            <v>QQIUV03</v>
          </cell>
          <cell r="AD10287">
            <v>4150</v>
          </cell>
        </row>
        <row r="10288">
          <cell r="W10288" t="str">
            <v>QQIUV03</v>
          </cell>
          <cell r="AD10288">
            <v>4150</v>
          </cell>
        </row>
        <row r="10289">
          <cell r="W10289" t="str">
            <v>QQIUV03</v>
          </cell>
          <cell r="AD10289">
            <v>4150</v>
          </cell>
        </row>
        <row r="10290">
          <cell r="W10290" t="str">
            <v>QQIUV03</v>
          </cell>
          <cell r="AD10290">
            <v>9750</v>
          </cell>
        </row>
        <row r="10291">
          <cell r="W10291" t="str">
            <v>QQIUV03</v>
          </cell>
          <cell r="AD10291">
            <v>9750</v>
          </cell>
        </row>
        <row r="10292">
          <cell r="W10292" t="str">
            <v>QQIUV03</v>
          </cell>
          <cell r="AD10292">
            <v>9750</v>
          </cell>
        </row>
        <row r="10293">
          <cell r="W10293" t="str">
            <v>QQIUV03</v>
          </cell>
          <cell r="AD10293">
            <v>9750</v>
          </cell>
        </row>
        <row r="10294">
          <cell r="W10294" t="str">
            <v>QQIUV03</v>
          </cell>
          <cell r="AD10294">
            <v>9750</v>
          </cell>
        </row>
        <row r="10295">
          <cell r="W10295" t="str">
            <v>QQIUV03</v>
          </cell>
          <cell r="AD10295">
            <v>9750</v>
          </cell>
        </row>
        <row r="10296">
          <cell r="W10296" t="str">
            <v>QQIUV03</v>
          </cell>
          <cell r="AD10296">
            <v>9750</v>
          </cell>
        </row>
        <row r="10297">
          <cell r="W10297" t="str">
            <v>QQIUV03</v>
          </cell>
          <cell r="AD10297">
            <v>9750</v>
          </cell>
        </row>
        <row r="10298">
          <cell r="W10298" t="str">
            <v>QQIUV03</v>
          </cell>
          <cell r="AD10298">
            <v>9750</v>
          </cell>
        </row>
        <row r="10299">
          <cell r="W10299" t="str">
            <v>QQIUV03</v>
          </cell>
          <cell r="AD10299">
            <v>9750</v>
          </cell>
        </row>
        <row r="10300">
          <cell r="W10300" t="str">
            <v>QQIUV03</v>
          </cell>
          <cell r="AD10300">
            <v>9750</v>
          </cell>
        </row>
        <row r="10301">
          <cell r="W10301" t="str">
            <v>QQIUV03</v>
          </cell>
          <cell r="AD10301">
            <v>9750</v>
          </cell>
        </row>
        <row r="10302">
          <cell r="W10302" t="str">
            <v>QQIUV03</v>
          </cell>
          <cell r="AD10302">
            <v>10000</v>
          </cell>
        </row>
        <row r="10303">
          <cell r="W10303" t="str">
            <v>QQIUV03</v>
          </cell>
          <cell r="AD10303">
            <v>10250</v>
          </cell>
        </row>
        <row r="10304">
          <cell r="W10304" t="str">
            <v>QQIUV03</v>
          </cell>
          <cell r="AD10304">
            <v>10750</v>
          </cell>
        </row>
        <row r="10305">
          <cell r="W10305" t="str">
            <v>QQIUV03</v>
          </cell>
          <cell r="AD10305">
            <v>12000</v>
          </cell>
        </row>
        <row r="10306">
          <cell r="W10306" t="str">
            <v>QQIUV03</v>
          </cell>
          <cell r="AD10306">
            <v>13500</v>
          </cell>
        </row>
        <row r="10307">
          <cell r="W10307" t="str">
            <v>QQIUV04</v>
          </cell>
          <cell r="AD10307">
            <v>15225</v>
          </cell>
        </row>
        <row r="10308">
          <cell r="W10308" t="str">
            <v>QQIUV04</v>
          </cell>
          <cell r="AD10308">
            <v>24950</v>
          </cell>
        </row>
        <row r="10309">
          <cell r="W10309" t="str">
            <v>QQIUV04</v>
          </cell>
          <cell r="AD10309">
            <v>29500</v>
          </cell>
        </row>
        <row r="10310">
          <cell r="W10310" t="str">
            <v>QQIUV04</v>
          </cell>
          <cell r="AD10310">
            <v>29500</v>
          </cell>
        </row>
        <row r="10311">
          <cell r="W10311" t="str">
            <v>QQIUV04</v>
          </cell>
          <cell r="AD10311">
            <v>29500</v>
          </cell>
        </row>
        <row r="10312">
          <cell r="W10312" t="str">
            <v>QQIUV04</v>
          </cell>
          <cell r="AD10312">
            <v>30250</v>
          </cell>
        </row>
        <row r="10313">
          <cell r="W10313" t="str">
            <v>QQIUV04</v>
          </cell>
          <cell r="AD10313">
            <v>30500</v>
          </cell>
        </row>
        <row r="10314">
          <cell r="W10314" t="str">
            <v>QQIUV04</v>
          </cell>
          <cell r="AD10314">
            <v>30500</v>
          </cell>
        </row>
        <row r="10315">
          <cell r="W10315" t="str">
            <v>QQIUV04</v>
          </cell>
          <cell r="AD10315">
            <v>30500</v>
          </cell>
        </row>
        <row r="10316">
          <cell r="W10316" t="str">
            <v>QQIUV04</v>
          </cell>
          <cell r="AD10316">
            <v>30500</v>
          </cell>
        </row>
        <row r="10317">
          <cell r="W10317" t="str">
            <v>QQIUV04</v>
          </cell>
          <cell r="AD10317">
            <v>30500</v>
          </cell>
        </row>
        <row r="10318">
          <cell r="W10318" t="str">
            <v>QQIUV04</v>
          </cell>
          <cell r="AD10318">
            <v>30500</v>
          </cell>
        </row>
        <row r="10319">
          <cell r="W10319" t="str">
            <v>QQIUV04</v>
          </cell>
          <cell r="AD10319">
            <v>30500</v>
          </cell>
        </row>
        <row r="10320">
          <cell r="W10320" t="str">
            <v>QQIUV04</v>
          </cell>
          <cell r="AD10320">
            <v>30500</v>
          </cell>
        </row>
        <row r="10321">
          <cell r="W10321" t="str">
            <v>QQIUV04</v>
          </cell>
          <cell r="AD10321">
            <v>30500</v>
          </cell>
        </row>
        <row r="10322">
          <cell r="W10322" t="str">
            <v>QQIUV04</v>
          </cell>
          <cell r="AD10322">
            <v>30500</v>
          </cell>
        </row>
        <row r="10323">
          <cell r="W10323" t="str">
            <v>QQIUV04</v>
          </cell>
          <cell r="AD10323">
            <v>30500</v>
          </cell>
        </row>
        <row r="10324">
          <cell r="W10324" t="str">
            <v>QQIUV04</v>
          </cell>
          <cell r="AD10324">
            <v>30500</v>
          </cell>
        </row>
        <row r="10325">
          <cell r="W10325" t="str">
            <v>QQIUV04</v>
          </cell>
          <cell r="AD10325">
            <v>30500</v>
          </cell>
        </row>
        <row r="10326">
          <cell r="W10326" t="str">
            <v>QQIUV04</v>
          </cell>
          <cell r="AD10326">
            <v>30500</v>
          </cell>
        </row>
        <row r="10327">
          <cell r="W10327" t="str">
            <v>QQIUV04</v>
          </cell>
          <cell r="AD10327">
            <v>30500</v>
          </cell>
        </row>
        <row r="10328">
          <cell r="W10328" t="str">
            <v>QQIUV04</v>
          </cell>
          <cell r="AD10328">
            <v>30500</v>
          </cell>
        </row>
        <row r="10329">
          <cell r="W10329" t="str">
            <v>QQIUV04</v>
          </cell>
          <cell r="AD10329">
            <v>30500</v>
          </cell>
        </row>
        <row r="10330">
          <cell r="W10330" t="str">
            <v>QQIUV04</v>
          </cell>
          <cell r="AD10330">
            <v>30500</v>
          </cell>
        </row>
        <row r="10331">
          <cell r="W10331" t="str">
            <v>QQIUV04</v>
          </cell>
          <cell r="AD10331">
            <v>30500</v>
          </cell>
        </row>
        <row r="10332">
          <cell r="W10332" t="str">
            <v>QQIUV04</v>
          </cell>
          <cell r="AD10332">
            <v>30500</v>
          </cell>
        </row>
        <row r="10333">
          <cell r="W10333" t="str">
            <v>QQIUV04</v>
          </cell>
          <cell r="AD10333">
            <v>30500</v>
          </cell>
        </row>
        <row r="10334">
          <cell r="W10334" t="str">
            <v>QQIUV04</v>
          </cell>
          <cell r="AD10334">
            <v>30500</v>
          </cell>
        </row>
        <row r="10335">
          <cell r="W10335" t="str">
            <v>QQIUV04</v>
          </cell>
          <cell r="AD10335">
            <v>30500</v>
          </cell>
        </row>
        <row r="10336">
          <cell r="W10336" t="str">
            <v>QQIUV04</v>
          </cell>
          <cell r="AD10336">
            <v>30500</v>
          </cell>
        </row>
        <row r="10337">
          <cell r="W10337" t="str">
            <v>QQIUV04</v>
          </cell>
          <cell r="AD10337">
            <v>30500</v>
          </cell>
        </row>
        <row r="10338">
          <cell r="W10338" t="str">
            <v>QQIUV04</v>
          </cell>
          <cell r="AD10338">
            <v>30500</v>
          </cell>
        </row>
        <row r="10339">
          <cell r="W10339" t="str">
            <v>QQIUV04</v>
          </cell>
          <cell r="AD10339">
            <v>30500</v>
          </cell>
        </row>
        <row r="10340">
          <cell r="W10340" t="str">
            <v>QQIUV04</v>
          </cell>
          <cell r="AD10340">
            <v>30500</v>
          </cell>
        </row>
        <row r="10341">
          <cell r="W10341" t="str">
            <v>QQIUV04</v>
          </cell>
          <cell r="AD10341">
            <v>30500</v>
          </cell>
        </row>
        <row r="10342">
          <cell r="W10342" t="str">
            <v>QQIUV04</v>
          </cell>
          <cell r="AD10342">
            <v>30500</v>
          </cell>
        </row>
        <row r="10343">
          <cell r="W10343" t="str">
            <v>QQIUV04</v>
          </cell>
          <cell r="AD10343">
            <v>30500</v>
          </cell>
        </row>
        <row r="10344">
          <cell r="W10344" t="str">
            <v>QQIUV04</v>
          </cell>
          <cell r="AD10344">
            <v>30500</v>
          </cell>
        </row>
        <row r="10345">
          <cell r="W10345" t="str">
            <v>QQIUV04</v>
          </cell>
          <cell r="AD10345">
            <v>30500</v>
          </cell>
        </row>
        <row r="10346">
          <cell r="W10346" t="str">
            <v>QQIUV04</v>
          </cell>
          <cell r="AD10346">
            <v>30500</v>
          </cell>
        </row>
        <row r="10347">
          <cell r="W10347" t="str">
            <v>QQIUV04</v>
          </cell>
          <cell r="AD10347">
            <v>30500</v>
          </cell>
        </row>
        <row r="10348">
          <cell r="W10348" t="str">
            <v>QQIUV04</v>
          </cell>
          <cell r="AD10348">
            <v>30500</v>
          </cell>
        </row>
        <row r="10349">
          <cell r="W10349" t="str">
            <v>QQIUV04</v>
          </cell>
          <cell r="AD10349">
            <v>30500</v>
          </cell>
        </row>
        <row r="10350">
          <cell r="W10350" t="str">
            <v>QQIUV04</v>
          </cell>
          <cell r="AD10350">
            <v>30500</v>
          </cell>
        </row>
        <row r="10351">
          <cell r="W10351" t="str">
            <v>QQIUV04</v>
          </cell>
          <cell r="AD10351">
            <v>30500</v>
          </cell>
        </row>
        <row r="10352">
          <cell r="W10352" t="str">
            <v>QQIUV04</v>
          </cell>
          <cell r="AD10352">
            <v>30500</v>
          </cell>
        </row>
        <row r="10353">
          <cell r="W10353" t="str">
            <v>QQIUV04</v>
          </cell>
          <cell r="AD10353">
            <v>30500</v>
          </cell>
        </row>
        <row r="10354">
          <cell r="W10354" t="str">
            <v>QQIUV04</v>
          </cell>
          <cell r="AD10354">
            <v>30500</v>
          </cell>
        </row>
        <row r="10355">
          <cell r="W10355" t="str">
            <v>QQIUV04</v>
          </cell>
          <cell r="AD10355">
            <v>30500</v>
          </cell>
        </row>
        <row r="10356">
          <cell r="W10356" t="str">
            <v>QQIUV04</v>
          </cell>
          <cell r="AD10356">
            <v>30500</v>
          </cell>
        </row>
        <row r="10357">
          <cell r="W10357" t="str">
            <v>QQIUV04</v>
          </cell>
          <cell r="AD10357">
            <v>30500</v>
          </cell>
        </row>
        <row r="10358">
          <cell r="W10358" t="str">
            <v>QQIUV04</v>
          </cell>
          <cell r="AD10358">
            <v>30500</v>
          </cell>
        </row>
        <row r="10359">
          <cell r="W10359" t="str">
            <v>QQIUV04</v>
          </cell>
          <cell r="AD10359">
            <v>30500</v>
          </cell>
        </row>
        <row r="10360">
          <cell r="W10360" t="str">
            <v>QQIUV04</v>
          </cell>
          <cell r="AD10360">
            <v>30500</v>
          </cell>
        </row>
        <row r="10361">
          <cell r="W10361" t="str">
            <v>QQIUV04</v>
          </cell>
          <cell r="AD10361">
            <v>30500</v>
          </cell>
        </row>
        <row r="10362">
          <cell r="W10362" t="str">
            <v>QQIUV04</v>
          </cell>
          <cell r="AD10362">
            <v>30500</v>
          </cell>
        </row>
        <row r="10363">
          <cell r="W10363" t="str">
            <v>QQIUV04</v>
          </cell>
          <cell r="AD10363">
            <v>30500</v>
          </cell>
        </row>
        <row r="10364">
          <cell r="W10364" t="str">
            <v>QQIUV04</v>
          </cell>
          <cell r="AD10364">
            <v>30500</v>
          </cell>
        </row>
        <row r="10365">
          <cell r="W10365" t="str">
            <v>QQIUV04</v>
          </cell>
          <cell r="AD10365">
            <v>30500</v>
          </cell>
        </row>
        <row r="10366">
          <cell r="W10366" t="str">
            <v>QQIUV04</v>
          </cell>
          <cell r="AD10366">
            <v>30500</v>
          </cell>
        </row>
        <row r="10367">
          <cell r="W10367" t="str">
            <v>QQIUV04</v>
          </cell>
          <cell r="AD10367">
            <v>30500</v>
          </cell>
        </row>
        <row r="10368">
          <cell r="W10368" t="str">
            <v>QQIUV04</v>
          </cell>
          <cell r="AD10368">
            <v>30500</v>
          </cell>
        </row>
        <row r="10369">
          <cell r="W10369" t="str">
            <v>QQIUV04</v>
          </cell>
          <cell r="AD10369">
            <v>30500</v>
          </cell>
        </row>
        <row r="10370">
          <cell r="W10370" t="str">
            <v>QQIUV04</v>
          </cell>
          <cell r="AD10370">
            <v>30500</v>
          </cell>
        </row>
        <row r="10371">
          <cell r="W10371" t="str">
            <v>QQIUV04</v>
          </cell>
          <cell r="AD10371">
            <v>30500</v>
          </cell>
        </row>
        <row r="10372">
          <cell r="W10372" t="str">
            <v>QQIUV04</v>
          </cell>
          <cell r="AD10372">
            <v>30500</v>
          </cell>
        </row>
        <row r="10373">
          <cell r="W10373" t="str">
            <v>QQIUV04</v>
          </cell>
          <cell r="AD10373">
            <v>30500</v>
          </cell>
        </row>
        <row r="10374">
          <cell r="W10374" t="str">
            <v>QQIUV04</v>
          </cell>
          <cell r="AD10374">
            <v>30500</v>
          </cell>
        </row>
        <row r="10375">
          <cell r="W10375" t="str">
            <v>QQIUV04</v>
          </cell>
          <cell r="AD10375">
            <v>30500</v>
          </cell>
        </row>
        <row r="10376">
          <cell r="W10376" t="str">
            <v>QQIUV04</v>
          </cell>
          <cell r="AD10376">
            <v>30500</v>
          </cell>
        </row>
        <row r="10377">
          <cell r="W10377" t="str">
            <v>QQIUV04</v>
          </cell>
          <cell r="AD10377">
            <v>30500</v>
          </cell>
        </row>
        <row r="10378">
          <cell r="W10378" t="str">
            <v>QQIUV04</v>
          </cell>
          <cell r="AD10378">
            <v>30500</v>
          </cell>
        </row>
        <row r="10379">
          <cell r="W10379" t="str">
            <v>QQIUV04</v>
          </cell>
          <cell r="AD10379">
            <v>30500</v>
          </cell>
        </row>
        <row r="10380">
          <cell r="W10380" t="str">
            <v>QQIUV04</v>
          </cell>
          <cell r="AD10380">
            <v>30500</v>
          </cell>
        </row>
        <row r="10381">
          <cell r="W10381" t="str">
            <v>QQIUV04</v>
          </cell>
          <cell r="AD10381">
            <v>30500</v>
          </cell>
        </row>
        <row r="10382">
          <cell r="W10382" t="str">
            <v>QQIUV04</v>
          </cell>
          <cell r="AD10382">
            <v>30500</v>
          </cell>
        </row>
        <row r="10383">
          <cell r="W10383" t="str">
            <v>QQIUV04</v>
          </cell>
          <cell r="AD10383">
            <v>30500</v>
          </cell>
        </row>
        <row r="10384">
          <cell r="W10384" t="str">
            <v>QQIUV04</v>
          </cell>
          <cell r="AD10384">
            <v>30500</v>
          </cell>
        </row>
        <row r="10385">
          <cell r="W10385" t="str">
            <v>QQIUV04</v>
          </cell>
          <cell r="AD10385">
            <v>30500</v>
          </cell>
        </row>
        <row r="10386">
          <cell r="W10386" t="str">
            <v>QQIUV04</v>
          </cell>
          <cell r="AD10386">
            <v>30500</v>
          </cell>
        </row>
        <row r="10387">
          <cell r="W10387" t="str">
            <v>QQIUV04</v>
          </cell>
          <cell r="AD10387">
            <v>30500</v>
          </cell>
        </row>
        <row r="10388">
          <cell r="W10388" t="str">
            <v>QQIUV04</v>
          </cell>
          <cell r="AD10388">
            <v>30500</v>
          </cell>
        </row>
        <row r="10389">
          <cell r="W10389" t="str">
            <v>QQIUV04</v>
          </cell>
          <cell r="AD10389">
            <v>30500</v>
          </cell>
        </row>
        <row r="10390">
          <cell r="W10390" t="str">
            <v>QQIUV04</v>
          </cell>
          <cell r="AD10390">
            <v>30500</v>
          </cell>
        </row>
        <row r="10391">
          <cell r="W10391" t="str">
            <v>QQIUV04</v>
          </cell>
          <cell r="AD10391">
            <v>30500</v>
          </cell>
        </row>
        <row r="10392">
          <cell r="W10392" t="str">
            <v>QQIUV04</v>
          </cell>
          <cell r="AD10392">
            <v>30500</v>
          </cell>
        </row>
        <row r="10393">
          <cell r="W10393" t="str">
            <v>QQIUV04</v>
          </cell>
          <cell r="AD10393">
            <v>30500</v>
          </cell>
        </row>
        <row r="10394">
          <cell r="W10394" t="str">
            <v>QQIUV04</v>
          </cell>
          <cell r="AD10394">
            <v>30500</v>
          </cell>
        </row>
        <row r="10395">
          <cell r="W10395" t="str">
            <v>QQIUV04</v>
          </cell>
          <cell r="AD10395">
            <v>30500</v>
          </cell>
        </row>
        <row r="10396">
          <cell r="W10396" t="str">
            <v>QQIUV04</v>
          </cell>
          <cell r="AD10396">
            <v>30500</v>
          </cell>
        </row>
        <row r="10397">
          <cell r="W10397" t="str">
            <v>QQIUV04</v>
          </cell>
          <cell r="AD10397">
            <v>30500</v>
          </cell>
        </row>
        <row r="10398">
          <cell r="W10398" t="str">
            <v>QQIUV04</v>
          </cell>
          <cell r="AD10398">
            <v>30500</v>
          </cell>
        </row>
        <row r="10399">
          <cell r="W10399" t="str">
            <v>QQIUV04</v>
          </cell>
          <cell r="AD10399">
            <v>30500</v>
          </cell>
        </row>
        <row r="10400">
          <cell r="W10400" t="str">
            <v>QQIUV04</v>
          </cell>
          <cell r="AD10400">
            <v>32500</v>
          </cell>
        </row>
        <row r="10401">
          <cell r="W10401" t="str">
            <v>QQIUV04</v>
          </cell>
          <cell r="AD10401">
            <v>32500</v>
          </cell>
        </row>
        <row r="10402">
          <cell r="W10402" t="str">
            <v>QQIUV04</v>
          </cell>
          <cell r="AD10402">
            <v>32500</v>
          </cell>
        </row>
        <row r="10403">
          <cell r="W10403" t="str">
            <v>QQIUV04</v>
          </cell>
          <cell r="AD10403">
            <v>32500</v>
          </cell>
        </row>
        <row r="10404">
          <cell r="W10404" t="str">
            <v>QQIUV04</v>
          </cell>
          <cell r="AD10404">
            <v>32500</v>
          </cell>
        </row>
        <row r="10405">
          <cell r="W10405" t="str">
            <v>QQIUV04</v>
          </cell>
          <cell r="AD10405">
            <v>32500</v>
          </cell>
        </row>
        <row r="10406">
          <cell r="W10406" t="str">
            <v>QQIUV04</v>
          </cell>
          <cell r="AD10406">
            <v>32500</v>
          </cell>
        </row>
        <row r="10407">
          <cell r="W10407" t="str">
            <v>QQIUV04</v>
          </cell>
          <cell r="AD10407">
            <v>32500</v>
          </cell>
        </row>
        <row r="10408">
          <cell r="W10408" t="str">
            <v>QQIUV04</v>
          </cell>
          <cell r="AD10408">
            <v>32500</v>
          </cell>
        </row>
        <row r="10409">
          <cell r="W10409" t="str">
            <v>QQIUV04</v>
          </cell>
          <cell r="AD10409">
            <v>32500</v>
          </cell>
        </row>
        <row r="10410">
          <cell r="W10410" t="str">
            <v>QQIUV04</v>
          </cell>
          <cell r="AD10410">
            <v>32500</v>
          </cell>
        </row>
        <row r="10411">
          <cell r="W10411" t="str">
            <v>QQIUV04</v>
          </cell>
          <cell r="AD10411">
            <v>32500</v>
          </cell>
        </row>
        <row r="10412">
          <cell r="W10412" t="str">
            <v>QQIUV04</v>
          </cell>
          <cell r="AD10412">
            <v>32500</v>
          </cell>
        </row>
        <row r="10413">
          <cell r="W10413" t="str">
            <v>QQIUV04</v>
          </cell>
          <cell r="AD10413">
            <v>32500</v>
          </cell>
        </row>
        <row r="10414">
          <cell r="W10414" t="str">
            <v>QQIUV04</v>
          </cell>
          <cell r="AD10414">
            <v>32500</v>
          </cell>
        </row>
        <row r="10415">
          <cell r="W10415" t="str">
            <v>QQIUV04</v>
          </cell>
          <cell r="AD10415">
            <v>32500</v>
          </cell>
        </row>
        <row r="10416">
          <cell r="W10416" t="str">
            <v>QQIUV04</v>
          </cell>
          <cell r="AD10416">
            <v>35000</v>
          </cell>
        </row>
        <row r="10417">
          <cell r="W10417" t="str">
            <v>QQIUV04</v>
          </cell>
          <cell r="AD10417">
            <v>35000</v>
          </cell>
        </row>
        <row r="10418">
          <cell r="W10418" t="str">
            <v>QQIUV04</v>
          </cell>
          <cell r="AD10418">
            <v>37500</v>
          </cell>
        </row>
        <row r="10419">
          <cell r="W10419" t="str">
            <v>QQIUV04</v>
          </cell>
          <cell r="AD10419">
            <v>37500</v>
          </cell>
        </row>
        <row r="10420">
          <cell r="W10420" t="str">
            <v>QQIUV04</v>
          </cell>
          <cell r="AD10420">
            <v>37500</v>
          </cell>
        </row>
        <row r="10421">
          <cell r="W10421" t="str">
            <v>QQIUV05</v>
          </cell>
          <cell r="AD10421">
            <v>5200</v>
          </cell>
        </row>
        <row r="10422">
          <cell r="W10422" t="str">
            <v>QQIUV05</v>
          </cell>
          <cell r="AD10422">
            <v>5200</v>
          </cell>
        </row>
        <row r="10423">
          <cell r="W10423" t="str">
            <v>QQIUV05</v>
          </cell>
          <cell r="AD10423">
            <v>5200</v>
          </cell>
        </row>
        <row r="10424">
          <cell r="W10424" t="str">
            <v>QQIUV05</v>
          </cell>
          <cell r="AD10424">
            <v>5200</v>
          </cell>
        </row>
        <row r="10425">
          <cell r="W10425" t="str">
            <v>QQIUV05</v>
          </cell>
          <cell r="AD10425">
            <v>9750</v>
          </cell>
        </row>
        <row r="10426">
          <cell r="W10426" t="str">
            <v>QQIUV05</v>
          </cell>
          <cell r="AD10426">
            <v>9750</v>
          </cell>
        </row>
        <row r="10427">
          <cell r="W10427" t="str">
            <v>QQIUV05</v>
          </cell>
          <cell r="AD10427">
            <v>9750</v>
          </cell>
        </row>
        <row r="10428">
          <cell r="W10428" t="str">
            <v>QQIUV05</v>
          </cell>
          <cell r="AD10428">
            <v>9750</v>
          </cell>
        </row>
        <row r="10429">
          <cell r="W10429" t="str">
            <v>QQIUV05</v>
          </cell>
          <cell r="AD10429">
            <v>9750</v>
          </cell>
        </row>
        <row r="10430">
          <cell r="W10430" t="str">
            <v>QQIUV05</v>
          </cell>
          <cell r="AD10430">
            <v>9750</v>
          </cell>
        </row>
        <row r="10431">
          <cell r="W10431" t="str">
            <v>QQIUV05</v>
          </cell>
          <cell r="AD10431">
            <v>9750</v>
          </cell>
        </row>
        <row r="10432">
          <cell r="W10432" t="str">
            <v>QQIUV05</v>
          </cell>
          <cell r="AD10432">
            <v>9750</v>
          </cell>
        </row>
        <row r="10433">
          <cell r="W10433" t="str">
            <v>QQIUV05</v>
          </cell>
          <cell r="AD10433">
            <v>9750</v>
          </cell>
        </row>
        <row r="10434">
          <cell r="W10434" t="str">
            <v>QQIUV05</v>
          </cell>
          <cell r="AD10434">
            <v>9750</v>
          </cell>
        </row>
        <row r="10435">
          <cell r="W10435" t="str">
            <v>QQIUV05</v>
          </cell>
          <cell r="AD10435">
            <v>10000</v>
          </cell>
        </row>
        <row r="10436">
          <cell r="W10436" t="str">
            <v>QQIUV05</v>
          </cell>
          <cell r="AD10436">
            <v>10250</v>
          </cell>
        </row>
        <row r="10437">
          <cell r="W10437" t="str">
            <v>QQIUV05</v>
          </cell>
          <cell r="AD10437">
            <v>10750</v>
          </cell>
        </row>
        <row r="10438">
          <cell r="W10438" t="str">
            <v>QQIUV05</v>
          </cell>
          <cell r="AD10438">
            <v>12000</v>
          </cell>
        </row>
        <row r="10439">
          <cell r="W10439" t="str">
            <v>QQIUV05</v>
          </cell>
          <cell r="AD10439">
            <v>13500</v>
          </cell>
        </row>
        <row r="10440">
          <cell r="W10440" t="str">
            <v>QQIUV05</v>
          </cell>
          <cell r="AD10440">
            <v>13500</v>
          </cell>
        </row>
        <row r="10441">
          <cell r="W10441" t="str">
            <v>QQIUV06</v>
          </cell>
          <cell r="AD10441">
            <v>29500</v>
          </cell>
        </row>
        <row r="10442">
          <cell r="W10442" t="str">
            <v>QQIUV06</v>
          </cell>
          <cell r="AD10442">
            <v>29500</v>
          </cell>
        </row>
        <row r="10443">
          <cell r="W10443" t="str">
            <v>QQIUV06</v>
          </cell>
          <cell r="AD10443">
            <v>30250</v>
          </cell>
        </row>
        <row r="10444">
          <cell r="W10444" t="str">
            <v>QQIUV06</v>
          </cell>
          <cell r="AD10444">
            <v>30500</v>
          </cell>
        </row>
        <row r="10445">
          <cell r="W10445" t="str">
            <v>QQIUV06</v>
          </cell>
          <cell r="AD10445">
            <v>30500</v>
          </cell>
        </row>
        <row r="10446">
          <cell r="W10446" t="str">
            <v>QQIUV06</v>
          </cell>
          <cell r="AD10446">
            <v>30500</v>
          </cell>
        </row>
        <row r="10447">
          <cell r="W10447" t="str">
            <v>QQIUV06</v>
          </cell>
          <cell r="AD10447">
            <v>30500</v>
          </cell>
        </row>
        <row r="10448">
          <cell r="W10448" t="str">
            <v>QQIUV06</v>
          </cell>
          <cell r="AD10448">
            <v>30500</v>
          </cell>
        </row>
        <row r="10449">
          <cell r="W10449" t="str">
            <v>QQIUV06</v>
          </cell>
          <cell r="AD10449">
            <v>30500</v>
          </cell>
        </row>
        <row r="10450">
          <cell r="W10450" t="str">
            <v>QQIUV06</v>
          </cell>
          <cell r="AD10450">
            <v>30500</v>
          </cell>
        </row>
        <row r="10451">
          <cell r="W10451" t="str">
            <v>QQIUV06</v>
          </cell>
          <cell r="AD10451">
            <v>30500</v>
          </cell>
        </row>
        <row r="10452">
          <cell r="W10452" t="str">
            <v>QQIUV06</v>
          </cell>
          <cell r="AD10452">
            <v>30500</v>
          </cell>
        </row>
        <row r="10453">
          <cell r="W10453" t="str">
            <v>QQIUV06</v>
          </cell>
          <cell r="AD10453">
            <v>30500</v>
          </cell>
        </row>
        <row r="10454">
          <cell r="W10454" t="str">
            <v>QQIUV06</v>
          </cell>
          <cell r="AD10454">
            <v>30500</v>
          </cell>
        </row>
        <row r="10455">
          <cell r="W10455" t="str">
            <v>QQIUV06</v>
          </cell>
          <cell r="AD10455">
            <v>30500</v>
          </cell>
        </row>
        <row r="10456">
          <cell r="W10456" t="str">
            <v>QQIUV06</v>
          </cell>
          <cell r="AD10456">
            <v>30500</v>
          </cell>
        </row>
        <row r="10457">
          <cell r="W10457" t="str">
            <v>QQIUV06</v>
          </cell>
          <cell r="AD10457">
            <v>30500</v>
          </cell>
        </row>
        <row r="10458">
          <cell r="W10458" t="str">
            <v>QQIUV06</v>
          </cell>
          <cell r="AD10458">
            <v>30500</v>
          </cell>
        </row>
        <row r="10459">
          <cell r="W10459" t="str">
            <v>QQIUV06</v>
          </cell>
          <cell r="AD10459">
            <v>30500</v>
          </cell>
        </row>
        <row r="10460">
          <cell r="W10460" t="str">
            <v>QQIUV06</v>
          </cell>
          <cell r="AD10460">
            <v>30500</v>
          </cell>
        </row>
        <row r="10461">
          <cell r="W10461" t="str">
            <v>QQIUV06</v>
          </cell>
          <cell r="AD10461">
            <v>30500</v>
          </cell>
        </row>
        <row r="10462">
          <cell r="W10462" t="str">
            <v>QQIUV06</v>
          </cell>
          <cell r="AD10462">
            <v>30500</v>
          </cell>
        </row>
        <row r="10463">
          <cell r="W10463" t="str">
            <v>QQIUV06</v>
          </cell>
          <cell r="AD10463">
            <v>30500</v>
          </cell>
        </row>
        <row r="10464">
          <cell r="W10464" t="str">
            <v>QQIUV06</v>
          </cell>
          <cell r="AD10464">
            <v>30500</v>
          </cell>
        </row>
        <row r="10465">
          <cell r="W10465" t="str">
            <v>QQIUV06</v>
          </cell>
          <cell r="AD10465">
            <v>30500</v>
          </cell>
        </row>
        <row r="10466">
          <cell r="W10466" t="str">
            <v>QQIUV06</v>
          </cell>
          <cell r="AD10466">
            <v>30500</v>
          </cell>
        </row>
        <row r="10467">
          <cell r="W10467" t="str">
            <v>QQIUV06</v>
          </cell>
          <cell r="AD10467">
            <v>30500</v>
          </cell>
        </row>
        <row r="10468">
          <cell r="W10468" t="str">
            <v>QQIUV06</v>
          </cell>
          <cell r="AD10468">
            <v>30500</v>
          </cell>
        </row>
        <row r="10469">
          <cell r="W10469" t="str">
            <v>QQIUV06</v>
          </cell>
          <cell r="AD10469">
            <v>30500</v>
          </cell>
        </row>
        <row r="10470">
          <cell r="W10470" t="str">
            <v>QQIUV06</v>
          </cell>
          <cell r="AD10470">
            <v>30500</v>
          </cell>
        </row>
        <row r="10471">
          <cell r="W10471" t="str">
            <v>QQIUV06</v>
          </cell>
          <cell r="AD10471">
            <v>30500</v>
          </cell>
        </row>
        <row r="10472">
          <cell r="W10472" t="str">
            <v>QQIUV06</v>
          </cell>
          <cell r="AD10472">
            <v>30500</v>
          </cell>
        </row>
        <row r="10473">
          <cell r="W10473" t="str">
            <v>QQIUV06</v>
          </cell>
          <cell r="AD10473">
            <v>30500</v>
          </cell>
        </row>
        <row r="10474">
          <cell r="W10474" t="str">
            <v>QQIUV06</v>
          </cell>
          <cell r="AD10474">
            <v>30500</v>
          </cell>
        </row>
        <row r="10475">
          <cell r="W10475" t="str">
            <v>QQIUV06</v>
          </cell>
          <cell r="AD10475">
            <v>30500</v>
          </cell>
        </row>
        <row r="10476">
          <cell r="W10476" t="str">
            <v>QQIUV06</v>
          </cell>
          <cell r="AD10476">
            <v>30500</v>
          </cell>
        </row>
        <row r="10477">
          <cell r="W10477" t="str">
            <v>QQIUV06</v>
          </cell>
          <cell r="AD10477">
            <v>30500</v>
          </cell>
        </row>
        <row r="10478">
          <cell r="W10478" t="str">
            <v>QQIUV06</v>
          </cell>
          <cell r="AD10478">
            <v>30500</v>
          </cell>
        </row>
        <row r="10479">
          <cell r="W10479" t="str">
            <v>QQIUV06</v>
          </cell>
          <cell r="AD10479">
            <v>30500</v>
          </cell>
        </row>
        <row r="10480">
          <cell r="W10480" t="str">
            <v>QQIUV06</v>
          </cell>
          <cell r="AD10480">
            <v>30500</v>
          </cell>
        </row>
        <row r="10481">
          <cell r="W10481" t="str">
            <v>QQIUV06</v>
          </cell>
          <cell r="AD10481">
            <v>30500</v>
          </cell>
        </row>
        <row r="10482">
          <cell r="W10482" t="str">
            <v>QQIUV06</v>
          </cell>
          <cell r="AD10482">
            <v>30500</v>
          </cell>
        </row>
        <row r="10483">
          <cell r="W10483" t="str">
            <v>QQIUV06</v>
          </cell>
          <cell r="AD10483">
            <v>30500</v>
          </cell>
        </row>
        <row r="10484">
          <cell r="W10484" t="str">
            <v>QQIUV06</v>
          </cell>
          <cell r="AD10484">
            <v>30500</v>
          </cell>
        </row>
        <row r="10485">
          <cell r="W10485" t="str">
            <v>QQIUV06</v>
          </cell>
          <cell r="AD10485">
            <v>30500</v>
          </cell>
        </row>
        <row r="10486">
          <cell r="W10486" t="str">
            <v>QQIUV06</v>
          </cell>
          <cell r="AD10486">
            <v>30500</v>
          </cell>
        </row>
        <row r="10487">
          <cell r="W10487" t="str">
            <v>QQIUV06</v>
          </cell>
          <cell r="AD10487">
            <v>30500</v>
          </cell>
        </row>
        <row r="10488">
          <cell r="W10488" t="str">
            <v>QQIUV06</v>
          </cell>
          <cell r="AD10488">
            <v>30500</v>
          </cell>
        </row>
        <row r="10489">
          <cell r="W10489" t="str">
            <v>QQIUV06</v>
          </cell>
          <cell r="AD10489">
            <v>30500</v>
          </cell>
        </row>
        <row r="10490">
          <cell r="W10490" t="str">
            <v>QQIUV06</v>
          </cell>
          <cell r="AD10490">
            <v>30500</v>
          </cell>
        </row>
        <row r="10491">
          <cell r="W10491" t="str">
            <v>QQIUV06</v>
          </cell>
          <cell r="AD10491">
            <v>30500</v>
          </cell>
        </row>
        <row r="10492">
          <cell r="W10492" t="str">
            <v>QQIUV06</v>
          </cell>
          <cell r="AD10492">
            <v>30500</v>
          </cell>
        </row>
        <row r="10493">
          <cell r="W10493" t="str">
            <v>QQIUV06</v>
          </cell>
          <cell r="AD10493">
            <v>30500</v>
          </cell>
        </row>
        <row r="10494">
          <cell r="W10494" t="str">
            <v>QQIUV06</v>
          </cell>
          <cell r="AD10494">
            <v>30500</v>
          </cell>
        </row>
        <row r="10495">
          <cell r="W10495" t="str">
            <v>QQIUV06</v>
          </cell>
          <cell r="AD10495">
            <v>30500</v>
          </cell>
        </row>
        <row r="10496">
          <cell r="W10496" t="str">
            <v>QQIUV06</v>
          </cell>
          <cell r="AD10496">
            <v>30500</v>
          </cell>
        </row>
        <row r="10497">
          <cell r="W10497" t="str">
            <v>QQIUV06</v>
          </cell>
          <cell r="AD10497">
            <v>30500</v>
          </cell>
        </row>
        <row r="10498">
          <cell r="W10498" t="str">
            <v>QQIUV06</v>
          </cell>
          <cell r="AD10498">
            <v>30500</v>
          </cell>
        </row>
        <row r="10499">
          <cell r="W10499" t="str">
            <v>QQIUV06</v>
          </cell>
          <cell r="AD10499">
            <v>30500</v>
          </cell>
        </row>
        <row r="10500">
          <cell r="W10500" t="str">
            <v>QQIUV06</v>
          </cell>
          <cell r="AD10500">
            <v>30500</v>
          </cell>
        </row>
        <row r="10501">
          <cell r="W10501" t="str">
            <v>QQIUV06</v>
          </cell>
          <cell r="AD10501">
            <v>30500</v>
          </cell>
        </row>
        <row r="10502">
          <cell r="W10502" t="str">
            <v>QQIUV06</v>
          </cell>
          <cell r="AD10502">
            <v>30500</v>
          </cell>
        </row>
        <row r="10503">
          <cell r="W10503" t="str">
            <v>QQIUV06</v>
          </cell>
          <cell r="AD10503">
            <v>30500</v>
          </cell>
        </row>
        <row r="10504">
          <cell r="W10504" t="str">
            <v>QQIUV06</v>
          </cell>
          <cell r="AD10504">
            <v>30500</v>
          </cell>
        </row>
        <row r="10505">
          <cell r="W10505" t="str">
            <v>QQIUV06</v>
          </cell>
          <cell r="AD10505">
            <v>30500</v>
          </cell>
        </row>
        <row r="10506">
          <cell r="W10506" t="str">
            <v>QQIUV06</v>
          </cell>
          <cell r="AD10506">
            <v>30500</v>
          </cell>
        </row>
        <row r="10507">
          <cell r="W10507" t="str">
            <v>QQIUV06</v>
          </cell>
          <cell r="AD10507">
            <v>30500</v>
          </cell>
        </row>
        <row r="10508">
          <cell r="W10508" t="str">
            <v>QQIUV06</v>
          </cell>
          <cell r="AD10508">
            <v>30500</v>
          </cell>
        </row>
        <row r="10509">
          <cell r="W10509" t="str">
            <v>QQIUV06</v>
          </cell>
          <cell r="AD10509">
            <v>30500</v>
          </cell>
        </row>
        <row r="10510">
          <cell r="W10510" t="str">
            <v>QQIUV06</v>
          </cell>
          <cell r="AD10510">
            <v>30500</v>
          </cell>
        </row>
        <row r="10511">
          <cell r="W10511" t="str">
            <v>QQIUV06</v>
          </cell>
          <cell r="AD10511">
            <v>30500</v>
          </cell>
        </row>
        <row r="10512">
          <cell r="W10512" t="str">
            <v>QQIUV06</v>
          </cell>
          <cell r="AD10512">
            <v>30500</v>
          </cell>
        </row>
        <row r="10513">
          <cell r="W10513" t="str">
            <v>QQIUV06</v>
          </cell>
          <cell r="AD10513">
            <v>30500</v>
          </cell>
        </row>
        <row r="10514">
          <cell r="W10514" t="str">
            <v>QQIUV06</v>
          </cell>
          <cell r="AD10514">
            <v>30500</v>
          </cell>
        </row>
        <row r="10515">
          <cell r="W10515" t="str">
            <v>QQIUV06</v>
          </cell>
          <cell r="AD10515">
            <v>30500</v>
          </cell>
        </row>
        <row r="10516">
          <cell r="W10516" t="str">
            <v>QQIUV06</v>
          </cell>
          <cell r="AD10516">
            <v>30500</v>
          </cell>
        </row>
        <row r="10517">
          <cell r="W10517" t="str">
            <v>QQIUV06</v>
          </cell>
          <cell r="AD10517">
            <v>30500</v>
          </cell>
        </row>
        <row r="10518">
          <cell r="W10518" t="str">
            <v>QQIUV06</v>
          </cell>
          <cell r="AD10518">
            <v>30500</v>
          </cell>
        </row>
        <row r="10519">
          <cell r="W10519" t="str">
            <v>QQIUV06</v>
          </cell>
          <cell r="AD10519">
            <v>30500</v>
          </cell>
        </row>
        <row r="10520">
          <cell r="W10520" t="str">
            <v>QQIUV06</v>
          </cell>
          <cell r="AD10520">
            <v>30500</v>
          </cell>
        </row>
        <row r="10521">
          <cell r="W10521" t="str">
            <v>QQIUV06</v>
          </cell>
          <cell r="AD10521">
            <v>30500</v>
          </cell>
        </row>
        <row r="10522">
          <cell r="W10522" t="str">
            <v>QQIUV06</v>
          </cell>
          <cell r="AD10522">
            <v>30500</v>
          </cell>
        </row>
        <row r="10523">
          <cell r="W10523" t="str">
            <v>QQIUV06</v>
          </cell>
          <cell r="AD10523">
            <v>30500</v>
          </cell>
        </row>
        <row r="10524">
          <cell r="W10524" t="str">
            <v>QQIUV06</v>
          </cell>
          <cell r="AD10524">
            <v>30500</v>
          </cell>
        </row>
        <row r="10525">
          <cell r="W10525" t="str">
            <v>QQIUV06</v>
          </cell>
          <cell r="AD10525">
            <v>32500</v>
          </cell>
        </row>
        <row r="10526">
          <cell r="W10526" t="str">
            <v>QQIUV06</v>
          </cell>
          <cell r="AD10526">
            <v>32500</v>
          </cell>
        </row>
        <row r="10527">
          <cell r="W10527" t="str">
            <v>QQIUV06</v>
          </cell>
          <cell r="AD10527">
            <v>32500</v>
          </cell>
        </row>
        <row r="10528">
          <cell r="W10528" t="str">
            <v>QQIUV06</v>
          </cell>
          <cell r="AD10528">
            <v>32500</v>
          </cell>
        </row>
        <row r="10529">
          <cell r="W10529" t="str">
            <v>QQIUV06</v>
          </cell>
          <cell r="AD10529">
            <v>32500</v>
          </cell>
        </row>
        <row r="10530">
          <cell r="W10530" t="str">
            <v>QQIUV06</v>
          </cell>
          <cell r="AD10530">
            <v>32500</v>
          </cell>
        </row>
        <row r="10531">
          <cell r="W10531" t="str">
            <v>QQIUV06</v>
          </cell>
          <cell r="AD10531">
            <v>32500</v>
          </cell>
        </row>
        <row r="10532">
          <cell r="W10532" t="str">
            <v>QQIUV06</v>
          </cell>
          <cell r="AD10532">
            <v>32500</v>
          </cell>
        </row>
        <row r="10533">
          <cell r="W10533" t="str">
            <v>QQIUV06</v>
          </cell>
          <cell r="AD10533">
            <v>32500</v>
          </cell>
        </row>
        <row r="10534">
          <cell r="W10534" t="str">
            <v>QQIUV06</v>
          </cell>
          <cell r="AD10534">
            <v>32500</v>
          </cell>
        </row>
        <row r="10535">
          <cell r="W10535" t="str">
            <v>QQIUV06</v>
          </cell>
          <cell r="AD10535">
            <v>32500</v>
          </cell>
        </row>
        <row r="10536">
          <cell r="W10536" t="str">
            <v>QQIUV06</v>
          </cell>
          <cell r="AD10536">
            <v>32500</v>
          </cell>
        </row>
        <row r="10537">
          <cell r="W10537" t="str">
            <v>QQIUV06</v>
          </cell>
          <cell r="AD10537">
            <v>35000</v>
          </cell>
        </row>
        <row r="10538">
          <cell r="W10538" t="str">
            <v>QQIUV06</v>
          </cell>
          <cell r="AD10538">
            <v>35000</v>
          </cell>
        </row>
        <row r="10539">
          <cell r="W10539" t="str">
            <v>QQIUV06</v>
          </cell>
          <cell r="AD10539">
            <v>37500</v>
          </cell>
        </row>
        <row r="10540">
          <cell r="W10540" t="str">
            <v>AQIUV13</v>
          </cell>
          <cell r="AD10540">
            <v>3000</v>
          </cell>
        </row>
        <row r="10541">
          <cell r="W10541" t="str">
            <v>AQIUV13</v>
          </cell>
          <cell r="AD10541">
            <v>3000</v>
          </cell>
        </row>
        <row r="10542">
          <cell r="W10542" t="str">
            <v>QRACU01</v>
          </cell>
          <cell r="AD10542">
            <v>8500</v>
          </cell>
        </row>
        <row r="10543">
          <cell r="W10543" t="str">
            <v>QRACU01</v>
          </cell>
          <cell r="AD10543">
            <v>8750</v>
          </cell>
        </row>
        <row r="10544">
          <cell r="W10544" t="str">
            <v>QRACU01</v>
          </cell>
          <cell r="AD10544">
            <v>8750</v>
          </cell>
        </row>
        <row r="10545">
          <cell r="W10545" t="str">
            <v>QRACU01</v>
          </cell>
          <cell r="AD10545">
            <v>8750</v>
          </cell>
        </row>
        <row r="10546">
          <cell r="W10546" t="str">
            <v>QRACU01</v>
          </cell>
          <cell r="AD10546">
            <v>8750</v>
          </cell>
        </row>
        <row r="10547">
          <cell r="W10547" t="str">
            <v>QRACU01</v>
          </cell>
          <cell r="AD10547">
            <v>8750</v>
          </cell>
        </row>
        <row r="10548">
          <cell r="W10548" t="str">
            <v>QRACU01</v>
          </cell>
          <cell r="AD10548">
            <v>8750</v>
          </cell>
        </row>
        <row r="10549">
          <cell r="W10549" t="str">
            <v>QRACU01</v>
          </cell>
          <cell r="AD10549">
            <v>8750</v>
          </cell>
        </row>
        <row r="10550">
          <cell r="W10550" t="str">
            <v>QRACU01</v>
          </cell>
          <cell r="AD10550">
            <v>9000</v>
          </cell>
        </row>
        <row r="10551">
          <cell r="W10551" t="str">
            <v>QRACU01</v>
          </cell>
          <cell r="AD10551">
            <v>9000</v>
          </cell>
        </row>
        <row r="10552">
          <cell r="W10552" t="str">
            <v>QRACU01</v>
          </cell>
          <cell r="AD10552">
            <v>9000</v>
          </cell>
        </row>
        <row r="10553">
          <cell r="W10553" t="str">
            <v>QRACU01</v>
          </cell>
          <cell r="AD10553">
            <v>9000</v>
          </cell>
        </row>
        <row r="10554">
          <cell r="W10554" t="str">
            <v>QRACU01</v>
          </cell>
          <cell r="AD10554">
            <v>9000</v>
          </cell>
        </row>
        <row r="10555">
          <cell r="W10555" t="str">
            <v>QRACU01</v>
          </cell>
          <cell r="AD10555">
            <v>9000</v>
          </cell>
        </row>
        <row r="10556">
          <cell r="W10556" t="str">
            <v>QRACU01</v>
          </cell>
          <cell r="AD10556">
            <v>9000</v>
          </cell>
        </row>
        <row r="10557">
          <cell r="W10557" t="str">
            <v>QRACU01</v>
          </cell>
          <cell r="AD10557">
            <v>9000</v>
          </cell>
        </row>
        <row r="10558">
          <cell r="W10558" t="str">
            <v>QRACU01</v>
          </cell>
          <cell r="AD10558">
            <v>9000</v>
          </cell>
        </row>
        <row r="10559">
          <cell r="W10559" t="str">
            <v>QRACU01</v>
          </cell>
          <cell r="AD10559">
            <v>9000</v>
          </cell>
        </row>
        <row r="10560">
          <cell r="W10560" t="str">
            <v>QRACU01</v>
          </cell>
          <cell r="AD10560">
            <v>9000</v>
          </cell>
        </row>
        <row r="10561">
          <cell r="W10561" t="str">
            <v>QRACU01</v>
          </cell>
          <cell r="AD10561">
            <v>9000</v>
          </cell>
        </row>
        <row r="10562">
          <cell r="W10562" t="str">
            <v>QRACU01</v>
          </cell>
          <cell r="AD10562">
            <v>9000</v>
          </cell>
        </row>
        <row r="10563">
          <cell r="W10563" t="str">
            <v>QRACU01</v>
          </cell>
          <cell r="AD10563">
            <v>9000</v>
          </cell>
        </row>
        <row r="10564">
          <cell r="W10564" t="str">
            <v>QRACU01</v>
          </cell>
          <cell r="AD10564">
            <v>9000</v>
          </cell>
        </row>
        <row r="10565">
          <cell r="W10565" t="str">
            <v>QRACU01</v>
          </cell>
          <cell r="AD10565">
            <v>9000</v>
          </cell>
        </row>
        <row r="10566">
          <cell r="W10566" t="str">
            <v>QRADI01</v>
          </cell>
          <cell r="AD10566">
            <v>44000</v>
          </cell>
        </row>
        <row r="10567">
          <cell r="W10567" t="str">
            <v>QRADI01</v>
          </cell>
          <cell r="AD10567">
            <v>45375</v>
          </cell>
        </row>
        <row r="10568">
          <cell r="W10568" t="str">
            <v>QRADI01</v>
          </cell>
          <cell r="AD10568">
            <v>45375</v>
          </cell>
        </row>
        <row r="10569">
          <cell r="W10569" t="str">
            <v>QRADI01</v>
          </cell>
          <cell r="AD10569">
            <v>45375</v>
          </cell>
        </row>
        <row r="10570">
          <cell r="W10570" t="str">
            <v>QRADI01</v>
          </cell>
          <cell r="AD10570">
            <v>45375</v>
          </cell>
        </row>
        <row r="10571">
          <cell r="W10571" t="str">
            <v>QRADI01</v>
          </cell>
          <cell r="AD10571">
            <v>45375</v>
          </cell>
        </row>
        <row r="10572">
          <cell r="W10572" t="str">
            <v>QRADI01</v>
          </cell>
          <cell r="AD10572">
            <v>45375</v>
          </cell>
        </row>
        <row r="10573">
          <cell r="W10573" t="str">
            <v>QRADI01</v>
          </cell>
          <cell r="AD10573">
            <v>45375</v>
          </cell>
        </row>
        <row r="10574">
          <cell r="W10574" t="str">
            <v>QRADI01</v>
          </cell>
          <cell r="AD10574">
            <v>45375</v>
          </cell>
        </row>
        <row r="10575">
          <cell r="W10575" t="str">
            <v>QRADI01</v>
          </cell>
          <cell r="AD10575">
            <v>45375</v>
          </cell>
        </row>
        <row r="10576">
          <cell r="W10576" t="str">
            <v>QRADI01</v>
          </cell>
          <cell r="AD10576">
            <v>47000</v>
          </cell>
        </row>
        <row r="10577">
          <cell r="W10577" t="str">
            <v>QRAJA06</v>
          </cell>
          <cell r="AD10577">
            <v>285000</v>
          </cell>
        </row>
        <row r="10578">
          <cell r="W10578" t="str">
            <v>QRAJA05</v>
          </cell>
          <cell r="AD10578">
            <v>565000</v>
          </cell>
        </row>
        <row r="10579">
          <cell r="W10579" t="str">
            <v>QRANG01</v>
          </cell>
          <cell r="AD10579">
            <v>560000</v>
          </cell>
        </row>
        <row r="10580">
          <cell r="W10580" t="str">
            <v>QRANG01</v>
          </cell>
          <cell r="AD10580">
            <v>580000</v>
          </cell>
        </row>
        <row r="10581">
          <cell r="W10581" t="str">
            <v>QRANG01</v>
          </cell>
          <cell r="AD10581">
            <v>580000</v>
          </cell>
        </row>
        <row r="10582">
          <cell r="W10582" t="str">
            <v>QRATG01</v>
          </cell>
          <cell r="AD10582">
            <v>37000</v>
          </cell>
        </row>
        <row r="10583">
          <cell r="W10583" t="str">
            <v>QRATG01</v>
          </cell>
          <cell r="AD10583">
            <v>37000</v>
          </cell>
        </row>
        <row r="10584">
          <cell r="W10584" t="str">
            <v>QRATG01</v>
          </cell>
          <cell r="AD10584">
            <v>37000</v>
          </cell>
        </row>
        <row r="10585">
          <cell r="W10585" t="str">
            <v>QRATG01</v>
          </cell>
          <cell r="AD10585">
            <v>37500</v>
          </cell>
        </row>
        <row r="10586">
          <cell r="W10586" t="str">
            <v>QRATG01</v>
          </cell>
          <cell r="AD10586">
            <v>37500</v>
          </cell>
        </row>
        <row r="10587">
          <cell r="W10587" t="str">
            <v>QRATG01</v>
          </cell>
          <cell r="AD10587">
            <v>37500</v>
          </cell>
        </row>
        <row r="10588">
          <cell r="W10588" t="str">
            <v>QRATG01</v>
          </cell>
          <cell r="AD10588">
            <v>37500</v>
          </cell>
        </row>
        <row r="10589">
          <cell r="W10589" t="str">
            <v>QRATG01</v>
          </cell>
          <cell r="AD10589">
            <v>38000</v>
          </cell>
        </row>
        <row r="10590">
          <cell r="W10590" t="str">
            <v>QRATG01</v>
          </cell>
          <cell r="AD10590">
            <v>38000</v>
          </cell>
        </row>
        <row r="10591">
          <cell r="W10591" t="str">
            <v>QRATG01</v>
          </cell>
          <cell r="AD10591">
            <v>38000</v>
          </cell>
        </row>
        <row r="10592">
          <cell r="W10592" t="str">
            <v>QRATG01</v>
          </cell>
          <cell r="AD10592">
            <v>38000</v>
          </cell>
        </row>
        <row r="10593">
          <cell r="W10593" t="str">
            <v>QRATG01</v>
          </cell>
          <cell r="AD10593">
            <v>38000</v>
          </cell>
        </row>
        <row r="10594">
          <cell r="W10594" t="str">
            <v>QRATG01</v>
          </cell>
          <cell r="AD10594">
            <v>38000</v>
          </cell>
        </row>
        <row r="10595">
          <cell r="W10595" t="str">
            <v>QRATG01</v>
          </cell>
          <cell r="AD10595">
            <v>38500</v>
          </cell>
        </row>
        <row r="10596">
          <cell r="W10596" t="str">
            <v>QRATG01</v>
          </cell>
          <cell r="AD10596">
            <v>38500</v>
          </cell>
        </row>
        <row r="10597">
          <cell r="W10597" t="str">
            <v>QRATG01</v>
          </cell>
          <cell r="AD10597">
            <v>38500</v>
          </cell>
        </row>
        <row r="10598">
          <cell r="W10598" t="str">
            <v>QRATG01</v>
          </cell>
          <cell r="AD10598">
            <v>38500</v>
          </cell>
        </row>
        <row r="10599">
          <cell r="W10599" t="str">
            <v>QRATG01</v>
          </cell>
          <cell r="AD10599">
            <v>38500</v>
          </cell>
        </row>
        <row r="10600">
          <cell r="W10600" t="str">
            <v>QRATG01</v>
          </cell>
          <cell r="AD10600">
            <v>38500</v>
          </cell>
        </row>
        <row r="10601">
          <cell r="W10601" t="str">
            <v>QRATG01</v>
          </cell>
          <cell r="AD10601">
            <v>38500</v>
          </cell>
        </row>
        <row r="10602">
          <cell r="W10602" t="str">
            <v>QRATG01</v>
          </cell>
          <cell r="AD10602">
            <v>38500</v>
          </cell>
        </row>
        <row r="10603">
          <cell r="W10603" t="str">
            <v>QRATG01</v>
          </cell>
          <cell r="AD10603">
            <v>38500</v>
          </cell>
        </row>
        <row r="10604">
          <cell r="W10604" t="str">
            <v>QRATG01</v>
          </cell>
          <cell r="AD10604">
            <v>38500</v>
          </cell>
        </row>
        <row r="10605">
          <cell r="W10605" t="str">
            <v>QRATG01</v>
          </cell>
          <cell r="AD10605">
            <v>38500</v>
          </cell>
        </row>
        <row r="10606">
          <cell r="W10606" t="str">
            <v>QRATG01</v>
          </cell>
          <cell r="AD10606">
            <v>38500</v>
          </cell>
        </row>
        <row r="10607">
          <cell r="W10607" t="str">
            <v>QRATG01</v>
          </cell>
          <cell r="AD10607">
            <v>38500</v>
          </cell>
        </row>
        <row r="10608">
          <cell r="W10608" t="str">
            <v>QRATG01</v>
          </cell>
          <cell r="AD10608">
            <v>38500</v>
          </cell>
        </row>
        <row r="10609">
          <cell r="W10609" t="str">
            <v>QRATG01</v>
          </cell>
          <cell r="AD10609">
            <v>38500</v>
          </cell>
        </row>
        <row r="10610">
          <cell r="W10610" t="str">
            <v>QRATG01</v>
          </cell>
          <cell r="AD10610">
            <v>39000</v>
          </cell>
        </row>
        <row r="10611">
          <cell r="W10611" t="str">
            <v>QRATG01</v>
          </cell>
          <cell r="AD10611">
            <v>39000</v>
          </cell>
        </row>
        <row r="10612">
          <cell r="W10612" t="str">
            <v>QRATG01</v>
          </cell>
          <cell r="AD10612">
            <v>39000</v>
          </cell>
        </row>
        <row r="10613">
          <cell r="W10613" t="str">
            <v>QRATG01</v>
          </cell>
          <cell r="AD10613">
            <v>39000</v>
          </cell>
        </row>
        <row r="10614">
          <cell r="W10614" t="str">
            <v>QRATG01</v>
          </cell>
          <cell r="AD10614">
            <v>39500</v>
          </cell>
        </row>
        <row r="10615">
          <cell r="W10615" t="str">
            <v>QRATG01</v>
          </cell>
          <cell r="AD10615">
            <v>40000</v>
          </cell>
        </row>
        <row r="10616">
          <cell r="W10616" t="str">
            <v>QRATO02</v>
          </cell>
          <cell r="AD10616">
            <v>155000</v>
          </cell>
        </row>
        <row r="10617">
          <cell r="W10617" t="str">
            <v>QRATO02</v>
          </cell>
          <cell r="AD10617">
            <v>160000</v>
          </cell>
        </row>
        <row r="10618">
          <cell r="W10618" t="str">
            <v>QRATO02</v>
          </cell>
          <cell r="AD10618">
            <v>160000</v>
          </cell>
        </row>
        <row r="10619">
          <cell r="W10619" t="str">
            <v>QRATO02</v>
          </cell>
          <cell r="AD10619">
            <v>160000</v>
          </cell>
        </row>
        <row r="10620">
          <cell r="W10620" t="str">
            <v>QRATO02</v>
          </cell>
          <cell r="AD10620">
            <v>160000</v>
          </cell>
        </row>
        <row r="10621">
          <cell r="W10621" t="str">
            <v>QRATO02</v>
          </cell>
          <cell r="AD10621">
            <v>160000</v>
          </cell>
        </row>
        <row r="10622">
          <cell r="W10622" t="str">
            <v>QRATO02</v>
          </cell>
          <cell r="AD10622">
            <v>165000</v>
          </cell>
        </row>
        <row r="10623">
          <cell r="W10623" t="str">
            <v>QRATO02</v>
          </cell>
          <cell r="AD10623">
            <v>165000</v>
          </cell>
        </row>
        <row r="10624">
          <cell r="W10624" t="str">
            <v>QRATO02</v>
          </cell>
          <cell r="AD10624">
            <v>165000</v>
          </cell>
        </row>
        <row r="10625">
          <cell r="W10625" t="str">
            <v>QRATO02</v>
          </cell>
          <cell r="AD10625">
            <v>165000</v>
          </cell>
        </row>
        <row r="10626">
          <cell r="W10626" t="str">
            <v>QRATO02</v>
          </cell>
          <cell r="AD10626">
            <v>165000</v>
          </cell>
        </row>
        <row r="10627">
          <cell r="W10627" t="str">
            <v>QRATO02</v>
          </cell>
          <cell r="AD10627">
            <v>165000</v>
          </cell>
        </row>
        <row r="10628">
          <cell r="W10628" t="str">
            <v>QRATO02</v>
          </cell>
          <cell r="AD10628">
            <v>165000</v>
          </cell>
        </row>
        <row r="10629">
          <cell r="W10629" t="str">
            <v>QRATO02</v>
          </cell>
          <cell r="AD10629">
            <v>165000</v>
          </cell>
        </row>
        <row r="10630">
          <cell r="W10630" t="str">
            <v>QRATO02</v>
          </cell>
          <cell r="AD10630">
            <v>165000</v>
          </cell>
        </row>
        <row r="10631">
          <cell r="W10631" t="str">
            <v>QRATO02</v>
          </cell>
          <cell r="AD10631">
            <v>165000</v>
          </cell>
        </row>
        <row r="10632">
          <cell r="W10632" t="str">
            <v>QRATO02</v>
          </cell>
          <cell r="AD10632">
            <v>165000</v>
          </cell>
        </row>
        <row r="10633">
          <cell r="W10633" t="str">
            <v>QRATO02</v>
          </cell>
          <cell r="AD10633">
            <v>165000</v>
          </cell>
        </row>
        <row r="10634">
          <cell r="W10634" t="str">
            <v>QRATO02</v>
          </cell>
          <cell r="AD10634">
            <v>165000</v>
          </cell>
        </row>
        <row r="10635">
          <cell r="W10635" t="str">
            <v>QRATO01</v>
          </cell>
          <cell r="AD10635">
            <v>2500</v>
          </cell>
        </row>
        <row r="10636">
          <cell r="W10636" t="str">
            <v>QRATO01</v>
          </cell>
          <cell r="AD10636">
            <v>2500</v>
          </cell>
        </row>
        <row r="10637">
          <cell r="W10637" t="str">
            <v>QRATO01</v>
          </cell>
          <cell r="AD10637">
            <v>2500</v>
          </cell>
        </row>
        <row r="10638">
          <cell r="W10638" t="str">
            <v>QRATO01</v>
          </cell>
          <cell r="AD10638">
            <v>2500</v>
          </cell>
        </row>
        <row r="10639">
          <cell r="W10639" t="str">
            <v>QREAC01</v>
          </cell>
          <cell r="AD10639">
            <v>820000</v>
          </cell>
        </row>
        <row r="10640">
          <cell r="W10640" t="str">
            <v>QREAC01</v>
          </cell>
          <cell r="AD10640">
            <v>820000</v>
          </cell>
        </row>
        <row r="10641">
          <cell r="W10641" t="str">
            <v>QREAC01</v>
          </cell>
          <cell r="AD10641">
            <v>820000</v>
          </cell>
        </row>
        <row r="10642">
          <cell r="W10642" t="str">
            <v>QREAC01</v>
          </cell>
          <cell r="AD10642">
            <v>830000</v>
          </cell>
        </row>
        <row r="10643">
          <cell r="W10643" t="str">
            <v>QREAC01</v>
          </cell>
          <cell r="AD10643">
            <v>840000</v>
          </cell>
        </row>
        <row r="10644">
          <cell r="W10644" t="str">
            <v>QREAC01</v>
          </cell>
          <cell r="AD10644">
            <v>840000</v>
          </cell>
        </row>
        <row r="10645">
          <cell r="W10645" t="str">
            <v>QREAC01</v>
          </cell>
          <cell r="AD10645">
            <v>840000</v>
          </cell>
        </row>
        <row r="10646">
          <cell r="W10646" t="str">
            <v>QREAC01</v>
          </cell>
          <cell r="AD10646">
            <v>840000</v>
          </cell>
        </row>
        <row r="10647">
          <cell r="W10647" t="str">
            <v>QREAC01</v>
          </cell>
          <cell r="AD10647">
            <v>880000</v>
          </cell>
        </row>
        <row r="10648">
          <cell r="W10648" t="str">
            <v>QREAC01</v>
          </cell>
          <cell r="AD10648">
            <v>880000</v>
          </cell>
        </row>
        <row r="10649">
          <cell r="W10649" t="str">
            <v>QREAC01</v>
          </cell>
          <cell r="AD10649">
            <v>880000</v>
          </cell>
        </row>
        <row r="10650">
          <cell r="W10650" t="str">
            <v>QREAC01</v>
          </cell>
          <cell r="AD10650">
            <v>880000</v>
          </cell>
        </row>
        <row r="10651">
          <cell r="W10651" t="str">
            <v>QREAC01</v>
          </cell>
          <cell r="AD10651">
            <v>880000</v>
          </cell>
        </row>
        <row r="10652">
          <cell r="W10652" t="str">
            <v>QREAC01</v>
          </cell>
          <cell r="AD10652">
            <v>880000</v>
          </cell>
        </row>
        <row r="10653">
          <cell r="W10653" t="str">
            <v>QREAC01</v>
          </cell>
          <cell r="AD10653">
            <v>900000</v>
          </cell>
        </row>
        <row r="10654">
          <cell r="W10654" t="str">
            <v>QREAC01</v>
          </cell>
          <cell r="AD10654">
            <v>88000</v>
          </cell>
        </row>
        <row r="10655">
          <cell r="W10655" t="str">
            <v>QREAC02</v>
          </cell>
          <cell r="AD10655">
            <v>40000</v>
          </cell>
        </row>
        <row r="10656">
          <cell r="W10656" t="str">
            <v>QREAC02</v>
          </cell>
          <cell r="AD10656">
            <v>44000</v>
          </cell>
        </row>
        <row r="10657">
          <cell r="W10657" t="str">
            <v>QREAC02</v>
          </cell>
          <cell r="AD10657">
            <v>45000</v>
          </cell>
        </row>
        <row r="10658">
          <cell r="W10658" t="str">
            <v>QREAC02</v>
          </cell>
          <cell r="AD10658">
            <v>45000</v>
          </cell>
        </row>
        <row r="10659">
          <cell r="W10659" t="str">
            <v>QREAC02</v>
          </cell>
          <cell r="AD10659">
            <v>45000</v>
          </cell>
        </row>
        <row r="10660">
          <cell r="W10660" t="str">
            <v>QREAC02</v>
          </cell>
          <cell r="AD10660">
            <v>45000</v>
          </cell>
        </row>
        <row r="10661">
          <cell r="W10661" t="str">
            <v>QREAC02</v>
          </cell>
          <cell r="AD10661">
            <v>45000</v>
          </cell>
        </row>
        <row r="10662">
          <cell r="W10662" t="str">
            <v>QREAC02</v>
          </cell>
          <cell r="AD10662">
            <v>45000</v>
          </cell>
        </row>
        <row r="10663">
          <cell r="W10663" t="str">
            <v>QREAC02</v>
          </cell>
          <cell r="AD10663">
            <v>45000</v>
          </cell>
        </row>
        <row r="10664">
          <cell r="W10664" t="str">
            <v>QREAC02</v>
          </cell>
          <cell r="AD10664">
            <v>45000</v>
          </cell>
        </row>
        <row r="10665">
          <cell r="W10665" t="str">
            <v>QREAC02</v>
          </cell>
          <cell r="AD10665">
            <v>45000</v>
          </cell>
        </row>
        <row r="10666">
          <cell r="W10666" t="str">
            <v>QREAC02</v>
          </cell>
          <cell r="AD10666">
            <v>45000</v>
          </cell>
        </row>
        <row r="10667">
          <cell r="W10667" t="str">
            <v>QREAC02</v>
          </cell>
          <cell r="AD10667">
            <v>45000</v>
          </cell>
        </row>
        <row r="10668">
          <cell r="W10668" t="str">
            <v>QREAC02</v>
          </cell>
          <cell r="AD10668">
            <v>45000</v>
          </cell>
        </row>
        <row r="10669">
          <cell r="W10669" t="str">
            <v>QREAC02</v>
          </cell>
          <cell r="AD10669">
            <v>45000</v>
          </cell>
        </row>
        <row r="10670">
          <cell r="W10670" t="str">
            <v>QREAC02</v>
          </cell>
          <cell r="AD10670">
            <v>45000</v>
          </cell>
        </row>
        <row r="10671">
          <cell r="W10671" t="str">
            <v>QREAC02</v>
          </cell>
          <cell r="AD10671">
            <v>45000</v>
          </cell>
        </row>
        <row r="10672">
          <cell r="W10672" t="str">
            <v>QREAC02</v>
          </cell>
          <cell r="AD10672">
            <v>45000</v>
          </cell>
        </row>
        <row r="10673">
          <cell r="W10673" t="str">
            <v>QREAC02</v>
          </cell>
          <cell r="AD10673">
            <v>45000</v>
          </cell>
        </row>
        <row r="10674">
          <cell r="W10674" t="str">
            <v>QREAC02</v>
          </cell>
          <cell r="AD10674">
            <v>46000</v>
          </cell>
        </row>
        <row r="10675">
          <cell r="W10675" t="str">
            <v>QREAC02</v>
          </cell>
          <cell r="AD10675">
            <v>46000</v>
          </cell>
        </row>
        <row r="10676">
          <cell r="W10676" t="str">
            <v>QREAC02</v>
          </cell>
          <cell r="AD10676">
            <v>46000</v>
          </cell>
        </row>
        <row r="10677">
          <cell r="W10677" t="str">
            <v>QREAC02</v>
          </cell>
          <cell r="AD10677">
            <v>46000</v>
          </cell>
        </row>
        <row r="10678">
          <cell r="W10678" t="str">
            <v>QREAC02</v>
          </cell>
          <cell r="AD10678">
            <v>47000</v>
          </cell>
        </row>
        <row r="10679">
          <cell r="W10679" t="str">
            <v>QREAC02</v>
          </cell>
          <cell r="AD10679">
            <v>47000</v>
          </cell>
        </row>
        <row r="10680">
          <cell r="W10680" t="str">
            <v>QREAC02</v>
          </cell>
          <cell r="AD10680">
            <v>47000</v>
          </cell>
        </row>
        <row r="10681">
          <cell r="W10681" t="str">
            <v>QREAC02</v>
          </cell>
          <cell r="AD10681">
            <v>47000</v>
          </cell>
        </row>
        <row r="10682">
          <cell r="W10682" t="str">
            <v>QREAC02</v>
          </cell>
          <cell r="AD10682">
            <v>47000</v>
          </cell>
        </row>
        <row r="10683">
          <cell r="W10683" t="str">
            <v>QREAC02</v>
          </cell>
          <cell r="AD10683">
            <v>47000</v>
          </cell>
        </row>
        <row r="10684">
          <cell r="W10684" t="str">
            <v>QREAC02</v>
          </cell>
          <cell r="AD10684">
            <v>47000</v>
          </cell>
        </row>
        <row r="10685">
          <cell r="W10685" t="str">
            <v>QREAC02</v>
          </cell>
          <cell r="AD10685">
            <v>47000</v>
          </cell>
        </row>
        <row r="10686">
          <cell r="W10686" t="str">
            <v>QREAC02</v>
          </cell>
          <cell r="AD10686">
            <v>47000</v>
          </cell>
        </row>
        <row r="10687">
          <cell r="W10687" t="str">
            <v>QREAC02</v>
          </cell>
          <cell r="AD10687">
            <v>47000</v>
          </cell>
        </row>
        <row r="10688">
          <cell r="W10688" t="str">
            <v>QREAC02</v>
          </cell>
          <cell r="AD10688">
            <v>47000</v>
          </cell>
        </row>
        <row r="10689">
          <cell r="W10689" t="str">
            <v>QREAC02</v>
          </cell>
          <cell r="AD10689">
            <v>47000</v>
          </cell>
        </row>
        <row r="10690">
          <cell r="W10690" t="str">
            <v>QREAC02</v>
          </cell>
          <cell r="AD10690">
            <v>47000</v>
          </cell>
        </row>
        <row r="10691">
          <cell r="W10691" t="str">
            <v>QREAC02</v>
          </cell>
          <cell r="AD10691">
            <v>47000</v>
          </cell>
        </row>
        <row r="10692">
          <cell r="W10692" t="str">
            <v>QREAC02</v>
          </cell>
          <cell r="AD10692">
            <v>47000</v>
          </cell>
        </row>
        <row r="10693">
          <cell r="W10693" t="str">
            <v>QREAC02</v>
          </cell>
          <cell r="AD10693">
            <v>47000</v>
          </cell>
        </row>
        <row r="10694">
          <cell r="W10694" t="str">
            <v>QREAC02</v>
          </cell>
          <cell r="AD10694">
            <v>47000</v>
          </cell>
        </row>
        <row r="10695">
          <cell r="W10695" t="str">
            <v>QREAC02</v>
          </cell>
          <cell r="AD10695">
            <v>47000</v>
          </cell>
        </row>
        <row r="10696">
          <cell r="W10696" t="str">
            <v>QREAC02</v>
          </cell>
          <cell r="AD10696">
            <v>47000</v>
          </cell>
        </row>
        <row r="10697">
          <cell r="W10697" t="str">
            <v>QREAC02</v>
          </cell>
          <cell r="AD10697">
            <v>47500</v>
          </cell>
        </row>
        <row r="10698">
          <cell r="W10698" t="str">
            <v>QREAC02</v>
          </cell>
          <cell r="AD10698">
            <v>48000</v>
          </cell>
        </row>
        <row r="10699">
          <cell r="W10699" t="str">
            <v>QREAC02</v>
          </cell>
          <cell r="AD10699">
            <v>48000</v>
          </cell>
        </row>
        <row r="10700">
          <cell r="W10700" t="str">
            <v>QREAC02</v>
          </cell>
          <cell r="AD10700">
            <v>48000</v>
          </cell>
        </row>
        <row r="10701">
          <cell r="W10701" t="str">
            <v>QREAC02</v>
          </cell>
          <cell r="AD10701">
            <v>48000</v>
          </cell>
        </row>
        <row r="10702">
          <cell r="W10702" t="str">
            <v>QREAC02</v>
          </cell>
          <cell r="AD10702">
            <v>48500</v>
          </cell>
        </row>
        <row r="10703">
          <cell r="W10703" t="str">
            <v>QREAC02</v>
          </cell>
          <cell r="AD10703">
            <v>48500</v>
          </cell>
        </row>
        <row r="10704">
          <cell r="W10704" t="str">
            <v>QREAC02</v>
          </cell>
          <cell r="AD10704">
            <v>48500</v>
          </cell>
        </row>
        <row r="10705">
          <cell r="W10705" t="str">
            <v>QREAC02</v>
          </cell>
          <cell r="AD10705">
            <v>48500</v>
          </cell>
        </row>
        <row r="10706">
          <cell r="W10706" t="str">
            <v>QREAC02</v>
          </cell>
          <cell r="AD10706">
            <v>48500</v>
          </cell>
        </row>
        <row r="10707">
          <cell r="W10707" t="str">
            <v>QREAC04</v>
          </cell>
          <cell r="AD10707">
            <v>7800000</v>
          </cell>
        </row>
        <row r="10708">
          <cell r="W10708" t="str">
            <v>QREAC04</v>
          </cell>
          <cell r="AD10708">
            <v>7800000</v>
          </cell>
        </row>
        <row r="10709">
          <cell r="W10709" t="str">
            <v>QREAC04</v>
          </cell>
          <cell r="AD10709">
            <v>7800000</v>
          </cell>
        </row>
        <row r="10710">
          <cell r="W10710" t="str">
            <v>QREAC04</v>
          </cell>
          <cell r="AD10710">
            <v>7900000</v>
          </cell>
        </row>
        <row r="10711">
          <cell r="W10711" t="str">
            <v>QREAC04</v>
          </cell>
          <cell r="AD10711">
            <v>8000000</v>
          </cell>
        </row>
        <row r="10712">
          <cell r="W10712" t="str">
            <v>QREAC04</v>
          </cell>
          <cell r="AD10712">
            <v>8000000</v>
          </cell>
        </row>
        <row r="10713">
          <cell r="W10713" t="str">
            <v>QREAC06</v>
          </cell>
          <cell r="AD10713">
            <v>200000</v>
          </cell>
        </row>
        <row r="10714">
          <cell r="W10714" t="str">
            <v>QREAC06</v>
          </cell>
          <cell r="AD10714">
            <v>200000</v>
          </cell>
        </row>
        <row r="10715">
          <cell r="W10715" t="str">
            <v>QREAC06</v>
          </cell>
          <cell r="AD10715">
            <v>210000</v>
          </cell>
        </row>
        <row r="10716">
          <cell r="W10716" t="str">
            <v>QREAC06</v>
          </cell>
          <cell r="AD10716">
            <v>215000</v>
          </cell>
        </row>
        <row r="10717">
          <cell r="W10717" t="str">
            <v>QREAC06</v>
          </cell>
          <cell r="AD10717">
            <v>215000</v>
          </cell>
        </row>
        <row r="10718">
          <cell r="W10718" t="str">
            <v>QREAC06</v>
          </cell>
          <cell r="AD10718">
            <v>215000</v>
          </cell>
        </row>
        <row r="10719">
          <cell r="W10719" t="str">
            <v>QREAC06</v>
          </cell>
          <cell r="AD10719">
            <v>215000</v>
          </cell>
        </row>
        <row r="10720">
          <cell r="W10720" t="str">
            <v>QREAC06</v>
          </cell>
          <cell r="AD10720">
            <v>215000</v>
          </cell>
        </row>
        <row r="10721">
          <cell r="W10721" t="str">
            <v>QREAC06</v>
          </cell>
          <cell r="AD10721">
            <v>215000</v>
          </cell>
        </row>
        <row r="10722">
          <cell r="W10722" t="str">
            <v>QREAC06</v>
          </cell>
          <cell r="AD10722">
            <v>215000</v>
          </cell>
        </row>
        <row r="10723">
          <cell r="W10723" t="str">
            <v>QREAC06</v>
          </cell>
          <cell r="AD10723">
            <v>215000</v>
          </cell>
        </row>
        <row r="10724">
          <cell r="W10724" t="str">
            <v>QREAC06</v>
          </cell>
          <cell r="AD10724">
            <v>215000</v>
          </cell>
        </row>
        <row r="10725">
          <cell r="W10725" t="str">
            <v>QREAC06</v>
          </cell>
          <cell r="AD10725">
            <v>215000</v>
          </cell>
        </row>
        <row r="10726">
          <cell r="W10726" t="str">
            <v>QREAC06</v>
          </cell>
          <cell r="AD10726">
            <v>215000</v>
          </cell>
        </row>
        <row r="10727">
          <cell r="W10727" t="str">
            <v>QREAC06</v>
          </cell>
          <cell r="AD10727">
            <v>220000</v>
          </cell>
        </row>
        <row r="10728">
          <cell r="W10728" t="str">
            <v>QREAC06</v>
          </cell>
          <cell r="AD10728">
            <v>220000</v>
          </cell>
        </row>
        <row r="10729">
          <cell r="W10729" t="str">
            <v>QREAC06</v>
          </cell>
          <cell r="AD10729">
            <v>225000</v>
          </cell>
        </row>
        <row r="10730">
          <cell r="W10730" t="str">
            <v>QREAC06</v>
          </cell>
          <cell r="AD10730">
            <v>225000</v>
          </cell>
        </row>
        <row r="10731">
          <cell r="W10731" t="str">
            <v>QRECO04</v>
          </cell>
          <cell r="AD10731">
            <v>165000</v>
          </cell>
        </row>
        <row r="10732">
          <cell r="W10732" t="str">
            <v>QRECO04</v>
          </cell>
          <cell r="AD10732">
            <v>165000</v>
          </cell>
        </row>
        <row r="10733">
          <cell r="W10733" t="str">
            <v>QREGE04</v>
          </cell>
          <cell r="AD10733">
            <v>129500</v>
          </cell>
        </row>
        <row r="10734">
          <cell r="W10734" t="str">
            <v>QREGE04</v>
          </cell>
          <cell r="AD10734">
            <v>129500</v>
          </cell>
        </row>
        <row r="10735">
          <cell r="W10735" t="str">
            <v>QREGE04</v>
          </cell>
          <cell r="AD10735">
            <v>129750</v>
          </cell>
        </row>
        <row r="10736">
          <cell r="W10736" t="str">
            <v>QREGE04</v>
          </cell>
          <cell r="AD10736">
            <v>129750</v>
          </cell>
        </row>
        <row r="10737">
          <cell r="W10737" t="str">
            <v>QREGE04</v>
          </cell>
          <cell r="AD10737">
            <v>129750</v>
          </cell>
        </row>
        <row r="10738">
          <cell r="W10738" t="str">
            <v>QREGE04</v>
          </cell>
          <cell r="AD10738">
            <v>130000</v>
          </cell>
        </row>
        <row r="10739">
          <cell r="W10739" t="str">
            <v>QREGE04</v>
          </cell>
          <cell r="AD10739">
            <v>130000</v>
          </cell>
        </row>
        <row r="10740">
          <cell r="W10740" t="str">
            <v>QREGE04</v>
          </cell>
          <cell r="AD10740">
            <v>130000</v>
          </cell>
        </row>
        <row r="10741">
          <cell r="W10741" t="str">
            <v>QREGE04</v>
          </cell>
          <cell r="AD10741">
            <v>130000</v>
          </cell>
        </row>
        <row r="10742">
          <cell r="W10742" t="str">
            <v>QREGE04</v>
          </cell>
          <cell r="AD10742">
            <v>130000</v>
          </cell>
        </row>
        <row r="10743">
          <cell r="W10743" t="str">
            <v>QREGE04</v>
          </cell>
          <cell r="AD10743">
            <v>130000</v>
          </cell>
        </row>
        <row r="10744">
          <cell r="W10744" t="str">
            <v>QREGE04</v>
          </cell>
          <cell r="AD10744">
            <v>130000</v>
          </cell>
        </row>
        <row r="10745">
          <cell r="W10745" t="str">
            <v>QREGE04</v>
          </cell>
          <cell r="AD10745">
            <v>130000</v>
          </cell>
        </row>
        <row r="10746">
          <cell r="W10746" t="str">
            <v>QREGE04</v>
          </cell>
          <cell r="AD10746">
            <v>130000</v>
          </cell>
        </row>
        <row r="10747">
          <cell r="W10747" t="str">
            <v>QREGE04</v>
          </cell>
          <cell r="AD10747">
            <v>130000</v>
          </cell>
        </row>
        <row r="10748">
          <cell r="W10748" t="str">
            <v>QREGE04</v>
          </cell>
          <cell r="AD10748">
            <v>130500</v>
          </cell>
        </row>
        <row r="10749">
          <cell r="W10749" t="str">
            <v>QREGE04</v>
          </cell>
          <cell r="AD10749">
            <v>130500</v>
          </cell>
        </row>
        <row r="10750">
          <cell r="W10750" t="str">
            <v>QREGE04</v>
          </cell>
          <cell r="AD10750">
            <v>130500</v>
          </cell>
        </row>
        <row r="10751">
          <cell r="W10751" t="str">
            <v>QREGE04</v>
          </cell>
          <cell r="AD10751">
            <v>130500</v>
          </cell>
        </row>
        <row r="10752">
          <cell r="W10752" t="str">
            <v>QREGE04</v>
          </cell>
          <cell r="AD10752">
            <v>130500</v>
          </cell>
        </row>
        <row r="10753">
          <cell r="W10753" t="str">
            <v>QREGE04</v>
          </cell>
          <cell r="AD10753">
            <v>130500</v>
          </cell>
        </row>
        <row r="10754">
          <cell r="W10754" t="str">
            <v>QREGE04</v>
          </cell>
          <cell r="AD10754">
            <v>130500</v>
          </cell>
        </row>
        <row r="10755">
          <cell r="W10755" t="str">
            <v>QREGE04</v>
          </cell>
          <cell r="AD10755">
            <v>130500</v>
          </cell>
        </row>
        <row r="10756">
          <cell r="W10756" t="str">
            <v>QREGE04</v>
          </cell>
          <cell r="AD10756">
            <v>130500</v>
          </cell>
        </row>
        <row r="10757">
          <cell r="W10757" t="str">
            <v>QREGE04</v>
          </cell>
          <cell r="AD10757">
            <v>130500</v>
          </cell>
        </row>
        <row r="10758">
          <cell r="W10758" t="str">
            <v>QREGE04</v>
          </cell>
          <cell r="AD10758">
            <v>130500</v>
          </cell>
        </row>
        <row r="10759">
          <cell r="W10759" t="str">
            <v>QREGE04</v>
          </cell>
          <cell r="AD10759">
            <v>130500</v>
          </cell>
        </row>
        <row r="10760">
          <cell r="W10760" t="str">
            <v>QREGE04</v>
          </cell>
          <cell r="AD10760">
            <v>130500</v>
          </cell>
        </row>
        <row r="10761">
          <cell r="W10761" t="str">
            <v>QREGE04</v>
          </cell>
          <cell r="AD10761">
            <v>130500</v>
          </cell>
        </row>
        <row r="10762">
          <cell r="W10762" t="str">
            <v>QREGE04</v>
          </cell>
          <cell r="AD10762">
            <v>130500</v>
          </cell>
        </row>
        <row r="10763">
          <cell r="W10763" t="str">
            <v>QREGE04</v>
          </cell>
          <cell r="AD10763">
            <v>130500</v>
          </cell>
        </row>
        <row r="10764">
          <cell r="W10764" t="str">
            <v>QREGE04</v>
          </cell>
          <cell r="AD10764">
            <v>131000</v>
          </cell>
        </row>
        <row r="10765">
          <cell r="W10765" t="str">
            <v>QREGE04</v>
          </cell>
          <cell r="AD10765">
            <v>131000</v>
          </cell>
        </row>
        <row r="10766">
          <cell r="W10766" t="str">
            <v>QREGE04</v>
          </cell>
          <cell r="AD10766">
            <v>131000</v>
          </cell>
        </row>
        <row r="10767">
          <cell r="W10767" t="str">
            <v>QREGE04</v>
          </cell>
          <cell r="AD10767">
            <v>131000</v>
          </cell>
        </row>
        <row r="10768">
          <cell r="W10768" t="str">
            <v>QREGE04</v>
          </cell>
          <cell r="AD10768">
            <v>131000</v>
          </cell>
        </row>
        <row r="10769">
          <cell r="W10769" t="str">
            <v>QREGE04</v>
          </cell>
          <cell r="AD10769">
            <v>131000</v>
          </cell>
        </row>
        <row r="10770">
          <cell r="W10770" t="str">
            <v>QREGE04</v>
          </cell>
          <cell r="AD10770">
            <v>131000</v>
          </cell>
        </row>
        <row r="10771">
          <cell r="W10771" t="str">
            <v>QREGE04</v>
          </cell>
          <cell r="AD10771">
            <v>131000</v>
          </cell>
        </row>
        <row r="10772">
          <cell r="W10772" t="str">
            <v>QREGE04</v>
          </cell>
          <cell r="AD10772">
            <v>131000</v>
          </cell>
        </row>
        <row r="10773">
          <cell r="W10773" t="str">
            <v>QREGE04</v>
          </cell>
          <cell r="AD10773">
            <v>131000</v>
          </cell>
        </row>
        <row r="10774">
          <cell r="W10774" t="str">
            <v>QREGE04</v>
          </cell>
          <cell r="AD10774">
            <v>131000</v>
          </cell>
        </row>
        <row r="10775">
          <cell r="W10775" t="str">
            <v>QREGE04</v>
          </cell>
          <cell r="AD10775">
            <v>131000</v>
          </cell>
        </row>
        <row r="10776">
          <cell r="W10776" t="str">
            <v>QREGE04</v>
          </cell>
          <cell r="AD10776">
            <v>131000</v>
          </cell>
        </row>
        <row r="10777">
          <cell r="W10777" t="str">
            <v>QREGE04</v>
          </cell>
          <cell r="AD10777">
            <v>131000</v>
          </cell>
        </row>
        <row r="10778">
          <cell r="W10778" t="str">
            <v>QREGE04</v>
          </cell>
          <cell r="AD10778">
            <v>131000</v>
          </cell>
        </row>
        <row r="10779">
          <cell r="W10779" t="str">
            <v>QREGE04</v>
          </cell>
          <cell r="AD10779">
            <v>131000</v>
          </cell>
        </row>
        <row r="10780">
          <cell r="W10780" t="str">
            <v>QREGE04</v>
          </cell>
          <cell r="AD10780">
            <v>131000</v>
          </cell>
        </row>
        <row r="10781">
          <cell r="W10781" t="str">
            <v>QREGE04</v>
          </cell>
          <cell r="AD10781">
            <v>131000</v>
          </cell>
        </row>
        <row r="10782">
          <cell r="W10782" t="str">
            <v>QREGE04</v>
          </cell>
          <cell r="AD10782">
            <v>131000</v>
          </cell>
        </row>
        <row r="10783">
          <cell r="W10783" t="str">
            <v>QREGE04</v>
          </cell>
          <cell r="AD10783">
            <v>131500</v>
          </cell>
        </row>
        <row r="10784">
          <cell r="W10784" t="str">
            <v>QREGE04</v>
          </cell>
          <cell r="AD10784">
            <v>131500</v>
          </cell>
        </row>
        <row r="10785">
          <cell r="W10785" t="str">
            <v>QREGE04</v>
          </cell>
          <cell r="AD10785">
            <v>131500</v>
          </cell>
        </row>
        <row r="10786">
          <cell r="W10786" t="str">
            <v>QREGE04</v>
          </cell>
          <cell r="AD10786">
            <v>131500</v>
          </cell>
        </row>
        <row r="10787">
          <cell r="W10787" t="str">
            <v>QREGE04</v>
          </cell>
          <cell r="AD10787">
            <v>131500</v>
          </cell>
        </row>
        <row r="10788">
          <cell r="W10788" t="str">
            <v>QREGE04</v>
          </cell>
          <cell r="AD10788">
            <v>131500</v>
          </cell>
        </row>
        <row r="10789">
          <cell r="W10789" t="str">
            <v>QREGE04</v>
          </cell>
          <cell r="AD10789">
            <v>131500</v>
          </cell>
        </row>
        <row r="10790">
          <cell r="W10790" t="str">
            <v>QREGE04</v>
          </cell>
          <cell r="AD10790">
            <v>132500</v>
          </cell>
        </row>
        <row r="10791">
          <cell r="W10791" t="str">
            <v>QREGE04</v>
          </cell>
          <cell r="AD10791">
            <v>132500</v>
          </cell>
        </row>
        <row r="10792">
          <cell r="W10792" t="str">
            <v>QREGE04</v>
          </cell>
          <cell r="AD10792">
            <v>132500</v>
          </cell>
        </row>
        <row r="10793">
          <cell r="W10793" t="str">
            <v>QREGE04</v>
          </cell>
          <cell r="AD10793">
            <v>132500</v>
          </cell>
        </row>
        <row r="10794">
          <cell r="W10794" t="str">
            <v>QREGE07</v>
          </cell>
          <cell r="AD10794">
            <v>68000</v>
          </cell>
        </row>
        <row r="10795">
          <cell r="W10795" t="str">
            <v>QREGE07</v>
          </cell>
          <cell r="AD10795">
            <v>68000</v>
          </cell>
        </row>
        <row r="10796">
          <cell r="W10796" t="str">
            <v>QREGE07</v>
          </cell>
          <cell r="AD10796">
            <v>68000</v>
          </cell>
        </row>
        <row r="10797">
          <cell r="W10797" t="str">
            <v>QREGE07</v>
          </cell>
          <cell r="AD10797">
            <v>68000</v>
          </cell>
        </row>
        <row r="10798">
          <cell r="W10798" t="str">
            <v>QREGE07</v>
          </cell>
          <cell r="AD10798">
            <v>68000</v>
          </cell>
        </row>
        <row r="10799">
          <cell r="W10799" t="str">
            <v>QREGE07</v>
          </cell>
          <cell r="AD10799">
            <v>68000</v>
          </cell>
        </row>
        <row r="10800">
          <cell r="W10800" t="str">
            <v>QREGE07</v>
          </cell>
          <cell r="AD10800">
            <v>68000</v>
          </cell>
        </row>
        <row r="10801">
          <cell r="W10801" t="str">
            <v>QREGE07</v>
          </cell>
          <cell r="AD10801">
            <v>68250</v>
          </cell>
        </row>
        <row r="10802">
          <cell r="W10802" t="str">
            <v>QREGE07</v>
          </cell>
          <cell r="AD10802">
            <v>68500</v>
          </cell>
        </row>
        <row r="10803">
          <cell r="W10803" t="str">
            <v>QREGE07</v>
          </cell>
          <cell r="AD10803">
            <v>68500</v>
          </cell>
        </row>
        <row r="10804">
          <cell r="W10804" t="str">
            <v>QREGE07</v>
          </cell>
          <cell r="AD10804">
            <v>68500</v>
          </cell>
        </row>
        <row r="10805">
          <cell r="W10805" t="str">
            <v>QREGE07</v>
          </cell>
          <cell r="AD10805">
            <v>68500</v>
          </cell>
        </row>
        <row r="10806">
          <cell r="W10806" t="str">
            <v>QREGE07</v>
          </cell>
          <cell r="AD10806">
            <v>68500</v>
          </cell>
        </row>
        <row r="10807">
          <cell r="W10807" t="str">
            <v>QREGE07</v>
          </cell>
          <cell r="AD10807">
            <v>68500</v>
          </cell>
        </row>
        <row r="10808">
          <cell r="W10808" t="str">
            <v>QREGE07</v>
          </cell>
          <cell r="AD10808">
            <v>68750</v>
          </cell>
        </row>
        <row r="10809">
          <cell r="W10809" t="str">
            <v>QREGE07</v>
          </cell>
          <cell r="AD10809">
            <v>68750</v>
          </cell>
        </row>
        <row r="10810">
          <cell r="W10810" t="str">
            <v>QREGE07</v>
          </cell>
          <cell r="AD10810">
            <v>68900</v>
          </cell>
        </row>
        <row r="10811">
          <cell r="W10811" t="str">
            <v>QREGE07</v>
          </cell>
          <cell r="AD10811">
            <v>69000</v>
          </cell>
        </row>
        <row r="10812">
          <cell r="W10812" t="str">
            <v>QREGE07</v>
          </cell>
          <cell r="AD10812">
            <v>69000</v>
          </cell>
        </row>
        <row r="10813">
          <cell r="W10813" t="str">
            <v>QREGE07</v>
          </cell>
          <cell r="AD10813">
            <v>69000</v>
          </cell>
        </row>
        <row r="10814">
          <cell r="W10814" t="str">
            <v>QREGE07</v>
          </cell>
          <cell r="AD10814">
            <v>69000</v>
          </cell>
        </row>
        <row r="10815">
          <cell r="W10815" t="str">
            <v>QREGE07</v>
          </cell>
          <cell r="AD10815">
            <v>69000</v>
          </cell>
        </row>
        <row r="10816">
          <cell r="W10816" t="str">
            <v>QREGE07</v>
          </cell>
          <cell r="AD10816">
            <v>69000</v>
          </cell>
        </row>
        <row r="10817">
          <cell r="W10817" t="str">
            <v>QREGE07</v>
          </cell>
          <cell r="AD10817">
            <v>69250</v>
          </cell>
        </row>
        <row r="10818">
          <cell r="W10818" t="str">
            <v>QREGE07</v>
          </cell>
          <cell r="AD10818">
            <v>69500</v>
          </cell>
        </row>
        <row r="10819">
          <cell r="W10819" t="str">
            <v>QREGE07</v>
          </cell>
          <cell r="AD10819">
            <v>69500</v>
          </cell>
        </row>
        <row r="10820">
          <cell r="W10820" t="str">
            <v>QREGE07</v>
          </cell>
          <cell r="AD10820">
            <v>69500</v>
          </cell>
        </row>
        <row r="10821">
          <cell r="W10821" t="str">
            <v>QREGE07</v>
          </cell>
          <cell r="AD10821">
            <v>69500</v>
          </cell>
        </row>
        <row r="10822">
          <cell r="W10822" t="str">
            <v>QREGE07</v>
          </cell>
          <cell r="AD10822">
            <v>69500</v>
          </cell>
        </row>
        <row r="10823">
          <cell r="W10823" t="str">
            <v>QREGE07</v>
          </cell>
          <cell r="AD10823">
            <v>69500</v>
          </cell>
        </row>
        <row r="10824">
          <cell r="W10824" t="str">
            <v>QREGE07</v>
          </cell>
          <cell r="AD10824">
            <v>69500</v>
          </cell>
        </row>
        <row r="10825">
          <cell r="W10825" t="str">
            <v>QREGE07</v>
          </cell>
          <cell r="AD10825">
            <v>69500</v>
          </cell>
        </row>
        <row r="10826">
          <cell r="W10826" t="str">
            <v>QREGE07</v>
          </cell>
          <cell r="AD10826">
            <v>69500</v>
          </cell>
        </row>
        <row r="10827">
          <cell r="W10827" t="str">
            <v>QREGE07</v>
          </cell>
          <cell r="AD10827">
            <v>69500</v>
          </cell>
        </row>
        <row r="10828">
          <cell r="W10828" t="str">
            <v>QREGE07</v>
          </cell>
          <cell r="AD10828">
            <v>69500</v>
          </cell>
        </row>
        <row r="10829">
          <cell r="W10829" t="str">
            <v>QREGE07</v>
          </cell>
          <cell r="AD10829">
            <v>69500</v>
          </cell>
        </row>
        <row r="10830">
          <cell r="W10830" t="str">
            <v>QREGE07</v>
          </cell>
          <cell r="AD10830">
            <v>69500</v>
          </cell>
        </row>
        <row r="10831">
          <cell r="W10831" t="str">
            <v>QREGE07</v>
          </cell>
          <cell r="AD10831">
            <v>69500</v>
          </cell>
        </row>
        <row r="10832">
          <cell r="W10832" t="str">
            <v>QREGE07</v>
          </cell>
          <cell r="AD10832">
            <v>69500</v>
          </cell>
        </row>
        <row r="10833">
          <cell r="W10833" t="str">
            <v>QREGE07</v>
          </cell>
          <cell r="AD10833">
            <v>70000</v>
          </cell>
        </row>
        <row r="10834">
          <cell r="W10834" t="str">
            <v>QREGE07</v>
          </cell>
          <cell r="AD10834">
            <v>70000</v>
          </cell>
        </row>
        <row r="10835">
          <cell r="W10835" t="str">
            <v>QREGE07</v>
          </cell>
          <cell r="AD10835">
            <v>70000</v>
          </cell>
        </row>
        <row r="10836">
          <cell r="W10836" t="str">
            <v>QREGE07</v>
          </cell>
          <cell r="AD10836">
            <v>70000</v>
          </cell>
        </row>
        <row r="10837">
          <cell r="W10837" t="str">
            <v>QREGE07</v>
          </cell>
          <cell r="AD10837">
            <v>70000</v>
          </cell>
        </row>
        <row r="10838">
          <cell r="W10838" t="str">
            <v>QREGE07</v>
          </cell>
          <cell r="AD10838">
            <v>70000</v>
          </cell>
        </row>
        <row r="10839">
          <cell r="W10839" t="str">
            <v>QREGE07</v>
          </cell>
          <cell r="AD10839">
            <v>70500</v>
          </cell>
        </row>
        <row r="10840">
          <cell r="W10840" t="str">
            <v>AREGE03</v>
          </cell>
          <cell r="AD10840">
            <v>25000</v>
          </cell>
        </row>
        <row r="10841">
          <cell r="W10841" t="str">
            <v>QREGE05</v>
          </cell>
          <cell r="AD10841">
            <v>27000</v>
          </cell>
        </row>
        <row r="10842">
          <cell r="W10842" t="str">
            <v>QREGE05</v>
          </cell>
          <cell r="AD10842">
            <v>27000</v>
          </cell>
        </row>
        <row r="10843">
          <cell r="W10843" t="str">
            <v>QREGE05</v>
          </cell>
          <cell r="AD10843">
            <v>27000</v>
          </cell>
        </row>
        <row r="10844">
          <cell r="W10844" t="str">
            <v>QREGE05</v>
          </cell>
          <cell r="AD10844">
            <v>27000</v>
          </cell>
        </row>
        <row r="10845">
          <cell r="W10845" t="str">
            <v>QREGE05</v>
          </cell>
          <cell r="AD10845">
            <v>27000</v>
          </cell>
        </row>
        <row r="10846">
          <cell r="W10846" t="str">
            <v>QREGE05</v>
          </cell>
          <cell r="AD10846">
            <v>27000</v>
          </cell>
        </row>
        <row r="10847">
          <cell r="W10847" t="str">
            <v>QREGE05</v>
          </cell>
          <cell r="AD10847">
            <v>27000</v>
          </cell>
        </row>
        <row r="10848">
          <cell r="W10848" t="str">
            <v>QREGE05</v>
          </cell>
          <cell r="AD10848">
            <v>27000</v>
          </cell>
        </row>
        <row r="10849">
          <cell r="W10849" t="str">
            <v>QREGE05</v>
          </cell>
          <cell r="AD10849">
            <v>27000</v>
          </cell>
        </row>
        <row r="10850">
          <cell r="W10850" t="str">
            <v>QREGE05</v>
          </cell>
          <cell r="AD10850">
            <v>27000</v>
          </cell>
        </row>
        <row r="10851">
          <cell r="W10851" t="str">
            <v>QREGE05</v>
          </cell>
          <cell r="AD10851">
            <v>27000</v>
          </cell>
        </row>
        <row r="10852">
          <cell r="W10852" t="str">
            <v>QREGE05</v>
          </cell>
          <cell r="AD10852">
            <v>27000</v>
          </cell>
        </row>
        <row r="10853">
          <cell r="W10853" t="str">
            <v>QREGE05</v>
          </cell>
          <cell r="AD10853">
            <v>27000</v>
          </cell>
        </row>
        <row r="10854">
          <cell r="W10854" t="str">
            <v>QREGE05</v>
          </cell>
          <cell r="AD10854">
            <v>27000</v>
          </cell>
        </row>
        <row r="10855">
          <cell r="W10855" t="str">
            <v>QREGE05</v>
          </cell>
          <cell r="AD10855">
            <v>27000</v>
          </cell>
        </row>
        <row r="10856">
          <cell r="W10856" t="str">
            <v>QREGE05</v>
          </cell>
          <cell r="AD10856">
            <v>27000</v>
          </cell>
        </row>
        <row r="10857">
          <cell r="W10857" t="str">
            <v>QREGE05</v>
          </cell>
          <cell r="AD10857">
            <v>27000</v>
          </cell>
        </row>
        <row r="10858">
          <cell r="W10858" t="str">
            <v>QREGE05</v>
          </cell>
          <cell r="AD10858">
            <v>27250</v>
          </cell>
        </row>
        <row r="10859">
          <cell r="W10859" t="str">
            <v>AREGE03</v>
          </cell>
          <cell r="AD10859">
            <v>27250</v>
          </cell>
        </row>
        <row r="10860">
          <cell r="W10860" t="str">
            <v>QREGE05</v>
          </cell>
          <cell r="AD10860">
            <v>27250</v>
          </cell>
        </row>
        <row r="10861">
          <cell r="W10861" t="str">
            <v>QREGE05</v>
          </cell>
          <cell r="AD10861">
            <v>27250</v>
          </cell>
        </row>
        <row r="10862">
          <cell r="W10862" t="str">
            <v>QREGE05</v>
          </cell>
          <cell r="AD10862">
            <v>27250</v>
          </cell>
        </row>
        <row r="10863">
          <cell r="W10863" t="str">
            <v>QREGE05</v>
          </cell>
          <cell r="AD10863">
            <v>27250</v>
          </cell>
        </row>
        <row r="10864">
          <cell r="W10864" t="str">
            <v>QREGE05</v>
          </cell>
          <cell r="AD10864">
            <v>27250</v>
          </cell>
        </row>
        <row r="10865">
          <cell r="W10865" t="str">
            <v>QREGE05</v>
          </cell>
          <cell r="AD10865">
            <v>27250</v>
          </cell>
        </row>
        <row r="10866">
          <cell r="W10866" t="str">
            <v>QREGE05</v>
          </cell>
          <cell r="AD10866">
            <v>27250</v>
          </cell>
        </row>
        <row r="10867">
          <cell r="W10867" t="str">
            <v>QREGE05</v>
          </cell>
          <cell r="AD10867">
            <v>27500</v>
          </cell>
        </row>
        <row r="10868">
          <cell r="W10868" t="str">
            <v>QREGE05</v>
          </cell>
          <cell r="AD10868">
            <v>27500</v>
          </cell>
        </row>
        <row r="10869">
          <cell r="W10869" t="str">
            <v>QREGE05</v>
          </cell>
          <cell r="AD10869">
            <v>27500</v>
          </cell>
        </row>
        <row r="10870">
          <cell r="W10870" t="str">
            <v>QREGE05</v>
          </cell>
          <cell r="AD10870">
            <v>27500</v>
          </cell>
        </row>
        <row r="10871">
          <cell r="W10871" t="str">
            <v>QREGE05</v>
          </cell>
          <cell r="AD10871">
            <v>27500</v>
          </cell>
        </row>
        <row r="10872">
          <cell r="W10872" t="str">
            <v>QREGE05</v>
          </cell>
          <cell r="AD10872">
            <v>27500</v>
          </cell>
        </row>
        <row r="10873">
          <cell r="W10873" t="str">
            <v>QREGE05</v>
          </cell>
          <cell r="AD10873">
            <v>27500</v>
          </cell>
        </row>
        <row r="10874">
          <cell r="W10874" t="str">
            <v>AREGE03</v>
          </cell>
          <cell r="AD10874">
            <v>27500</v>
          </cell>
        </row>
        <row r="10875">
          <cell r="W10875" t="str">
            <v>AREGE03</v>
          </cell>
          <cell r="AD10875">
            <v>27500</v>
          </cell>
        </row>
        <row r="10876">
          <cell r="W10876" t="str">
            <v>QREGE05</v>
          </cell>
          <cell r="AD10876">
            <v>27500</v>
          </cell>
        </row>
        <row r="10877">
          <cell r="W10877" t="str">
            <v>QREGE05</v>
          </cell>
          <cell r="AD10877">
            <v>27500</v>
          </cell>
        </row>
        <row r="10878">
          <cell r="W10878" t="str">
            <v>QREGE05</v>
          </cell>
          <cell r="AD10878">
            <v>27500</v>
          </cell>
        </row>
        <row r="10879">
          <cell r="W10879" t="str">
            <v>QREGE05</v>
          </cell>
          <cell r="AD10879">
            <v>27500</v>
          </cell>
        </row>
        <row r="10880">
          <cell r="W10880" t="str">
            <v>QREGE05</v>
          </cell>
          <cell r="AD10880">
            <v>27500</v>
          </cell>
        </row>
        <row r="10881">
          <cell r="W10881" t="str">
            <v>QREGE05</v>
          </cell>
          <cell r="AD10881">
            <v>27500</v>
          </cell>
        </row>
        <row r="10882">
          <cell r="W10882" t="str">
            <v>QREGE05</v>
          </cell>
          <cell r="AD10882">
            <v>27500</v>
          </cell>
        </row>
        <row r="10883">
          <cell r="W10883" t="str">
            <v>QREGE05</v>
          </cell>
          <cell r="AD10883">
            <v>27500</v>
          </cell>
        </row>
        <row r="10884">
          <cell r="W10884" t="str">
            <v>QREGE05</v>
          </cell>
          <cell r="AD10884">
            <v>27500</v>
          </cell>
        </row>
        <row r="10885">
          <cell r="W10885" t="str">
            <v>QREGE05</v>
          </cell>
          <cell r="AD10885">
            <v>27500</v>
          </cell>
        </row>
        <row r="10886">
          <cell r="W10886" t="str">
            <v>QREGE05</v>
          </cell>
          <cell r="AD10886">
            <v>27500</v>
          </cell>
        </row>
        <row r="10887">
          <cell r="W10887" t="str">
            <v>QREGE05</v>
          </cell>
          <cell r="AD10887">
            <v>27500</v>
          </cell>
        </row>
        <row r="10888">
          <cell r="W10888" t="str">
            <v>QREGE05</v>
          </cell>
          <cell r="AD10888">
            <v>27500</v>
          </cell>
        </row>
        <row r="10889">
          <cell r="W10889" t="str">
            <v>QREGE05</v>
          </cell>
          <cell r="AD10889">
            <v>27500</v>
          </cell>
        </row>
        <row r="10890">
          <cell r="W10890" t="str">
            <v>QREGE05</v>
          </cell>
          <cell r="AD10890">
            <v>27750</v>
          </cell>
        </row>
        <row r="10891">
          <cell r="W10891" t="str">
            <v>QREGE05</v>
          </cell>
          <cell r="AD10891">
            <v>27750</v>
          </cell>
        </row>
        <row r="10892">
          <cell r="W10892" t="str">
            <v>QREGE05</v>
          </cell>
          <cell r="AD10892">
            <v>27750</v>
          </cell>
        </row>
        <row r="10893">
          <cell r="W10893" t="str">
            <v>QREGE05</v>
          </cell>
          <cell r="AD10893">
            <v>27750</v>
          </cell>
        </row>
        <row r="10894">
          <cell r="W10894" t="str">
            <v>QREGE05</v>
          </cell>
          <cell r="AD10894">
            <v>28000</v>
          </cell>
        </row>
        <row r="10895">
          <cell r="W10895" t="str">
            <v>QREGE05</v>
          </cell>
          <cell r="AD10895">
            <v>28000</v>
          </cell>
        </row>
        <row r="10896">
          <cell r="W10896" t="str">
            <v>QREGE05</v>
          </cell>
          <cell r="AD10896">
            <v>28000</v>
          </cell>
        </row>
        <row r="10897">
          <cell r="W10897" t="str">
            <v>QREGE05</v>
          </cell>
          <cell r="AD10897">
            <v>28000</v>
          </cell>
        </row>
        <row r="10898">
          <cell r="W10898" t="str">
            <v>QREGE05</v>
          </cell>
          <cell r="AD10898">
            <v>28000</v>
          </cell>
        </row>
        <row r="10899">
          <cell r="W10899" t="str">
            <v>QREGE05</v>
          </cell>
          <cell r="AD10899">
            <v>28000</v>
          </cell>
        </row>
        <row r="10900">
          <cell r="W10900" t="str">
            <v>QREGE05</v>
          </cell>
          <cell r="AD10900">
            <v>28000</v>
          </cell>
        </row>
        <row r="10901">
          <cell r="W10901" t="str">
            <v>QREGE05</v>
          </cell>
          <cell r="AD10901">
            <v>28000</v>
          </cell>
        </row>
        <row r="10902">
          <cell r="W10902" t="str">
            <v>QREGE05</v>
          </cell>
          <cell r="AD10902">
            <v>28000</v>
          </cell>
        </row>
        <row r="10903">
          <cell r="W10903" t="str">
            <v>QREGE05</v>
          </cell>
          <cell r="AD10903">
            <v>28000</v>
          </cell>
        </row>
        <row r="10904">
          <cell r="W10904" t="str">
            <v>QREGE05</v>
          </cell>
          <cell r="AD10904">
            <v>28000</v>
          </cell>
        </row>
        <row r="10905">
          <cell r="W10905" t="str">
            <v>AREGE03</v>
          </cell>
          <cell r="AD10905">
            <v>28000</v>
          </cell>
        </row>
        <row r="10906">
          <cell r="W10906" t="str">
            <v>QREGE05</v>
          </cell>
          <cell r="AD10906">
            <v>28000</v>
          </cell>
        </row>
        <row r="10907">
          <cell r="W10907" t="str">
            <v>QREGE05</v>
          </cell>
          <cell r="AD10907">
            <v>28000</v>
          </cell>
        </row>
        <row r="10908">
          <cell r="W10908" t="str">
            <v>QREGE05</v>
          </cell>
          <cell r="AD10908">
            <v>28000</v>
          </cell>
        </row>
        <row r="10909">
          <cell r="W10909" t="str">
            <v>AREGE03</v>
          </cell>
          <cell r="AD10909">
            <v>28250</v>
          </cell>
        </row>
        <row r="10910">
          <cell r="W10910" t="str">
            <v>QREGE05</v>
          </cell>
          <cell r="AD10910">
            <v>29250</v>
          </cell>
        </row>
        <row r="10911">
          <cell r="W10911" t="str">
            <v>QREGE05</v>
          </cell>
          <cell r="AD10911">
            <v>29500</v>
          </cell>
        </row>
        <row r="10912">
          <cell r="W10912" t="str">
            <v>QREGE08</v>
          </cell>
          <cell r="AD10912">
            <v>15850</v>
          </cell>
        </row>
        <row r="10913">
          <cell r="W10913" t="str">
            <v>QREGE08</v>
          </cell>
          <cell r="AD10913">
            <v>15850</v>
          </cell>
        </row>
        <row r="10914">
          <cell r="W10914" t="str">
            <v>QREGE08</v>
          </cell>
          <cell r="AD10914">
            <v>15850</v>
          </cell>
        </row>
        <row r="10915">
          <cell r="W10915" t="str">
            <v>QREGE08</v>
          </cell>
          <cell r="AD10915">
            <v>15850</v>
          </cell>
        </row>
        <row r="10916">
          <cell r="W10916" t="str">
            <v>QREGE08</v>
          </cell>
          <cell r="AD10916">
            <v>15850</v>
          </cell>
        </row>
        <row r="10917">
          <cell r="W10917" t="str">
            <v>QREGE08</v>
          </cell>
          <cell r="AD10917">
            <v>16000</v>
          </cell>
        </row>
        <row r="10918">
          <cell r="W10918" t="str">
            <v>QREGE08</v>
          </cell>
          <cell r="AD10918">
            <v>16000</v>
          </cell>
        </row>
        <row r="10919">
          <cell r="W10919" t="str">
            <v>QREGE02</v>
          </cell>
          <cell r="AD10919">
            <v>32500</v>
          </cell>
        </row>
        <row r="10920">
          <cell r="W10920" t="str">
            <v>QREGE02</v>
          </cell>
          <cell r="AD10920">
            <v>35000</v>
          </cell>
        </row>
        <row r="10921">
          <cell r="W10921" t="str">
            <v>QREGE03</v>
          </cell>
          <cell r="AD10921">
            <v>15850</v>
          </cell>
        </row>
        <row r="10922">
          <cell r="W10922" t="str">
            <v>QREGE03</v>
          </cell>
          <cell r="AD10922">
            <v>18000</v>
          </cell>
        </row>
        <row r="10923">
          <cell r="W10923" t="str">
            <v>QREGE03</v>
          </cell>
          <cell r="AD10923">
            <v>18500</v>
          </cell>
        </row>
        <row r="10924">
          <cell r="W10924" t="str">
            <v>QREMA03</v>
          </cell>
          <cell r="AD10924">
            <v>230000</v>
          </cell>
        </row>
        <row r="10925">
          <cell r="W10925" t="str">
            <v>QREMA03</v>
          </cell>
          <cell r="AD10925">
            <v>230000</v>
          </cell>
        </row>
        <row r="10926">
          <cell r="W10926" t="str">
            <v>QREMA03</v>
          </cell>
          <cell r="AD10926">
            <v>230000</v>
          </cell>
        </row>
        <row r="10927">
          <cell r="W10927" t="str">
            <v>QREMA03</v>
          </cell>
          <cell r="AD10927">
            <v>230000</v>
          </cell>
        </row>
        <row r="10928">
          <cell r="W10928" t="str">
            <v>QREMA03</v>
          </cell>
          <cell r="AD10928">
            <v>230000</v>
          </cell>
        </row>
        <row r="10929">
          <cell r="W10929" t="str">
            <v>QREMA03</v>
          </cell>
          <cell r="AD10929">
            <v>230000</v>
          </cell>
        </row>
        <row r="10930">
          <cell r="W10930" t="str">
            <v>QREMA03</v>
          </cell>
          <cell r="AD10930">
            <v>230000</v>
          </cell>
        </row>
        <row r="10931">
          <cell r="W10931" t="str">
            <v>QREMA03</v>
          </cell>
          <cell r="AD10931">
            <v>230000</v>
          </cell>
        </row>
        <row r="10932">
          <cell r="W10932" t="str">
            <v>QREMA03</v>
          </cell>
          <cell r="AD10932">
            <v>230000</v>
          </cell>
        </row>
        <row r="10933">
          <cell r="W10933" t="str">
            <v>QREMA03</v>
          </cell>
          <cell r="AD10933">
            <v>230000</v>
          </cell>
        </row>
        <row r="10934">
          <cell r="W10934" t="str">
            <v>QREMA03</v>
          </cell>
          <cell r="AD10934">
            <v>230000</v>
          </cell>
        </row>
        <row r="10935">
          <cell r="W10935" t="str">
            <v>QREMA03</v>
          </cell>
          <cell r="AD10935">
            <v>230000</v>
          </cell>
        </row>
        <row r="10936">
          <cell r="W10936" t="str">
            <v>QREMA03</v>
          </cell>
          <cell r="AD10936">
            <v>230000</v>
          </cell>
        </row>
        <row r="10937">
          <cell r="W10937" t="str">
            <v>QREMA03</v>
          </cell>
          <cell r="AD10937">
            <v>230000</v>
          </cell>
        </row>
        <row r="10938">
          <cell r="W10938" t="str">
            <v>QREMA03</v>
          </cell>
          <cell r="AD10938">
            <v>230000</v>
          </cell>
        </row>
        <row r="10939">
          <cell r="W10939" t="str">
            <v>AREMA01</v>
          </cell>
          <cell r="AD10939">
            <v>140000</v>
          </cell>
        </row>
        <row r="10940">
          <cell r="W10940" t="str">
            <v>QREMA02</v>
          </cell>
          <cell r="AD10940">
            <v>150000</v>
          </cell>
        </row>
        <row r="10941">
          <cell r="W10941" t="str">
            <v>QREMA02</v>
          </cell>
          <cell r="AD10941">
            <v>150000</v>
          </cell>
        </row>
        <row r="10942">
          <cell r="W10942" t="str">
            <v>QREMA02</v>
          </cell>
          <cell r="AD10942">
            <v>151000</v>
          </cell>
        </row>
        <row r="10943">
          <cell r="W10943" t="str">
            <v>QREMA02</v>
          </cell>
          <cell r="AD10943">
            <v>151000</v>
          </cell>
        </row>
        <row r="10944">
          <cell r="W10944" t="str">
            <v>QREMA02</v>
          </cell>
          <cell r="AD10944">
            <v>151000</v>
          </cell>
        </row>
        <row r="10945">
          <cell r="W10945" t="str">
            <v>QREMA02</v>
          </cell>
          <cell r="AD10945">
            <v>151000</v>
          </cell>
        </row>
        <row r="10946">
          <cell r="W10946" t="str">
            <v>QREMA02</v>
          </cell>
          <cell r="AD10946">
            <v>151000</v>
          </cell>
        </row>
        <row r="10947">
          <cell r="W10947" t="str">
            <v>QREMA02</v>
          </cell>
          <cell r="AD10947">
            <v>151000</v>
          </cell>
        </row>
        <row r="10948">
          <cell r="W10948" t="str">
            <v>QREMA02</v>
          </cell>
          <cell r="AD10948">
            <v>151000</v>
          </cell>
        </row>
        <row r="10949">
          <cell r="W10949" t="str">
            <v>QREMA02</v>
          </cell>
          <cell r="AD10949">
            <v>151000</v>
          </cell>
        </row>
        <row r="10950">
          <cell r="W10950" t="str">
            <v>QREMA02</v>
          </cell>
          <cell r="AD10950">
            <v>151000</v>
          </cell>
        </row>
        <row r="10951">
          <cell r="W10951" t="str">
            <v>QREMA02</v>
          </cell>
          <cell r="AD10951">
            <v>151000</v>
          </cell>
        </row>
        <row r="10952">
          <cell r="W10952" t="str">
            <v>QREMA02</v>
          </cell>
          <cell r="AD10952">
            <v>151000</v>
          </cell>
        </row>
        <row r="10953">
          <cell r="W10953" t="str">
            <v>QREMA02</v>
          </cell>
          <cell r="AD10953">
            <v>151000</v>
          </cell>
        </row>
        <row r="10954">
          <cell r="W10954" t="str">
            <v>QREMA02</v>
          </cell>
          <cell r="AD10954">
            <v>151000</v>
          </cell>
        </row>
        <row r="10955">
          <cell r="W10955" t="str">
            <v>QREMA02</v>
          </cell>
          <cell r="AD10955">
            <v>151000</v>
          </cell>
        </row>
        <row r="10956">
          <cell r="W10956" t="str">
            <v>QREMA02</v>
          </cell>
          <cell r="AD10956">
            <v>151000</v>
          </cell>
        </row>
        <row r="10957">
          <cell r="W10957" t="str">
            <v>QREMA02</v>
          </cell>
          <cell r="AD10957">
            <v>151000</v>
          </cell>
        </row>
        <row r="10958">
          <cell r="W10958" t="str">
            <v>QREMA02</v>
          </cell>
          <cell r="AD10958">
            <v>151000</v>
          </cell>
        </row>
        <row r="10959">
          <cell r="W10959" t="str">
            <v>QREMA02</v>
          </cell>
          <cell r="AD10959">
            <v>151000</v>
          </cell>
        </row>
        <row r="10960">
          <cell r="W10960" t="str">
            <v>QREMA02</v>
          </cell>
          <cell r="AD10960">
            <v>151000</v>
          </cell>
        </row>
        <row r="10961">
          <cell r="W10961" t="str">
            <v>QREMA02</v>
          </cell>
          <cell r="AD10961">
            <v>151000</v>
          </cell>
        </row>
        <row r="10962">
          <cell r="W10962" t="str">
            <v>QREMA02</v>
          </cell>
          <cell r="AD10962">
            <v>151000</v>
          </cell>
        </row>
        <row r="10963">
          <cell r="W10963" t="str">
            <v>QREMA02</v>
          </cell>
          <cell r="AD10963">
            <v>151000</v>
          </cell>
        </row>
        <row r="10964">
          <cell r="W10964" t="str">
            <v>QREMA02</v>
          </cell>
          <cell r="AD10964">
            <v>151000</v>
          </cell>
        </row>
        <row r="10965">
          <cell r="W10965" t="str">
            <v>QREMA02</v>
          </cell>
          <cell r="AD10965">
            <v>151000</v>
          </cell>
        </row>
        <row r="10966">
          <cell r="W10966" t="str">
            <v>QREMA02</v>
          </cell>
          <cell r="AD10966">
            <v>151000</v>
          </cell>
        </row>
        <row r="10967">
          <cell r="W10967" t="str">
            <v>QREMA02</v>
          </cell>
          <cell r="AD10967">
            <v>151000</v>
          </cell>
        </row>
        <row r="10968">
          <cell r="W10968" t="str">
            <v>QREMA02</v>
          </cell>
          <cell r="AD10968">
            <v>151000</v>
          </cell>
        </row>
        <row r="10969">
          <cell r="W10969" t="str">
            <v>QREMA02</v>
          </cell>
          <cell r="AD10969">
            <v>151000</v>
          </cell>
        </row>
        <row r="10970">
          <cell r="W10970" t="str">
            <v>QREMA02</v>
          </cell>
          <cell r="AD10970">
            <v>151000</v>
          </cell>
        </row>
        <row r="10971">
          <cell r="W10971" t="str">
            <v>QREMA02</v>
          </cell>
          <cell r="AD10971">
            <v>151000</v>
          </cell>
        </row>
        <row r="10972">
          <cell r="W10972" t="str">
            <v>QREMA02</v>
          </cell>
          <cell r="AD10972">
            <v>151000</v>
          </cell>
        </row>
        <row r="10973">
          <cell r="W10973" t="str">
            <v>QREMA02</v>
          </cell>
          <cell r="AD10973">
            <v>151000</v>
          </cell>
        </row>
        <row r="10974">
          <cell r="W10974" t="str">
            <v>QREMA02</v>
          </cell>
          <cell r="AD10974">
            <v>151000</v>
          </cell>
        </row>
        <row r="10975">
          <cell r="W10975" t="str">
            <v>QREMA02</v>
          </cell>
          <cell r="AD10975">
            <v>151000</v>
          </cell>
        </row>
        <row r="10976">
          <cell r="W10976" t="str">
            <v>QREMA02</v>
          </cell>
          <cell r="AD10976">
            <v>151000</v>
          </cell>
        </row>
        <row r="10977">
          <cell r="W10977" t="str">
            <v>QREMA02</v>
          </cell>
          <cell r="AD10977">
            <v>151000</v>
          </cell>
        </row>
        <row r="10978">
          <cell r="W10978" t="str">
            <v>QREMA02</v>
          </cell>
          <cell r="AD10978">
            <v>151000</v>
          </cell>
        </row>
        <row r="10979">
          <cell r="W10979" t="str">
            <v>QREMA02</v>
          </cell>
          <cell r="AD10979">
            <v>151000</v>
          </cell>
        </row>
        <row r="10980">
          <cell r="W10980" t="str">
            <v>QREMA02</v>
          </cell>
          <cell r="AD10980">
            <v>151000</v>
          </cell>
        </row>
        <row r="10981">
          <cell r="W10981" t="str">
            <v>QREMA02</v>
          </cell>
          <cell r="AD10981">
            <v>151000</v>
          </cell>
        </row>
        <row r="10982">
          <cell r="W10982" t="str">
            <v>QREMA02</v>
          </cell>
          <cell r="AD10982">
            <v>151000</v>
          </cell>
        </row>
        <row r="10983">
          <cell r="W10983" t="str">
            <v>QREMA02</v>
          </cell>
          <cell r="AD10983">
            <v>151000</v>
          </cell>
        </row>
        <row r="10984">
          <cell r="W10984" t="str">
            <v>QREMA02</v>
          </cell>
          <cell r="AD10984">
            <v>151000</v>
          </cell>
        </row>
        <row r="10985">
          <cell r="W10985" t="str">
            <v>QREMA02</v>
          </cell>
          <cell r="AD10985">
            <v>151000</v>
          </cell>
        </row>
        <row r="10986">
          <cell r="W10986" t="str">
            <v>QREMA02</v>
          </cell>
          <cell r="AD10986">
            <v>151000</v>
          </cell>
        </row>
        <row r="10987">
          <cell r="W10987" t="str">
            <v>QREMA02</v>
          </cell>
          <cell r="AD10987">
            <v>151000</v>
          </cell>
        </row>
        <row r="10988">
          <cell r="W10988" t="str">
            <v>QREMA02</v>
          </cell>
          <cell r="AD10988">
            <v>151000</v>
          </cell>
        </row>
        <row r="10989">
          <cell r="W10989" t="str">
            <v>QREVU03</v>
          </cell>
          <cell r="AD10989">
            <v>62250</v>
          </cell>
        </row>
        <row r="10990">
          <cell r="W10990" t="str">
            <v>QREVU03</v>
          </cell>
          <cell r="AD10990">
            <v>63500</v>
          </cell>
        </row>
        <row r="10991">
          <cell r="W10991" t="str">
            <v>QREVU02</v>
          </cell>
          <cell r="AD10991">
            <v>97000</v>
          </cell>
        </row>
        <row r="10992">
          <cell r="W10992" t="str">
            <v>QREVU02</v>
          </cell>
          <cell r="AD10992">
            <v>100000</v>
          </cell>
        </row>
        <row r="10993">
          <cell r="W10993" t="str">
            <v>QREVU02</v>
          </cell>
          <cell r="AD10993">
            <v>100000</v>
          </cell>
        </row>
        <row r="10994">
          <cell r="W10994" t="str">
            <v>QREVU02</v>
          </cell>
          <cell r="AD10994">
            <v>100250</v>
          </cell>
        </row>
        <row r="10995">
          <cell r="W10995" t="str">
            <v>QREVU02</v>
          </cell>
          <cell r="AD10995">
            <v>101000</v>
          </cell>
        </row>
        <row r="10996">
          <cell r="W10996" t="str">
            <v>QREVU02</v>
          </cell>
          <cell r="AD10996">
            <v>101000</v>
          </cell>
        </row>
        <row r="10997">
          <cell r="W10997" t="str">
            <v>QREXD02</v>
          </cell>
          <cell r="AD10997">
            <v>17272.73</v>
          </cell>
        </row>
        <row r="10998">
          <cell r="W10998" t="str">
            <v>QRHIZ01</v>
          </cell>
          <cell r="AD10998">
            <v>117500</v>
          </cell>
        </row>
        <row r="10999">
          <cell r="W10999" t="str">
            <v>QRHIZ01</v>
          </cell>
          <cell r="AD10999">
            <v>117500</v>
          </cell>
        </row>
        <row r="11000">
          <cell r="W11000" t="str">
            <v>QRHIZ01</v>
          </cell>
          <cell r="AD11000">
            <v>117500</v>
          </cell>
        </row>
        <row r="11001">
          <cell r="W11001" t="str">
            <v>QRHIZ01</v>
          </cell>
          <cell r="AD11001">
            <v>117500</v>
          </cell>
        </row>
        <row r="11002">
          <cell r="W11002" t="str">
            <v>QRHIZ01</v>
          </cell>
          <cell r="AD11002">
            <v>117500</v>
          </cell>
        </row>
        <row r="11003">
          <cell r="W11003" t="str">
            <v>QRHIZ01</v>
          </cell>
          <cell r="AD11003">
            <v>117500</v>
          </cell>
        </row>
        <row r="11004">
          <cell r="W11004" t="str">
            <v>QRHIZ01</v>
          </cell>
          <cell r="AD11004">
            <v>117500</v>
          </cell>
        </row>
        <row r="11005">
          <cell r="W11005" t="str">
            <v>QRHIZ01</v>
          </cell>
          <cell r="AD11005">
            <v>117500</v>
          </cell>
        </row>
        <row r="11006">
          <cell r="W11006" t="str">
            <v>QRICE01</v>
          </cell>
          <cell r="AD11006">
            <v>30750</v>
          </cell>
        </row>
        <row r="11007">
          <cell r="W11007" t="str">
            <v>QRICE01</v>
          </cell>
          <cell r="AD11007">
            <v>32000</v>
          </cell>
        </row>
        <row r="11008">
          <cell r="W11008" t="str">
            <v>QRICE01</v>
          </cell>
          <cell r="AD11008">
            <v>32000</v>
          </cell>
        </row>
        <row r="11009">
          <cell r="W11009" t="str">
            <v>QRICE01</v>
          </cell>
          <cell r="AD11009">
            <v>32000</v>
          </cell>
        </row>
        <row r="11010">
          <cell r="W11010" t="str">
            <v>QRICE01</v>
          </cell>
          <cell r="AD11010">
            <v>32000</v>
          </cell>
        </row>
        <row r="11011">
          <cell r="W11011" t="str">
            <v>QRICE02</v>
          </cell>
          <cell r="AD11011">
            <v>74000</v>
          </cell>
        </row>
        <row r="11012">
          <cell r="W11012" t="str">
            <v>QRICE02</v>
          </cell>
          <cell r="AD11012">
            <v>76000</v>
          </cell>
        </row>
        <row r="11013">
          <cell r="W11013" t="str">
            <v>QRICE02</v>
          </cell>
          <cell r="AD11013">
            <v>76000</v>
          </cell>
        </row>
        <row r="11014">
          <cell r="W11014" t="str">
            <v>QRICE02</v>
          </cell>
          <cell r="AD11014">
            <v>76000</v>
          </cell>
        </row>
        <row r="11015">
          <cell r="W11015" t="str">
            <v>QRICE02</v>
          </cell>
          <cell r="AD11015">
            <v>76000</v>
          </cell>
        </row>
        <row r="11016">
          <cell r="W11016" t="str">
            <v>QRICE02</v>
          </cell>
          <cell r="AD11016">
            <v>76000</v>
          </cell>
        </row>
        <row r="11017">
          <cell r="W11017" t="str">
            <v>QRICE03</v>
          </cell>
          <cell r="AD11017">
            <v>47000</v>
          </cell>
        </row>
        <row r="11018">
          <cell r="W11018" t="str">
            <v>QRICE03</v>
          </cell>
          <cell r="AD11018">
            <v>47000</v>
          </cell>
        </row>
        <row r="11019">
          <cell r="W11019" t="str">
            <v>QRICE03</v>
          </cell>
          <cell r="AD11019">
            <v>47500</v>
          </cell>
        </row>
        <row r="11020">
          <cell r="W11020" t="str">
            <v>QRICE03</v>
          </cell>
          <cell r="AD11020">
            <v>47500</v>
          </cell>
        </row>
        <row r="11021">
          <cell r="W11021" t="str">
            <v>QRICE03</v>
          </cell>
          <cell r="AD11021">
            <v>47500</v>
          </cell>
        </row>
        <row r="11022">
          <cell r="W11022" t="str">
            <v>QRICE03</v>
          </cell>
          <cell r="AD11022">
            <v>47500</v>
          </cell>
        </row>
        <row r="11023">
          <cell r="W11023" t="str">
            <v>QRICE03</v>
          </cell>
          <cell r="AD11023">
            <v>47500</v>
          </cell>
        </row>
        <row r="11024">
          <cell r="W11024" t="str">
            <v>QRICE03</v>
          </cell>
          <cell r="AD11024">
            <v>47500</v>
          </cell>
        </row>
        <row r="11025">
          <cell r="W11025" t="str">
            <v>QRICE03</v>
          </cell>
          <cell r="AD11025">
            <v>47500</v>
          </cell>
        </row>
        <row r="11026">
          <cell r="W11026" t="str">
            <v>QRICE03</v>
          </cell>
          <cell r="AD11026">
            <v>47500</v>
          </cell>
        </row>
        <row r="11027">
          <cell r="W11027" t="str">
            <v>QRICE03</v>
          </cell>
          <cell r="AD11027">
            <v>47500</v>
          </cell>
        </row>
        <row r="11028">
          <cell r="W11028" t="str">
            <v>QRICE03</v>
          </cell>
          <cell r="AD11028">
            <v>47500</v>
          </cell>
        </row>
        <row r="11029">
          <cell r="W11029" t="str">
            <v>QRICE03</v>
          </cell>
          <cell r="AD11029">
            <v>47500</v>
          </cell>
        </row>
        <row r="11030">
          <cell r="W11030" t="str">
            <v>QRICE03</v>
          </cell>
          <cell r="AD11030">
            <v>47500</v>
          </cell>
        </row>
        <row r="11031">
          <cell r="W11031" t="str">
            <v>QRICE03</v>
          </cell>
          <cell r="AD11031">
            <v>48000</v>
          </cell>
        </row>
        <row r="11032">
          <cell r="W11032" t="str">
            <v>QRICE03</v>
          </cell>
          <cell r="AD11032">
            <v>48000</v>
          </cell>
        </row>
        <row r="11033">
          <cell r="W11033" t="str">
            <v>QRICE03</v>
          </cell>
          <cell r="AD11033">
            <v>48000</v>
          </cell>
        </row>
        <row r="11034">
          <cell r="W11034" t="str">
            <v>QRICE03</v>
          </cell>
          <cell r="AD11034">
            <v>48000</v>
          </cell>
        </row>
        <row r="11035">
          <cell r="W11035" t="str">
            <v>QRICE03</v>
          </cell>
          <cell r="AD11035">
            <v>48000</v>
          </cell>
        </row>
        <row r="11036">
          <cell r="W11036" t="str">
            <v>QRICE03</v>
          </cell>
          <cell r="AD11036">
            <v>48000</v>
          </cell>
        </row>
        <row r="11037">
          <cell r="W11037" t="str">
            <v>QRICE03</v>
          </cell>
          <cell r="AD11037">
            <v>48000</v>
          </cell>
        </row>
        <row r="11038">
          <cell r="W11038" t="str">
            <v>QRICE03</v>
          </cell>
          <cell r="AD11038">
            <v>48000</v>
          </cell>
        </row>
        <row r="11039">
          <cell r="W11039" t="str">
            <v>QRICE03</v>
          </cell>
          <cell r="AD11039">
            <v>48000</v>
          </cell>
        </row>
        <row r="11040">
          <cell r="W11040" t="str">
            <v>QRICE03</v>
          </cell>
          <cell r="AD11040">
            <v>48000</v>
          </cell>
        </row>
        <row r="11041">
          <cell r="W11041" t="str">
            <v>QRICE03</v>
          </cell>
          <cell r="AD11041">
            <v>48000</v>
          </cell>
        </row>
        <row r="11042">
          <cell r="W11042" t="str">
            <v>QRICE03</v>
          </cell>
          <cell r="AD11042">
            <v>48000</v>
          </cell>
        </row>
        <row r="11043">
          <cell r="W11043" t="str">
            <v>QRICE03</v>
          </cell>
          <cell r="AD11043">
            <v>48000</v>
          </cell>
        </row>
        <row r="11044">
          <cell r="W11044" t="str">
            <v>QRICE03</v>
          </cell>
          <cell r="AD11044">
            <v>48000</v>
          </cell>
        </row>
        <row r="11045">
          <cell r="W11045" t="str">
            <v>QRICE03</v>
          </cell>
          <cell r="AD11045">
            <v>48000</v>
          </cell>
        </row>
        <row r="11046">
          <cell r="W11046" t="str">
            <v>QRICE03</v>
          </cell>
          <cell r="AD11046">
            <v>48000</v>
          </cell>
        </row>
        <row r="11047">
          <cell r="W11047" t="str">
            <v>QRICE03</v>
          </cell>
          <cell r="AD11047">
            <v>48000</v>
          </cell>
        </row>
        <row r="11048">
          <cell r="W11048" t="str">
            <v>QRICE03</v>
          </cell>
          <cell r="AD11048">
            <v>48500</v>
          </cell>
        </row>
        <row r="11049">
          <cell r="W11049" t="str">
            <v>QRICE03</v>
          </cell>
          <cell r="AD11049">
            <v>48500</v>
          </cell>
        </row>
        <row r="11050">
          <cell r="W11050" t="str">
            <v>QRICE03</v>
          </cell>
          <cell r="AD11050">
            <v>48500</v>
          </cell>
        </row>
        <row r="11051">
          <cell r="W11051" t="str">
            <v>QRICE03</v>
          </cell>
          <cell r="AD11051">
            <v>48500</v>
          </cell>
        </row>
        <row r="11052">
          <cell r="W11052" t="str">
            <v>QRICE03</v>
          </cell>
          <cell r="AD11052">
            <v>48500</v>
          </cell>
        </row>
        <row r="11053">
          <cell r="W11053" t="str">
            <v>QRICE03</v>
          </cell>
          <cell r="AD11053">
            <v>48500</v>
          </cell>
        </row>
        <row r="11054">
          <cell r="W11054" t="str">
            <v>QRICE03</v>
          </cell>
          <cell r="AD11054">
            <v>48500</v>
          </cell>
        </row>
        <row r="11055">
          <cell r="W11055" t="str">
            <v>QRICE03</v>
          </cell>
          <cell r="AD11055">
            <v>48500</v>
          </cell>
        </row>
        <row r="11056">
          <cell r="W11056" t="str">
            <v>QRICE03</v>
          </cell>
          <cell r="AD11056">
            <v>49000</v>
          </cell>
        </row>
        <row r="11057">
          <cell r="W11057" t="str">
            <v>QRICE03</v>
          </cell>
          <cell r="AD11057">
            <v>49000</v>
          </cell>
        </row>
        <row r="11058">
          <cell r="W11058" t="str">
            <v>QRICE03</v>
          </cell>
          <cell r="AD11058">
            <v>49000</v>
          </cell>
        </row>
        <row r="11059">
          <cell r="W11059" t="str">
            <v>QRICE03</v>
          </cell>
          <cell r="AD11059">
            <v>49000</v>
          </cell>
        </row>
        <row r="11060">
          <cell r="W11060" t="str">
            <v>QRICE03</v>
          </cell>
          <cell r="AD11060">
            <v>49000</v>
          </cell>
        </row>
        <row r="11061">
          <cell r="W11061" t="str">
            <v>QRICE03</v>
          </cell>
          <cell r="AD11061">
            <v>52700</v>
          </cell>
        </row>
        <row r="11062">
          <cell r="W11062" t="str">
            <v>QRICE04</v>
          </cell>
          <cell r="AD11062">
            <v>111000</v>
          </cell>
        </row>
        <row r="11063">
          <cell r="W11063" t="str">
            <v>QRICE04</v>
          </cell>
          <cell r="AD11063">
            <v>112000</v>
          </cell>
        </row>
        <row r="11064">
          <cell r="W11064" t="str">
            <v>QRICE04</v>
          </cell>
          <cell r="AD11064">
            <v>112000</v>
          </cell>
        </row>
        <row r="11065">
          <cell r="W11065" t="str">
            <v>QRICE04</v>
          </cell>
          <cell r="AD11065">
            <v>112000</v>
          </cell>
        </row>
        <row r="11066">
          <cell r="W11066" t="str">
            <v>QRICE04</v>
          </cell>
          <cell r="AD11066">
            <v>112000</v>
          </cell>
        </row>
        <row r="11067">
          <cell r="W11067" t="str">
            <v>QRICE04</v>
          </cell>
          <cell r="AD11067">
            <v>112000</v>
          </cell>
        </row>
        <row r="11068">
          <cell r="W11068" t="str">
            <v>QRICE04</v>
          </cell>
          <cell r="AD11068">
            <v>112000</v>
          </cell>
        </row>
        <row r="11069">
          <cell r="W11069" t="str">
            <v>QRICE04</v>
          </cell>
          <cell r="AD11069">
            <v>112000</v>
          </cell>
        </row>
        <row r="11070">
          <cell r="W11070" t="str">
            <v>QRICE04</v>
          </cell>
          <cell r="AD11070">
            <v>112000</v>
          </cell>
        </row>
        <row r="11071">
          <cell r="W11071" t="str">
            <v>QRICE04</v>
          </cell>
          <cell r="AD11071">
            <v>112000</v>
          </cell>
        </row>
        <row r="11072">
          <cell r="W11072" t="str">
            <v>QRICE04</v>
          </cell>
          <cell r="AD11072">
            <v>112000</v>
          </cell>
        </row>
        <row r="11073">
          <cell r="W11073" t="str">
            <v>QRICE04</v>
          </cell>
          <cell r="AD11073">
            <v>112000</v>
          </cell>
        </row>
        <row r="11074">
          <cell r="W11074" t="str">
            <v>QRICE04</v>
          </cell>
          <cell r="AD11074">
            <v>112500</v>
          </cell>
        </row>
        <row r="11075">
          <cell r="W11075" t="str">
            <v>QRICE04</v>
          </cell>
          <cell r="AD11075">
            <v>112500</v>
          </cell>
        </row>
        <row r="11076">
          <cell r="W11076" t="str">
            <v>QRICE04</v>
          </cell>
          <cell r="AD11076">
            <v>112500</v>
          </cell>
        </row>
        <row r="11077">
          <cell r="W11077" t="str">
            <v>QRICE04</v>
          </cell>
          <cell r="AD11077">
            <v>112500</v>
          </cell>
        </row>
        <row r="11078">
          <cell r="W11078" t="str">
            <v>QRICE04</v>
          </cell>
          <cell r="AD11078">
            <v>112500</v>
          </cell>
        </row>
        <row r="11079">
          <cell r="W11079" t="str">
            <v>QRICE04</v>
          </cell>
          <cell r="AD11079">
            <v>112500</v>
          </cell>
        </row>
        <row r="11080">
          <cell r="W11080" t="str">
            <v>QRICE04</v>
          </cell>
          <cell r="AD11080">
            <v>112500</v>
          </cell>
        </row>
        <row r="11081">
          <cell r="W11081" t="str">
            <v>QRICE04</v>
          </cell>
          <cell r="AD11081">
            <v>112500</v>
          </cell>
        </row>
        <row r="11082">
          <cell r="W11082" t="str">
            <v>QRICE04</v>
          </cell>
          <cell r="AD11082">
            <v>112500</v>
          </cell>
        </row>
        <row r="11083">
          <cell r="W11083" t="str">
            <v>QRICE04</v>
          </cell>
          <cell r="AD11083">
            <v>112500</v>
          </cell>
        </row>
        <row r="11084">
          <cell r="W11084" t="str">
            <v>QRICE04</v>
          </cell>
          <cell r="AD11084">
            <v>112500</v>
          </cell>
        </row>
        <row r="11085">
          <cell r="W11085" t="str">
            <v>QRICE04</v>
          </cell>
          <cell r="AD11085">
            <v>112500</v>
          </cell>
        </row>
        <row r="11086">
          <cell r="W11086" t="str">
            <v>QRICE04</v>
          </cell>
          <cell r="AD11086">
            <v>112500</v>
          </cell>
        </row>
        <row r="11087">
          <cell r="W11087" t="str">
            <v>QRICE04</v>
          </cell>
          <cell r="AD11087">
            <v>112500</v>
          </cell>
        </row>
        <row r="11088">
          <cell r="W11088" t="str">
            <v>QRICE04</v>
          </cell>
          <cell r="AD11088">
            <v>112500</v>
          </cell>
        </row>
        <row r="11089">
          <cell r="W11089" t="str">
            <v>QRICE04</v>
          </cell>
          <cell r="AD11089">
            <v>113000</v>
          </cell>
        </row>
        <row r="11090">
          <cell r="W11090" t="str">
            <v>QRICE04</v>
          </cell>
          <cell r="AD11090">
            <v>113000</v>
          </cell>
        </row>
        <row r="11091">
          <cell r="W11091" t="str">
            <v>QRICE04</v>
          </cell>
          <cell r="AD11091">
            <v>113000</v>
          </cell>
        </row>
        <row r="11092">
          <cell r="W11092" t="str">
            <v>QRICE04</v>
          </cell>
          <cell r="AD11092">
            <v>113500</v>
          </cell>
        </row>
        <row r="11093">
          <cell r="W11093" t="str">
            <v>QRICE04</v>
          </cell>
          <cell r="AD11093">
            <v>113500</v>
          </cell>
        </row>
        <row r="11094">
          <cell r="W11094" t="str">
            <v>QRICE04</v>
          </cell>
          <cell r="AD11094">
            <v>113500</v>
          </cell>
        </row>
        <row r="11095">
          <cell r="W11095" t="str">
            <v>QRICE04</v>
          </cell>
          <cell r="AD11095">
            <v>113500</v>
          </cell>
        </row>
        <row r="11096">
          <cell r="W11096" t="str">
            <v>QRICE04</v>
          </cell>
          <cell r="AD11096">
            <v>114000</v>
          </cell>
        </row>
        <row r="11097">
          <cell r="W11097" t="str">
            <v>QRICE04</v>
          </cell>
          <cell r="AD11097">
            <v>114000</v>
          </cell>
        </row>
        <row r="11098">
          <cell r="W11098" t="str">
            <v>QRICE04</v>
          </cell>
          <cell r="AD11098">
            <v>114500</v>
          </cell>
        </row>
        <row r="11099">
          <cell r="W11099" t="str">
            <v>QRICE04</v>
          </cell>
          <cell r="AD11099">
            <v>115000</v>
          </cell>
        </row>
        <row r="11100">
          <cell r="W11100" t="str">
            <v>QRICE04</v>
          </cell>
          <cell r="AD11100">
            <v>115000</v>
          </cell>
        </row>
        <row r="11101">
          <cell r="W11101" t="str">
            <v>QRICE04</v>
          </cell>
          <cell r="AD11101">
            <v>115000</v>
          </cell>
        </row>
        <row r="11102">
          <cell r="W11102" t="str">
            <v>QRICE04</v>
          </cell>
          <cell r="AD11102">
            <v>115000</v>
          </cell>
        </row>
        <row r="11103">
          <cell r="W11103" t="str">
            <v>QRICE04</v>
          </cell>
          <cell r="AD11103">
            <v>124200</v>
          </cell>
        </row>
        <row r="11104">
          <cell r="W11104" t="str">
            <v>QRIDO02</v>
          </cell>
          <cell r="AD11104">
            <v>21350</v>
          </cell>
        </row>
        <row r="11105">
          <cell r="W11105" t="str">
            <v>QRIDO02</v>
          </cell>
          <cell r="AD11105">
            <v>21500</v>
          </cell>
        </row>
        <row r="11106">
          <cell r="W11106" t="str">
            <v>QRIDO02</v>
          </cell>
          <cell r="AD11106">
            <v>21750</v>
          </cell>
        </row>
        <row r="11107">
          <cell r="W11107" t="str">
            <v>QRIDO02</v>
          </cell>
          <cell r="AD11107">
            <v>21750</v>
          </cell>
        </row>
        <row r="11108">
          <cell r="W11108" t="str">
            <v>QRIDO02</v>
          </cell>
          <cell r="AD11108">
            <v>21750</v>
          </cell>
        </row>
        <row r="11109">
          <cell r="W11109" t="str">
            <v>QRIDO02</v>
          </cell>
          <cell r="AD11109">
            <v>21750</v>
          </cell>
        </row>
        <row r="11110">
          <cell r="W11110" t="str">
            <v>QRIDO02</v>
          </cell>
          <cell r="AD11110">
            <v>21750</v>
          </cell>
        </row>
        <row r="11111">
          <cell r="W11111" t="str">
            <v>QRIDO02</v>
          </cell>
          <cell r="AD11111">
            <v>22500</v>
          </cell>
        </row>
        <row r="11112">
          <cell r="W11112" t="str">
            <v>QRIDO02</v>
          </cell>
          <cell r="AD11112">
            <v>22500</v>
          </cell>
        </row>
        <row r="11113">
          <cell r="W11113" t="str">
            <v>QRIDO02</v>
          </cell>
          <cell r="AD11113">
            <v>22500</v>
          </cell>
        </row>
        <row r="11114">
          <cell r="W11114" t="str">
            <v>QRIDO02</v>
          </cell>
          <cell r="AD11114">
            <v>22500</v>
          </cell>
        </row>
        <row r="11115">
          <cell r="W11115" t="str">
            <v>QRIDO02</v>
          </cell>
          <cell r="AD11115">
            <v>22500</v>
          </cell>
        </row>
        <row r="11116">
          <cell r="W11116" t="str">
            <v>QRIDO02</v>
          </cell>
          <cell r="AD11116">
            <v>22500</v>
          </cell>
        </row>
        <row r="11117">
          <cell r="W11117" t="str">
            <v>QRIDO02</v>
          </cell>
          <cell r="AD11117">
            <v>22500</v>
          </cell>
        </row>
        <row r="11118">
          <cell r="W11118" t="str">
            <v>QRIDO03</v>
          </cell>
          <cell r="AD11118">
            <v>30500</v>
          </cell>
        </row>
        <row r="11119">
          <cell r="W11119" t="str">
            <v>QRIDO03</v>
          </cell>
          <cell r="AD11119">
            <v>30500</v>
          </cell>
        </row>
        <row r="11120">
          <cell r="W11120" t="str">
            <v>QRIDO03</v>
          </cell>
          <cell r="AD11120">
            <v>30500</v>
          </cell>
        </row>
        <row r="11121">
          <cell r="W11121" t="str">
            <v>QRIDO03</v>
          </cell>
          <cell r="AD11121">
            <v>30500</v>
          </cell>
        </row>
        <row r="11122">
          <cell r="W11122" t="str">
            <v>QRIDO03</v>
          </cell>
          <cell r="AD11122">
            <v>30500</v>
          </cell>
        </row>
        <row r="11123">
          <cell r="W11123" t="str">
            <v>QRIDO03</v>
          </cell>
          <cell r="AD11123">
            <v>30500</v>
          </cell>
        </row>
        <row r="11124">
          <cell r="W11124" t="str">
            <v>QRIDO03</v>
          </cell>
          <cell r="AD11124">
            <v>30650</v>
          </cell>
        </row>
        <row r="11125">
          <cell r="W11125" t="str">
            <v>QRIDO03</v>
          </cell>
          <cell r="AD11125">
            <v>30750</v>
          </cell>
        </row>
        <row r="11126">
          <cell r="W11126" t="str">
            <v>QRIDO03</v>
          </cell>
          <cell r="AD11126">
            <v>30750</v>
          </cell>
        </row>
        <row r="11127">
          <cell r="W11127" t="str">
            <v>QRIDO03</v>
          </cell>
          <cell r="AD11127">
            <v>30850</v>
          </cell>
        </row>
        <row r="11128">
          <cell r="W11128" t="str">
            <v>QRIDO03</v>
          </cell>
          <cell r="AD11128">
            <v>31000</v>
          </cell>
        </row>
        <row r="11129">
          <cell r="W11129" t="str">
            <v>QRIDO03</v>
          </cell>
          <cell r="AD11129">
            <v>31000</v>
          </cell>
        </row>
        <row r="11130">
          <cell r="W11130" t="str">
            <v>QRIDO03</v>
          </cell>
          <cell r="AD11130">
            <v>31000</v>
          </cell>
        </row>
        <row r="11131">
          <cell r="W11131" t="str">
            <v>QRIDO03</v>
          </cell>
          <cell r="AD11131">
            <v>31000</v>
          </cell>
        </row>
        <row r="11132">
          <cell r="W11132" t="str">
            <v>QRIDO03</v>
          </cell>
          <cell r="AD11132">
            <v>31000</v>
          </cell>
        </row>
        <row r="11133">
          <cell r="W11133" t="str">
            <v>QRIDO03</v>
          </cell>
          <cell r="AD11133">
            <v>31000</v>
          </cell>
        </row>
        <row r="11134">
          <cell r="W11134" t="str">
            <v>QRIDO03</v>
          </cell>
          <cell r="AD11134">
            <v>31000</v>
          </cell>
        </row>
        <row r="11135">
          <cell r="W11135" t="str">
            <v>QRIDO03</v>
          </cell>
          <cell r="AD11135">
            <v>31000</v>
          </cell>
        </row>
        <row r="11136">
          <cell r="W11136" t="str">
            <v>QRIDO03</v>
          </cell>
          <cell r="AD11136">
            <v>31000</v>
          </cell>
        </row>
        <row r="11137">
          <cell r="W11137" t="str">
            <v>QRIDO03</v>
          </cell>
          <cell r="AD11137">
            <v>31500</v>
          </cell>
        </row>
        <row r="11138">
          <cell r="W11138" t="str">
            <v>QRIDO03</v>
          </cell>
          <cell r="AD11138">
            <v>31500</v>
          </cell>
        </row>
        <row r="11139">
          <cell r="W11139" t="str">
            <v>QRIDO03</v>
          </cell>
          <cell r="AD11139">
            <v>31500</v>
          </cell>
        </row>
        <row r="11140">
          <cell r="W11140" t="str">
            <v>QRIDO04</v>
          </cell>
          <cell r="AD11140">
            <v>142000</v>
          </cell>
        </row>
        <row r="11141">
          <cell r="W11141" t="str">
            <v>QRIDO04</v>
          </cell>
          <cell r="AD11141">
            <v>142000</v>
          </cell>
        </row>
        <row r="11142">
          <cell r="W11142" t="str">
            <v>QRIDO04</v>
          </cell>
          <cell r="AD11142">
            <v>142000</v>
          </cell>
        </row>
        <row r="11143">
          <cell r="W11143" t="str">
            <v>QRIDO04</v>
          </cell>
          <cell r="AD11143">
            <v>142000</v>
          </cell>
        </row>
        <row r="11144">
          <cell r="W11144" t="str">
            <v>QRIDO04</v>
          </cell>
          <cell r="AD11144">
            <v>142000</v>
          </cell>
        </row>
        <row r="11145">
          <cell r="W11145" t="str">
            <v>QRIDO04</v>
          </cell>
          <cell r="AD11145">
            <v>142000</v>
          </cell>
        </row>
        <row r="11146">
          <cell r="W11146" t="str">
            <v>QRIDO04</v>
          </cell>
          <cell r="AD11146">
            <v>142000</v>
          </cell>
        </row>
        <row r="11147">
          <cell r="W11147" t="str">
            <v>QRIDO04</v>
          </cell>
          <cell r="AD11147">
            <v>142000</v>
          </cell>
        </row>
        <row r="11148">
          <cell r="W11148" t="str">
            <v>QRIDO04</v>
          </cell>
          <cell r="AD11148">
            <v>142000</v>
          </cell>
        </row>
        <row r="11149">
          <cell r="W11149" t="str">
            <v>QRIDO04</v>
          </cell>
          <cell r="AD11149">
            <v>143000</v>
          </cell>
        </row>
        <row r="11150">
          <cell r="W11150" t="str">
            <v>QRIDO04</v>
          </cell>
          <cell r="AD11150">
            <v>143000</v>
          </cell>
        </row>
        <row r="11151">
          <cell r="W11151" t="str">
            <v>QRIDO04</v>
          </cell>
          <cell r="AD11151">
            <v>143000</v>
          </cell>
        </row>
        <row r="11152">
          <cell r="W11152" t="str">
            <v>QRIDO04</v>
          </cell>
          <cell r="AD11152">
            <v>143500</v>
          </cell>
        </row>
        <row r="11153">
          <cell r="W11153" t="str">
            <v>QRIDO04</v>
          </cell>
          <cell r="AD11153">
            <v>144500</v>
          </cell>
        </row>
        <row r="11154">
          <cell r="W11154" t="str">
            <v>QRIDO04</v>
          </cell>
          <cell r="AD11154">
            <v>145000</v>
          </cell>
        </row>
        <row r="11155">
          <cell r="W11155" t="str">
            <v>QRIDO04</v>
          </cell>
          <cell r="AD11155">
            <v>145000</v>
          </cell>
        </row>
        <row r="11156">
          <cell r="W11156" t="str">
            <v>QRIDO04</v>
          </cell>
          <cell r="AD11156">
            <v>145000</v>
          </cell>
        </row>
        <row r="11157">
          <cell r="W11157" t="str">
            <v>QRIDO04</v>
          </cell>
          <cell r="AD11157">
            <v>145000</v>
          </cell>
        </row>
        <row r="11158">
          <cell r="W11158" t="str">
            <v>QRIDO04</v>
          </cell>
          <cell r="AD11158">
            <v>145500</v>
          </cell>
        </row>
        <row r="11159">
          <cell r="W11159" t="str">
            <v>QRIDO04</v>
          </cell>
          <cell r="AD11159">
            <v>145500</v>
          </cell>
        </row>
        <row r="11160">
          <cell r="W11160" t="str">
            <v>QRIDO04</v>
          </cell>
          <cell r="AD11160">
            <v>145500</v>
          </cell>
        </row>
        <row r="11161">
          <cell r="W11161" t="str">
            <v>QRIDO05</v>
          </cell>
          <cell r="AD11161">
            <v>73000</v>
          </cell>
        </row>
        <row r="11162">
          <cell r="W11162" t="str">
            <v>QRIDO05</v>
          </cell>
          <cell r="AD11162">
            <v>73000</v>
          </cell>
        </row>
        <row r="11163">
          <cell r="W11163" t="str">
            <v>QRIDO05</v>
          </cell>
          <cell r="AD11163">
            <v>73000</v>
          </cell>
        </row>
        <row r="11164">
          <cell r="W11164" t="str">
            <v>QRIDO05</v>
          </cell>
          <cell r="AD11164">
            <v>73500</v>
          </cell>
        </row>
        <row r="11165">
          <cell r="W11165" t="str">
            <v>QRIDO05</v>
          </cell>
          <cell r="AD11165">
            <v>73500</v>
          </cell>
        </row>
        <row r="11166">
          <cell r="W11166" t="str">
            <v>QRIDO05</v>
          </cell>
          <cell r="AD11166">
            <v>73500</v>
          </cell>
        </row>
        <row r="11167">
          <cell r="W11167" t="str">
            <v>QRIDO05</v>
          </cell>
          <cell r="AD11167">
            <v>74000</v>
          </cell>
        </row>
        <row r="11168">
          <cell r="W11168" t="str">
            <v>QRIDO05</v>
          </cell>
          <cell r="AD11168">
            <v>74000</v>
          </cell>
        </row>
        <row r="11169">
          <cell r="W11169" t="str">
            <v>QRIDO05</v>
          </cell>
          <cell r="AD11169">
            <v>74000</v>
          </cell>
        </row>
        <row r="11170">
          <cell r="W11170" t="str">
            <v>QRIDO05</v>
          </cell>
          <cell r="AD11170">
            <v>74500</v>
          </cell>
        </row>
        <row r="11171">
          <cell r="W11171" t="str">
            <v>QRIDO05</v>
          </cell>
          <cell r="AD11171">
            <v>74500</v>
          </cell>
        </row>
        <row r="11172">
          <cell r="W11172" t="str">
            <v>QROGE01</v>
          </cell>
          <cell r="AD11172">
            <v>850000</v>
          </cell>
        </row>
        <row r="11173">
          <cell r="W11173" t="str">
            <v>QROGE01</v>
          </cell>
          <cell r="AD11173">
            <v>880000</v>
          </cell>
        </row>
        <row r="11174">
          <cell r="W11174" t="str">
            <v>QROGE01</v>
          </cell>
          <cell r="AD11174">
            <v>910000</v>
          </cell>
        </row>
        <row r="11175">
          <cell r="W11175" t="str">
            <v>QROGE01</v>
          </cell>
          <cell r="AD11175">
            <v>910000</v>
          </cell>
        </row>
        <row r="11176">
          <cell r="W11176" t="str">
            <v>QROGE01</v>
          </cell>
          <cell r="AD11176">
            <v>910000</v>
          </cell>
        </row>
        <row r="11177">
          <cell r="W11177" t="str">
            <v>QROGE01</v>
          </cell>
          <cell r="AD11177">
            <v>910000</v>
          </cell>
        </row>
        <row r="11178">
          <cell r="W11178" t="str">
            <v>QROGE02</v>
          </cell>
          <cell r="AD11178">
            <v>46000</v>
          </cell>
        </row>
        <row r="11179">
          <cell r="W11179" t="str">
            <v>QROGE02</v>
          </cell>
          <cell r="AD11179">
            <v>46000</v>
          </cell>
        </row>
        <row r="11180">
          <cell r="W11180" t="str">
            <v>QROGE02</v>
          </cell>
          <cell r="AD11180">
            <v>46000</v>
          </cell>
        </row>
        <row r="11181">
          <cell r="W11181" t="str">
            <v>QROGE02</v>
          </cell>
          <cell r="AD11181">
            <v>46000</v>
          </cell>
        </row>
        <row r="11182">
          <cell r="W11182" t="str">
            <v>QROGE02</v>
          </cell>
          <cell r="AD11182">
            <v>46000</v>
          </cell>
        </row>
        <row r="11183">
          <cell r="W11183" t="str">
            <v>QROGE02</v>
          </cell>
          <cell r="AD11183">
            <v>46000</v>
          </cell>
        </row>
        <row r="11184">
          <cell r="W11184" t="str">
            <v>QROGE02</v>
          </cell>
          <cell r="AD11184">
            <v>46000</v>
          </cell>
        </row>
        <row r="11185">
          <cell r="W11185" t="str">
            <v>QROGE02</v>
          </cell>
          <cell r="AD11185">
            <v>46000</v>
          </cell>
        </row>
        <row r="11186">
          <cell r="W11186" t="str">
            <v>QROGE02</v>
          </cell>
          <cell r="AD11186">
            <v>46000</v>
          </cell>
        </row>
        <row r="11187">
          <cell r="W11187" t="str">
            <v>QROGE02</v>
          </cell>
          <cell r="AD11187">
            <v>46000</v>
          </cell>
        </row>
        <row r="11188">
          <cell r="W11188" t="str">
            <v>QROGE02</v>
          </cell>
          <cell r="AD11188">
            <v>46000</v>
          </cell>
        </row>
        <row r="11189">
          <cell r="W11189" t="str">
            <v>QROGE02</v>
          </cell>
          <cell r="AD11189">
            <v>46000</v>
          </cell>
        </row>
        <row r="11190">
          <cell r="W11190" t="str">
            <v>QROGE02</v>
          </cell>
          <cell r="AD11190">
            <v>46000</v>
          </cell>
        </row>
        <row r="11191">
          <cell r="W11191" t="str">
            <v>QROGE02</v>
          </cell>
          <cell r="AD11191">
            <v>46000</v>
          </cell>
        </row>
        <row r="11192">
          <cell r="W11192" t="str">
            <v>QROGE02</v>
          </cell>
          <cell r="AD11192">
            <v>46000</v>
          </cell>
        </row>
        <row r="11193">
          <cell r="W11193" t="str">
            <v>QROGE02</v>
          </cell>
          <cell r="AD11193">
            <v>46000</v>
          </cell>
        </row>
        <row r="11194">
          <cell r="W11194" t="str">
            <v>QROGE02</v>
          </cell>
          <cell r="AD11194">
            <v>46000</v>
          </cell>
        </row>
        <row r="11195">
          <cell r="W11195" t="str">
            <v>QROGE02</v>
          </cell>
          <cell r="AD11195">
            <v>46000</v>
          </cell>
        </row>
        <row r="11196">
          <cell r="W11196" t="str">
            <v>QROGE02</v>
          </cell>
          <cell r="AD11196">
            <v>46000</v>
          </cell>
        </row>
        <row r="11197">
          <cell r="W11197" t="str">
            <v>QROGE02</v>
          </cell>
          <cell r="AD11197">
            <v>46000</v>
          </cell>
        </row>
        <row r="11198">
          <cell r="W11198" t="str">
            <v>QROGE02</v>
          </cell>
          <cell r="AD11198">
            <v>46000</v>
          </cell>
        </row>
        <row r="11199">
          <cell r="W11199" t="str">
            <v>QROGE02</v>
          </cell>
          <cell r="AD11199">
            <v>46000</v>
          </cell>
        </row>
        <row r="11200">
          <cell r="W11200" t="str">
            <v>QROGE02</v>
          </cell>
          <cell r="AD11200">
            <v>46000</v>
          </cell>
        </row>
        <row r="11201">
          <cell r="W11201" t="str">
            <v>QROGE02</v>
          </cell>
          <cell r="AD11201">
            <v>46000</v>
          </cell>
        </row>
        <row r="11202">
          <cell r="W11202" t="str">
            <v>QROGE02</v>
          </cell>
          <cell r="AD11202">
            <v>46000</v>
          </cell>
        </row>
        <row r="11203">
          <cell r="W11203" t="str">
            <v>QROGE02</v>
          </cell>
          <cell r="AD11203">
            <v>47000</v>
          </cell>
        </row>
        <row r="11204">
          <cell r="W11204" t="str">
            <v>QROGE02</v>
          </cell>
          <cell r="AD11204">
            <v>47000</v>
          </cell>
        </row>
        <row r="11205">
          <cell r="W11205" t="str">
            <v>QROGE02</v>
          </cell>
          <cell r="AD11205">
            <v>48500</v>
          </cell>
        </row>
        <row r="11206">
          <cell r="W11206" t="str">
            <v>QROGE02</v>
          </cell>
          <cell r="AD11206">
            <v>48500</v>
          </cell>
        </row>
        <row r="11207">
          <cell r="W11207" t="str">
            <v>QROGE02</v>
          </cell>
          <cell r="AD11207">
            <v>48500</v>
          </cell>
        </row>
        <row r="11208">
          <cell r="W11208" t="str">
            <v>QROGE02</v>
          </cell>
          <cell r="AD11208">
            <v>48500</v>
          </cell>
        </row>
        <row r="11209">
          <cell r="W11209" t="str">
            <v>QROGE04</v>
          </cell>
          <cell r="AD11209">
            <v>8000000</v>
          </cell>
        </row>
        <row r="11210">
          <cell r="W11210" t="str">
            <v>QROGE04</v>
          </cell>
          <cell r="AD11210">
            <v>8000000</v>
          </cell>
        </row>
        <row r="11211">
          <cell r="W11211" t="str">
            <v>AROGE01</v>
          </cell>
          <cell r="AD11211">
            <v>8000000</v>
          </cell>
        </row>
        <row r="11212">
          <cell r="W11212" t="str">
            <v>QROGE03</v>
          </cell>
          <cell r="AD11212">
            <v>220000</v>
          </cell>
        </row>
        <row r="11213">
          <cell r="W11213" t="str">
            <v>QROGE03</v>
          </cell>
          <cell r="AD11213">
            <v>220000</v>
          </cell>
        </row>
        <row r="11214">
          <cell r="W11214" t="str">
            <v>QROGE03</v>
          </cell>
          <cell r="AD11214">
            <v>220000</v>
          </cell>
        </row>
        <row r="11215">
          <cell r="W11215" t="str">
            <v>QROGE03</v>
          </cell>
          <cell r="AD11215">
            <v>225000</v>
          </cell>
        </row>
        <row r="11216">
          <cell r="W11216" t="str">
            <v>QROGE03</v>
          </cell>
          <cell r="AD11216">
            <v>225000</v>
          </cell>
        </row>
        <row r="11217">
          <cell r="W11217" t="str">
            <v>QROTR01</v>
          </cell>
          <cell r="AD11217">
            <v>93000</v>
          </cell>
        </row>
        <row r="11218">
          <cell r="W11218" t="str">
            <v>QROTR01</v>
          </cell>
          <cell r="AD11218">
            <v>94000</v>
          </cell>
        </row>
        <row r="11219">
          <cell r="W11219" t="str">
            <v>QROTR01</v>
          </cell>
          <cell r="AD11219">
            <v>94000</v>
          </cell>
        </row>
        <row r="11220">
          <cell r="W11220" t="str">
            <v>QROTR01</v>
          </cell>
          <cell r="AD11220">
            <v>94000</v>
          </cell>
        </row>
        <row r="11221">
          <cell r="W11221" t="str">
            <v>QROTR01</v>
          </cell>
          <cell r="AD11221">
            <v>95000</v>
          </cell>
        </row>
        <row r="11222">
          <cell r="W11222" t="str">
            <v>QROTR01</v>
          </cell>
          <cell r="AD11222">
            <v>95000</v>
          </cell>
        </row>
        <row r="11223">
          <cell r="W11223" t="str">
            <v>QROTR01</v>
          </cell>
          <cell r="AD11223">
            <v>95000</v>
          </cell>
        </row>
        <row r="11224">
          <cell r="W11224" t="str">
            <v>QROTR01</v>
          </cell>
          <cell r="AD11224">
            <v>95000</v>
          </cell>
        </row>
        <row r="11225">
          <cell r="W11225" t="str">
            <v>QROTR01</v>
          </cell>
          <cell r="AD11225">
            <v>95000</v>
          </cell>
        </row>
        <row r="11226">
          <cell r="W11226" t="str">
            <v>QROTR01</v>
          </cell>
          <cell r="AD11226">
            <v>97500</v>
          </cell>
        </row>
        <row r="11227">
          <cell r="W11227" t="str">
            <v>QROTR01</v>
          </cell>
          <cell r="AD11227">
            <v>99500</v>
          </cell>
        </row>
        <row r="11228">
          <cell r="W11228" t="str">
            <v>QROUN01</v>
          </cell>
          <cell r="AD11228">
            <v>70500</v>
          </cell>
        </row>
        <row r="11229">
          <cell r="W11229" t="str">
            <v>QROUN01</v>
          </cell>
          <cell r="AD11229">
            <v>71000</v>
          </cell>
        </row>
        <row r="11230">
          <cell r="W11230" t="str">
            <v>QROUN01</v>
          </cell>
          <cell r="AD11230">
            <v>71000</v>
          </cell>
        </row>
        <row r="11231">
          <cell r="W11231" t="str">
            <v>QROUN01</v>
          </cell>
          <cell r="AD11231">
            <v>71000</v>
          </cell>
        </row>
        <row r="11232">
          <cell r="W11232" t="str">
            <v>QROUN01</v>
          </cell>
          <cell r="AD11232">
            <v>71000</v>
          </cell>
        </row>
        <row r="11233">
          <cell r="W11233" t="str">
            <v>QROUN01</v>
          </cell>
          <cell r="AD11233">
            <v>71000</v>
          </cell>
        </row>
        <row r="11234">
          <cell r="W11234" t="str">
            <v>QROUN01</v>
          </cell>
          <cell r="AD11234">
            <v>71000</v>
          </cell>
        </row>
        <row r="11235">
          <cell r="W11235" t="str">
            <v>QROUN01</v>
          </cell>
          <cell r="AD11235">
            <v>71000</v>
          </cell>
        </row>
        <row r="11236">
          <cell r="W11236" t="str">
            <v>QROUN01</v>
          </cell>
          <cell r="AD11236">
            <v>71000</v>
          </cell>
        </row>
        <row r="11237">
          <cell r="W11237" t="str">
            <v>QROUN01</v>
          </cell>
          <cell r="AD11237">
            <v>71000</v>
          </cell>
        </row>
        <row r="11238">
          <cell r="W11238" t="str">
            <v>QROUN01</v>
          </cell>
          <cell r="AD11238">
            <v>71000</v>
          </cell>
        </row>
        <row r="11239">
          <cell r="W11239" t="str">
            <v>QROUN01</v>
          </cell>
          <cell r="AD11239">
            <v>71000</v>
          </cell>
        </row>
        <row r="11240">
          <cell r="W11240" t="str">
            <v>QROUN01</v>
          </cell>
          <cell r="AD11240">
            <v>71000</v>
          </cell>
        </row>
        <row r="11241">
          <cell r="W11241" t="str">
            <v>QROUN01</v>
          </cell>
          <cell r="AD11241">
            <v>71000</v>
          </cell>
        </row>
        <row r="11242">
          <cell r="W11242" t="str">
            <v>QROUN01</v>
          </cell>
          <cell r="AD11242">
            <v>71500</v>
          </cell>
        </row>
        <row r="11243">
          <cell r="W11243" t="str">
            <v>QROUN01</v>
          </cell>
          <cell r="AD11243">
            <v>72500</v>
          </cell>
        </row>
        <row r="11244">
          <cell r="W11244" t="str">
            <v>QROUN01</v>
          </cell>
          <cell r="AD11244">
            <v>72500</v>
          </cell>
        </row>
        <row r="11245">
          <cell r="W11245" t="str">
            <v>QROUN01</v>
          </cell>
          <cell r="AD11245">
            <v>72500</v>
          </cell>
        </row>
        <row r="11246">
          <cell r="W11246" t="str">
            <v>QROUN01</v>
          </cell>
          <cell r="AD11246">
            <v>73000</v>
          </cell>
        </row>
        <row r="11247">
          <cell r="W11247" t="str">
            <v>QROUN01</v>
          </cell>
          <cell r="AD11247">
            <v>73000</v>
          </cell>
        </row>
        <row r="11248">
          <cell r="W11248" t="str">
            <v>QROUN02</v>
          </cell>
          <cell r="AD11248">
            <v>1260000</v>
          </cell>
        </row>
        <row r="11249">
          <cell r="W11249" t="str">
            <v>QROUN02</v>
          </cell>
          <cell r="AD11249">
            <v>1265000</v>
          </cell>
        </row>
        <row r="11250">
          <cell r="W11250" t="str">
            <v>QROUN02</v>
          </cell>
          <cell r="AD11250">
            <v>1265000</v>
          </cell>
        </row>
        <row r="11251">
          <cell r="W11251" t="str">
            <v>QROUN02</v>
          </cell>
          <cell r="AD11251">
            <v>1265000</v>
          </cell>
        </row>
        <row r="11252">
          <cell r="W11252" t="str">
            <v>QROUN02</v>
          </cell>
          <cell r="AD11252">
            <v>1265000</v>
          </cell>
        </row>
        <row r="11253">
          <cell r="W11253" t="str">
            <v>QROUN02</v>
          </cell>
          <cell r="AD11253">
            <v>1265000</v>
          </cell>
        </row>
        <row r="11254">
          <cell r="W11254" t="str">
            <v>QROUN03</v>
          </cell>
          <cell r="AD11254">
            <v>265000</v>
          </cell>
        </row>
        <row r="11255">
          <cell r="W11255" t="str">
            <v>QROUN03</v>
          </cell>
          <cell r="AD11255">
            <v>265000</v>
          </cell>
        </row>
        <row r="11256">
          <cell r="W11256" t="str">
            <v>QROVR01</v>
          </cell>
          <cell r="AD11256">
            <v>52500</v>
          </cell>
        </row>
        <row r="11257">
          <cell r="W11257" t="str">
            <v>QROVR01</v>
          </cell>
          <cell r="AD11257">
            <v>52500</v>
          </cell>
        </row>
        <row r="11258">
          <cell r="W11258" t="str">
            <v>QROVR01</v>
          </cell>
          <cell r="AD11258">
            <v>52500</v>
          </cell>
        </row>
        <row r="11259">
          <cell r="W11259" t="str">
            <v>QROVR01</v>
          </cell>
          <cell r="AD11259">
            <v>53000</v>
          </cell>
        </row>
        <row r="11260">
          <cell r="W11260" t="str">
            <v>QROVR01</v>
          </cell>
          <cell r="AD11260">
            <v>53000</v>
          </cell>
        </row>
        <row r="11261">
          <cell r="W11261" t="str">
            <v>QROVR01</v>
          </cell>
          <cell r="AD11261">
            <v>53000</v>
          </cell>
        </row>
        <row r="11262">
          <cell r="W11262" t="str">
            <v>QROVR01</v>
          </cell>
          <cell r="AD11262">
            <v>53000</v>
          </cell>
        </row>
        <row r="11263">
          <cell r="W11263" t="str">
            <v>QROVR01</v>
          </cell>
          <cell r="AD11263">
            <v>53500</v>
          </cell>
        </row>
        <row r="11264">
          <cell r="W11264" t="str">
            <v>QROVR01</v>
          </cell>
          <cell r="AD11264">
            <v>53500</v>
          </cell>
        </row>
        <row r="11265">
          <cell r="W11265" t="str">
            <v>QROVR01</v>
          </cell>
          <cell r="AD11265">
            <v>53500</v>
          </cell>
        </row>
        <row r="11266">
          <cell r="W11266" t="str">
            <v>QROVR01</v>
          </cell>
          <cell r="AD11266">
            <v>53500</v>
          </cell>
        </row>
        <row r="11267">
          <cell r="W11267" t="str">
            <v>QROVR01</v>
          </cell>
          <cell r="AD11267">
            <v>53500</v>
          </cell>
        </row>
        <row r="11268">
          <cell r="W11268" t="str">
            <v>QROVR01</v>
          </cell>
          <cell r="AD11268">
            <v>53500</v>
          </cell>
        </row>
        <row r="11269">
          <cell r="W11269" t="str">
            <v>QROVR01</v>
          </cell>
          <cell r="AD11269">
            <v>53500</v>
          </cell>
        </row>
        <row r="11270">
          <cell r="W11270" t="str">
            <v>QROVR01</v>
          </cell>
          <cell r="AD11270">
            <v>53500</v>
          </cell>
        </row>
        <row r="11271">
          <cell r="W11271" t="str">
            <v>QROVR01</v>
          </cell>
          <cell r="AD11271">
            <v>53750</v>
          </cell>
        </row>
        <row r="11272">
          <cell r="W11272" t="str">
            <v>QROVR01</v>
          </cell>
          <cell r="AD11272">
            <v>54000</v>
          </cell>
        </row>
        <row r="11273">
          <cell r="W11273" t="str">
            <v>QRUMP01</v>
          </cell>
          <cell r="AD11273">
            <v>33250</v>
          </cell>
        </row>
        <row r="11274">
          <cell r="W11274" t="str">
            <v>QRUMP01</v>
          </cell>
          <cell r="AD11274">
            <v>33250</v>
          </cell>
        </row>
        <row r="11275">
          <cell r="W11275" t="str">
            <v>QRUMP01</v>
          </cell>
          <cell r="AD11275">
            <v>33500</v>
          </cell>
        </row>
        <row r="11276">
          <cell r="W11276" t="str">
            <v>QRUMP01</v>
          </cell>
          <cell r="AD11276">
            <v>33500</v>
          </cell>
        </row>
        <row r="11277">
          <cell r="W11277" t="str">
            <v>QRUMP01</v>
          </cell>
          <cell r="AD11277">
            <v>33500</v>
          </cell>
        </row>
        <row r="11278">
          <cell r="W11278" t="str">
            <v>QRUMP01</v>
          </cell>
          <cell r="AD11278">
            <v>33500</v>
          </cell>
        </row>
        <row r="11279">
          <cell r="W11279" t="str">
            <v>QRUMP01</v>
          </cell>
          <cell r="AD11279">
            <v>33500</v>
          </cell>
        </row>
        <row r="11280">
          <cell r="W11280" t="str">
            <v>QRUMP01</v>
          </cell>
          <cell r="AD11280">
            <v>33500</v>
          </cell>
        </row>
        <row r="11281">
          <cell r="W11281" t="str">
            <v>QRUMP01</v>
          </cell>
          <cell r="AD11281">
            <v>33500</v>
          </cell>
        </row>
        <row r="11282">
          <cell r="W11282" t="str">
            <v>QRUMP01</v>
          </cell>
          <cell r="AD11282">
            <v>33500</v>
          </cell>
        </row>
        <row r="11283">
          <cell r="W11283" t="str">
            <v>QRUMP01</v>
          </cell>
          <cell r="AD11283">
            <v>33500</v>
          </cell>
        </row>
        <row r="11284">
          <cell r="W11284" t="str">
            <v>QRUMP01</v>
          </cell>
          <cell r="AD11284">
            <v>33500</v>
          </cell>
        </row>
        <row r="11285">
          <cell r="W11285" t="str">
            <v>QRUMP01</v>
          </cell>
          <cell r="AD11285">
            <v>33500</v>
          </cell>
        </row>
        <row r="11286">
          <cell r="W11286" t="str">
            <v>QRUMP01</v>
          </cell>
          <cell r="AD11286">
            <v>33500</v>
          </cell>
        </row>
        <row r="11287">
          <cell r="W11287" t="str">
            <v>QRUMP01</v>
          </cell>
          <cell r="AD11287">
            <v>33500</v>
          </cell>
        </row>
        <row r="11288">
          <cell r="W11288" t="str">
            <v>QRUMP01</v>
          </cell>
          <cell r="AD11288">
            <v>33500</v>
          </cell>
        </row>
        <row r="11289">
          <cell r="W11289" t="str">
            <v>QRUMP01</v>
          </cell>
          <cell r="AD11289">
            <v>33500</v>
          </cell>
        </row>
        <row r="11290">
          <cell r="W11290" t="str">
            <v>QRUMP01</v>
          </cell>
          <cell r="AD11290">
            <v>33500</v>
          </cell>
        </row>
        <row r="11291">
          <cell r="W11291" t="str">
            <v>QRUMP01</v>
          </cell>
          <cell r="AD11291">
            <v>33500</v>
          </cell>
        </row>
        <row r="11292">
          <cell r="W11292" t="str">
            <v>QRUMP01</v>
          </cell>
          <cell r="AD11292">
            <v>33500</v>
          </cell>
        </row>
        <row r="11293">
          <cell r="W11293" t="str">
            <v>QRUMP01</v>
          </cell>
          <cell r="AD11293">
            <v>33500</v>
          </cell>
        </row>
        <row r="11294">
          <cell r="W11294" t="str">
            <v>QRUMP01</v>
          </cell>
          <cell r="AD11294">
            <v>33500</v>
          </cell>
        </row>
        <row r="11295">
          <cell r="W11295" t="str">
            <v>QRUMP01</v>
          </cell>
          <cell r="AD11295">
            <v>33500</v>
          </cell>
        </row>
        <row r="11296">
          <cell r="W11296" t="str">
            <v>QRUMP01</v>
          </cell>
          <cell r="AD11296">
            <v>33500</v>
          </cell>
        </row>
        <row r="11297">
          <cell r="W11297" t="str">
            <v>QRUMP01</v>
          </cell>
          <cell r="AD11297">
            <v>33500</v>
          </cell>
        </row>
        <row r="11298">
          <cell r="W11298" t="str">
            <v>QRUMP01</v>
          </cell>
          <cell r="AD11298">
            <v>33500</v>
          </cell>
        </row>
        <row r="11299">
          <cell r="W11299" t="str">
            <v>QRUMP01</v>
          </cell>
          <cell r="AD11299">
            <v>34000</v>
          </cell>
        </row>
        <row r="11300">
          <cell r="W11300" t="str">
            <v>QRUMP01</v>
          </cell>
          <cell r="AD11300">
            <v>34000</v>
          </cell>
        </row>
        <row r="11301">
          <cell r="W11301" t="str">
            <v>QRUMP01</v>
          </cell>
          <cell r="AD11301">
            <v>34000</v>
          </cell>
        </row>
        <row r="11302">
          <cell r="W11302" t="str">
            <v>QRUMP01</v>
          </cell>
          <cell r="AD11302">
            <v>34000</v>
          </cell>
        </row>
        <row r="11303">
          <cell r="W11303" t="str">
            <v>QRUMP01</v>
          </cell>
          <cell r="AD11303">
            <v>34000</v>
          </cell>
        </row>
        <row r="11304">
          <cell r="W11304" t="str">
            <v>QRUMP01</v>
          </cell>
          <cell r="AD11304">
            <v>34000</v>
          </cell>
        </row>
        <row r="11305">
          <cell r="W11305" t="str">
            <v>QRUMP01</v>
          </cell>
          <cell r="AD11305">
            <v>34000</v>
          </cell>
        </row>
        <row r="11306">
          <cell r="W11306" t="str">
            <v>QRUMP01</v>
          </cell>
          <cell r="AD11306">
            <v>34000</v>
          </cell>
        </row>
        <row r="11307">
          <cell r="W11307" t="str">
            <v>QRUMP01</v>
          </cell>
          <cell r="AD11307">
            <v>34000</v>
          </cell>
        </row>
        <row r="11308">
          <cell r="W11308" t="str">
            <v>QRUMP01</v>
          </cell>
          <cell r="AD11308">
            <v>34000</v>
          </cell>
        </row>
        <row r="11309">
          <cell r="W11309" t="str">
            <v>QRUMP01</v>
          </cell>
          <cell r="AD11309">
            <v>34000</v>
          </cell>
        </row>
        <row r="11310">
          <cell r="W11310" t="str">
            <v>QRUMP01</v>
          </cell>
          <cell r="AD11310">
            <v>34000</v>
          </cell>
        </row>
        <row r="11311">
          <cell r="W11311" t="str">
            <v>QRUMP01</v>
          </cell>
          <cell r="AD11311">
            <v>34000</v>
          </cell>
        </row>
        <row r="11312">
          <cell r="W11312" t="str">
            <v>QRUMP01</v>
          </cell>
          <cell r="AD11312">
            <v>34000</v>
          </cell>
        </row>
        <row r="11313">
          <cell r="W11313" t="str">
            <v>QRUMP01</v>
          </cell>
          <cell r="AD11313">
            <v>34000</v>
          </cell>
        </row>
        <row r="11314">
          <cell r="W11314" t="str">
            <v>QRUMP01</v>
          </cell>
          <cell r="AD11314">
            <v>34000</v>
          </cell>
        </row>
        <row r="11315">
          <cell r="W11315" t="str">
            <v>QRUMP01</v>
          </cell>
          <cell r="AD11315">
            <v>34000</v>
          </cell>
        </row>
        <row r="11316">
          <cell r="W11316" t="str">
            <v>QRUMP01</v>
          </cell>
          <cell r="AD11316">
            <v>34000</v>
          </cell>
        </row>
        <row r="11317">
          <cell r="W11317" t="str">
            <v>QRUMP01</v>
          </cell>
          <cell r="AD11317">
            <v>34000</v>
          </cell>
        </row>
        <row r="11318">
          <cell r="W11318" t="str">
            <v>QRUMP01</v>
          </cell>
          <cell r="AD11318">
            <v>34000</v>
          </cell>
        </row>
        <row r="11319">
          <cell r="W11319" t="str">
            <v>QRUMP01</v>
          </cell>
          <cell r="AD11319">
            <v>34000</v>
          </cell>
        </row>
        <row r="11320">
          <cell r="W11320" t="str">
            <v>QRUMP01</v>
          </cell>
          <cell r="AD11320">
            <v>34000</v>
          </cell>
        </row>
        <row r="11321">
          <cell r="W11321" t="str">
            <v>QRUMP01</v>
          </cell>
          <cell r="AD11321">
            <v>34000</v>
          </cell>
        </row>
        <row r="11322">
          <cell r="W11322" t="str">
            <v>QRUMP01</v>
          </cell>
          <cell r="AD11322">
            <v>34000</v>
          </cell>
        </row>
        <row r="11323">
          <cell r="W11323" t="str">
            <v>QRUMP01</v>
          </cell>
          <cell r="AD11323">
            <v>34000</v>
          </cell>
        </row>
        <row r="11324">
          <cell r="W11324" t="str">
            <v>QRUMP01</v>
          </cell>
          <cell r="AD11324">
            <v>34500</v>
          </cell>
        </row>
        <row r="11325">
          <cell r="W11325" t="str">
            <v>QRUMP01</v>
          </cell>
          <cell r="AD11325">
            <v>35500</v>
          </cell>
        </row>
        <row r="11326">
          <cell r="W11326" t="str">
            <v>QRUMP02</v>
          </cell>
          <cell r="AD11326">
            <v>81500</v>
          </cell>
        </row>
        <row r="11327">
          <cell r="W11327" t="str">
            <v>QRUMP02</v>
          </cell>
          <cell r="AD11327">
            <v>81500</v>
          </cell>
        </row>
        <row r="11328">
          <cell r="W11328" t="str">
            <v>QRUMP02</v>
          </cell>
          <cell r="AD11328">
            <v>81500</v>
          </cell>
        </row>
        <row r="11329">
          <cell r="W11329" t="str">
            <v>QRUMP02</v>
          </cell>
          <cell r="AD11329">
            <v>81500</v>
          </cell>
        </row>
        <row r="11330">
          <cell r="W11330" t="str">
            <v>QRUMP02</v>
          </cell>
          <cell r="AD11330">
            <v>81500</v>
          </cell>
        </row>
        <row r="11331">
          <cell r="W11331" t="str">
            <v>QRUMP02</v>
          </cell>
          <cell r="AD11331">
            <v>81500</v>
          </cell>
        </row>
        <row r="11332">
          <cell r="W11332" t="str">
            <v>QRUMP02</v>
          </cell>
          <cell r="AD11332">
            <v>81500</v>
          </cell>
        </row>
        <row r="11333">
          <cell r="W11333" t="str">
            <v>QRUMP02</v>
          </cell>
          <cell r="AD11333">
            <v>81500</v>
          </cell>
        </row>
        <row r="11334">
          <cell r="W11334" t="str">
            <v>QRUMP02</v>
          </cell>
          <cell r="AD11334">
            <v>81500</v>
          </cell>
        </row>
        <row r="11335">
          <cell r="W11335" t="str">
            <v>QRUMP02</v>
          </cell>
          <cell r="AD11335">
            <v>81500</v>
          </cell>
        </row>
        <row r="11336">
          <cell r="W11336" t="str">
            <v>QRUMP02</v>
          </cell>
          <cell r="AD11336">
            <v>81500</v>
          </cell>
        </row>
        <row r="11337">
          <cell r="W11337" t="str">
            <v>QRUMP02</v>
          </cell>
          <cell r="AD11337">
            <v>84000</v>
          </cell>
        </row>
        <row r="11338">
          <cell r="W11338" t="str">
            <v>QRUMP02</v>
          </cell>
          <cell r="AD11338">
            <v>84000</v>
          </cell>
        </row>
        <row r="11339">
          <cell r="W11339" t="str">
            <v>QRUMP02</v>
          </cell>
          <cell r="AD11339">
            <v>85500</v>
          </cell>
        </row>
        <row r="11340">
          <cell r="W11340" t="str">
            <v>QRUMP02</v>
          </cell>
          <cell r="AD11340">
            <v>86500</v>
          </cell>
        </row>
        <row r="11341">
          <cell r="W11341" t="str">
            <v>QRUMP02</v>
          </cell>
          <cell r="AD11341">
            <v>86500</v>
          </cell>
        </row>
        <row r="11342">
          <cell r="W11342" t="str">
            <v>QRUMP02</v>
          </cell>
          <cell r="AD11342">
            <v>86500</v>
          </cell>
        </row>
        <row r="11343">
          <cell r="W11343" t="str">
            <v>QRUMP02</v>
          </cell>
          <cell r="AD11343">
            <v>86500</v>
          </cell>
        </row>
        <row r="11344">
          <cell r="W11344" t="str">
            <v>QRUMP02</v>
          </cell>
          <cell r="AD11344">
            <v>86500</v>
          </cell>
        </row>
        <row r="11345">
          <cell r="W11345" t="str">
            <v>QRUMP02</v>
          </cell>
          <cell r="AD11345">
            <v>86500</v>
          </cell>
        </row>
        <row r="11346">
          <cell r="W11346" t="str">
            <v>QRUMP02</v>
          </cell>
          <cell r="AD11346">
            <v>86500</v>
          </cell>
        </row>
        <row r="11347">
          <cell r="W11347" t="str">
            <v>QRUMP02</v>
          </cell>
          <cell r="AD11347">
            <v>86500</v>
          </cell>
        </row>
        <row r="11348">
          <cell r="W11348" t="str">
            <v>QRUMP02</v>
          </cell>
          <cell r="AD11348">
            <v>86500</v>
          </cell>
        </row>
        <row r="11349">
          <cell r="W11349" t="str">
            <v>QRUMP02</v>
          </cell>
          <cell r="AD11349">
            <v>86500</v>
          </cell>
        </row>
        <row r="11350">
          <cell r="W11350" t="str">
            <v>QRUMP02</v>
          </cell>
          <cell r="AD11350">
            <v>86500</v>
          </cell>
        </row>
        <row r="11351">
          <cell r="W11351" t="str">
            <v>QRUMP02</v>
          </cell>
          <cell r="AD11351">
            <v>89500</v>
          </cell>
        </row>
        <row r="11352">
          <cell r="W11352" t="str">
            <v>QRUMP02</v>
          </cell>
          <cell r="AD11352">
            <v>89500</v>
          </cell>
        </row>
        <row r="11353">
          <cell r="W11353" t="str">
            <v>QRUMP02</v>
          </cell>
          <cell r="AD11353">
            <v>89500</v>
          </cell>
        </row>
        <row r="11354">
          <cell r="W11354" t="str">
            <v>QRUMP02</v>
          </cell>
          <cell r="AD11354">
            <v>89500</v>
          </cell>
        </row>
        <row r="11355">
          <cell r="W11355" t="str">
            <v>QRUMP02</v>
          </cell>
          <cell r="AD11355">
            <v>89500</v>
          </cell>
        </row>
        <row r="11356">
          <cell r="W11356" t="str">
            <v>QRUMP02</v>
          </cell>
          <cell r="AD11356">
            <v>91500</v>
          </cell>
        </row>
        <row r="11357">
          <cell r="W11357" t="str">
            <v>QSAGR01</v>
          </cell>
          <cell r="AD11357">
            <v>81250</v>
          </cell>
        </row>
        <row r="11358">
          <cell r="W11358" t="str">
            <v>QSAMI02</v>
          </cell>
          <cell r="AD11358">
            <v>30000</v>
          </cell>
        </row>
        <row r="11359">
          <cell r="W11359" t="str">
            <v>QSAMI02</v>
          </cell>
          <cell r="AD11359">
            <v>30000</v>
          </cell>
        </row>
        <row r="11360">
          <cell r="W11360" t="str">
            <v>QSAMI02</v>
          </cell>
          <cell r="AD11360">
            <v>30000</v>
          </cell>
        </row>
        <row r="11361">
          <cell r="W11361" t="str">
            <v>QSAMI01</v>
          </cell>
          <cell r="AD11361">
            <v>55000</v>
          </cell>
        </row>
        <row r="11362">
          <cell r="W11362" t="str">
            <v>QSAMI01</v>
          </cell>
          <cell r="AD11362">
            <v>55000</v>
          </cell>
        </row>
        <row r="11363">
          <cell r="W11363" t="str">
            <v>QSAMI01</v>
          </cell>
          <cell r="AD11363">
            <v>55000</v>
          </cell>
        </row>
        <row r="11364">
          <cell r="W11364" t="str">
            <v>QSAMI01</v>
          </cell>
          <cell r="AD11364">
            <v>55000</v>
          </cell>
        </row>
        <row r="11365">
          <cell r="W11365" t="str">
            <v>QSAMI01</v>
          </cell>
          <cell r="AD11365">
            <v>55000</v>
          </cell>
        </row>
        <row r="11366">
          <cell r="W11366" t="str">
            <v>QSAMI01</v>
          </cell>
          <cell r="AD11366">
            <v>55000</v>
          </cell>
        </row>
        <row r="11367">
          <cell r="W11367" t="str">
            <v>QSAMI01</v>
          </cell>
          <cell r="AD11367">
            <v>55000</v>
          </cell>
        </row>
        <row r="11368">
          <cell r="W11368" t="str">
            <v>QSAMI01</v>
          </cell>
          <cell r="AD11368">
            <v>56000</v>
          </cell>
        </row>
        <row r="11369">
          <cell r="W11369" t="str">
            <v>QSANG04</v>
          </cell>
          <cell r="AD11369">
            <v>54000</v>
          </cell>
        </row>
        <row r="11370">
          <cell r="W11370" t="str">
            <v>QSANG04</v>
          </cell>
          <cell r="AD11370">
            <v>54000</v>
          </cell>
        </row>
        <row r="11371">
          <cell r="W11371" t="str">
            <v>QSANG04</v>
          </cell>
          <cell r="AD11371">
            <v>54000</v>
          </cell>
        </row>
        <row r="11372">
          <cell r="W11372" t="str">
            <v>QSAPR01</v>
          </cell>
          <cell r="AD11372">
            <v>165000</v>
          </cell>
        </row>
        <row r="11373">
          <cell r="W11373" t="str">
            <v>QSAPR01</v>
          </cell>
          <cell r="AD11373">
            <v>170000</v>
          </cell>
        </row>
        <row r="11374">
          <cell r="W11374" t="str">
            <v>QSAPR01</v>
          </cell>
          <cell r="AD11374">
            <v>175000</v>
          </cell>
        </row>
        <row r="11375">
          <cell r="W11375" t="str">
            <v>QSAPR01</v>
          </cell>
          <cell r="AD11375">
            <v>175000</v>
          </cell>
        </row>
        <row r="11376">
          <cell r="W11376" t="str">
            <v>QSAWI18</v>
          </cell>
          <cell r="AD11376">
            <v>15000</v>
          </cell>
        </row>
        <row r="11377">
          <cell r="W11377" t="str">
            <v>QSAWI18</v>
          </cell>
          <cell r="AD11377">
            <v>15000</v>
          </cell>
        </row>
        <row r="11378">
          <cell r="W11378" t="str">
            <v>QSAWI18</v>
          </cell>
          <cell r="AD11378">
            <v>15000</v>
          </cell>
        </row>
        <row r="11379">
          <cell r="W11379" t="str">
            <v>QSAWI18</v>
          </cell>
          <cell r="AD11379">
            <v>15000</v>
          </cell>
        </row>
        <row r="11380">
          <cell r="W11380" t="str">
            <v>QSAWI18</v>
          </cell>
          <cell r="AD11380">
            <v>15000</v>
          </cell>
        </row>
        <row r="11381">
          <cell r="W11381" t="str">
            <v>QSAWI18</v>
          </cell>
          <cell r="AD11381">
            <v>16000</v>
          </cell>
        </row>
        <row r="11382">
          <cell r="W11382" t="str">
            <v>QSAWI18</v>
          </cell>
          <cell r="AD11382">
            <v>16000</v>
          </cell>
        </row>
        <row r="11383">
          <cell r="W11383" t="str">
            <v>QSAWI18</v>
          </cell>
          <cell r="AD11383">
            <v>16000</v>
          </cell>
        </row>
        <row r="11384">
          <cell r="W11384" t="str">
            <v>QSAWI18</v>
          </cell>
          <cell r="AD11384">
            <v>16000</v>
          </cell>
        </row>
        <row r="11385">
          <cell r="W11385" t="str">
            <v>QSAWI01</v>
          </cell>
          <cell r="AD11385">
            <v>7500</v>
          </cell>
        </row>
        <row r="11386">
          <cell r="W11386" t="str">
            <v>QSAWI01</v>
          </cell>
          <cell r="AD11386">
            <v>7500</v>
          </cell>
        </row>
        <row r="11387">
          <cell r="W11387" t="str">
            <v>QSAWI01</v>
          </cell>
          <cell r="AD11387">
            <v>7500</v>
          </cell>
        </row>
        <row r="11388">
          <cell r="W11388" t="str">
            <v>QSAWI01</v>
          </cell>
          <cell r="AD11388">
            <v>8000</v>
          </cell>
        </row>
        <row r="11389">
          <cell r="W11389" t="str">
            <v>QSAWI01</v>
          </cell>
          <cell r="AD11389">
            <v>8000</v>
          </cell>
        </row>
        <row r="11390">
          <cell r="W11390" t="str">
            <v>QSAWI01</v>
          </cell>
          <cell r="AD11390">
            <v>9000</v>
          </cell>
        </row>
        <row r="11391">
          <cell r="W11391" t="str">
            <v>QSAWI01</v>
          </cell>
          <cell r="AD11391">
            <v>9000</v>
          </cell>
        </row>
        <row r="11392">
          <cell r="W11392" t="str">
            <v>QSAWI02</v>
          </cell>
          <cell r="AD11392">
            <v>11000</v>
          </cell>
        </row>
        <row r="11393">
          <cell r="W11393" t="str">
            <v>QSAWI02</v>
          </cell>
          <cell r="AD11393">
            <v>11000</v>
          </cell>
        </row>
        <row r="11394">
          <cell r="W11394" t="str">
            <v>QSAWI02</v>
          </cell>
          <cell r="AD11394">
            <v>12500</v>
          </cell>
        </row>
        <row r="11395">
          <cell r="W11395" t="str">
            <v>QSAWI02</v>
          </cell>
          <cell r="AD11395">
            <v>12500</v>
          </cell>
        </row>
        <row r="11396">
          <cell r="W11396" t="str">
            <v>QSAWI02</v>
          </cell>
          <cell r="AD11396">
            <v>12500</v>
          </cell>
        </row>
        <row r="11397">
          <cell r="W11397" t="str">
            <v>QSAWI02</v>
          </cell>
          <cell r="AD11397">
            <v>12500</v>
          </cell>
        </row>
        <row r="11398">
          <cell r="W11398" t="str">
            <v>QSAWI02</v>
          </cell>
          <cell r="AD11398">
            <v>12500</v>
          </cell>
        </row>
        <row r="11399">
          <cell r="W11399" t="str">
            <v>QSAWI02</v>
          </cell>
          <cell r="AD11399">
            <v>12500</v>
          </cell>
        </row>
        <row r="11400">
          <cell r="W11400" t="str">
            <v>QSAWI02</v>
          </cell>
          <cell r="AD11400">
            <v>12500</v>
          </cell>
        </row>
        <row r="11401">
          <cell r="W11401" t="str">
            <v>QSAWI02</v>
          </cell>
          <cell r="AD11401">
            <v>12500</v>
          </cell>
        </row>
        <row r="11402">
          <cell r="W11402" t="str">
            <v>QSAWI02</v>
          </cell>
          <cell r="AD11402">
            <v>12500</v>
          </cell>
        </row>
        <row r="11403">
          <cell r="W11403" t="str">
            <v>QSAWI02</v>
          </cell>
          <cell r="AD11403">
            <v>12500</v>
          </cell>
        </row>
        <row r="11404">
          <cell r="W11404" t="str">
            <v>QSAWI02</v>
          </cell>
          <cell r="AD11404">
            <v>12500</v>
          </cell>
        </row>
        <row r="11405">
          <cell r="W11405" t="str">
            <v>QSAWI02</v>
          </cell>
          <cell r="AD11405">
            <v>12500</v>
          </cell>
        </row>
        <row r="11406">
          <cell r="W11406" t="str">
            <v>QSAWI02</v>
          </cell>
          <cell r="AD11406">
            <v>12500</v>
          </cell>
        </row>
        <row r="11407">
          <cell r="W11407" t="str">
            <v>QSAWI02</v>
          </cell>
          <cell r="AD11407">
            <v>12500</v>
          </cell>
        </row>
        <row r="11408">
          <cell r="W11408" t="str">
            <v>QSAWI02</v>
          </cell>
          <cell r="AD11408">
            <v>13000</v>
          </cell>
        </row>
        <row r="11409">
          <cell r="W11409" t="str">
            <v>QSAWI02</v>
          </cell>
          <cell r="AD11409">
            <v>13000</v>
          </cell>
        </row>
        <row r="11410">
          <cell r="W11410" t="str">
            <v>QSAWI02</v>
          </cell>
          <cell r="AD11410">
            <v>13000</v>
          </cell>
        </row>
        <row r="11411">
          <cell r="W11411" t="str">
            <v>QSAWI02</v>
          </cell>
          <cell r="AD11411">
            <v>13000</v>
          </cell>
        </row>
        <row r="11412">
          <cell r="W11412" t="str">
            <v>QSAWI02</v>
          </cell>
          <cell r="AD11412">
            <v>13000</v>
          </cell>
        </row>
        <row r="11413">
          <cell r="W11413" t="str">
            <v>QSAWI02</v>
          </cell>
          <cell r="AD11413">
            <v>13000</v>
          </cell>
        </row>
        <row r="11414">
          <cell r="W11414" t="str">
            <v>QSAWI02</v>
          </cell>
          <cell r="AD11414">
            <v>13000</v>
          </cell>
        </row>
        <row r="11415">
          <cell r="W11415" t="str">
            <v>QSAWI02</v>
          </cell>
          <cell r="AD11415">
            <v>13000</v>
          </cell>
        </row>
        <row r="11416">
          <cell r="W11416" t="str">
            <v>QSAWI02</v>
          </cell>
          <cell r="AD11416">
            <v>14000</v>
          </cell>
        </row>
        <row r="11417">
          <cell r="W11417" t="str">
            <v>QSAWI02</v>
          </cell>
          <cell r="AD11417">
            <v>15000</v>
          </cell>
        </row>
        <row r="11418">
          <cell r="W11418" t="str">
            <v>QSAWI02</v>
          </cell>
          <cell r="AD11418">
            <v>15000</v>
          </cell>
        </row>
        <row r="11419">
          <cell r="W11419" t="str">
            <v>QSAWI02</v>
          </cell>
          <cell r="AD11419">
            <v>15000</v>
          </cell>
        </row>
        <row r="11420">
          <cell r="W11420" t="str">
            <v>QSAWI17</v>
          </cell>
          <cell r="AD11420">
            <v>33000</v>
          </cell>
        </row>
        <row r="11421">
          <cell r="W11421" t="str">
            <v>QSAWI17</v>
          </cell>
          <cell r="AD11421">
            <v>33000</v>
          </cell>
        </row>
        <row r="11422">
          <cell r="W11422" t="str">
            <v>QSAWI17</v>
          </cell>
          <cell r="AD11422">
            <v>33000</v>
          </cell>
        </row>
        <row r="11423">
          <cell r="W11423" t="str">
            <v>QSAWI17</v>
          </cell>
          <cell r="AD11423">
            <v>33000</v>
          </cell>
        </row>
        <row r="11424">
          <cell r="W11424" t="str">
            <v>QSAWI17</v>
          </cell>
          <cell r="AD11424">
            <v>35000</v>
          </cell>
        </row>
        <row r="11425">
          <cell r="W11425" t="str">
            <v>QSAWI17</v>
          </cell>
          <cell r="AD11425">
            <v>35000</v>
          </cell>
        </row>
        <row r="11426">
          <cell r="W11426" t="str">
            <v>QSAWI17</v>
          </cell>
          <cell r="AD11426">
            <v>35000</v>
          </cell>
        </row>
        <row r="11427">
          <cell r="W11427" t="str">
            <v>QSAWI17</v>
          </cell>
          <cell r="AD11427">
            <v>35000</v>
          </cell>
        </row>
        <row r="11428">
          <cell r="W11428" t="str">
            <v>QSAWI17</v>
          </cell>
          <cell r="AD11428">
            <v>38000</v>
          </cell>
        </row>
        <row r="11429">
          <cell r="W11429" t="str">
            <v>QSAWI04</v>
          </cell>
          <cell r="AD11429">
            <v>41000</v>
          </cell>
        </row>
        <row r="11430">
          <cell r="W11430" t="str">
            <v>QSAWI26</v>
          </cell>
          <cell r="AD11430">
            <v>41000</v>
          </cell>
        </row>
        <row r="11431">
          <cell r="W11431" t="str">
            <v>QSAWI26</v>
          </cell>
          <cell r="AD11431">
            <v>45000</v>
          </cell>
        </row>
        <row r="11432">
          <cell r="W11432" t="str">
            <v>QSAWI26</v>
          </cell>
          <cell r="AD11432">
            <v>45000</v>
          </cell>
        </row>
        <row r="11433">
          <cell r="W11433" t="str">
            <v>QSAWI26</v>
          </cell>
          <cell r="AD11433">
            <v>45000</v>
          </cell>
        </row>
        <row r="11434">
          <cell r="W11434" t="str">
            <v>QSAWI26</v>
          </cell>
          <cell r="AD11434">
            <v>47000</v>
          </cell>
        </row>
        <row r="11435">
          <cell r="W11435" t="str">
            <v>QSAWI06</v>
          </cell>
          <cell r="AD11435">
            <v>12000</v>
          </cell>
        </row>
        <row r="11436">
          <cell r="W11436" t="str">
            <v>QSAWI06</v>
          </cell>
          <cell r="AD11436">
            <v>12000</v>
          </cell>
        </row>
        <row r="11437">
          <cell r="W11437" t="str">
            <v>QSAWI06</v>
          </cell>
          <cell r="AD11437">
            <v>12000</v>
          </cell>
        </row>
        <row r="11438">
          <cell r="W11438" t="str">
            <v>QSAWI06</v>
          </cell>
          <cell r="AD11438">
            <v>12000</v>
          </cell>
        </row>
        <row r="11439">
          <cell r="W11439" t="str">
            <v>QSAWI06</v>
          </cell>
          <cell r="AD11439">
            <v>12000</v>
          </cell>
        </row>
        <row r="11440">
          <cell r="W11440" t="str">
            <v>QSAWI06</v>
          </cell>
          <cell r="AD11440">
            <v>12000</v>
          </cell>
        </row>
        <row r="11441">
          <cell r="W11441" t="str">
            <v>QSAWI06</v>
          </cell>
          <cell r="AD11441">
            <v>12000</v>
          </cell>
        </row>
        <row r="11442">
          <cell r="W11442" t="str">
            <v>QSAWI06</v>
          </cell>
          <cell r="AD11442">
            <v>12000</v>
          </cell>
        </row>
        <row r="11443">
          <cell r="W11443" t="str">
            <v>QSAWI06</v>
          </cell>
          <cell r="AD11443">
            <v>12000</v>
          </cell>
        </row>
        <row r="11444">
          <cell r="W11444" t="str">
            <v>QSAWI06</v>
          </cell>
          <cell r="AD11444">
            <v>12000</v>
          </cell>
        </row>
        <row r="11445">
          <cell r="W11445" t="str">
            <v>QSAWI06</v>
          </cell>
          <cell r="AD11445">
            <v>12000</v>
          </cell>
        </row>
        <row r="11446">
          <cell r="W11446" t="str">
            <v>QSAWI06</v>
          </cell>
          <cell r="AD11446">
            <v>12000</v>
          </cell>
        </row>
        <row r="11447">
          <cell r="W11447" t="str">
            <v>QSAWI06</v>
          </cell>
          <cell r="AD11447">
            <v>12000</v>
          </cell>
        </row>
        <row r="11448">
          <cell r="W11448" t="str">
            <v>QSAWI06</v>
          </cell>
          <cell r="AD11448">
            <v>12000</v>
          </cell>
        </row>
        <row r="11449">
          <cell r="W11449" t="str">
            <v>QSAWI06</v>
          </cell>
          <cell r="AD11449">
            <v>12000</v>
          </cell>
        </row>
        <row r="11450">
          <cell r="W11450" t="str">
            <v>QSAWI06</v>
          </cell>
          <cell r="AD11450">
            <v>12000</v>
          </cell>
        </row>
        <row r="11451">
          <cell r="W11451" t="str">
            <v>QSAWI06</v>
          </cell>
          <cell r="AD11451">
            <v>12000</v>
          </cell>
        </row>
        <row r="11452">
          <cell r="W11452" t="str">
            <v>QSAWI06</v>
          </cell>
          <cell r="AD11452">
            <v>12000</v>
          </cell>
        </row>
        <row r="11453">
          <cell r="W11453" t="str">
            <v>QSAWI06</v>
          </cell>
          <cell r="AD11453">
            <v>12000</v>
          </cell>
        </row>
        <row r="11454">
          <cell r="W11454" t="str">
            <v>QSAWI06</v>
          </cell>
          <cell r="AD11454">
            <v>13000</v>
          </cell>
        </row>
        <row r="11455">
          <cell r="W11455" t="str">
            <v>QSAWI06</v>
          </cell>
          <cell r="AD11455">
            <v>13000</v>
          </cell>
        </row>
        <row r="11456">
          <cell r="W11456" t="str">
            <v>QSAWI06</v>
          </cell>
          <cell r="AD11456">
            <v>13000</v>
          </cell>
        </row>
        <row r="11457">
          <cell r="W11457" t="str">
            <v>QSAWI06</v>
          </cell>
          <cell r="AD11457">
            <v>13000</v>
          </cell>
        </row>
        <row r="11458">
          <cell r="W11458" t="str">
            <v>QSAWI06</v>
          </cell>
          <cell r="AD11458">
            <v>13000</v>
          </cell>
        </row>
        <row r="11459">
          <cell r="W11459" t="str">
            <v>QSAWI06</v>
          </cell>
          <cell r="AD11459">
            <v>13000</v>
          </cell>
        </row>
        <row r="11460">
          <cell r="W11460" t="str">
            <v>QSAWI06</v>
          </cell>
          <cell r="AD11460">
            <v>13500</v>
          </cell>
        </row>
        <row r="11461">
          <cell r="W11461" t="str">
            <v>QSAWI06</v>
          </cell>
          <cell r="AD11461">
            <v>15000</v>
          </cell>
        </row>
        <row r="11462">
          <cell r="W11462" t="str">
            <v>QSCOR02</v>
          </cell>
          <cell r="AD11462">
            <v>150000</v>
          </cell>
        </row>
        <row r="11463">
          <cell r="W11463" t="str">
            <v>QSCOR02</v>
          </cell>
          <cell r="AD11463">
            <v>150000</v>
          </cell>
        </row>
        <row r="11464">
          <cell r="W11464" t="str">
            <v>QSCOR02</v>
          </cell>
          <cell r="AD11464">
            <v>150000</v>
          </cell>
        </row>
        <row r="11465">
          <cell r="W11465" t="str">
            <v>QSCOR02</v>
          </cell>
          <cell r="AD11465">
            <v>150000</v>
          </cell>
        </row>
        <row r="11466">
          <cell r="W11466" t="str">
            <v>QSCOR02</v>
          </cell>
          <cell r="AD11466">
            <v>150000</v>
          </cell>
        </row>
        <row r="11467">
          <cell r="W11467" t="str">
            <v>QSCOR02</v>
          </cell>
          <cell r="AD11467">
            <v>150000</v>
          </cell>
        </row>
        <row r="11468">
          <cell r="W11468" t="str">
            <v>QSCOR02</v>
          </cell>
          <cell r="AD11468">
            <v>150500</v>
          </cell>
        </row>
        <row r="11469">
          <cell r="W11469" t="str">
            <v>QSCOR02</v>
          </cell>
          <cell r="AD11469">
            <v>150500</v>
          </cell>
        </row>
        <row r="11470">
          <cell r="W11470" t="str">
            <v>QSCOR02</v>
          </cell>
          <cell r="AD11470">
            <v>150500</v>
          </cell>
        </row>
        <row r="11471">
          <cell r="W11471" t="str">
            <v>QSCOR02</v>
          </cell>
          <cell r="AD11471">
            <v>150500</v>
          </cell>
        </row>
        <row r="11472">
          <cell r="W11472" t="str">
            <v>QSCOR02</v>
          </cell>
          <cell r="AD11472">
            <v>151000</v>
          </cell>
        </row>
        <row r="11473">
          <cell r="W11473" t="str">
            <v>QSCOR02</v>
          </cell>
          <cell r="AD11473">
            <v>151000</v>
          </cell>
        </row>
        <row r="11474">
          <cell r="W11474" t="str">
            <v>QSCOR02</v>
          </cell>
          <cell r="AD11474">
            <v>151000</v>
          </cell>
        </row>
        <row r="11475">
          <cell r="W11475" t="str">
            <v>QSCOR02</v>
          </cell>
          <cell r="AD11475">
            <v>151000</v>
          </cell>
        </row>
        <row r="11476">
          <cell r="W11476" t="str">
            <v>QSCOR02</v>
          </cell>
          <cell r="AD11476">
            <v>153000</v>
          </cell>
        </row>
        <row r="11477">
          <cell r="W11477" t="str">
            <v>QSCOR02</v>
          </cell>
          <cell r="AD11477">
            <v>153000</v>
          </cell>
        </row>
        <row r="11478">
          <cell r="W11478" t="str">
            <v>QSCOR02</v>
          </cell>
          <cell r="AD11478">
            <v>153000</v>
          </cell>
        </row>
        <row r="11479">
          <cell r="W11479" t="str">
            <v>QSCOR02</v>
          </cell>
          <cell r="AD11479">
            <v>153000</v>
          </cell>
        </row>
        <row r="11480">
          <cell r="W11480" t="str">
            <v>QSCOR02</v>
          </cell>
          <cell r="AD11480">
            <v>153000</v>
          </cell>
        </row>
        <row r="11481">
          <cell r="W11481" t="str">
            <v>QSCOR02</v>
          </cell>
          <cell r="AD11481">
            <v>153000</v>
          </cell>
        </row>
        <row r="11482">
          <cell r="W11482" t="str">
            <v>QSCOR02</v>
          </cell>
          <cell r="AD11482">
            <v>153000</v>
          </cell>
        </row>
        <row r="11483">
          <cell r="W11483" t="str">
            <v>QSCOR02</v>
          </cell>
          <cell r="AD11483">
            <v>153000</v>
          </cell>
        </row>
        <row r="11484">
          <cell r="W11484" t="str">
            <v>QSCOR02</v>
          </cell>
          <cell r="AD11484">
            <v>153000</v>
          </cell>
        </row>
        <row r="11485">
          <cell r="W11485" t="str">
            <v>QSCOR02</v>
          </cell>
          <cell r="AD11485">
            <v>153000</v>
          </cell>
        </row>
        <row r="11486">
          <cell r="W11486" t="str">
            <v>QSCOR02</v>
          </cell>
          <cell r="AD11486">
            <v>153000</v>
          </cell>
        </row>
        <row r="11487">
          <cell r="W11487" t="str">
            <v>QSCOR02</v>
          </cell>
          <cell r="AD11487">
            <v>153000</v>
          </cell>
        </row>
        <row r="11488">
          <cell r="W11488" t="str">
            <v>QSCOR02</v>
          </cell>
          <cell r="AD11488">
            <v>153000</v>
          </cell>
        </row>
        <row r="11489">
          <cell r="W11489" t="str">
            <v>QSCOR02</v>
          </cell>
          <cell r="AD11489">
            <v>153000</v>
          </cell>
        </row>
        <row r="11490">
          <cell r="W11490" t="str">
            <v>QSCOR02</v>
          </cell>
          <cell r="AD11490">
            <v>153250</v>
          </cell>
        </row>
        <row r="11491">
          <cell r="W11491" t="str">
            <v>QSCOR02</v>
          </cell>
          <cell r="AD11491">
            <v>153500</v>
          </cell>
        </row>
        <row r="11492">
          <cell r="W11492" t="str">
            <v>QSCOR02</v>
          </cell>
          <cell r="AD11492">
            <v>153500</v>
          </cell>
        </row>
        <row r="11493">
          <cell r="W11493" t="str">
            <v>QSCOR02</v>
          </cell>
          <cell r="AD11493">
            <v>153500</v>
          </cell>
        </row>
        <row r="11494">
          <cell r="W11494" t="str">
            <v>QSCOR02</v>
          </cell>
          <cell r="AD11494">
            <v>154500</v>
          </cell>
        </row>
        <row r="11495">
          <cell r="W11495" t="str">
            <v>QSCOR02</v>
          </cell>
          <cell r="AD11495">
            <v>154500</v>
          </cell>
        </row>
        <row r="11496">
          <cell r="W11496" t="str">
            <v>QSCOR02</v>
          </cell>
          <cell r="AD11496">
            <v>154500</v>
          </cell>
        </row>
        <row r="11497">
          <cell r="W11497" t="str">
            <v>QSCOR02</v>
          </cell>
          <cell r="AD11497">
            <v>154500</v>
          </cell>
        </row>
        <row r="11498">
          <cell r="W11498" t="str">
            <v>QSCOR02</v>
          </cell>
          <cell r="AD11498">
            <v>154500</v>
          </cell>
        </row>
        <row r="11499">
          <cell r="W11499" t="str">
            <v>QSCOR02</v>
          </cell>
          <cell r="AD11499">
            <v>154500</v>
          </cell>
        </row>
        <row r="11500">
          <cell r="W11500" t="str">
            <v>QSCOR02</v>
          </cell>
          <cell r="AD11500">
            <v>154700</v>
          </cell>
        </row>
        <row r="11501">
          <cell r="W11501" t="str">
            <v>QSCOR03</v>
          </cell>
          <cell r="AD11501">
            <v>50000</v>
          </cell>
        </row>
        <row r="11502">
          <cell r="W11502" t="str">
            <v>QSCOR03</v>
          </cell>
          <cell r="AD11502">
            <v>50500</v>
          </cell>
        </row>
        <row r="11503">
          <cell r="W11503" t="str">
            <v>QSCOR03</v>
          </cell>
          <cell r="AD11503">
            <v>50500</v>
          </cell>
        </row>
        <row r="11504">
          <cell r="W11504" t="str">
            <v>QSCOR03</v>
          </cell>
          <cell r="AD11504">
            <v>50500</v>
          </cell>
        </row>
        <row r="11505">
          <cell r="W11505" t="str">
            <v>QSCOR03</v>
          </cell>
          <cell r="AD11505">
            <v>50500</v>
          </cell>
        </row>
        <row r="11506">
          <cell r="W11506" t="str">
            <v>QSCOR03</v>
          </cell>
          <cell r="AD11506">
            <v>50500</v>
          </cell>
        </row>
        <row r="11507">
          <cell r="W11507" t="str">
            <v>QSCOR03</v>
          </cell>
          <cell r="AD11507">
            <v>50500</v>
          </cell>
        </row>
        <row r="11508">
          <cell r="W11508" t="str">
            <v>QSCOR03</v>
          </cell>
          <cell r="AD11508">
            <v>50500</v>
          </cell>
        </row>
        <row r="11509">
          <cell r="W11509" t="str">
            <v>QSCOR03</v>
          </cell>
          <cell r="AD11509">
            <v>50500</v>
          </cell>
        </row>
        <row r="11510">
          <cell r="W11510" t="str">
            <v>QSCOR03</v>
          </cell>
          <cell r="AD11510">
            <v>50500</v>
          </cell>
        </row>
        <row r="11511">
          <cell r="W11511" t="str">
            <v>QSCOR03</v>
          </cell>
          <cell r="AD11511">
            <v>50750</v>
          </cell>
        </row>
        <row r="11512">
          <cell r="W11512" t="str">
            <v>QSCOR03</v>
          </cell>
          <cell r="AD11512">
            <v>51000</v>
          </cell>
        </row>
        <row r="11513">
          <cell r="W11513" t="str">
            <v>QSCOR03</v>
          </cell>
          <cell r="AD11513">
            <v>51000</v>
          </cell>
        </row>
        <row r="11514">
          <cell r="W11514" t="str">
            <v>QSCOR03</v>
          </cell>
          <cell r="AD11514">
            <v>51000</v>
          </cell>
        </row>
        <row r="11515">
          <cell r="W11515" t="str">
            <v>QSCOR03</v>
          </cell>
          <cell r="AD11515">
            <v>51000</v>
          </cell>
        </row>
        <row r="11516">
          <cell r="W11516" t="str">
            <v>QSCOR03</v>
          </cell>
          <cell r="AD11516">
            <v>51000</v>
          </cell>
        </row>
        <row r="11517">
          <cell r="W11517" t="str">
            <v>QSCOR03</v>
          </cell>
          <cell r="AD11517">
            <v>51000</v>
          </cell>
        </row>
        <row r="11518">
          <cell r="W11518" t="str">
            <v>QSCOR03</v>
          </cell>
          <cell r="AD11518">
            <v>51000</v>
          </cell>
        </row>
        <row r="11519">
          <cell r="W11519" t="str">
            <v>QSCOR03</v>
          </cell>
          <cell r="AD11519">
            <v>51000</v>
          </cell>
        </row>
        <row r="11520">
          <cell r="W11520" t="str">
            <v>QSCOR03</v>
          </cell>
          <cell r="AD11520">
            <v>51000</v>
          </cell>
        </row>
        <row r="11521">
          <cell r="W11521" t="str">
            <v>QSCOR03</v>
          </cell>
          <cell r="AD11521">
            <v>51000</v>
          </cell>
        </row>
        <row r="11522">
          <cell r="W11522" t="str">
            <v>QSCOR03</v>
          </cell>
          <cell r="AD11522">
            <v>51000</v>
          </cell>
        </row>
        <row r="11523">
          <cell r="W11523" t="str">
            <v>QSCOR03</v>
          </cell>
          <cell r="AD11523">
            <v>51000</v>
          </cell>
        </row>
        <row r="11524">
          <cell r="W11524" t="str">
            <v>QSCOR03</v>
          </cell>
          <cell r="AD11524">
            <v>51000</v>
          </cell>
        </row>
        <row r="11525">
          <cell r="W11525" t="str">
            <v>QSCOR03</v>
          </cell>
          <cell r="AD11525">
            <v>51000</v>
          </cell>
        </row>
        <row r="11526">
          <cell r="W11526" t="str">
            <v>QSCOR03</v>
          </cell>
          <cell r="AD11526">
            <v>51000</v>
          </cell>
        </row>
        <row r="11527">
          <cell r="W11527" t="str">
            <v>QSCOR03</v>
          </cell>
          <cell r="AD11527">
            <v>51000</v>
          </cell>
        </row>
        <row r="11528">
          <cell r="W11528" t="str">
            <v>QSCOR03</v>
          </cell>
          <cell r="AD11528">
            <v>51000</v>
          </cell>
        </row>
        <row r="11529">
          <cell r="W11529" t="str">
            <v>QSCOR03</v>
          </cell>
          <cell r="AD11529">
            <v>51000</v>
          </cell>
        </row>
        <row r="11530">
          <cell r="W11530" t="str">
            <v>QSCOR03</v>
          </cell>
          <cell r="AD11530">
            <v>51000</v>
          </cell>
        </row>
        <row r="11531">
          <cell r="W11531" t="str">
            <v>QSCOR03</v>
          </cell>
          <cell r="AD11531">
            <v>51000</v>
          </cell>
        </row>
        <row r="11532">
          <cell r="W11532" t="str">
            <v>QSCOR03</v>
          </cell>
          <cell r="AD11532">
            <v>51000</v>
          </cell>
        </row>
        <row r="11533">
          <cell r="W11533" t="str">
            <v>QSCOR03</v>
          </cell>
          <cell r="AD11533">
            <v>51000</v>
          </cell>
        </row>
        <row r="11534">
          <cell r="W11534" t="str">
            <v>QSCOR03</v>
          </cell>
          <cell r="AD11534">
            <v>51000</v>
          </cell>
        </row>
        <row r="11535">
          <cell r="W11535" t="str">
            <v>QSCOR03</v>
          </cell>
          <cell r="AD11535">
            <v>51000</v>
          </cell>
        </row>
        <row r="11536">
          <cell r="W11536" t="str">
            <v>QSCOR03</v>
          </cell>
          <cell r="AD11536">
            <v>51500</v>
          </cell>
        </row>
        <row r="11537">
          <cell r="W11537" t="str">
            <v>QSCOR03</v>
          </cell>
          <cell r="AD11537">
            <v>51500</v>
          </cell>
        </row>
        <row r="11538">
          <cell r="W11538" t="str">
            <v>QSCOR03</v>
          </cell>
          <cell r="AD11538">
            <v>51500</v>
          </cell>
        </row>
        <row r="11539">
          <cell r="W11539" t="str">
            <v>QSCOR03</v>
          </cell>
          <cell r="AD11539">
            <v>51500</v>
          </cell>
        </row>
        <row r="11540">
          <cell r="W11540" t="str">
            <v>QSCOR03</v>
          </cell>
          <cell r="AD11540">
            <v>51500</v>
          </cell>
        </row>
        <row r="11541">
          <cell r="W11541" t="str">
            <v>QSCOR03</v>
          </cell>
          <cell r="AD11541">
            <v>51500</v>
          </cell>
        </row>
        <row r="11542">
          <cell r="W11542" t="str">
            <v>QSCOR03</v>
          </cell>
          <cell r="AD11542">
            <v>51500</v>
          </cell>
        </row>
        <row r="11543">
          <cell r="W11543" t="str">
            <v>QSCOR03</v>
          </cell>
          <cell r="AD11543">
            <v>51500</v>
          </cell>
        </row>
        <row r="11544">
          <cell r="W11544" t="str">
            <v>QSCOR03</v>
          </cell>
          <cell r="AD11544">
            <v>51500</v>
          </cell>
        </row>
        <row r="11545">
          <cell r="W11545" t="str">
            <v>QSCOR03</v>
          </cell>
          <cell r="AD11545">
            <v>51500</v>
          </cell>
        </row>
        <row r="11546">
          <cell r="W11546" t="str">
            <v>QSCOR03</v>
          </cell>
          <cell r="AD11546">
            <v>51500</v>
          </cell>
        </row>
        <row r="11547">
          <cell r="W11547" t="str">
            <v>QSCOR03</v>
          </cell>
          <cell r="AD11547">
            <v>51500</v>
          </cell>
        </row>
        <row r="11548">
          <cell r="W11548" t="str">
            <v>QSCOR03</v>
          </cell>
          <cell r="AD11548">
            <v>51500</v>
          </cell>
        </row>
        <row r="11549">
          <cell r="W11549" t="str">
            <v>QSCOR03</v>
          </cell>
          <cell r="AD11549">
            <v>51550</v>
          </cell>
        </row>
        <row r="11550">
          <cell r="W11550" t="str">
            <v>QSCOR03</v>
          </cell>
          <cell r="AD11550">
            <v>51600</v>
          </cell>
        </row>
        <row r="11551">
          <cell r="W11551" t="str">
            <v>QSCOR03</v>
          </cell>
          <cell r="AD11551">
            <v>51600</v>
          </cell>
        </row>
        <row r="11552">
          <cell r="W11552" t="str">
            <v>QSCOR03</v>
          </cell>
          <cell r="AD11552">
            <v>51600</v>
          </cell>
        </row>
        <row r="11553">
          <cell r="W11553" t="str">
            <v>QSCOR03</v>
          </cell>
          <cell r="AD11553">
            <v>51600</v>
          </cell>
        </row>
        <row r="11554">
          <cell r="W11554" t="str">
            <v>QSCOR03</v>
          </cell>
          <cell r="AD11554">
            <v>51700</v>
          </cell>
        </row>
        <row r="11555">
          <cell r="W11555" t="str">
            <v>QSCOR03</v>
          </cell>
          <cell r="AD11555">
            <v>51750</v>
          </cell>
        </row>
        <row r="11556">
          <cell r="W11556" t="str">
            <v>QSCOR03</v>
          </cell>
          <cell r="AD11556">
            <v>51750</v>
          </cell>
        </row>
        <row r="11557">
          <cell r="W11557" t="str">
            <v>QSCOR03</v>
          </cell>
          <cell r="AD11557">
            <v>51750</v>
          </cell>
        </row>
        <row r="11558">
          <cell r="W11558" t="str">
            <v>QSCOR03</v>
          </cell>
          <cell r="AD11558">
            <v>51750</v>
          </cell>
        </row>
        <row r="11559">
          <cell r="W11559" t="str">
            <v>QSCOR03</v>
          </cell>
          <cell r="AD11559">
            <v>52000</v>
          </cell>
        </row>
        <row r="11560">
          <cell r="W11560" t="str">
            <v>QSCOR03</v>
          </cell>
          <cell r="AD11560">
            <v>52500</v>
          </cell>
        </row>
        <row r="11561">
          <cell r="W11561" t="str">
            <v>QSELA03</v>
          </cell>
          <cell r="AD11561">
            <v>15000</v>
          </cell>
        </row>
        <row r="11562">
          <cell r="W11562" t="str">
            <v>QSELA03</v>
          </cell>
          <cell r="AD11562">
            <v>15000</v>
          </cell>
        </row>
        <row r="11563">
          <cell r="W11563" t="str">
            <v>QSELA03</v>
          </cell>
          <cell r="AD11563">
            <v>15000</v>
          </cell>
        </row>
        <row r="11564">
          <cell r="W11564" t="str">
            <v>QSELA03</v>
          </cell>
          <cell r="AD11564">
            <v>17500</v>
          </cell>
        </row>
        <row r="11565">
          <cell r="W11565" t="str">
            <v>QSEVI02</v>
          </cell>
          <cell r="AD11565">
            <v>27000</v>
          </cell>
        </row>
        <row r="11566">
          <cell r="W11566" t="str">
            <v>QSEVI02</v>
          </cell>
          <cell r="AD11566">
            <v>27000</v>
          </cell>
        </row>
        <row r="11567">
          <cell r="W11567" t="str">
            <v>QSEVI02</v>
          </cell>
          <cell r="AD11567">
            <v>27000</v>
          </cell>
        </row>
        <row r="11568">
          <cell r="W11568" t="str">
            <v>QSEVI02</v>
          </cell>
          <cell r="AD11568">
            <v>27000</v>
          </cell>
        </row>
        <row r="11569">
          <cell r="W11569" t="str">
            <v>QSEVI02</v>
          </cell>
          <cell r="AD11569">
            <v>27000</v>
          </cell>
        </row>
        <row r="11570">
          <cell r="W11570" t="str">
            <v>QSEVI02</v>
          </cell>
          <cell r="AD11570">
            <v>27000</v>
          </cell>
        </row>
        <row r="11571">
          <cell r="W11571" t="str">
            <v>QSEVI02</v>
          </cell>
          <cell r="AD11571">
            <v>27000</v>
          </cell>
        </row>
        <row r="11572">
          <cell r="W11572" t="str">
            <v>QSEVI02</v>
          </cell>
          <cell r="AD11572">
            <v>27000</v>
          </cell>
        </row>
        <row r="11573">
          <cell r="W11573" t="str">
            <v>QSEVI02</v>
          </cell>
          <cell r="AD11573">
            <v>27000</v>
          </cell>
        </row>
        <row r="11574">
          <cell r="W11574" t="str">
            <v>QSEVI02</v>
          </cell>
          <cell r="AD11574">
            <v>27000</v>
          </cell>
        </row>
        <row r="11575">
          <cell r="W11575" t="str">
            <v>QSEVI02</v>
          </cell>
          <cell r="AD11575">
            <v>27000</v>
          </cell>
        </row>
        <row r="11576">
          <cell r="W11576" t="str">
            <v>QSEVI02</v>
          </cell>
          <cell r="AD11576">
            <v>27000</v>
          </cell>
        </row>
        <row r="11577">
          <cell r="W11577" t="str">
            <v>QSEVI02</v>
          </cell>
          <cell r="AD11577">
            <v>27000</v>
          </cell>
        </row>
        <row r="11578">
          <cell r="W11578" t="str">
            <v>QSEVI02</v>
          </cell>
          <cell r="AD11578">
            <v>27000</v>
          </cell>
        </row>
        <row r="11579">
          <cell r="W11579" t="str">
            <v>QSEVI02</v>
          </cell>
          <cell r="AD11579">
            <v>27000</v>
          </cell>
        </row>
        <row r="11580">
          <cell r="W11580" t="str">
            <v>QSEVI02</v>
          </cell>
          <cell r="AD11580">
            <v>27000</v>
          </cell>
        </row>
        <row r="11581">
          <cell r="W11581" t="str">
            <v>QSEVI02</v>
          </cell>
          <cell r="AD11581">
            <v>27000</v>
          </cell>
        </row>
        <row r="11582">
          <cell r="W11582" t="str">
            <v>QSEVI02</v>
          </cell>
          <cell r="AD11582">
            <v>27000</v>
          </cell>
        </row>
        <row r="11583">
          <cell r="W11583" t="str">
            <v>QSEVI02</v>
          </cell>
          <cell r="AD11583">
            <v>27000</v>
          </cell>
        </row>
        <row r="11584">
          <cell r="W11584" t="str">
            <v>QSEVI02</v>
          </cell>
          <cell r="AD11584">
            <v>27000</v>
          </cell>
        </row>
        <row r="11585">
          <cell r="W11585" t="str">
            <v>QSEVI02</v>
          </cell>
          <cell r="AD11585">
            <v>27000</v>
          </cell>
        </row>
        <row r="11586">
          <cell r="W11586" t="str">
            <v>QSEVI02</v>
          </cell>
          <cell r="AD11586">
            <v>27000</v>
          </cell>
        </row>
        <row r="11587">
          <cell r="W11587" t="str">
            <v>QSEVI02</v>
          </cell>
          <cell r="AD11587">
            <v>27000</v>
          </cell>
        </row>
        <row r="11588">
          <cell r="W11588" t="str">
            <v>QSEVI02</v>
          </cell>
          <cell r="AD11588">
            <v>27000</v>
          </cell>
        </row>
        <row r="11589">
          <cell r="W11589" t="str">
            <v>QSEVI02</v>
          </cell>
          <cell r="AD11589">
            <v>27000</v>
          </cell>
        </row>
        <row r="11590">
          <cell r="W11590" t="str">
            <v>QSEVI02</v>
          </cell>
          <cell r="AD11590">
            <v>28000</v>
          </cell>
        </row>
        <row r="11591">
          <cell r="W11591" t="str">
            <v>QSEVI02</v>
          </cell>
          <cell r="AD11591">
            <v>28000</v>
          </cell>
        </row>
        <row r="11592">
          <cell r="W11592" t="str">
            <v>QSG0101</v>
          </cell>
          <cell r="AD11592">
            <v>34500</v>
          </cell>
        </row>
        <row r="11593">
          <cell r="W11593" t="str">
            <v>QSG0502</v>
          </cell>
          <cell r="AD11593">
            <v>10000</v>
          </cell>
        </row>
        <row r="11594">
          <cell r="W11594" t="str">
            <v>QSG0501</v>
          </cell>
          <cell r="AD11594">
            <v>33500</v>
          </cell>
        </row>
        <row r="11595">
          <cell r="W11595" t="str">
            <v>QSG0501</v>
          </cell>
          <cell r="AD11595">
            <v>34500</v>
          </cell>
        </row>
        <row r="11596">
          <cell r="W11596" t="str">
            <v>QSG0501</v>
          </cell>
          <cell r="AD11596">
            <v>34500</v>
          </cell>
        </row>
        <row r="11597">
          <cell r="W11597" t="str">
            <v>QSIKL02</v>
          </cell>
          <cell r="AD11597">
            <v>32500</v>
          </cell>
        </row>
        <row r="11598">
          <cell r="W11598" t="str">
            <v>QSIKL02</v>
          </cell>
          <cell r="AD11598">
            <v>32750</v>
          </cell>
        </row>
        <row r="11599">
          <cell r="W11599" t="str">
            <v>QSIKL02</v>
          </cell>
          <cell r="AD11599">
            <v>34000</v>
          </cell>
        </row>
        <row r="11600">
          <cell r="W11600" t="str">
            <v>QSIKL02</v>
          </cell>
          <cell r="AD11600">
            <v>34500</v>
          </cell>
        </row>
        <row r="11601">
          <cell r="W11601" t="str">
            <v>QSIKL02</v>
          </cell>
          <cell r="AD11601">
            <v>34500</v>
          </cell>
        </row>
        <row r="11602">
          <cell r="W11602" t="str">
            <v>QSIKL02</v>
          </cell>
          <cell r="AD11602">
            <v>34500</v>
          </cell>
        </row>
        <row r="11603">
          <cell r="W11603" t="str">
            <v>QSIKL02</v>
          </cell>
          <cell r="AD11603">
            <v>35000</v>
          </cell>
        </row>
        <row r="11604">
          <cell r="W11604" t="str">
            <v>QSIKL02</v>
          </cell>
          <cell r="AD11604">
            <v>35000</v>
          </cell>
        </row>
        <row r="11605">
          <cell r="W11605" t="str">
            <v>QSIKL02</v>
          </cell>
          <cell r="AD11605">
            <v>35000</v>
          </cell>
        </row>
        <row r="11606">
          <cell r="W11606" t="str">
            <v>QSIKL02</v>
          </cell>
          <cell r="AD11606">
            <v>35000</v>
          </cell>
        </row>
        <row r="11607">
          <cell r="W11607" t="str">
            <v>QSIKL02</v>
          </cell>
          <cell r="AD11607">
            <v>37000</v>
          </cell>
        </row>
        <row r="11608">
          <cell r="W11608" t="str">
            <v>QSIKL02</v>
          </cell>
          <cell r="AD11608">
            <v>37000</v>
          </cell>
        </row>
        <row r="11609">
          <cell r="W11609" t="str">
            <v>QSIKL02</v>
          </cell>
          <cell r="AD11609">
            <v>37000</v>
          </cell>
        </row>
        <row r="11610">
          <cell r="W11610" t="str">
            <v>QSIKL02</v>
          </cell>
          <cell r="AD11610">
            <v>37000</v>
          </cell>
        </row>
        <row r="11611">
          <cell r="W11611" t="str">
            <v>QSIKL02</v>
          </cell>
          <cell r="AD11611">
            <v>37000</v>
          </cell>
        </row>
        <row r="11612">
          <cell r="W11612" t="str">
            <v>QSIKL02</v>
          </cell>
          <cell r="AD11612">
            <v>37000</v>
          </cell>
        </row>
        <row r="11613">
          <cell r="W11613" t="str">
            <v>QSIKL02</v>
          </cell>
          <cell r="AD11613">
            <v>37000</v>
          </cell>
        </row>
        <row r="11614">
          <cell r="W11614" t="str">
            <v>QSIKL02</v>
          </cell>
          <cell r="AD11614">
            <v>38000</v>
          </cell>
        </row>
        <row r="11615">
          <cell r="W11615" t="str">
            <v>QSIKL02</v>
          </cell>
          <cell r="AD11615">
            <v>38000</v>
          </cell>
        </row>
        <row r="11616">
          <cell r="W11616" t="str">
            <v>QSIKL02</v>
          </cell>
          <cell r="AD11616">
            <v>38000</v>
          </cell>
        </row>
        <row r="11617">
          <cell r="W11617" t="str">
            <v>QSIKL02</v>
          </cell>
          <cell r="AD11617">
            <v>38500</v>
          </cell>
        </row>
        <row r="11618">
          <cell r="W11618" t="str">
            <v>QSIKL02</v>
          </cell>
          <cell r="AD11618">
            <v>38500</v>
          </cell>
        </row>
        <row r="11619">
          <cell r="W11619" t="str">
            <v>QSIKL02</v>
          </cell>
          <cell r="AD11619">
            <v>38500</v>
          </cell>
        </row>
        <row r="11620">
          <cell r="W11620" t="str">
            <v>QSIKL02</v>
          </cell>
          <cell r="AD11620">
            <v>38500</v>
          </cell>
        </row>
        <row r="11621">
          <cell r="W11621" t="str">
            <v>QSIKL02</v>
          </cell>
          <cell r="AD11621">
            <v>38500</v>
          </cell>
        </row>
        <row r="11622">
          <cell r="W11622" t="str">
            <v>QSIKL02</v>
          </cell>
          <cell r="AD11622">
            <v>38500</v>
          </cell>
        </row>
        <row r="11623">
          <cell r="W11623" t="str">
            <v>QSIKL02</v>
          </cell>
          <cell r="AD11623">
            <v>38500</v>
          </cell>
        </row>
        <row r="11624">
          <cell r="W11624" t="str">
            <v>QSIKL02</v>
          </cell>
          <cell r="AD11624">
            <v>38500</v>
          </cell>
        </row>
        <row r="11625">
          <cell r="W11625" t="str">
            <v>QSIKL02</v>
          </cell>
          <cell r="AD11625">
            <v>38500</v>
          </cell>
        </row>
        <row r="11626">
          <cell r="W11626" t="str">
            <v>QSIKL02</v>
          </cell>
          <cell r="AD11626">
            <v>38500</v>
          </cell>
        </row>
        <row r="11627">
          <cell r="W11627" t="str">
            <v>QSIKL02</v>
          </cell>
          <cell r="AD11627">
            <v>38500</v>
          </cell>
        </row>
        <row r="11628">
          <cell r="W11628" t="str">
            <v>QSIKL02</v>
          </cell>
          <cell r="AD11628">
            <v>38500</v>
          </cell>
        </row>
        <row r="11629">
          <cell r="W11629" t="str">
            <v>QSIKL02</v>
          </cell>
          <cell r="AD11629">
            <v>38500</v>
          </cell>
        </row>
        <row r="11630">
          <cell r="W11630" t="str">
            <v>QSIKL02</v>
          </cell>
          <cell r="AD11630">
            <v>38500</v>
          </cell>
        </row>
        <row r="11631">
          <cell r="W11631" t="str">
            <v>QSIKL02</v>
          </cell>
          <cell r="AD11631">
            <v>38500</v>
          </cell>
        </row>
        <row r="11632">
          <cell r="W11632" t="str">
            <v>QSIKL02</v>
          </cell>
          <cell r="AD11632">
            <v>38500</v>
          </cell>
        </row>
        <row r="11633">
          <cell r="W11633" t="str">
            <v>QSIKL02</v>
          </cell>
          <cell r="AD11633">
            <v>38500</v>
          </cell>
        </row>
        <row r="11634">
          <cell r="W11634" t="str">
            <v>QSIKL02</v>
          </cell>
          <cell r="AD11634">
            <v>38500</v>
          </cell>
        </row>
        <row r="11635">
          <cell r="W11635" t="str">
            <v>QSIKL02</v>
          </cell>
          <cell r="AD11635">
            <v>38500</v>
          </cell>
        </row>
        <row r="11636">
          <cell r="W11636" t="str">
            <v>QSIKL02</v>
          </cell>
          <cell r="AD11636">
            <v>38500</v>
          </cell>
        </row>
        <row r="11637">
          <cell r="W11637" t="str">
            <v>QSIKL02</v>
          </cell>
          <cell r="AD11637">
            <v>38500</v>
          </cell>
        </row>
        <row r="11638">
          <cell r="W11638" t="str">
            <v>QSIKL02</v>
          </cell>
          <cell r="AD11638">
            <v>38500</v>
          </cell>
        </row>
        <row r="11639">
          <cell r="W11639" t="str">
            <v>QSIKL02</v>
          </cell>
          <cell r="AD11639">
            <v>38500</v>
          </cell>
        </row>
        <row r="11640">
          <cell r="W11640" t="str">
            <v>QSIKL02</v>
          </cell>
          <cell r="AD11640">
            <v>38500</v>
          </cell>
        </row>
        <row r="11641">
          <cell r="W11641" t="str">
            <v>QSIKL02</v>
          </cell>
          <cell r="AD11641">
            <v>38500</v>
          </cell>
        </row>
        <row r="11642">
          <cell r="W11642" t="str">
            <v>QSIKL02</v>
          </cell>
          <cell r="AD11642">
            <v>38500</v>
          </cell>
        </row>
        <row r="11643">
          <cell r="W11643" t="str">
            <v>QSIKL02</v>
          </cell>
          <cell r="AD11643">
            <v>38500</v>
          </cell>
        </row>
        <row r="11644">
          <cell r="W11644" t="str">
            <v>QSIKL02</v>
          </cell>
          <cell r="AD11644">
            <v>38500</v>
          </cell>
        </row>
        <row r="11645">
          <cell r="W11645" t="str">
            <v>QSIKL02</v>
          </cell>
          <cell r="AD11645">
            <v>38500</v>
          </cell>
        </row>
        <row r="11646">
          <cell r="W11646" t="str">
            <v>QSIKL02</v>
          </cell>
          <cell r="AD11646">
            <v>38500</v>
          </cell>
        </row>
        <row r="11647">
          <cell r="W11647" t="str">
            <v>QSIKL02</v>
          </cell>
          <cell r="AD11647">
            <v>38500</v>
          </cell>
        </row>
        <row r="11648">
          <cell r="W11648" t="str">
            <v>QSIKL02</v>
          </cell>
          <cell r="AD11648">
            <v>38500</v>
          </cell>
        </row>
        <row r="11649">
          <cell r="W11649" t="str">
            <v>QSIKL02</v>
          </cell>
          <cell r="AD11649">
            <v>38500</v>
          </cell>
        </row>
        <row r="11650">
          <cell r="W11650" t="str">
            <v>QSIKL02</v>
          </cell>
          <cell r="AD11650">
            <v>38500</v>
          </cell>
        </row>
        <row r="11651">
          <cell r="W11651" t="str">
            <v>QSIKL02</v>
          </cell>
          <cell r="AD11651">
            <v>38500</v>
          </cell>
        </row>
        <row r="11652">
          <cell r="W11652" t="str">
            <v>QSIKL02</v>
          </cell>
          <cell r="AD11652">
            <v>38500</v>
          </cell>
        </row>
        <row r="11653">
          <cell r="W11653" t="str">
            <v>QSIKL02</v>
          </cell>
          <cell r="AD11653">
            <v>38500</v>
          </cell>
        </row>
        <row r="11654">
          <cell r="W11654" t="str">
            <v>QSIKL02</v>
          </cell>
          <cell r="AD11654">
            <v>38500</v>
          </cell>
        </row>
        <row r="11655">
          <cell r="W11655" t="str">
            <v>QSIKL02</v>
          </cell>
          <cell r="AD11655">
            <v>38500</v>
          </cell>
        </row>
        <row r="11656">
          <cell r="W11656" t="str">
            <v>QSIKL02</v>
          </cell>
          <cell r="AD11656">
            <v>38500</v>
          </cell>
        </row>
        <row r="11657">
          <cell r="W11657" t="str">
            <v>QSIKL02</v>
          </cell>
          <cell r="AD11657">
            <v>38500</v>
          </cell>
        </row>
        <row r="11658">
          <cell r="W11658" t="str">
            <v>QSIKL02</v>
          </cell>
          <cell r="AD11658">
            <v>38500</v>
          </cell>
        </row>
        <row r="11659">
          <cell r="W11659" t="str">
            <v>QSIKL02</v>
          </cell>
          <cell r="AD11659">
            <v>38500</v>
          </cell>
        </row>
        <row r="11660">
          <cell r="W11660" t="str">
            <v>QSIKL02</v>
          </cell>
          <cell r="AD11660">
            <v>38500</v>
          </cell>
        </row>
        <row r="11661">
          <cell r="W11661" t="str">
            <v>ASIKL01</v>
          </cell>
          <cell r="AD11661">
            <v>38500</v>
          </cell>
        </row>
        <row r="11662">
          <cell r="W11662" t="str">
            <v>ASIKL01</v>
          </cell>
          <cell r="AD11662">
            <v>38500</v>
          </cell>
        </row>
        <row r="11663">
          <cell r="W11663" t="str">
            <v>QSIKL02</v>
          </cell>
          <cell r="AD11663">
            <v>38500</v>
          </cell>
        </row>
        <row r="11664">
          <cell r="W11664" t="str">
            <v>QSIKL02</v>
          </cell>
          <cell r="AD11664">
            <v>38500</v>
          </cell>
        </row>
        <row r="11665">
          <cell r="W11665" t="str">
            <v>QSIKL02</v>
          </cell>
          <cell r="AD11665">
            <v>38500</v>
          </cell>
        </row>
        <row r="11666">
          <cell r="W11666" t="str">
            <v>QSIKL02</v>
          </cell>
          <cell r="AD11666">
            <v>38500</v>
          </cell>
        </row>
        <row r="11667">
          <cell r="W11667" t="str">
            <v>QSIKL02</v>
          </cell>
          <cell r="AD11667">
            <v>38500</v>
          </cell>
        </row>
        <row r="11668">
          <cell r="W11668" t="str">
            <v>QSIKL02</v>
          </cell>
          <cell r="AD11668">
            <v>38500</v>
          </cell>
        </row>
        <row r="11669">
          <cell r="W11669" t="str">
            <v>QSIKL02</v>
          </cell>
          <cell r="AD11669">
            <v>38500</v>
          </cell>
        </row>
        <row r="11670">
          <cell r="W11670" t="str">
            <v>QSIKL02</v>
          </cell>
          <cell r="AD11670">
            <v>38500</v>
          </cell>
        </row>
        <row r="11671">
          <cell r="W11671" t="str">
            <v>QSIKL02</v>
          </cell>
          <cell r="AD11671">
            <v>38500</v>
          </cell>
        </row>
        <row r="11672">
          <cell r="W11672" t="str">
            <v>QSIKL02</v>
          </cell>
          <cell r="AD11672">
            <v>38500</v>
          </cell>
        </row>
        <row r="11673">
          <cell r="W11673" t="str">
            <v>QSIKL02</v>
          </cell>
          <cell r="AD11673">
            <v>38500</v>
          </cell>
        </row>
        <row r="11674">
          <cell r="W11674" t="str">
            <v>QSIKL02</v>
          </cell>
          <cell r="AD11674">
            <v>38500</v>
          </cell>
        </row>
        <row r="11675">
          <cell r="W11675" t="str">
            <v>QSIKL02</v>
          </cell>
          <cell r="AD11675">
            <v>38500</v>
          </cell>
        </row>
        <row r="11676">
          <cell r="W11676" t="str">
            <v>ASIKL01</v>
          </cell>
          <cell r="AD11676">
            <v>38500</v>
          </cell>
        </row>
        <row r="11677">
          <cell r="W11677" t="str">
            <v>QSIKL02</v>
          </cell>
          <cell r="AD11677">
            <v>38500</v>
          </cell>
        </row>
        <row r="11678">
          <cell r="W11678" t="str">
            <v>QSIKL02</v>
          </cell>
          <cell r="AD11678">
            <v>38500</v>
          </cell>
        </row>
        <row r="11679">
          <cell r="W11679" t="str">
            <v>QSIKL02</v>
          </cell>
          <cell r="AD11679">
            <v>38500</v>
          </cell>
        </row>
        <row r="11680">
          <cell r="W11680" t="str">
            <v>QSIKL02</v>
          </cell>
          <cell r="AD11680">
            <v>38500</v>
          </cell>
        </row>
        <row r="11681">
          <cell r="W11681" t="str">
            <v>QSIKL02</v>
          </cell>
          <cell r="AD11681">
            <v>38500</v>
          </cell>
        </row>
        <row r="11682">
          <cell r="W11682" t="str">
            <v>QSIKL02</v>
          </cell>
          <cell r="AD11682">
            <v>38500</v>
          </cell>
        </row>
        <row r="11683">
          <cell r="W11683" t="str">
            <v>QSIKL02</v>
          </cell>
          <cell r="AD11683">
            <v>38500</v>
          </cell>
        </row>
        <row r="11684">
          <cell r="W11684" t="str">
            <v>QSIKL02</v>
          </cell>
          <cell r="AD11684">
            <v>38500</v>
          </cell>
        </row>
        <row r="11685">
          <cell r="W11685" t="str">
            <v>QSIKL02</v>
          </cell>
          <cell r="AD11685">
            <v>38500</v>
          </cell>
        </row>
        <row r="11686">
          <cell r="W11686" t="str">
            <v>QSIKL02</v>
          </cell>
          <cell r="AD11686">
            <v>38750</v>
          </cell>
        </row>
        <row r="11687">
          <cell r="W11687" t="str">
            <v>QSIKL02</v>
          </cell>
          <cell r="AD11687">
            <v>39000</v>
          </cell>
        </row>
        <row r="11688">
          <cell r="W11688" t="str">
            <v>QSIKL02</v>
          </cell>
          <cell r="AD11688">
            <v>39000</v>
          </cell>
        </row>
        <row r="11689">
          <cell r="W11689" t="str">
            <v>QSIKL02</v>
          </cell>
          <cell r="AD11689">
            <v>39000</v>
          </cell>
        </row>
        <row r="11690">
          <cell r="W11690" t="str">
            <v>QSIKL02</v>
          </cell>
          <cell r="AD11690">
            <v>39000</v>
          </cell>
        </row>
        <row r="11691">
          <cell r="W11691" t="str">
            <v>QSIKL02</v>
          </cell>
          <cell r="AD11691">
            <v>39000</v>
          </cell>
        </row>
        <row r="11692">
          <cell r="W11692" t="str">
            <v>QSIKL02</v>
          </cell>
          <cell r="AD11692">
            <v>39000</v>
          </cell>
        </row>
        <row r="11693">
          <cell r="W11693" t="str">
            <v>QSIKL02</v>
          </cell>
          <cell r="AD11693">
            <v>39500</v>
          </cell>
        </row>
        <row r="11694">
          <cell r="W11694" t="str">
            <v>QSIKL02</v>
          </cell>
          <cell r="AD11694">
            <v>39500</v>
          </cell>
        </row>
        <row r="11695">
          <cell r="W11695" t="str">
            <v>QSIKL02</v>
          </cell>
          <cell r="AD11695">
            <v>39500</v>
          </cell>
        </row>
        <row r="11696">
          <cell r="W11696" t="str">
            <v>QSIKL02</v>
          </cell>
          <cell r="AD11696">
            <v>40000</v>
          </cell>
        </row>
        <row r="11697">
          <cell r="W11697" t="str">
            <v>QSIMX01</v>
          </cell>
          <cell r="AD11697">
            <v>36000</v>
          </cell>
        </row>
        <row r="11698">
          <cell r="W11698" t="str">
            <v>QSIMX01</v>
          </cell>
          <cell r="AD11698">
            <v>36000</v>
          </cell>
        </row>
        <row r="11699">
          <cell r="W11699" t="str">
            <v>QSIMX02</v>
          </cell>
          <cell r="AD11699">
            <v>150000</v>
          </cell>
        </row>
        <row r="11700">
          <cell r="W11700" t="str">
            <v>QSIMX02</v>
          </cell>
          <cell r="AD11700">
            <v>155000</v>
          </cell>
        </row>
        <row r="11701">
          <cell r="W11701" t="str">
            <v>QSINA05</v>
          </cell>
          <cell r="AD11701">
            <v>145000</v>
          </cell>
        </row>
        <row r="11702">
          <cell r="W11702" t="str">
            <v>QSINE02</v>
          </cell>
          <cell r="AD11702">
            <v>127000</v>
          </cell>
        </row>
        <row r="11703">
          <cell r="W11703" t="str">
            <v>QSINE02</v>
          </cell>
          <cell r="AD11703">
            <v>127000</v>
          </cell>
        </row>
        <row r="11704">
          <cell r="W11704" t="str">
            <v>QSINE02</v>
          </cell>
          <cell r="AD11704">
            <v>127000</v>
          </cell>
        </row>
        <row r="11705">
          <cell r="W11705" t="str">
            <v>QSINE02</v>
          </cell>
          <cell r="AD11705">
            <v>130000</v>
          </cell>
        </row>
        <row r="11706">
          <cell r="W11706" t="str">
            <v>QSINE02</v>
          </cell>
          <cell r="AD11706">
            <v>130000</v>
          </cell>
        </row>
        <row r="11707">
          <cell r="W11707" t="str">
            <v>QSINE02</v>
          </cell>
          <cell r="AD11707">
            <v>130000</v>
          </cell>
        </row>
        <row r="11708">
          <cell r="W11708" t="str">
            <v>QSINE02</v>
          </cell>
          <cell r="AD11708">
            <v>130000</v>
          </cell>
        </row>
        <row r="11709">
          <cell r="W11709" t="str">
            <v>QSINE02</v>
          </cell>
          <cell r="AD11709">
            <v>130000</v>
          </cell>
        </row>
        <row r="11710">
          <cell r="W11710" t="str">
            <v>QSINE02</v>
          </cell>
          <cell r="AD11710">
            <v>130000</v>
          </cell>
        </row>
        <row r="11711">
          <cell r="W11711" t="str">
            <v>QSINE02</v>
          </cell>
          <cell r="AD11711">
            <v>130000</v>
          </cell>
        </row>
        <row r="11712">
          <cell r="W11712" t="str">
            <v>QSINE02</v>
          </cell>
          <cell r="AD11712">
            <v>130000</v>
          </cell>
        </row>
        <row r="11713">
          <cell r="W11713" t="str">
            <v>QSINE02</v>
          </cell>
          <cell r="AD11713">
            <v>130000</v>
          </cell>
        </row>
        <row r="11714">
          <cell r="W11714" t="str">
            <v>QSINE01</v>
          </cell>
          <cell r="AD11714">
            <v>42000</v>
          </cell>
        </row>
        <row r="11715">
          <cell r="W11715" t="str">
            <v>QSINE01</v>
          </cell>
          <cell r="AD11715">
            <v>42000</v>
          </cell>
        </row>
        <row r="11716">
          <cell r="W11716" t="str">
            <v>QSINE01</v>
          </cell>
          <cell r="AD11716">
            <v>42000</v>
          </cell>
        </row>
        <row r="11717">
          <cell r="W11717" t="str">
            <v>QSINE01</v>
          </cell>
          <cell r="AD11717">
            <v>43000</v>
          </cell>
        </row>
        <row r="11718">
          <cell r="W11718" t="str">
            <v>QSINE01</v>
          </cell>
          <cell r="AD11718">
            <v>43000</v>
          </cell>
        </row>
        <row r="11719">
          <cell r="W11719" t="str">
            <v>QSINE01</v>
          </cell>
          <cell r="AD11719">
            <v>43000</v>
          </cell>
        </row>
        <row r="11720">
          <cell r="W11720" t="str">
            <v>QSINE01</v>
          </cell>
          <cell r="AD11720">
            <v>43000</v>
          </cell>
        </row>
        <row r="11721">
          <cell r="W11721" t="str">
            <v>QSINE01</v>
          </cell>
          <cell r="AD11721">
            <v>43000</v>
          </cell>
        </row>
        <row r="11722">
          <cell r="W11722" t="str">
            <v>QSINO03</v>
          </cell>
          <cell r="AD11722">
            <v>37000</v>
          </cell>
        </row>
        <row r="11723">
          <cell r="W11723" t="str">
            <v>QSINO01</v>
          </cell>
          <cell r="AD11723">
            <v>108000</v>
          </cell>
        </row>
        <row r="11724">
          <cell r="W11724" t="str">
            <v>QSKIE02</v>
          </cell>
          <cell r="AD11724">
            <v>650000</v>
          </cell>
        </row>
        <row r="11725">
          <cell r="W11725" t="str">
            <v>QSKIE01</v>
          </cell>
          <cell r="AD11725">
            <v>150000</v>
          </cell>
        </row>
        <row r="11726">
          <cell r="W11726" t="str">
            <v>QSKIE01</v>
          </cell>
          <cell r="AD11726">
            <v>175000</v>
          </cell>
        </row>
        <row r="11727">
          <cell r="W11727" t="str">
            <v>QSKIE01</v>
          </cell>
          <cell r="AD11727">
            <v>175000</v>
          </cell>
        </row>
        <row r="11728">
          <cell r="W11728" t="str">
            <v>QSKIE01</v>
          </cell>
          <cell r="AD11728">
            <v>175000</v>
          </cell>
        </row>
        <row r="11729">
          <cell r="W11729" t="str">
            <v>QSKIE01</v>
          </cell>
          <cell r="AD11729">
            <v>175000</v>
          </cell>
        </row>
        <row r="11730">
          <cell r="W11730" t="str">
            <v>QSKIE01</v>
          </cell>
          <cell r="AD11730">
            <v>175000</v>
          </cell>
        </row>
        <row r="11731">
          <cell r="W11731" t="str">
            <v>QSKIE01</v>
          </cell>
          <cell r="AD11731">
            <v>175000</v>
          </cell>
        </row>
        <row r="11732">
          <cell r="W11732" t="str">
            <v>QSKIE01</v>
          </cell>
          <cell r="AD11732">
            <v>175000</v>
          </cell>
        </row>
        <row r="11733">
          <cell r="W11733" t="str">
            <v>QSKIE01</v>
          </cell>
          <cell r="AD11733">
            <v>175000</v>
          </cell>
        </row>
        <row r="11734">
          <cell r="W11734" t="str">
            <v>QSKIE01</v>
          </cell>
          <cell r="AD11734">
            <v>175000</v>
          </cell>
        </row>
        <row r="11735">
          <cell r="W11735" t="str">
            <v>QSKIE01</v>
          </cell>
          <cell r="AD11735">
            <v>175000</v>
          </cell>
        </row>
        <row r="11736">
          <cell r="W11736" t="str">
            <v>QSKIE01</v>
          </cell>
          <cell r="AD11736">
            <v>175000</v>
          </cell>
        </row>
        <row r="11737">
          <cell r="W11737" t="str">
            <v>QSKIE01</v>
          </cell>
          <cell r="AD11737">
            <v>175000</v>
          </cell>
        </row>
        <row r="11738">
          <cell r="W11738" t="str">
            <v>QSKIE01</v>
          </cell>
          <cell r="AD11738">
            <v>175000</v>
          </cell>
        </row>
        <row r="11739">
          <cell r="W11739" t="str">
            <v>QSKIE01</v>
          </cell>
          <cell r="AD11739">
            <v>175000</v>
          </cell>
        </row>
        <row r="11740">
          <cell r="W11740" t="str">
            <v>QSKIE01</v>
          </cell>
          <cell r="AD11740">
            <v>175000</v>
          </cell>
        </row>
        <row r="11741">
          <cell r="W11741" t="str">
            <v>QSKIE01</v>
          </cell>
          <cell r="AD11741">
            <v>175000</v>
          </cell>
        </row>
        <row r="11742">
          <cell r="W11742" t="str">
            <v>QSKIE01</v>
          </cell>
          <cell r="AD11742">
            <v>175000</v>
          </cell>
        </row>
        <row r="11743">
          <cell r="W11743" t="str">
            <v>QSKIE01</v>
          </cell>
          <cell r="AD11743">
            <v>175000</v>
          </cell>
        </row>
        <row r="11744">
          <cell r="W11744" t="str">
            <v>QSKIE01</v>
          </cell>
          <cell r="AD11744">
            <v>175000</v>
          </cell>
        </row>
        <row r="11745">
          <cell r="W11745" t="str">
            <v>QSKIE01</v>
          </cell>
          <cell r="AD11745">
            <v>175000</v>
          </cell>
        </row>
        <row r="11746">
          <cell r="W11746" t="str">
            <v>QSKIE01</v>
          </cell>
          <cell r="AD11746">
            <v>175000</v>
          </cell>
        </row>
        <row r="11747">
          <cell r="W11747" t="str">
            <v>QSKIE01</v>
          </cell>
          <cell r="AD11747">
            <v>175000</v>
          </cell>
        </row>
        <row r="11748">
          <cell r="W11748" t="str">
            <v>QSKIE01</v>
          </cell>
          <cell r="AD11748">
            <v>175000</v>
          </cell>
        </row>
        <row r="11749">
          <cell r="W11749" t="str">
            <v>QSMK26</v>
          </cell>
          <cell r="AD11749">
            <v>38000</v>
          </cell>
        </row>
        <row r="11750">
          <cell r="W11750" t="str">
            <v>QSMK07</v>
          </cell>
          <cell r="AD11750">
            <v>77000</v>
          </cell>
        </row>
        <row r="11751">
          <cell r="W11751" t="str">
            <v>QSMK07</v>
          </cell>
          <cell r="AD11751">
            <v>77000</v>
          </cell>
        </row>
        <row r="11752">
          <cell r="W11752" t="str">
            <v>QSMK07</v>
          </cell>
          <cell r="AD11752">
            <v>77000</v>
          </cell>
        </row>
        <row r="11753">
          <cell r="W11753" t="str">
            <v>QSMK07</v>
          </cell>
          <cell r="AD11753">
            <v>77000</v>
          </cell>
        </row>
        <row r="11754">
          <cell r="W11754" t="str">
            <v>QSMK07</v>
          </cell>
          <cell r="AD11754">
            <v>77000</v>
          </cell>
        </row>
        <row r="11755">
          <cell r="W11755" t="str">
            <v>QSMK07</v>
          </cell>
          <cell r="AD11755">
            <v>80000</v>
          </cell>
        </row>
        <row r="11756">
          <cell r="W11756" t="str">
            <v>QSNAI01</v>
          </cell>
          <cell r="AD11756">
            <v>66000</v>
          </cell>
        </row>
        <row r="11757">
          <cell r="W11757" t="str">
            <v>QSNAI01</v>
          </cell>
          <cell r="AD11757">
            <v>66000</v>
          </cell>
        </row>
        <row r="11758">
          <cell r="W11758" t="str">
            <v>QSNAI01</v>
          </cell>
          <cell r="AD11758">
            <v>66000</v>
          </cell>
        </row>
        <row r="11759">
          <cell r="W11759" t="str">
            <v>QSNAI01</v>
          </cell>
          <cell r="AD11759">
            <v>66000</v>
          </cell>
        </row>
        <row r="11760">
          <cell r="W11760" t="str">
            <v>QSNAI01</v>
          </cell>
          <cell r="AD11760">
            <v>66000</v>
          </cell>
        </row>
        <row r="11761">
          <cell r="W11761" t="str">
            <v>QSNAI01</v>
          </cell>
          <cell r="AD11761">
            <v>66000</v>
          </cell>
        </row>
        <row r="11762">
          <cell r="W11762" t="str">
            <v>QSNAI01</v>
          </cell>
          <cell r="AD11762">
            <v>66000</v>
          </cell>
        </row>
        <row r="11763">
          <cell r="W11763" t="str">
            <v>QSNAI01</v>
          </cell>
          <cell r="AD11763">
            <v>66500</v>
          </cell>
        </row>
        <row r="11764">
          <cell r="W11764" t="str">
            <v>QSNAI01</v>
          </cell>
          <cell r="AD11764">
            <v>66500</v>
          </cell>
        </row>
        <row r="11765">
          <cell r="W11765" t="str">
            <v>QSNAI01</v>
          </cell>
          <cell r="AD11765">
            <v>66500</v>
          </cell>
        </row>
        <row r="11766">
          <cell r="W11766" t="str">
            <v>QSNAI01</v>
          </cell>
          <cell r="AD11766">
            <v>66500</v>
          </cell>
        </row>
        <row r="11767">
          <cell r="W11767" t="str">
            <v>QSOFI01</v>
          </cell>
          <cell r="AD11767">
            <v>18500</v>
          </cell>
        </row>
        <row r="11768">
          <cell r="W11768" t="str">
            <v>ASORT02</v>
          </cell>
          <cell r="AD11768">
            <v>22500</v>
          </cell>
        </row>
        <row r="11769">
          <cell r="W11769" t="str">
            <v>QSORT05</v>
          </cell>
          <cell r="AD11769">
            <v>75000</v>
          </cell>
        </row>
        <row r="11770">
          <cell r="W11770" t="str">
            <v>QSORT05</v>
          </cell>
          <cell r="AD11770">
            <v>75000</v>
          </cell>
        </row>
        <row r="11771">
          <cell r="W11771" t="str">
            <v>QSORT05</v>
          </cell>
          <cell r="AD11771">
            <v>75000</v>
          </cell>
        </row>
        <row r="11772">
          <cell r="W11772" t="str">
            <v>QSORT05</v>
          </cell>
          <cell r="AD11772">
            <v>75000</v>
          </cell>
        </row>
        <row r="11773">
          <cell r="W11773" t="str">
            <v>QSPHI02</v>
          </cell>
          <cell r="AD11773">
            <v>55000</v>
          </cell>
        </row>
        <row r="11774">
          <cell r="W11774" t="str">
            <v>QSPHI02</v>
          </cell>
          <cell r="AD11774">
            <v>55000</v>
          </cell>
        </row>
        <row r="11775">
          <cell r="W11775" t="str">
            <v>ASPHI01</v>
          </cell>
          <cell r="AD11775">
            <v>55000</v>
          </cell>
        </row>
        <row r="11776">
          <cell r="W11776" t="str">
            <v>QSPHI02</v>
          </cell>
          <cell r="AD11776">
            <v>58000</v>
          </cell>
        </row>
        <row r="11777">
          <cell r="W11777" t="str">
            <v>QSPHI01</v>
          </cell>
          <cell r="AD11777">
            <v>55000</v>
          </cell>
        </row>
        <row r="11778">
          <cell r="W11778" t="str">
            <v>QSPHI01</v>
          </cell>
          <cell r="AD11778">
            <v>55000</v>
          </cell>
        </row>
        <row r="11779">
          <cell r="W11779" t="str">
            <v>QSPON03</v>
          </cell>
          <cell r="AD11779">
            <v>78000</v>
          </cell>
        </row>
        <row r="11780">
          <cell r="W11780" t="str">
            <v>QSPON03</v>
          </cell>
          <cell r="AD11780">
            <v>78000</v>
          </cell>
        </row>
        <row r="11781">
          <cell r="W11781" t="str">
            <v>QSPON03</v>
          </cell>
          <cell r="AD11781">
            <v>78000</v>
          </cell>
        </row>
        <row r="11782">
          <cell r="W11782" t="str">
            <v>QSPON03</v>
          </cell>
          <cell r="AD11782">
            <v>78000</v>
          </cell>
        </row>
        <row r="11783">
          <cell r="W11783" t="str">
            <v>QSPON03</v>
          </cell>
          <cell r="AD11783">
            <v>78000</v>
          </cell>
        </row>
        <row r="11784">
          <cell r="W11784" t="str">
            <v>QSPON03</v>
          </cell>
          <cell r="AD11784">
            <v>78000</v>
          </cell>
        </row>
        <row r="11785">
          <cell r="W11785" t="str">
            <v>QSPON03</v>
          </cell>
          <cell r="AD11785">
            <v>78000</v>
          </cell>
        </row>
        <row r="11786">
          <cell r="W11786" t="str">
            <v>QSPON03</v>
          </cell>
          <cell r="AD11786">
            <v>78500</v>
          </cell>
        </row>
        <row r="11787">
          <cell r="W11787" t="str">
            <v>QSPON03</v>
          </cell>
          <cell r="AD11787">
            <v>78500</v>
          </cell>
        </row>
        <row r="11788">
          <cell r="W11788" t="str">
            <v>QSPON03</v>
          </cell>
          <cell r="AD11788">
            <v>78500</v>
          </cell>
        </row>
        <row r="11789">
          <cell r="W11789" t="str">
            <v>QSPON03</v>
          </cell>
          <cell r="AD11789">
            <v>78500</v>
          </cell>
        </row>
        <row r="11790">
          <cell r="W11790" t="str">
            <v>QSPON03</v>
          </cell>
          <cell r="AD11790">
            <v>78500</v>
          </cell>
        </row>
        <row r="11791">
          <cell r="W11791" t="str">
            <v>QSPON03</v>
          </cell>
          <cell r="AD11791">
            <v>81000</v>
          </cell>
        </row>
        <row r="11792">
          <cell r="W11792" t="str">
            <v>QSPON03</v>
          </cell>
          <cell r="AD11792">
            <v>81000</v>
          </cell>
        </row>
        <row r="11793">
          <cell r="W11793" t="str">
            <v>QSPON03</v>
          </cell>
          <cell r="AD11793">
            <v>81000</v>
          </cell>
        </row>
        <row r="11794">
          <cell r="W11794" t="str">
            <v>QSPON03</v>
          </cell>
          <cell r="AD11794">
            <v>81000</v>
          </cell>
        </row>
        <row r="11795">
          <cell r="W11795" t="str">
            <v>QSPON03</v>
          </cell>
          <cell r="AD11795">
            <v>81000</v>
          </cell>
        </row>
        <row r="11796">
          <cell r="W11796" t="str">
            <v>QSPON03</v>
          </cell>
          <cell r="AD11796">
            <v>81000</v>
          </cell>
        </row>
        <row r="11797">
          <cell r="W11797" t="str">
            <v>QSPON03</v>
          </cell>
          <cell r="AD11797">
            <v>81000</v>
          </cell>
        </row>
        <row r="11798">
          <cell r="W11798" t="str">
            <v>QSPON03</v>
          </cell>
          <cell r="AD11798">
            <v>81000</v>
          </cell>
        </row>
        <row r="11799">
          <cell r="W11799" t="str">
            <v>QSPON03</v>
          </cell>
          <cell r="AD11799">
            <v>81000</v>
          </cell>
        </row>
        <row r="11800">
          <cell r="W11800" t="str">
            <v>QSPON03</v>
          </cell>
          <cell r="AD11800">
            <v>81000</v>
          </cell>
        </row>
        <row r="11801">
          <cell r="W11801" t="str">
            <v>QSPON03</v>
          </cell>
          <cell r="AD11801">
            <v>81000</v>
          </cell>
        </row>
        <row r="11802">
          <cell r="W11802" t="str">
            <v>QSPON03</v>
          </cell>
          <cell r="AD11802">
            <v>81000</v>
          </cell>
        </row>
        <row r="11803">
          <cell r="W11803" t="str">
            <v>QSPON03</v>
          </cell>
          <cell r="AD11803">
            <v>81000</v>
          </cell>
        </row>
        <row r="11804">
          <cell r="W11804" t="str">
            <v>QSPON03</v>
          </cell>
          <cell r="AD11804">
            <v>81000</v>
          </cell>
        </row>
        <row r="11805">
          <cell r="W11805" t="str">
            <v>QSPON03</v>
          </cell>
          <cell r="AD11805">
            <v>81000</v>
          </cell>
        </row>
        <row r="11806">
          <cell r="W11806" t="str">
            <v>QSPON03</v>
          </cell>
          <cell r="AD11806">
            <v>81000</v>
          </cell>
        </row>
        <row r="11807">
          <cell r="W11807" t="str">
            <v>QSPON03</v>
          </cell>
          <cell r="AD11807">
            <v>81000</v>
          </cell>
        </row>
        <row r="11808">
          <cell r="W11808" t="str">
            <v>QSPON03</v>
          </cell>
          <cell r="AD11808">
            <v>81000</v>
          </cell>
        </row>
        <row r="11809">
          <cell r="W11809" t="str">
            <v>QSPON03</v>
          </cell>
          <cell r="AD11809">
            <v>81000</v>
          </cell>
        </row>
        <row r="11810">
          <cell r="W11810" t="str">
            <v>QSPON03</v>
          </cell>
          <cell r="AD11810">
            <v>81000</v>
          </cell>
        </row>
        <row r="11811">
          <cell r="W11811" t="str">
            <v>QSPON03</v>
          </cell>
          <cell r="AD11811">
            <v>81000</v>
          </cell>
        </row>
        <row r="11812">
          <cell r="W11812" t="str">
            <v>QSPON03</v>
          </cell>
          <cell r="AD11812">
            <v>81000</v>
          </cell>
        </row>
        <row r="11813">
          <cell r="W11813" t="str">
            <v>QSPON03</v>
          </cell>
          <cell r="AD11813">
            <v>81000</v>
          </cell>
        </row>
        <row r="11814">
          <cell r="W11814" t="str">
            <v>QSPON03</v>
          </cell>
          <cell r="AD11814">
            <v>81000</v>
          </cell>
        </row>
        <row r="11815">
          <cell r="W11815" t="str">
            <v>QSPON03</v>
          </cell>
          <cell r="AD11815">
            <v>81000</v>
          </cell>
        </row>
        <row r="11816">
          <cell r="W11816" t="str">
            <v>QSPON03</v>
          </cell>
          <cell r="AD11816">
            <v>81000</v>
          </cell>
        </row>
        <row r="11817">
          <cell r="W11817" t="str">
            <v>QSPON03</v>
          </cell>
          <cell r="AD11817">
            <v>81000</v>
          </cell>
        </row>
        <row r="11818">
          <cell r="W11818" t="str">
            <v>QSPON03</v>
          </cell>
          <cell r="AD11818">
            <v>81000</v>
          </cell>
        </row>
        <row r="11819">
          <cell r="W11819" t="str">
            <v>QSPON03</v>
          </cell>
          <cell r="AD11819">
            <v>81000</v>
          </cell>
        </row>
        <row r="11820">
          <cell r="W11820" t="str">
            <v>QSPON03</v>
          </cell>
          <cell r="AD11820">
            <v>81000</v>
          </cell>
        </row>
        <row r="11821">
          <cell r="W11821" t="str">
            <v>QSPON03</v>
          </cell>
          <cell r="AD11821">
            <v>81000</v>
          </cell>
        </row>
        <row r="11822">
          <cell r="W11822" t="str">
            <v>QSPON03</v>
          </cell>
          <cell r="AD11822">
            <v>81000</v>
          </cell>
        </row>
        <row r="11823">
          <cell r="W11823" t="str">
            <v>QSPON03</v>
          </cell>
          <cell r="AD11823">
            <v>81000</v>
          </cell>
        </row>
        <row r="11824">
          <cell r="W11824" t="str">
            <v>QSPON03</v>
          </cell>
          <cell r="AD11824">
            <v>81000</v>
          </cell>
        </row>
        <row r="11825">
          <cell r="W11825" t="str">
            <v>QSPON03</v>
          </cell>
          <cell r="AD11825">
            <v>81000</v>
          </cell>
        </row>
        <row r="11826">
          <cell r="W11826" t="str">
            <v>QSPON03</v>
          </cell>
          <cell r="AD11826">
            <v>81000</v>
          </cell>
        </row>
        <row r="11827">
          <cell r="W11827" t="str">
            <v>QSPON03</v>
          </cell>
          <cell r="AD11827">
            <v>81000</v>
          </cell>
        </row>
        <row r="11828">
          <cell r="W11828" t="str">
            <v>QSPON03</v>
          </cell>
          <cell r="AD11828">
            <v>81000</v>
          </cell>
        </row>
        <row r="11829">
          <cell r="W11829" t="str">
            <v>QSPON03</v>
          </cell>
          <cell r="AD11829">
            <v>81000</v>
          </cell>
        </row>
        <row r="11830">
          <cell r="W11830" t="str">
            <v>QSPON03</v>
          </cell>
          <cell r="AD11830">
            <v>81000</v>
          </cell>
        </row>
        <row r="11831">
          <cell r="W11831" t="str">
            <v>QSPON03</v>
          </cell>
          <cell r="AD11831">
            <v>81000</v>
          </cell>
        </row>
        <row r="11832">
          <cell r="W11832" t="str">
            <v>QSPON03</v>
          </cell>
          <cell r="AD11832">
            <v>81000</v>
          </cell>
        </row>
        <row r="11833">
          <cell r="W11833" t="str">
            <v>QSPON03</v>
          </cell>
          <cell r="AD11833">
            <v>81000</v>
          </cell>
        </row>
        <row r="11834">
          <cell r="W11834" t="str">
            <v>QSPON03</v>
          </cell>
          <cell r="AD11834">
            <v>81000</v>
          </cell>
        </row>
        <row r="11835">
          <cell r="W11835" t="str">
            <v>QSPON03</v>
          </cell>
          <cell r="AD11835">
            <v>81000</v>
          </cell>
        </row>
        <row r="11836">
          <cell r="W11836" t="str">
            <v>QSPON03</v>
          </cell>
          <cell r="AD11836">
            <v>81000</v>
          </cell>
        </row>
        <row r="11837">
          <cell r="W11837" t="str">
            <v>QSPON03</v>
          </cell>
          <cell r="AD11837">
            <v>81000</v>
          </cell>
        </row>
        <row r="11838">
          <cell r="W11838" t="str">
            <v>QSPON03</v>
          </cell>
          <cell r="AD11838">
            <v>81000</v>
          </cell>
        </row>
        <row r="11839">
          <cell r="W11839" t="str">
            <v>QSPON03</v>
          </cell>
          <cell r="AD11839">
            <v>81000</v>
          </cell>
        </row>
        <row r="11840">
          <cell r="W11840" t="str">
            <v>QSPON03</v>
          </cell>
          <cell r="AD11840">
            <v>81000</v>
          </cell>
        </row>
        <row r="11841">
          <cell r="W11841" t="str">
            <v>QSPON01</v>
          </cell>
          <cell r="AD11841">
            <v>23500</v>
          </cell>
        </row>
        <row r="11842">
          <cell r="W11842" t="str">
            <v>QSPON01</v>
          </cell>
          <cell r="AD11842">
            <v>23500</v>
          </cell>
        </row>
        <row r="11843">
          <cell r="W11843" t="str">
            <v>QSPON01</v>
          </cell>
          <cell r="AD11843">
            <v>23500</v>
          </cell>
        </row>
        <row r="11844">
          <cell r="W11844" t="str">
            <v>QSPON01</v>
          </cell>
          <cell r="AD11844">
            <v>23500</v>
          </cell>
        </row>
        <row r="11845">
          <cell r="W11845" t="str">
            <v>QSPON01</v>
          </cell>
          <cell r="AD11845">
            <v>23500</v>
          </cell>
        </row>
        <row r="11846">
          <cell r="W11846" t="str">
            <v>QSPON01</v>
          </cell>
          <cell r="AD11846">
            <v>26000</v>
          </cell>
        </row>
        <row r="11847">
          <cell r="W11847" t="str">
            <v>QSPON01</v>
          </cell>
          <cell r="AD11847">
            <v>26500</v>
          </cell>
        </row>
        <row r="11848">
          <cell r="W11848" t="str">
            <v>QSPON01</v>
          </cell>
          <cell r="AD11848">
            <v>26500</v>
          </cell>
        </row>
        <row r="11849">
          <cell r="W11849" t="str">
            <v>QSPON01</v>
          </cell>
          <cell r="AD11849">
            <v>26500</v>
          </cell>
        </row>
        <row r="11850">
          <cell r="W11850" t="str">
            <v>QSPON01</v>
          </cell>
          <cell r="AD11850">
            <v>26500</v>
          </cell>
        </row>
        <row r="11851">
          <cell r="W11851" t="str">
            <v>QSPON01</v>
          </cell>
          <cell r="AD11851">
            <v>26500</v>
          </cell>
        </row>
        <row r="11852">
          <cell r="W11852" t="str">
            <v>QSPON01</v>
          </cell>
          <cell r="AD11852">
            <v>26500</v>
          </cell>
        </row>
        <row r="11853">
          <cell r="W11853" t="str">
            <v>QSPON01</v>
          </cell>
          <cell r="AD11853">
            <v>26500</v>
          </cell>
        </row>
        <row r="11854">
          <cell r="W11854" t="str">
            <v>QSPON01</v>
          </cell>
          <cell r="AD11854">
            <v>26500</v>
          </cell>
        </row>
        <row r="11855">
          <cell r="W11855" t="str">
            <v>QSPON01</v>
          </cell>
          <cell r="AD11855">
            <v>26500</v>
          </cell>
        </row>
        <row r="11856">
          <cell r="W11856" t="str">
            <v>QSPON01</v>
          </cell>
          <cell r="AD11856">
            <v>26500</v>
          </cell>
        </row>
        <row r="11857">
          <cell r="W11857" t="str">
            <v>QSPON01</v>
          </cell>
          <cell r="AD11857">
            <v>26500</v>
          </cell>
        </row>
        <row r="11858">
          <cell r="W11858" t="str">
            <v>QSPON01</v>
          </cell>
          <cell r="AD11858">
            <v>26500</v>
          </cell>
        </row>
        <row r="11859">
          <cell r="W11859" t="str">
            <v>QSPON01</v>
          </cell>
          <cell r="AD11859">
            <v>26500</v>
          </cell>
        </row>
        <row r="11860">
          <cell r="W11860" t="str">
            <v>QSPON01</v>
          </cell>
          <cell r="AD11860">
            <v>26500</v>
          </cell>
        </row>
        <row r="11861">
          <cell r="W11861" t="str">
            <v>QSPON01</v>
          </cell>
          <cell r="AD11861">
            <v>26500</v>
          </cell>
        </row>
        <row r="11862">
          <cell r="W11862" t="str">
            <v>QSPON01</v>
          </cell>
          <cell r="AD11862">
            <v>26500</v>
          </cell>
        </row>
        <row r="11863">
          <cell r="W11863" t="str">
            <v>QSPON02</v>
          </cell>
          <cell r="AD11863">
            <v>45500</v>
          </cell>
        </row>
        <row r="11864">
          <cell r="W11864" t="str">
            <v>QSPON02</v>
          </cell>
          <cell r="AD11864">
            <v>45500</v>
          </cell>
        </row>
        <row r="11865">
          <cell r="W11865" t="str">
            <v>QSPON02</v>
          </cell>
          <cell r="AD11865">
            <v>45500</v>
          </cell>
        </row>
        <row r="11866">
          <cell r="W11866" t="str">
            <v>QSPON02</v>
          </cell>
          <cell r="AD11866">
            <v>45500</v>
          </cell>
        </row>
        <row r="11867">
          <cell r="W11867" t="str">
            <v>QSPON02</v>
          </cell>
          <cell r="AD11867">
            <v>45500</v>
          </cell>
        </row>
        <row r="11868">
          <cell r="W11868" t="str">
            <v>QSPON02</v>
          </cell>
          <cell r="AD11868">
            <v>45500</v>
          </cell>
        </row>
        <row r="11869">
          <cell r="W11869" t="str">
            <v>QSPON02</v>
          </cell>
          <cell r="AD11869">
            <v>45500</v>
          </cell>
        </row>
        <row r="11870">
          <cell r="W11870" t="str">
            <v>QSPON02</v>
          </cell>
          <cell r="AD11870">
            <v>45500</v>
          </cell>
        </row>
        <row r="11871">
          <cell r="W11871" t="str">
            <v>QSPON02</v>
          </cell>
          <cell r="AD11871">
            <v>45500</v>
          </cell>
        </row>
        <row r="11872">
          <cell r="W11872" t="str">
            <v>QSPON02</v>
          </cell>
          <cell r="AD11872">
            <v>45500</v>
          </cell>
        </row>
        <row r="11873">
          <cell r="W11873" t="str">
            <v>QSPON02</v>
          </cell>
          <cell r="AD11873">
            <v>45500</v>
          </cell>
        </row>
        <row r="11874">
          <cell r="W11874" t="str">
            <v>QSPON02</v>
          </cell>
          <cell r="AD11874">
            <v>45500</v>
          </cell>
        </row>
        <row r="11875">
          <cell r="W11875" t="str">
            <v>QSPON02</v>
          </cell>
          <cell r="AD11875">
            <v>45500</v>
          </cell>
        </row>
        <row r="11876">
          <cell r="W11876" t="str">
            <v>QSPON02</v>
          </cell>
          <cell r="AD11876">
            <v>45500</v>
          </cell>
        </row>
        <row r="11877">
          <cell r="W11877" t="str">
            <v>QSPON02</v>
          </cell>
          <cell r="AD11877">
            <v>45500</v>
          </cell>
        </row>
        <row r="11878">
          <cell r="W11878" t="str">
            <v>QSPON02</v>
          </cell>
          <cell r="AD11878">
            <v>45500</v>
          </cell>
        </row>
        <row r="11879">
          <cell r="W11879" t="str">
            <v>QSPON02</v>
          </cell>
          <cell r="AD11879">
            <v>45500</v>
          </cell>
        </row>
        <row r="11880">
          <cell r="W11880" t="str">
            <v>QSPON02</v>
          </cell>
          <cell r="AD11880">
            <v>45500</v>
          </cell>
        </row>
        <row r="11881">
          <cell r="W11881" t="str">
            <v>QSPON02</v>
          </cell>
          <cell r="AD11881">
            <v>45500</v>
          </cell>
        </row>
        <row r="11882">
          <cell r="W11882" t="str">
            <v>QSPON02</v>
          </cell>
          <cell r="AD11882">
            <v>45500</v>
          </cell>
        </row>
        <row r="11883">
          <cell r="W11883" t="str">
            <v>QSPON02</v>
          </cell>
          <cell r="AD11883">
            <v>45500</v>
          </cell>
        </row>
        <row r="11884">
          <cell r="W11884" t="str">
            <v>QSPON02</v>
          </cell>
          <cell r="AD11884">
            <v>45500</v>
          </cell>
        </row>
        <row r="11885">
          <cell r="W11885" t="str">
            <v>QSPON02</v>
          </cell>
          <cell r="AD11885">
            <v>47000</v>
          </cell>
        </row>
        <row r="11886">
          <cell r="W11886" t="str">
            <v>QSPON02</v>
          </cell>
          <cell r="AD11886">
            <v>47500</v>
          </cell>
        </row>
        <row r="11887">
          <cell r="W11887" t="str">
            <v>QSPON02</v>
          </cell>
          <cell r="AD11887">
            <v>47500</v>
          </cell>
        </row>
        <row r="11888">
          <cell r="W11888" t="str">
            <v>QSPON02</v>
          </cell>
          <cell r="AD11888">
            <v>47500</v>
          </cell>
        </row>
        <row r="11889">
          <cell r="W11889" t="str">
            <v>QSPON02</v>
          </cell>
          <cell r="AD11889">
            <v>47500</v>
          </cell>
        </row>
        <row r="11890">
          <cell r="W11890" t="str">
            <v>QSPON02</v>
          </cell>
          <cell r="AD11890">
            <v>47500</v>
          </cell>
        </row>
        <row r="11891">
          <cell r="W11891" t="str">
            <v>QSPON02</v>
          </cell>
          <cell r="AD11891">
            <v>47500</v>
          </cell>
        </row>
        <row r="11892">
          <cell r="W11892" t="str">
            <v>QSPON02</v>
          </cell>
          <cell r="AD11892">
            <v>47500</v>
          </cell>
        </row>
        <row r="11893">
          <cell r="W11893" t="str">
            <v>QSPON02</v>
          </cell>
          <cell r="AD11893">
            <v>47500</v>
          </cell>
        </row>
        <row r="11894">
          <cell r="W11894" t="str">
            <v>QSPON02</v>
          </cell>
          <cell r="AD11894">
            <v>47500</v>
          </cell>
        </row>
        <row r="11895">
          <cell r="W11895" t="str">
            <v>QSPON02</v>
          </cell>
          <cell r="AD11895">
            <v>47500</v>
          </cell>
        </row>
        <row r="11896">
          <cell r="W11896" t="str">
            <v>QSPON02</v>
          </cell>
          <cell r="AD11896">
            <v>47500</v>
          </cell>
        </row>
        <row r="11897">
          <cell r="W11897" t="str">
            <v>QSPON02</v>
          </cell>
          <cell r="AD11897">
            <v>47500</v>
          </cell>
        </row>
        <row r="11898">
          <cell r="W11898" t="str">
            <v>QSPON02</v>
          </cell>
          <cell r="AD11898">
            <v>47500</v>
          </cell>
        </row>
        <row r="11899">
          <cell r="W11899" t="str">
            <v>QSPON02</v>
          </cell>
          <cell r="AD11899">
            <v>47500</v>
          </cell>
        </row>
        <row r="11900">
          <cell r="W11900" t="str">
            <v>QSPON02</v>
          </cell>
          <cell r="AD11900">
            <v>47500</v>
          </cell>
        </row>
        <row r="11901">
          <cell r="W11901" t="str">
            <v>QSPON02</v>
          </cell>
          <cell r="AD11901">
            <v>47500</v>
          </cell>
        </row>
        <row r="11902">
          <cell r="W11902" t="str">
            <v>QSPON02</v>
          </cell>
          <cell r="AD11902">
            <v>47500</v>
          </cell>
        </row>
        <row r="11903">
          <cell r="W11903" t="str">
            <v>QSPON02</v>
          </cell>
          <cell r="AD11903">
            <v>47500</v>
          </cell>
        </row>
        <row r="11904">
          <cell r="W11904" t="str">
            <v>QSPON02</v>
          </cell>
          <cell r="AD11904">
            <v>47500</v>
          </cell>
        </row>
        <row r="11905">
          <cell r="W11905" t="str">
            <v>QSPON02</v>
          </cell>
          <cell r="AD11905">
            <v>47500</v>
          </cell>
        </row>
        <row r="11906">
          <cell r="W11906" t="str">
            <v>QSPON02</v>
          </cell>
          <cell r="AD11906">
            <v>47500</v>
          </cell>
        </row>
        <row r="11907">
          <cell r="W11907" t="str">
            <v>QSPON02</v>
          </cell>
          <cell r="AD11907">
            <v>47500</v>
          </cell>
        </row>
        <row r="11908">
          <cell r="W11908" t="str">
            <v>QSPON02</v>
          </cell>
          <cell r="AD11908">
            <v>47500</v>
          </cell>
        </row>
        <row r="11909">
          <cell r="W11909" t="str">
            <v>QSPON02</v>
          </cell>
          <cell r="AD11909">
            <v>47500</v>
          </cell>
        </row>
        <row r="11910">
          <cell r="W11910" t="str">
            <v>QSPON02</v>
          </cell>
          <cell r="AD11910">
            <v>47500</v>
          </cell>
        </row>
        <row r="11911">
          <cell r="W11911" t="str">
            <v>QSPON02</v>
          </cell>
          <cell r="AD11911">
            <v>47500</v>
          </cell>
        </row>
        <row r="11912">
          <cell r="W11912" t="str">
            <v>QSPON02</v>
          </cell>
          <cell r="AD11912">
            <v>47500</v>
          </cell>
        </row>
        <row r="11913">
          <cell r="W11913" t="str">
            <v>QSPON02</v>
          </cell>
          <cell r="AD11913">
            <v>47500</v>
          </cell>
        </row>
        <row r="11914">
          <cell r="W11914" t="str">
            <v>QSPON02</v>
          </cell>
          <cell r="AD11914">
            <v>47500</v>
          </cell>
        </row>
        <row r="11915">
          <cell r="W11915" t="str">
            <v>QSPON02</v>
          </cell>
          <cell r="AD11915">
            <v>47500</v>
          </cell>
        </row>
        <row r="11916">
          <cell r="W11916" t="str">
            <v>QSPON02</v>
          </cell>
          <cell r="AD11916">
            <v>47500</v>
          </cell>
        </row>
        <row r="11917">
          <cell r="W11917" t="str">
            <v>QSPON02</v>
          </cell>
          <cell r="AD11917">
            <v>47500</v>
          </cell>
        </row>
        <row r="11918">
          <cell r="W11918" t="str">
            <v>QSPON02</v>
          </cell>
          <cell r="AD11918">
            <v>47500</v>
          </cell>
        </row>
        <row r="11919">
          <cell r="W11919" t="str">
            <v>QSPON02</v>
          </cell>
          <cell r="AD11919">
            <v>47500</v>
          </cell>
        </row>
        <row r="11920">
          <cell r="W11920" t="str">
            <v>QSPON02</v>
          </cell>
          <cell r="AD11920">
            <v>47500</v>
          </cell>
        </row>
        <row r="11921">
          <cell r="W11921" t="str">
            <v>QSPON02</v>
          </cell>
          <cell r="AD11921">
            <v>47500</v>
          </cell>
        </row>
        <row r="11922">
          <cell r="W11922" t="str">
            <v>QSPON02</v>
          </cell>
          <cell r="AD11922">
            <v>47500</v>
          </cell>
        </row>
        <row r="11923">
          <cell r="W11923" t="str">
            <v>QSPON02</v>
          </cell>
          <cell r="AD11923">
            <v>47500</v>
          </cell>
        </row>
        <row r="11924">
          <cell r="W11924" t="str">
            <v>QSPON02</v>
          </cell>
          <cell r="AD11924">
            <v>47500</v>
          </cell>
        </row>
        <row r="11925">
          <cell r="W11925" t="str">
            <v>QSPON02</v>
          </cell>
          <cell r="AD11925">
            <v>47500</v>
          </cell>
        </row>
        <row r="11926">
          <cell r="W11926" t="str">
            <v>QSPON02</v>
          </cell>
          <cell r="AD11926">
            <v>47500</v>
          </cell>
        </row>
        <row r="11927">
          <cell r="W11927" t="str">
            <v>QSPON02</v>
          </cell>
          <cell r="AD11927">
            <v>47500</v>
          </cell>
        </row>
        <row r="11928">
          <cell r="W11928" t="str">
            <v>QSPON02</v>
          </cell>
          <cell r="AD11928">
            <v>47500</v>
          </cell>
        </row>
        <row r="11929">
          <cell r="W11929" t="str">
            <v>QSPON02</v>
          </cell>
          <cell r="AD11929">
            <v>47500</v>
          </cell>
        </row>
        <row r="11930">
          <cell r="W11930" t="str">
            <v>QSPON02</v>
          </cell>
          <cell r="AD11930">
            <v>47500</v>
          </cell>
        </row>
        <row r="11931">
          <cell r="W11931" t="str">
            <v>QSPON02</v>
          </cell>
          <cell r="AD11931">
            <v>47500</v>
          </cell>
        </row>
        <row r="11932">
          <cell r="W11932" t="str">
            <v>QSPON02</v>
          </cell>
          <cell r="AD11932">
            <v>47500</v>
          </cell>
        </row>
        <row r="11933">
          <cell r="W11933" t="str">
            <v>QSPON02</v>
          </cell>
          <cell r="AD11933">
            <v>47500</v>
          </cell>
        </row>
        <row r="11934">
          <cell r="W11934" t="str">
            <v>QSPON02</v>
          </cell>
          <cell r="AD11934">
            <v>47500</v>
          </cell>
        </row>
        <row r="11935">
          <cell r="W11935" t="str">
            <v>QSPON02</v>
          </cell>
          <cell r="AD11935">
            <v>47500</v>
          </cell>
        </row>
        <row r="11936">
          <cell r="W11936" t="str">
            <v>QSPON02</v>
          </cell>
          <cell r="AD11936">
            <v>47500</v>
          </cell>
        </row>
        <row r="11937">
          <cell r="W11937" t="str">
            <v>QSPON02</v>
          </cell>
          <cell r="AD11937">
            <v>47500</v>
          </cell>
        </row>
        <row r="11938">
          <cell r="W11938" t="str">
            <v>QSPON02</v>
          </cell>
          <cell r="AD11938">
            <v>47500</v>
          </cell>
        </row>
        <row r="11939">
          <cell r="W11939" t="str">
            <v>QSPON02</v>
          </cell>
          <cell r="AD11939">
            <v>47500</v>
          </cell>
        </row>
        <row r="11940">
          <cell r="W11940" t="str">
            <v>QSPON02</v>
          </cell>
          <cell r="AD11940">
            <v>47500</v>
          </cell>
        </row>
        <row r="11941">
          <cell r="W11941" t="str">
            <v>QSPON02</v>
          </cell>
          <cell r="AD11941">
            <v>47500</v>
          </cell>
        </row>
        <row r="11942">
          <cell r="W11942" t="str">
            <v>QSPON02</v>
          </cell>
          <cell r="AD11942">
            <v>47500</v>
          </cell>
        </row>
        <row r="11943">
          <cell r="W11943" t="str">
            <v>QSPON02</v>
          </cell>
          <cell r="AD11943">
            <v>47500</v>
          </cell>
        </row>
        <row r="11944">
          <cell r="W11944" t="str">
            <v>QSPON02</v>
          </cell>
          <cell r="AD11944">
            <v>47500</v>
          </cell>
        </row>
        <row r="11945">
          <cell r="W11945" t="str">
            <v>QSPON02</v>
          </cell>
          <cell r="AD11945">
            <v>47500</v>
          </cell>
        </row>
        <row r="11946">
          <cell r="W11946" t="str">
            <v>QSPON02</v>
          </cell>
          <cell r="AD11946">
            <v>47500</v>
          </cell>
        </row>
        <row r="11947">
          <cell r="W11947" t="str">
            <v>QSPON08</v>
          </cell>
          <cell r="AD11947">
            <v>31145.450285700001</v>
          </cell>
        </row>
        <row r="11948">
          <cell r="W11948" t="str">
            <v>QSPON08</v>
          </cell>
          <cell r="AD11948">
            <v>52000</v>
          </cell>
        </row>
        <row r="11949">
          <cell r="W11949" t="str">
            <v>QSPON08</v>
          </cell>
          <cell r="AD11949">
            <v>52000</v>
          </cell>
        </row>
        <row r="11950">
          <cell r="W11950" t="str">
            <v>QSPON08</v>
          </cell>
          <cell r="AD11950">
            <v>52000</v>
          </cell>
        </row>
        <row r="11951">
          <cell r="W11951" t="str">
            <v>QSPON08</v>
          </cell>
          <cell r="AD11951">
            <v>52000</v>
          </cell>
        </row>
        <row r="11952">
          <cell r="W11952" t="str">
            <v>QSPON07</v>
          </cell>
          <cell r="AD11952">
            <v>31000</v>
          </cell>
        </row>
        <row r="11953">
          <cell r="W11953" t="str">
            <v>QSPON07</v>
          </cell>
          <cell r="AD11953">
            <v>31000</v>
          </cell>
        </row>
        <row r="11954">
          <cell r="W11954" t="str">
            <v>QSPON07</v>
          </cell>
          <cell r="AD11954">
            <v>31000</v>
          </cell>
        </row>
        <row r="11955">
          <cell r="W11955" t="str">
            <v>QSPON07</v>
          </cell>
          <cell r="AD11955">
            <v>31000</v>
          </cell>
        </row>
        <row r="11956">
          <cell r="W11956" t="str">
            <v>QSPON07</v>
          </cell>
          <cell r="AD11956">
            <v>31000</v>
          </cell>
        </row>
        <row r="11957">
          <cell r="W11957" t="str">
            <v>QSPON07</v>
          </cell>
          <cell r="AD11957">
            <v>31000</v>
          </cell>
        </row>
        <row r="11958">
          <cell r="W11958" t="str">
            <v>QSPON07</v>
          </cell>
          <cell r="AD11958">
            <v>31000</v>
          </cell>
        </row>
        <row r="11959">
          <cell r="W11959" t="str">
            <v>QSPON07</v>
          </cell>
          <cell r="AD11959">
            <v>31500</v>
          </cell>
        </row>
        <row r="11960">
          <cell r="W11960" t="str">
            <v>QSPON07</v>
          </cell>
          <cell r="AD11960">
            <v>31500</v>
          </cell>
        </row>
        <row r="11961">
          <cell r="W11961" t="str">
            <v>QSPON07</v>
          </cell>
          <cell r="AD11961">
            <v>31500</v>
          </cell>
        </row>
        <row r="11962">
          <cell r="W11962" t="str">
            <v>QSPON06</v>
          </cell>
          <cell r="AD11962">
            <v>18500</v>
          </cell>
        </row>
        <row r="11963">
          <cell r="W11963" t="str">
            <v>QSPON06</v>
          </cell>
          <cell r="AD11963">
            <v>18500</v>
          </cell>
        </row>
        <row r="11964">
          <cell r="W11964" t="str">
            <v>QSPON06</v>
          </cell>
          <cell r="AD11964">
            <v>18500</v>
          </cell>
        </row>
        <row r="11965">
          <cell r="W11965" t="str">
            <v>QSPRA24</v>
          </cell>
          <cell r="AD11965">
            <v>59500</v>
          </cell>
        </row>
        <row r="11966">
          <cell r="W11966" t="str">
            <v>QSPRA28</v>
          </cell>
          <cell r="AD11966">
            <v>23454.55</v>
          </cell>
        </row>
        <row r="11967">
          <cell r="W11967" t="str">
            <v>QSPRA28</v>
          </cell>
          <cell r="AD11967">
            <v>23454.550177000001</v>
          </cell>
        </row>
        <row r="11968">
          <cell r="W11968" t="str">
            <v>QSPRA28</v>
          </cell>
          <cell r="AD11968">
            <v>30000</v>
          </cell>
        </row>
        <row r="11969">
          <cell r="W11969" t="str">
            <v>QSPRA28</v>
          </cell>
          <cell r="AD11969">
            <v>32500</v>
          </cell>
        </row>
        <row r="11970">
          <cell r="W11970" t="str">
            <v>QSPRA28</v>
          </cell>
          <cell r="AD11970">
            <v>32500</v>
          </cell>
        </row>
        <row r="11971">
          <cell r="W11971" t="str">
            <v>QSPRA28</v>
          </cell>
          <cell r="AD11971">
            <v>32500</v>
          </cell>
        </row>
        <row r="11972">
          <cell r="W11972" t="str">
            <v>QSPRA28</v>
          </cell>
          <cell r="AD11972">
            <v>32500</v>
          </cell>
        </row>
        <row r="11973">
          <cell r="W11973" t="str">
            <v>QSPRA28</v>
          </cell>
          <cell r="AD11973">
            <v>32500</v>
          </cell>
        </row>
        <row r="11974">
          <cell r="W11974" t="str">
            <v>QSPRA28</v>
          </cell>
          <cell r="AD11974">
            <v>35000</v>
          </cell>
        </row>
        <row r="11975">
          <cell r="W11975" t="str">
            <v>QSPRA28</v>
          </cell>
          <cell r="AD11975">
            <v>35000</v>
          </cell>
        </row>
        <row r="11976">
          <cell r="W11976" t="str">
            <v>QSPRA28</v>
          </cell>
          <cell r="AD11976">
            <v>35000</v>
          </cell>
        </row>
        <row r="11977">
          <cell r="W11977" t="str">
            <v>QSPRA28</v>
          </cell>
          <cell r="AD11977">
            <v>35000</v>
          </cell>
        </row>
        <row r="11978">
          <cell r="W11978" t="str">
            <v>QSPRA28</v>
          </cell>
          <cell r="AD11978">
            <v>35000</v>
          </cell>
        </row>
        <row r="11979">
          <cell r="W11979" t="str">
            <v>QSPRA28</v>
          </cell>
          <cell r="AD11979">
            <v>35000</v>
          </cell>
        </row>
        <row r="11980">
          <cell r="W11980" t="str">
            <v>QSPRA28</v>
          </cell>
          <cell r="AD11980">
            <v>35000</v>
          </cell>
        </row>
        <row r="11981">
          <cell r="W11981" t="str">
            <v>QSPRA28</v>
          </cell>
          <cell r="AD11981">
            <v>35000</v>
          </cell>
        </row>
        <row r="11982">
          <cell r="W11982" t="str">
            <v>QSPRA28</v>
          </cell>
          <cell r="AD11982">
            <v>35000</v>
          </cell>
        </row>
        <row r="11983">
          <cell r="W11983" t="str">
            <v>QSPRA28</v>
          </cell>
          <cell r="AD11983">
            <v>35000</v>
          </cell>
        </row>
        <row r="11984">
          <cell r="W11984" t="str">
            <v>QSPRA28</v>
          </cell>
          <cell r="AD11984">
            <v>35000</v>
          </cell>
        </row>
        <row r="11985">
          <cell r="W11985" t="str">
            <v>QSPRA28</v>
          </cell>
          <cell r="AD11985">
            <v>35000</v>
          </cell>
        </row>
        <row r="11986">
          <cell r="W11986" t="str">
            <v>QSPRA28</v>
          </cell>
          <cell r="AD11986">
            <v>37500</v>
          </cell>
        </row>
        <row r="11987">
          <cell r="W11987" t="str">
            <v>QSPRA28</v>
          </cell>
          <cell r="AD11987">
            <v>37500</v>
          </cell>
        </row>
        <row r="11988">
          <cell r="W11988" t="str">
            <v>QSPRA28</v>
          </cell>
          <cell r="AD11988">
            <v>37500</v>
          </cell>
        </row>
        <row r="11989">
          <cell r="W11989" t="str">
            <v>QSPRA28</v>
          </cell>
          <cell r="AD11989">
            <v>40000</v>
          </cell>
        </row>
        <row r="11990">
          <cell r="W11990" t="str">
            <v>QSPRA28</v>
          </cell>
          <cell r="AD11990">
            <v>40000</v>
          </cell>
        </row>
        <row r="11991">
          <cell r="W11991" t="str">
            <v>QSPRA28</v>
          </cell>
          <cell r="AD11991">
            <v>40000</v>
          </cell>
        </row>
        <row r="11992">
          <cell r="W11992" t="str">
            <v>QSPRA28</v>
          </cell>
          <cell r="AD11992">
            <v>40000</v>
          </cell>
        </row>
        <row r="11993">
          <cell r="W11993" t="str">
            <v>QSPRA28</v>
          </cell>
          <cell r="AD11993">
            <v>40000</v>
          </cell>
        </row>
        <row r="11994">
          <cell r="W11994" t="str">
            <v>QSPRA28</v>
          </cell>
          <cell r="AD11994">
            <v>40000</v>
          </cell>
        </row>
        <row r="11995">
          <cell r="W11995" t="str">
            <v>QSPRA28</v>
          </cell>
          <cell r="AD11995">
            <v>40000</v>
          </cell>
        </row>
        <row r="11996">
          <cell r="W11996" t="str">
            <v>QSPRA28</v>
          </cell>
          <cell r="AD11996">
            <v>40000</v>
          </cell>
        </row>
        <row r="11997">
          <cell r="W11997" t="str">
            <v>QSPRA28</v>
          </cell>
          <cell r="AD11997">
            <v>40000</v>
          </cell>
        </row>
        <row r="11998">
          <cell r="W11998" t="str">
            <v>QSPRA28</v>
          </cell>
          <cell r="AD11998">
            <v>40000</v>
          </cell>
        </row>
        <row r="11999">
          <cell r="W11999" t="str">
            <v>QSPRA28</v>
          </cell>
          <cell r="AD11999">
            <v>45000</v>
          </cell>
        </row>
        <row r="12000">
          <cell r="W12000" t="str">
            <v>QSPRA28</v>
          </cell>
          <cell r="AD12000">
            <v>45000</v>
          </cell>
        </row>
        <row r="12001">
          <cell r="W12001" t="str">
            <v>QSPRA28</v>
          </cell>
          <cell r="AD12001">
            <v>45000</v>
          </cell>
        </row>
        <row r="12002">
          <cell r="W12002" t="str">
            <v>QSPRA28</v>
          </cell>
          <cell r="AD12002">
            <v>45000</v>
          </cell>
        </row>
        <row r="12003">
          <cell r="W12003" t="str">
            <v>QSPRA28</v>
          </cell>
          <cell r="AD12003">
            <v>45000</v>
          </cell>
        </row>
        <row r="12004">
          <cell r="W12004" t="str">
            <v>QSPRA28</v>
          </cell>
          <cell r="AD12004">
            <v>45000</v>
          </cell>
        </row>
        <row r="12005">
          <cell r="W12005" t="str">
            <v>QSPRA28</v>
          </cell>
          <cell r="AD12005">
            <v>45000</v>
          </cell>
        </row>
        <row r="12006">
          <cell r="W12006" t="str">
            <v>QSPRA28</v>
          </cell>
          <cell r="AD12006">
            <v>45000</v>
          </cell>
        </row>
        <row r="12007">
          <cell r="W12007" t="str">
            <v>QSPRA28</v>
          </cell>
          <cell r="AD12007">
            <v>45000</v>
          </cell>
        </row>
        <row r="12008">
          <cell r="W12008" t="str">
            <v>QSPRA28</v>
          </cell>
          <cell r="AD12008">
            <v>45000</v>
          </cell>
        </row>
        <row r="12009">
          <cell r="W12009" t="str">
            <v>QSPRA28</v>
          </cell>
          <cell r="AD12009">
            <v>45000</v>
          </cell>
        </row>
        <row r="12010">
          <cell r="W12010" t="str">
            <v>QSPRA28</v>
          </cell>
          <cell r="AD12010">
            <v>45000</v>
          </cell>
        </row>
        <row r="12011">
          <cell r="W12011" t="str">
            <v>QSPRA28</v>
          </cell>
          <cell r="AD12011">
            <v>45000</v>
          </cell>
        </row>
        <row r="12012">
          <cell r="W12012" t="str">
            <v>QSPRA28</v>
          </cell>
          <cell r="AD12012">
            <v>45000</v>
          </cell>
        </row>
        <row r="12013">
          <cell r="W12013" t="str">
            <v>QSPRA28</v>
          </cell>
          <cell r="AD12013">
            <v>45000</v>
          </cell>
        </row>
        <row r="12014">
          <cell r="W12014" t="str">
            <v>QSPRA28</v>
          </cell>
          <cell r="AD12014">
            <v>45000</v>
          </cell>
        </row>
        <row r="12015">
          <cell r="W12015" t="str">
            <v>QSPRA28</v>
          </cell>
          <cell r="AD12015">
            <v>45000</v>
          </cell>
        </row>
        <row r="12016">
          <cell r="W12016" t="str">
            <v>QSPRA28</v>
          </cell>
          <cell r="AD12016">
            <v>45000</v>
          </cell>
        </row>
        <row r="12017">
          <cell r="W12017" t="str">
            <v>QSPRA28</v>
          </cell>
          <cell r="AD12017">
            <v>45000</v>
          </cell>
        </row>
        <row r="12018">
          <cell r="W12018" t="str">
            <v>QSPRA28</v>
          </cell>
          <cell r="AD12018">
            <v>45000</v>
          </cell>
        </row>
        <row r="12019">
          <cell r="W12019" t="str">
            <v>QSPRA28</v>
          </cell>
          <cell r="AD12019">
            <v>45000</v>
          </cell>
        </row>
        <row r="12020">
          <cell r="W12020" t="str">
            <v>QSPRA28</v>
          </cell>
          <cell r="AD12020">
            <v>45000</v>
          </cell>
        </row>
        <row r="12021">
          <cell r="W12021" t="str">
            <v>QSPRA28</v>
          </cell>
          <cell r="AD12021">
            <v>45000</v>
          </cell>
        </row>
        <row r="12022">
          <cell r="W12022" t="str">
            <v>QSPRA28</v>
          </cell>
          <cell r="AD12022">
            <v>45000</v>
          </cell>
        </row>
        <row r="12023">
          <cell r="W12023" t="str">
            <v>QSPRA28</v>
          </cell>
          <cell r="AD12023">
            <v>45000</v>
          </cell>
        </row>
        <row r="12024">
          <cell r="W12024" t="str">
            <v>QSPRA28</v>
          </cell>
          <cell r="AD12024">
            <v>45000</v>
          </cell>
        </row>
        <row r="12025">
          <cell r="W12025" t="str">
            <v>QSPRA28</v>
          </cell>
          <cell r="AD12025">
            <v>50000</v>
          </cell>
        </row>
        <row r="12026">
          <cell r="W12026" t="str">
            <v>QSPRA28</v>
          </cell>
          <cell r="AD12026">
            <v>50000</v>
          </cell>
        </row>
        <row r="12027">
          <cell r="W12027" t="str">
            <v>QSPRA28</v>
          </cell>
          <cell r="AD12027">
            <v>50000</v>
          </cell>
        </row>
        <row r="12028">
          <cell r="W12028" t="str">
            <v>QSPRA30</v>
          </cell>
          <cell r="AD12028">
            <v>86363.64</v>
          </cell>
        </row>
        <row r="12029">
          <cell r="W12029" t="str">
            <v>QSPRA31</v>
          </cell>
          <cell r="AD12029">
            <v>95454.55</v>
          </cell>
        </row>
        <row r="12030">
          <cell r="W12030" t="str">
            <v>QSPRA11</v>
          </cell>
          <cell r="AD12030">
            <v>313636.36</v>
          </cell>
        </row>
        <row r="12031">
          <cell r="W12031" t="str">
            <v>QSPRA11</v>
          </cell>
          <cell r="AD12031">
            <v>345115</v>
          </cell>
        </row>
        <row r="12032">
          <cell r="W12032" t="str">
            <v>QSPRA11</v>
          </cell>
          <cell r="AD12032">
            <v>345200</v>
          </cell>
        </row>
        <row r="12033">
          <cell r="W12033" t="str">
            <v>QSPRA11</v>
          </cell>
          <cell r="AD12033">
            <v>345200</v>
          </cell>
        </row>
        <row r="12034">
          <cell r="W12034" t="str">
            <v>QSPRA11</v>
          </cell>
          <cell r="AD12034">
            <v>345200</v>
          </cell>
        </row>
        <row r="12035">
          <cell r="W12035" t="str">
            <v>QSPRA11</v>
          </cell>
          <cell r="AD12035">
            <v>345200</v>
          </cell>
        </row>
        <row r="12036">
          <cell r="W12036" t="str">
            <v>QSPRA11</v>
          </cell>
          <cell r="AD12036">
            <v>345200</v>
          </cell>
        </row>
        <row r="12037">
          <cell r="W12037" t="str">
            <v>QSPRA11</v>
          </cell>
          <cell r="AD12037">
            <v>345200</v>
          </cell>
        </row>
        <row r="12038">
          <cell r="W12038" t="str">
            <v>QSPRA11</v>
          </cell>
          <cell r="AD12038">
            <v>390000</v>
          </cell>
        </row>
        <row r="12039">
          <cell r="W12039" t="str">
            <v>QSPRA11</v>
          </cell>
          <cell r="AD12039">
            <v>400000</v>
          </cell>
        </row>
        <row r="12040">
          <cell r="W12040" t="str">
            <v>QSPRA11</v>
          </cell>
          <cell r="AD12040">
            <v>400000</v>
          </cell>
        </row>
        <row r="12041">
          <cell r="W12041" t="str">
            <v>QSPRA11</v>
          </cell>
          <cell r="AD12041">
            <v>400000</v>
          </cell>
        </row>
        <row r="12042">
          <cell r="W12042" t="str">
            <v>QSPRA11</v>
          </cell>
          <cell r="AD12042">
            <v>410000</v>
          </cell>
        </row>
        <row r="12043">
          <cell r="W12043" t="str">
            <v>QSPRA11</v>
          </cell>
          <cell r="AD12043">
            <v>425000</v>
          </cell>
        </row>
        <row r="12044">
          <cell r="W12044" t="str">
            <v>QSPRA11</v>
          </cell>
          <cell r="AD12044">
            <v>425000</v>
          </cell>
        </row>
        <row r="12045">
          <cell r="W12045" t="str">
            <v>QSPRA11</v>
          </cell>
          <cell r="AD12045">
            <v>425000</v>
          </cell>
        </row>
        <row r="12046">
          <cell r="W12046" t="str">
            <v>QSPRA11</v>
          </cell>
          <cell r="AD12046">
            <v>425000</v>
          </cell>
        </row>
        <row r="12047">
          <cell r="W12047" t="str">
            <v>QSPRA11</v>
          </cell>
          <cell r="AD12047">
            <v>425000</v>
          </cell>
        </row>
        <row r="12048">
          <cell r="W12048" t="str">
            <v>QSPRA11</v>
          </cell>
          <cell r="AD12048">
            <v>425000</v>
          </cell>
        </row>
        <row r="12049">
          <cell r="W12049" t="str">
            <v>QSPRA11</v>
          </cell>
          <cell r="AD12049">
            <v>425000</v>
          </cell>
        </row>
        <row r="12050">
          <cell r="W12050" t="str">
            <v>QSPRA11</v>
          </cell>
          <cell r="AD12050">
            <v>425000</v>
          </cell>
        </row>
        <row r="12051">
          <cell r="W12051" t="str">
            <v>QSPRA11</v>
          </cell>
          <cell r="AD12051">
            <v>430000</v>
          </cell>
        </row>
        <row r="12052">
          <cell r="W12052" t="str">
            <v>QSPRA11</v>
          </cell>
          <cell r="AD12052">
            <v>435000</v>
          </cell>
        </row>
        <row r="12053">
          <cell r="W12053" t="str">
            <v>QSPRA11</v>
          </cell>
          <cell r="AD12053">
            <v>450000</v>
          </cell>
        </row>
        <row r="12054">
          <cell r="W12054" t="str">
            <v>QSPRA11</v>
          </cell>
          <cell r="AD12054">
            <v>450000</v>
          </cell>
        </row>
        <row r="12055">
          <cell r="W12055" t="str">
            <v>QSPRA11</v>
          </cell>
          <cell r="AD12055">
            <v>450000</v>
          </cell>
        </row>
        <row r="12056">
          <cell r="W12056" t="str">
            <v>QSPRA11</v>
          </cell>
          <cell r="AD12056">
            <v>450000</v>
          </cell>
        </row>
        <row r="12057">
          <cell r="W12057" t="str">
            <v>QSPRA11</v>
          </cell>
          <cell r="AD12057">
            <v>450000</v>
          </cell>
        </row>
        <row r="12058">
          <cell r="W12058" t="str">
            <v>QSPRA11</v>
          </cell>
          <cell r="AD12058">
            <v>450000</v>
          </cell>
        </row>
        <row r="12059">
          <cell r="W12059" t="str">
            <v>QSPRA11</v>
          </cell>
          <cell r="AD12059">
            <v>450000</v>
          </cell>
        </row>
        <row r="12060">
          <cell r="W12060" t="str">
            <v>QSPRA11</v>
          </cell>
          <cell r="AD12060">
            <v>450000</v>
          </cell>
        </row>
        <row r="12061">
          <cell r="W12061" t="str">
            <v>QSPRA11</v>
          </cell>
          <cell r="AD12061">
            <v>450000</v>
          </cell>
        </row>
        <row r="12062">
          <cell r="W12062" t="str">
            <v>QSPRA20</v>
          </cell>
          <cell r="AD12062">
            <v>290000</v>
          </cell>
        </row>
        <row r="12063">
          <cell r="W12063" t="str">
            <v>QSPRA20</v>
          </cell>
          <cell r="AD12063">
            <v>290000</v>
          </cell>
        </row>
        <row r="12064">
          <cell r="W12064" t="str">
            <v>QSPRA20</v>
          </cell>
          <cell r="AD12064">
            <v>290000</v>
          </cell>
        </row>
        <row r="12065">
          <cell r="W12065" t="str">
            <v>QSPRA20</v>
          </cell>
          <cell r="AD12065">
            <v>450000</v>
          </cell>
        </row>
        <row r="12066">
          <cell r="W12066" t="str">
            <v>QSPRA20</v>
          </cell>
          <cell r="AD12066">
            <v>450000</v>
          </cell>
        </row>
        <row r="12067">
          <cell r="W12067" t="str">
            <v>QSPRA20</v>
          </cell>
          <cell r="AD12067">
            <v>450000</v>
          </cell>
        </row>
        <row r="12068">
          <cell r="W12068" t="str">
            <v>QSPRA20</v>
          </cell>
          <cell r="AD12068">
            <v>450000</v>
          </cell>
        </row>
        <row r="12069">
          <cell r="W12069" t="str">
            <v>QSPRA20</v>
          </cell>
          <cell r="AD12069">
            <v>450000</v>
          </cell>
        </row>
        <row r="12070">
          <cell r="W12070" t="str">
            <v>QSPRA20</v>
          </cell>
          <cell r="AD12070">
            <v>450000</v>
          </cell>
        </row>
        <row r="12071">
          <cell r="W12071" t="str">
            <v>QSPRA20</v>
          </cell>
          <cell r="AD12071">
            <v>450000</v>
          </cell>
        </row>
        <row r="12072">
          <cell r="W12072" t="str">
            <v>QSPRA20</v>
          </cell>
          <cell r="AD12072">
            <v>450000</v>
          </cell>
        </row>
        <row r="12073">
          <cell r="W12073" t="str">
            <v>QSPRA20</v>
          </cell>
          <cell r="AD12073">
            <v>450000</v>
          </cell>
        </row>
        <row r="12074">
          <cell r="W12074" t="str">
            <v>QSPRA20</v>
          </cell>
          <cell r="AD12074">
            <v>450000</v>
          </cell>
        </row>
        <row r="12075">
          <cell r="W12075" t="str">
            <v>QSPRA20</v>
          </cell>
          <cell r="AD12075">
            <v>450000</v>
          </cell>
        </row>
        <row r="12076">
          <cell r="W12076" t="str">
            <v>QSPRA20</v>
          </cell>
          <cell r="AD12076">
            <v>450000</v>
          </cell>
        </row>
        <row r="12077">
          <cell r="W12077" t="str">
            <v>QSPRA25</v>
          </cell>
          <cell r="AD12077">
            <v>309090.90908999997</v>
          </cell>
        </row>
        <row r="12078">
          <cell r="W12078" t="str">
            <v>QSPRA25</v>
          </cell>
          <cell r="AD12078">
            <v>340000</v>
          </cell>
        </row>
        <row r="12079">
          <cell r="W12079" t="str">
            <v>QSPRA25</v>
          </cell>
          <cell r="AD12079">
            <v>400000</v>
          </cell>
        </row>
        <row r="12080">
          <cell r="W12080" t="str">
            <v>QSPRA25</v>
          </cell>
          <cell r="AD12080">
            <v>400000</v>
          </cell>
        </row>
        <row r="12081">
          <cell r="W12081" t="str">
            <v>QSPRA25</v>
          </cell>
          <cell r="AD12081">
            <v>420000</v>
          </cell>
        </row>
        <row r="12082">
          <cell r="W12082" t="str">
            <v>QSPRA25</v>
          </cell>
          <cell r="AD12082">
            <v>425000</v>
          </cell>
        </row>
        <row r="12083">
          <cell r="W12083" t="str">
            <v>QSPRA25</v>
          </cell>
          <cell r="AD12083">
            <v>425000</v>
          </cell>
        </row>
        <row r="12084">
          <cell r="W12084" t="str">
            <v>QSPRA25</v>
          </cell>
          <cell r="AD12084">
            <v>425000</v>
          </cell>
        </row>
        <row r="12085">
          <cell r="W12085" t="str">
            <v>QSPRA25</v>
          </cell>
          <cell r="AD12085">
            <v>425000</v>
          </cell>
        </row>
        <row r="12086">
          <cell r="W12086" t="str">
            <v>QSPRA25</v>
          </cell>
          <cell r="AD12086">
            <v>425000</v>
          </cell>
        </row>
        <row r="12087">
          <cell r="W12087" t="str">
            <v>QSPRA25</v>
          </cell>
          <cell r="AD12087">
            <v>425000</v>
          </cell>
        </row>
        <row r="12088">
          <cell r="W12088" t="str">
            <v>QSPRA25</v>
          </cell>
          <cell r="AD12088">
            <v>425000</v>
          </cell>
        </row>
        <row r="12089">
          <cell r="W12089" t="str">
            <v>QSPRA25</v>
          </cell>
          <cell r="AD12089">
            <v>425000</v>
          </cell>
        </row>
        <row r="12090">
          <cell r="W12090" t="str">
            <v>QSPRA25</v>
          </cell>
          <cell r="AD12090">
            <v>425000</v>
          </cell>
        </row>
        <row r="12091">
          <cell r="W12091" t="str">
            <v>QSPRA25</v>
          </cell>
          <cell r="AD12091">
            <v>440000</v>
          </cell>
        </row>
        <row r="12092">
          <cell r="W12092" t="str">
            <v>QSPRA25</v>
          </cell>
          <cell r="AD12092">
            <v>450000</v>
          </cell>
        </row>
        <row r="12093">
          <cell r="W12093" t="str">
            <v>QSPRA01</v>
          </cell>
          <cell r="AD12093">
            <v>340000</v>
          </cell>
        </row>
        <row r="12094">
          <cell r="W12094" t="str">
            <v>QSPRA01</v>
          </cell>
          <cell r="AD12094">
            <v>425000</v>
          </cell>
        </row>
        <row r="12095">
          <cell r="W12095" t="str">
            <v>QSPRA01</v>
          </cell>
          <cell r="AD12095">
            <v>425000</v>
          </cell>
        </row>
        <row r="12096">
          <cell r="W12096" t="str">
            <v>QSPRA01</v>
          </cell>
          <cell r="AD12096">
            <v>425000</v>
          </cell>
        </row>
        <row r="12097">
          <cell r="W12097" t="str">
            <v>QSPRA13</v>
          </cell>
          <cell r="AD12097">
            <v>359090.92</v>
          </cell>
        </row>
        <row r="12098">
          <cell r="W12098" t="str">
            <v>QSPRA13</v>
          </cell>
          <cell r="AD12098">
            <v>395000</v>
          </cell>
        </row>
        <row r="12099">
          <cell r="W12099" t="str">
            <v>QSPRA13</v>
          </cell>
          <cell r="AD12099">
            <v>450000</v>
          </cell>
        </row>
        <row r="12100">
          <cell r="W12100" t="str">
            <v>QSPRA13</v>
          </cell>
          <cell r="AD12100">
            <v>470000</v>
          </cell>
        </row>
        <row r="12101">
          <cell r="W12101" t="str">
            <v>QSPRA13</v>
          </cell>
          <cell r="AD12101">
            <v>470000</v>
          </cell>
        </row>
        <row r="12102">
          <cell r="W12102" t="str">
            <v>QSPRA13</v>
          </cell>
          <cell r="AD12102">
            <v>475000</v>
          </cell>
        </row>
        <row r="12103">
          <cell r="W12103" t="str">
            <v>QSPRA13</v>
          </cell>
          <cell r="AD12103">
            <v>490000</v>
          </cell>
        </row>
        <row r="12104">
          <cell r="W12104" t="str">
            <v>QSPRA13</v>
          </cell>
          <cell r="AD12104">
            <v>500000</v>
          </cell>
        </row>
        <row r="12105">
          <cell r="W12105" t="str">
            <v>QSPRA13</v>
          </cell>
          <cell r="AD12105">
            <v>550000</v>
          </cell>
        </row>
        <row r="12106">
          <cell r="W12106" t="str">
            <v>QSPRA13</v>
          </cell>
          <cell r="AD12106">
            <v>550000</v>
          </cell>
        </row>
        <row r="12107">
          <cell r="W12107" t="str">
            <v>QSPRA13</v>
          </cell>
          <cell r="AD12107">
            <v>550000</v>
          </cell>
        </row>
        <row r="12108">
          <cell r="W12108" t="str">
            <v>QSPRA32</v>
          </cell>
          <cell r="AD12108">
            <v>25000</v>
          </cell>
        </row>
        <row r="12109">
          <cell r="W12109" t="str">
            <v>QSPRA32</v>
          </cell>
          <cell r="AD12109">
            <v>29000</v>
          </cell>
        </row>
        <row r="12110">
          <cell r="W12110" t="str">
            <v>QSPRA32</v>
          </cell>
          <cell r="AD12110">
            <v>29000</v>
          </cell>
        </row>
        <row r="12111">
          <cell r="W12111" t="str">
            <v>QSPRA32</v>
          </cell>
          <cell r="AD12111">
            <v>30000</v>
          </cell>
        </row>
        <row r="12112">
          <cell r="W12112" t="str">
            <v>QSPRA32</v>
          </cell>
          <cell r="AD12112">
            <v>30000</v>
          </cell>
        </row>
        <row r="12113">
          <cell r="W12113" t="str">
            <v>QSPRA26</v>
          </cell>
          <cell r="AD12113">
            <v>110000</v>
          </cell>
        </row>
        <row r="12114">
          <cell r="W12114" t="str">
            <v>QSPRA26</v>
          </cell>
          <cell r="AD12114">
            <v>110000</v>
          </cell>
        </row>
        <row r="12115">
          <cell r="W12115" t="str">
            <v>QSPRA26</v>
          </cell>
          <cell r="AD12115">
            <v>115000</v>
          </cell>
        </row>
        <row r="12116">
          <cell r="W12116" t="str">
            <v>QSPRA26</v>
          </cell>
          <cell r="AD12116">
            <v>115000</v>
          </cell>
        </row>
        <row r="12117">
          <cell r="W12117" t="str">
            <v>QSPRA26</v>
          </cell>
          <cell r="AD12117">
            <v>115000</v>
          </cell>
        </row>
        <row r="12118">
          <cell r="W12118" t="str">
            <v>QSPRA26</v>
          </cell>
          <cell r="AD12118">
            <v>115000</v>
          </cell>
        </row>
        <row r="12119">
          <cell r="W12119" t="str">
            <v>QSPRA26</v>
          </cell>
          <cell r="AD12119">
            <v>115000</v>
          </cell>
        </row>
        <row r="12120">
          <cell r="W12120" t="str">
            <v>QSPRA26</v>
          </cell>
          <cell r="AD12120">
            <v>115000</v>
          </cell>
        </row>
        <row r="12121">
          <cell r="W12121" t="str">
            <v>QSPRA26</v>
          </cell>
          <cell r="AD12121">
            <v>120000</v>
          </cell>
        </row>
        <row r="12122">
          <cell r="W12122" t="str">
            <v>QSPRA26</v>
          </cell>
          <cell r="AD12122">
            <v>120000</v>
          </cell>
        </row>
        <row r="12123">
          <cell r="W12123" t="str">
            <v>QSPRA26</v>
          </cell>
          <cell r="AD12123">
            <v>120000</v>
          </cell>
        </row>
        <row r="12124">
          <cell r="W12124" t="str">
            <v>QSPRA26</v>
          </cell>
          <cell r="AD12124">
            <v>120000</v>
          </cell>
        </row>
        <row r="12125">
          <cell r="W12125" t="str">
            <v>QSPRA26</v>
          </cell>
          <cell r="AD12125">
            <v>120000</v>
          </cell>
        </row>
        <row r="12126">
          <cell r="W12126" t="str">
            <v>QSPRA26</v>
          </cell>
          <cell r="AD12126">
            <v>120000</v>
          </cell>
        </row>
        <row r="12127">
          <cell r="W12127" t="str">
            <v>QSPRA26</v>
          </cell>
          <cell r="AD12127">
            <v>120000</v>
          </cell>
        </row>
        <row r="12128">
          <cell r="W12128" t="str">
            <v>QSPRA26</v>
          </cell>
          <cell r="AD12128">
            <v>120000</v>
          </cell>
        </row>
        <row r="12129">
          <cell r="W12129" t="str">
            <v>QSPRA26</v>
          </cell>
          <cell r="AD12129">
            <v>120000</v>
          </cell>
        </row>
        <row r="12130">
          <cell r="W12130" t="str">
            <v>QSPRA26</v>
          </cell>
          <cell r="AD12130">
            <v>120000</v>
          </cell>
        </row>
        <row r="12131">
          <cell r="W12131" t="str">
            <v>QSPRA26</v>
          </cell>
          <cell r="AD12131">
            <v>120000</v>
          </cell>
        </row>
        <row r="12132">
          <cell r="W12132" t="str">
            <v>QSPRA26</v>
          </cell>
          <cell r="AD12132">
            <v>120000</v>
          </cell>
        </row>
        <row r="12133">
          <cell r="W12133" t="str">
            <v>QSPRA26</v>
          </cell>
          <cell r="AD12133">
            <v>120000</v>
          </cell>
        </row>
        <row r="12134">
          <cell r="W12134" t="str">
            <v>QSPRA26</v>
          </cell>
          <cell r="AD12134">
            <v>120000</v>
          </cell>
        </row>
        <row r="12135">
          <cell r="W12135" t="str">
            <v>QSPRA26</v>
          </cell>
          <cell r="AD12135">
            <v>120000</v>
          </cell>
        </row>
        <row r="12136">
          <cell r="W12136" t="str">
            <v>QSPRA26</v>
          </cell>
          <cell r="AD12136">
            <v>120000</v>
          </cell>
        </row>
        <row r="12137">
          <cell r="W12137" t="str">
            <v>QSPRA26</v>
          </cell>
          <cell r="AD12137">
            <v>120000</v>
          </cell>
        </row>
        <row r="12138">
          <cell r="W12138" t="str">
            <v>QSPRA26</v>
          </cell>
          <cell r="AD12138">
            <v>120000</v>
          </cell>
        </row>
        <row r="12139">
          <cell r="W12139" t="str">
            <v>QSPRA26</v>
          </cell>
          <cell r="AD12139">
            <v>120000</v>
          </cell>
        </row>
        <row r="12140">
          <cell r="W12140" t="str">
            <v>QSPRA26</v>
          </cell>
          <cell r="AD12140">
            <v>120000</v>
          </cell>
        </row>
        <row r="12141">
          <cell r="W12141" t="str">
            <v>QSPRA26</v>
          </cell>
          <cell r="AD12141">
            <v>120000</v>
          </cell>
        </row>
        <row r="12142">
          <cell r="W12142" t="str">
            <v>QSPRA26</v>
          </cell>
          <cell r="AD12142">
            <v>120000</v>
          </cell>
        </row>
        <row r="12143">
          <cell r="W12143" t="str">
            <v>QSPRA26</v>
          </cell>
          <cell r="AD12143">
            <v>120000</v>
          </cell>
        </row>
        <row r="12144">
          <cell r="W12144" t="str">
            <v>QSPRA26</v>
          </cell>
          <cell r="AD12144">
            <v>120000</v>
          </cell>
        </row>
        <row r="12145">
          <cell r="W12145" t="str">
            <v>QSPRA26</v>
          </cell>
          <cell r="AD12145">
            <v>120000</v>
          </cell>
        </row>
        <row r="12146">
          <cell r="W12146" t="str">
            <v>QSPRA26</v>
          </cell>
          <cell r="AD12146">
            <v>120000</v>
          </cell>
        </row>
        <row r="12147">
          <cell r="W12147" t="str">
            <v>QSPRA26</v>
          </cell>
          <cell r="AD12147">
            <v>120000</v>
          </cell>
        </row>
        <row r="12148">
          <cell r="W12148" t="str">
            <v>QSPRA26</v>
          </cell>
          <cell r="AD12148">
            <v>120000</v>
          </cell>
        </row>
        <row r="12149">
          <cell r="W12149" t="str">
            <v>QSPRA26</v>
          </cell>
          <cell r="AD12149">
            <v>120000</v>
          </cell>
        </row>
        <row r="12150">
          <cell r="W12150" t="str">
            <v>QSPRA26</v>
          </cell>
          <cell r="AD12150">
            <v>120000</v>
          </cell>
        </row>
        <row r="12151">
          <cell r="W12151" t="str">
            <v>QSPRA26</v>
          </cell>
          <cell r="AD12151">
            <v>120000</v>
          </cell>
        </row>
        <row r="12152">
          <cell r="W12152" t="str">
            <v>QSPRA26</v>
          </cell>
          <cell r="AD12152">
            <v>120000</v>
          </cell>
        </row>
        <row r="12153">
          <cell r="W12153" t="str">
            <v>QSPRA26</v>
          </cell>
          <cell r="AD12153">
            <v>120000</v>
          </cell>
        </row>
        <row r="12154">
          <cell r="W12154" t="str">
            <v>QSPRA26</v>
          </cell>
          <cell r="AD12154">
            <v>120000</v>
          </cell>
        </row>
        <row r="12155">
          <cell r="W12155" t="str">
            <v>QSPRA26</v>
          </cell>
          <cell r="AD12155">
            <v>120000</v>
          </cell>
        </row>
        <row r="12156">
          <cell r="W12156" t="str">
            <v>QSPRA26</v>
          </cell>
          <cell r="AD12156">
            <v>120000</v>
          </cell>
        </row>
        <row r="12157">
          <cell r="W12157" t="str">
            <v>QSPRA26</v>
          </cell>
          <cell r="AD12157">
            <v>125000</v>
          </cell>
        </row>
        <row r="12158">
          <cell r="W12158" t="str">
            <v>QSPRA26</v>
          </cell>
          <cell r="AD12158">
            <v>125000</v>
          </cell>
        </row>
        <row r="12159">
          <cell r="W12159" t="str">
            <v>QSPRA26</v>
          </cell>
          <cell r="AD12159">
            <v>130000</v>
          </cell>
        </row>
        <row r="12160">
          <cell r="W12160" t="str">
            <v>QSPRA26</v>
          </cell>
          <cell r="AD12160">
            <v>130000</v>
          </cell>
        </row>
        <row r="12161">
          <cell r="W12161" t="str">
            <v>QSPRA26</v>
          </cell>
          <cell r="AD12161">
            <v>130000</v>
          </cell>
        </row>
        <row r="12162">
          <cell r="W12162" t="str">
            <v>QSPRA26</v>
          </cell>
          <cell r="AD12162">
            <v>130000</v>
          </cell>
        </row>
        <row r="12163">
          <cell r="W12163" t="str">
            <v>QSPRA26</v>
          </cell>
          <cell r="AD12163">
            <v>130000</v>
          </cell>
        </row>
        <row r="12164">
          <cell r="W12164" t="str">
            <v>QSPRA27</v>
          </cell>
          <cell r="AD12164">
            <v>130000</v>
          </cell>
        </row>
        <row r="12165">
          <cell r="W12165" t="str">
            <v>QSPRA27</v>
          </cell>
          <cell r="AD12165">
            <v>135000</v>
          </cell>
        </row>
        <row r="12166">
          <cell r="W12166" t="str">
            <v>QSPRA27</v>
          </cell>
          <cell r="AD12166">
            <v>140000</v>
          </cell>
        </row>
        <row r="12167">
          <cell r="W12167" t="str">
            <v>QSPRA27</v>
          </cell>
          <cell r="AD12167">
            <v>140000</v>
          </cell>
        </row>
        <row r="12168">
          <cell r="W12168" t="str">
            <v>QSPRA27</v>
          </cell>
          <cell r="AD12168">
            <v>140000</v>
          </cell>
        </row>
        <row r="12169">
          <cell r="W12169" t="str">
            <v>QSPRA27</v>
          </cell>
          <cell r="AD12169">
            <v>140000</v>
          </cell>
        </row>
        <row r="12170">
          <cell r="W12170" t="str">
            <v>QSPRA27</v>
          </cell>
          <cell r="AD12170">
            <v>140000</v>
          </cell>
        </row>
        <row r="12171">
          <cell r="W12171" t="str">
            <v>QSPRA27</v>
          </cell>
          <cell r="AD12171">
            <v>140000</v>
          </cell>
        </row>
        <row r="12172">
          <cell r="W12172" t="str">
            <v>QSPRA27</v>
          </cell>
          <cell r="AD12172">
            <v>140000</v>
          </cell>
        </row>
        <row r="12173">
          <cell r="W12173" t="str">
            <v>QSPRA27</v>
          </cell>
          <cell r="AD12173">
            <v>140000</v>
          </cell>
        </row>
        <row r="12174">
          <cell r="W12174" t="str">
            <v>QSPRA27</v>
          </cell>
          <cell r="AD12174">
            <v>140000</v>
          </cell>
        </row>
        <row r="12175">
          <cell r="W12175" t="str">
            <v>QSPRA27</v>
          </cell>
          <cell r="AD12175">
            <v>140000</v>
          </cell>
        </row>
        <row r="12176">
          <cell r="W12176" t="str">
            <v>QSPRA27</v>
          </cell>
          <cell r="AD12176">
            <v>140000</v>
          </cell>
        </row>
        <row r="12177">
          <cell r="W12177" t="str">
            <v>QSPRA27</v>
          </cell>
          <cell r="AD12177">
            <v>140000</v>
          </cell>
        </row>
        <row r="12178">
          <cell r="W12178" t="str">
            <v>QSPRA27</v>
          </cell>
          <cell r="AD12178">
            <v>140000</v>
          </cell>
        </row>
        <row r="12179">
          <cell r="W12179" t="str">
            <v>QSPRA27</v>
          </cell>
          <cell r="AD12179">
            <v>140000</v>
          </cell>
        </row>
        <row r="12180">
          <cell r="W12180" t="str">
            <v>QSPRA27</v>
          </cell>
          <cell r="AD12180">
            <v>140000</v>
          </cell>
        </row>
        <row r="12181">
          <cell r="W12181" t="str">
            <v>QSPRA27</v>
          </cell>
          <cell r="AD12181">
            <v>140000</v>
          </cell>
        </row>
        <row r="12182">
          <cell r="W12182" t="str">
            <v>QSPRA27</v>
          </cell>
          <cell r="AD12182">
            <v>140000</v>
          </cell>
        </row>
        <row r="12183">
          <cell r="W12183" t="str">
            <v>QSPRA27</v>
          </cell>
          <cell r="AD12183">
            <v>140000</v>
          </cell>
        </row>
        <row r="12184">
          <cell r="W12184" t="str">
            <v>QSPRA27</v>
          </cell>
          <cell r="AD12184">
            <v>140000</v>
          </cell>
        </row>
        <row r="12185">
          <cell r="W12185" t="str">
            <v>QSPRA27</v>
          </cell>
          <cell r="AD12185">
            <v>140000</v>
          </cell>
        </row>
        <row r="12186">
          <cell r="W12186" t="str">
            <v>QSPRA27</v>
          </cell>
          <cell r="AD12186">
            <v>140000</v>
          </cell>
        </row>
        <row r="12187">
          <cell r="W12187" t="str">
            <v>QSPRA27</v>
          </cell>
          <cell r="AD12187">
            <v>145000</v>
          </cell>
        </row>
        <row r="12188">
          <cell r="W12188" t="str">
            <v>QSPRA27</v>
          </cell>
          <cell r="AD12188">
            <v>150000</v>
          </cell>
        </row>
        <row r="12189">
          <cell r="W12189" t="str">
            <v>QSPRA27</v>
          </cell>
          <cell r="AD12189">
            <v>150000</v>
          </cell>
        </row>
        <row r="12190">
          <cell r="W12190" t="str">
            <v>QSPRA27</v>
          </cell>
          <cell r="AD12190">
            <v>150000</v>
          </cell>
        </row>
        <row r="12191">
          <cell r="W12191" t="str">
            <v>QSPRA29</v>
          </cell>
          <cell r="AD12191">
            <v>350000</v>
          </cell>
        </row>
        <row r="12192">
          <cell r="W12192" t="str">
            <v>QSPRA29</v>
          </cell>
          <cell r="AD12192">
            <v>470000</v>
          </cell>
        </row>
        <row r="12193">
          <cell r="W12193" t="str">
            <v>QSPRA29</v>
          </cell>
          <cell r="AD12193">
            <v>470000</v>
          </cell>
        </row>
        <row r="12194">
          <cell r="W12194" t="str">
            <v>QSPRA29</v>
          </cell>
          <cell r="AD12194">
            <v>490000</v>
          </cell>
        </row>
        <row r="12195">
          <cell r="W12195" t="str">
            <v>QSPRA29</v>
          </cell>
          <cell r="AD12195">
            <v>490000</v>
          </cell>
        </row>
        <row r="12196">
          <cell r="W12196" t="str">
            <v>QSPRA29</v>
          </cell>
          <cell r="AD12196">
            <v>500000</v>
          </cell>
        </row>
        <row r="12197">
          <cell r="W12197" t="str">
            <v>QSPRA29</v>
          </cell>
          <cell r="AD12197">
            <v>500000</v>
          </cell>
        </row>
        <row r="12198">
          <cell r="W12198" t="str">
            <v>QSPRA29</v>
          </cell>
          <cell r="AD12198">
            <v>500000</v>
          </cell>
        </row>
        <row r="12199">
          <cell r="W12199" t="str">
            <v>QSPRA29</v>
          </cell>
          <cell r="AD12199">
            <v>500000</v>
          </cell>
        </row>
        <row r="12200">
          <cell r="W12200" t="str">
            <v>QSPRA29</v>
          </cell>
          <cell r="AD12200">
            <v>500000</v>
          </cell>
        </row>
        <row r="12201">
          <cell r="W12201" t="str">
            <v>QSPRA29</v>
          </cell>
          <cell r="AD12201">
            <v>525000</v>
          </cell>
        </row>
        <row r="12202">
          <cell r="W12202" t="str">
            <v>QSPRA29</v>
          </cell>
          <cell r="AD12202">
            <v>550000</v>
          </cell>
        </row>
        <row r="12203">
          <cell r="W12203" t="str">
            <v>QSPRA29</v>
          </cell>
          <cell r="AD12203">
            <v>550000</v>
          </cell>
        </row>
        <row r="12204">
          <cell r="W12204" t="str">
            <v>QSPRA29</v>
          </cell>
          <cell r="AD12204">
            <v>550000</v>
          </cell>
        </row>
        <row r="12205">
          <cell r="W12205" t="str">
            <v>QSPRA29</v>
          </cell>
          <cell r="AD12205">
            <v>550000</v>
          </cell>
        </row>
        <row r="12206">
          <cell r="W12206" t="str">
            <v>QSPRA29</v>
          </cell>
          <cell r="AD12206">
            <v>550000</v>
          </cell>
        </row>
        <row r="12207">
          <cell r="W12207" t="str">
            <v>QSPRA29</v>
          </cell>
          <cell r="AD12207">
            <v>550000</v>
          </cell>
        </row>
        <row r="12208">
          <cell r="W12208" t="str">
            <v>QSPRA29</v>
          </cell>
          <cell r="AD12208">
            <v>550000</v>
          </cell>
        </row>
        <row r="12209">
          <cell r="W12209" t="str">
            <v>QSPRA02</v>
          </cell>
          <cell r="AD12209">
            <v>23000</v>
          </cell>
        </row>
        <row r="12210">
          <cell r="W12210" t="str">
            <v>QSPRA02</v>
          </cell>
          <cell r="AD12210">
            <v>33500</v>
          </cell>
        </row>
        <row r="12211">
          <cell r="W12211" t="str">
            <v>QSPRA02</v>
          </cell>
          <cell r="AD12211">
            <v>35000</v>
          </cell>
        </row>
        <row r="12212">
          <cell r="W12212" t="str">
            <v>QSPRA02</v>
          </cell>
          <cell r="AD12212">
            <v>35000</v>
          </cell>
        </row>
        <row r="12213">
          <cell r="W12213" t="str">
            <v>QSPRA02</v>
          </cell>
          <cell r="AD12213">
            <v>35000</v>
          </cell>
        </row>
        <row r="12214">
          <cell r="W12214" t="str">
            <v>QSPRA02</v>
          </cell>
          <cell r="AD12214">
            <v>35000</v>
          </cell>
        </row>
        <row r="12215">
          <cell r="W12215" t="str">
            <v>QSPRA02</v>
          </cell>
          <cell r="AD12215">
            <v>35000</v>
          </cell>
        </row>
        <row r="12216">
          <cell r="W12216" t="str">
            <v>QSPRA02</v>
          </cell>
          <cell r="AD12216">
            <v>35000</v>
          </cell>
        </row>
        <row r="12217">
          <cell r="W12217" t="str">
            <v>QSPRA02</v>
          </cell>
          <cell r="AD12217">
            <v>35000</v>
          </cell>
        </row>
        <row r="12218">
          <cell r="W12218" t="str">
            <v>QSPRA02</v>
          </cell>
          <cell r="AD12218">
            <v>35000</v>
          </cell>
        </row>
        <row r="12219">
          <cell r="W12219" t="str">
            <v>QSPRA02</v>
          </cell>
          <cell r="AD12219">
            <v>35000</v>
          </cell>
        </row>
        <row r="12220">
          <cell r="W12220" t="str">
            <v>QSPRA02</v>
          </cell>
          <cell r="AD12220">
            <v>35000</v>
          </cell>
        </row>
        <row r="12221">
          <cell r="W12221" t="str">
            <v>QSPRA02</v>
          </cell>
          <cell r="AD12221">
            <v>35000</v>
          </cell>
        </row>
        <row r="12222">
          <cell r="W12222" t="str">
            <v>QSPRA02</v>
          </cell>
          <cell r="AD12222">
            <v>37500</v>
          </cell>
        </row>
        <row r="12223">
          <cell r="W12223" t="str">
            <v>QSPRA02</v>
          </cell>
          <cell r="AD12223">
            <v>40000</v>
          </cell>
        </row>
        <row r="12224">
          <cell r="W12224" t="str">
            <v>QSPRA02</v>
          </cell>
          <cell r="AD12224">
            <v>40000</v>
          </cell>
        </row>
        <row r="12225">
          <cell r="W12225" t="str">
            <v>QSPRA12</v>
          </cell>
          <cell r="AD12225">
            <v>220000</v>
          </cell>
        </row>
        <row r="12226">
          <cell r="W12226" t="str">
            <v>QSPRA12</v>
          </cell>
          <cell r="AD12226">
            <v>350000</v>
          </cell>
        </row>
        <row r="12227">
          <cell r="W12227" t="str">
            <v>ASPUY04</v>
          </cell>
          <cell r="AD12227">
            <v>18000</v>
          </cell>
        </row>
        <row r="12228">
          <cell r="W12228" t="str">
            <v>ASPUY04</v>
          </cell>
          <cell r="AD12228">
            <v>18000</v>
          </cell>
        </row>
        <row r="12229">
          <cell r="W12229" t="str">
            <v>QSTAR01</v>
          </cell>
          <cell r="AD12229">
            <v>690000</v>
          </cell>
        </row>
        <row r="12230">
          <cell r="W12230" t="str">
            <v>QSTAR02</v>
          </cell>
          <cell r="AD12230">
            <v>38500</v>
          </cell>
        </row>
        <row r="12231">
          <cell r="W12231" t="str">
            <v>QSTAR02</v>
          </cell>
          <cell r="AD12231">
            <v>38500</v>
          </cell>
        </row>
        <row r="12232">
          <cell r="W12232" t="str">
            <v>QSTAR02</v>
          </cell>
          <cell r="AD12232">
            <v>38500</v>
          </cell>
        </row>
        <row r="12233">
          <cell r="W12233" t="str">
            <v>QSTAR02</v>
          </cell>
          <cell r="AD12233">
            <v>38500</v>
          </cell>
        </row>
        <row r="12234">
          <cell r="W12234" t="str">
            <v>QSTAR02</v>
          </cell>
          <cell r="AD12234">
            <v>38500</v>
          </cell>
        </row>
        <row r="12235">
          <cell r="W12235" t="str">
            <v>QSTAR02</v>
          </cell>
          <cell r="AD12235">
            <v>38500</v>
          </cell>
        </row>
        <row r="12236">
          <cell r="W12236" t="str">
            <v>QSTAR05</v>
          </cell>
          <cell r="AD12236">
            <v>177500</v>
          </cell>
        </row>
        <row r="12237">
          <cell r="W12237" t="str">
            <v>QSTAR05</v>
          </cell>
          <cell r="AD12237">
            <v>182500</v>
          </cell>
        </row>
        <row r="12238">
          <cell r="W12238" t="str">
            <v>QSTAR05</v>
          </cell>
          <cell r="AD12238">
            <v>182500</v>
          </cell>
        </row>
        <row r="12239">
          <cell r="W12239" t="str">
            <v>QSTAR05</v>
          </cell>
          <cell r="AD12239">
            <v>182500</v>
          </cell>
        </row>
        <row r="12240">
          <cell r="W12240" t="str">
            <v>QSTAR07</v>
          </cell>
          <cell r="AD12240">
            <v>45000</v>
          </cell>
        </row>
        <row r="12241">
          <cell r="W12241" t="str">
            <v>QSTAR06</v>
          </cell>
          <cell r="AD12241">
            <v>25000</v>
          </cell>
        </row>
        <row r="12242">
          <cell r="W12242" t="str">
            <v>QSTAR06</v>
          </cell>
          <cell r="AD12242">
            <v>25000</v>
          </cell>
        </row>
        <row r="12243">
          <cell r="W12243" t="str">
            <v>ASTAR04</v>
          </cell>
          <cell r="AD12243">
            <v>25000</v>
          </cell>
        </row>
        <row r="12244">
          <cell r="W12244" t="str">
            <v>QSUPE07</v>
          </cell>
          <cell r="AD12244">
            <v>140000</v>
          </cell>
        </row>
        <row r="12245">
          <cell r="W12245" t="str">
            <v>ASURF01</v>
          </cell>
          <cell r="AD12245">
            <v>1</v>
          </cell>
        </row>
        <row r="12246">
          <cell r="W12246" t="str">
            <v>ATALI15</v>
          </cell>
          <cell r="AD12246">
            <v>225000</v>
          </cell>
        </row>
        <row r="12247">
          <cell r="W12247" t="str">
            <v>ATALI15</v>
          </cell>
          <cell r="AD12247">
            <v>225000</v>
          </cell>
        </row>
        <row r="12248">
          <cell r="W12248" t="str">
            <v>ATALI15</v>
          </cell>
          <cell r="AD12248">
            <v>240000</v>
          </cell>
        </row>
        <row r="12249">
          <cell r="W12249" t="str">
            <v>ATALI15</v>
          </cell>
          <cell r="AD12249">
            <v>240000</v>
          </cell>
        </row>
        <row r="12250">
          <cell r="W12250" t="str">
            <v>ATALI15</v>
          </cell>
          <cell r="AD12250">
            <v>240000</v>
          </cell>
        </row>
        <row r="12251">
          <cell r="W12251" t="str">
            <v>ATALI15</v>
          </cell>
          <cell r="AD12251">
            <v>240000</v>
          </cell>
        </row>
        <row r="12252">
          <cell r="W12252" t="str">
            <v>ATALI15</v>
          </cell>
          <cell r="AD12252">
            <v>240000</v>
          </cell>
        </row>
        <row r="12253">
          <cell r="W12253" t="str">
            <v>ATALI15</v>
          </cell>
          <cell r="AD12253">
            <v>255000</v>
          </cell>
        </row>
        <row r="12254">
          <cell r="W12254" t="str">
            <v>ATALI15</v>
          </cell>
          <cell r="AD12254">
            <v>255000</v>
          </cell>
        </row>
        <row r="12255">
          <cell r="W12255" t="str">
            <v>QTALI03</v>
          </cell>
          <cell r="AD12255">
            <v>315000</v>
          </cell>
        </row>
        <row r="12256">
          <cell r="W12256" t="str">
            <v>QTALI03</v>
          </cell>
          <cell r="AD12256">
            <v>315000</v>
          </cell>
        </row>
        <row r="12257">
          <cell r="W12257" t="str">
            <v>QTALI03</v>
          </cell>
          <cell r="AD12257">
            <v>315000</v>
          </cell>
        </row>
        <row r="12258">
          <cell r="W12258" t="str">
            <v>QTALI03</v>
          </cell>
          <cell r="AD12258">
            <v>315000</v>
          </cell>
        </row>
        <row r="12259">
          <cell r="W12259" t="str">
            <v>QTALI03</v>
          </cell>
          <cell r="AD12259">
            <v>315000</v>
          </cell>
        </row>
        <row r="12260">
          <cell r="W12260" t="str">
            <v>QTALI03</v>
          </cell>
          <cell r="AD12260">
            <v>315000</v>
          </cell>
        </row>
        <row r="12261">
          <cell r="W12261" t="str">
            <v>QTALI03</v>
          </cell>
          <cell r="AD12261">
            <v>325000</v>
          </cell>
        </row>
        <row r="12262">
          <cell r="W12262" t="str">
            <v>QTANG01</v>
          </cell>
          <cell r="AD12262">
            <v>338125</v>
          </cell>
        </row>
        <row r="12263">
          <cell r="W12263" t="str">
            <v>QTANG01</v>
          </cell>
          <cell r="AD12263">
            <v>338125</v>
          </cell>
        </row>
        <row r="12264">
          <cell r="W12264" t="str">
            <v>QTANG01</v>
          </cell>
          <cell r="AD12264">
            <v>338125</v>
          </cell>
        </row>
        <row r="12265">
          <cell r="W12265" t="str">
            <v>QTANG01</v>
          </cell>
          <cell r="AD12265">
            <v>338125</v>
          </cell>
        </row>
        <row r="12266">
          <cell r="W12266" t="str">
            <v>QTANG01</v>
          </cell>
          <cell r="AD12266">
            <v>338130</v>
          </cell>
        </row>
        <row r="12267">
          <cell r="W12267" t="str">
            <v>QTANG01</v>
          </cell>
          <cell r="AD12267">
            <v>338130</v>
          </cell>
        </row>
        <row r="12268">
          <cell r="W12268" t="str">
            <v>QTANG01</v>
          </cell>
          <cell r="AD12268">
            <v>350000</v>
          </cell>
        </row>
        <row r="12269">
          <cell r="W12269" t="str">
            <v>QTANG01</v>
          </cell>
          <cell r="AD12269">
            <v>375000</v>
          </cell>
        </row>
        <row r="12270">
          <cell r="W12270" t="str">
            <v>QTANG01</v>
          </cell>
          <cell r="AD12270">
            <v>375000</v>
          </cell>
        </row>
        <row r="12271">
          <cell r="W12271" t="str">
            <v>QTANG01</v>
          </cell>
          <cell r="AD12271">
            <v>375000</v>
          </cell>
        </row>
        <row r="12272">
          <cell r="W12272" t="str">
            <v>QTANG01</v>
          </cell>
          <cell r="AD12272">
            <v>385000</v>
          </cell>
        </row>
        <row r="12273">
          <cell r="W12273" t="str">
            <v>QTANG01</v>
          </cell>
          <cell r="AD12273">
            <v>385000</v>
          </cell>
        </row>
        <row r="12274">
          <cell r="W12274" t="str">
            <v>QTANG01</v>
          </cell>
          <cell r="AD12274">
            <v>385000</v>
          </cell>
        </row>
        <row r="12275">
          <cell r="W12275" t="str">
            <v>QTANG01</v>
          </cell>
          <cell r="AD12275">
            <v>385000</v>
          </cell>
        </row>
        <row r="12276">
          <cell r="W12276" t="str">
            <v>QTANG01</v>
          </cell>
          <cell r="AD12276">
            <v>423500</v>
          </cell>
        </row>
        <row r="12277">
          <cell r="W12277" t="str">
            <v>QTANG01</v>
          </cell>
          <cell r="AD12277">
            <v>423500</v>
          </cell>
        </row>
        <row r="12278">
          <cell r="W12278" t="str">
            <v>QTANG01</v>
          </cell>
          <cell r="AD12278">
            <v>423500</v>
          </cell>
        </row>
        <row r="12279">
          <cell r="W12279" t="str">
            <v>QTANG01</v>
          </cell>
          <cell r="AD12279">
            <v>423500</v>
          </cell>
        </row>
        <row r="12280">
          <cell r="W12280" t="str">
            <v>QTANG01</v>
          </cell>
          <cell r="AD12280">
            <v>423500</v>
          </cell>
        </row>
        <row r="12281">
          <cell r="W12281" t="str">
            <v>QTANG40</v>
          </cell>
          <cell r="AD12281">
            <v>300393.74</v>
          </cell>
        </row>
        <row r="12282">
          <cell r="W12282" t="str">
            <v>QTANG40</v>
          </cell>
          <cell r="AD12282">
            <v>330430</v>
          </cell>
        </row>
        <row r="12283">
          <cell r="W12283" t="str">
            <v>QTANG40</v>
          </cell>
          <cell r="AD12283">
            <v>330430</v>
          </cell>
        </row>
        <row r="12284">
          <cell r="W12284" t="str">
            <v>QTANG40</v>
          </cell>
          <cell r="AD12284">
            <v>330430</v>
          </cell>
        </row>
        <row r="12285">
          <cell r="W12285" t="str">
            <v>QTANG40</v>
          </cell>
          <cell r="AD12285">
            <v>330430</v>
          </cell>
        </row>
        <row r="12286">
          <cell r="W12286" t="str">
            <v>QTANG40</v>
          </cell>
          <cell r="AD12286">
            <v>330430</v>
          </cell>
        </row>
        <row r="12287">
          <cell r="W12287" t="str">
            <v>QTANG40</v>
          </cell>
          <cell r="AD12287">
            <v>330500</v>
          </cell>
        </row>
        <row r="12288">
          <cell r="W12288" t="str">
            <v>QTANG40</v>
          </cell>
          <cell r="AD12288">
            <v>330500</v>
          </cell>
        </row>
        <row r="12289">
          <cell r="W12289" t="str">
            <v>QTANG40</v>
          </cell>
          <cell r="AD12289">
            <v>400000</v>
          </cell>
        </row>
        <row r="12290">
          <cell r="W12290" t="str">
            <v>QTANG40</v>
          </cell>
          <cell r="AD12290">
            <v>400000</v>
          </cell>
        </row>
        <row r="12291">
          <cell r="W12291" t="str">
            <v>QTANG40</v>
          </cell>
          <cell r="AD12291">
            <v>410000</v>
          </cell>
        </row>
        <row r="12292">
          <cell r="W12292" t="str">
            <v>QTANG40</v>
          </cell>
          <cell r="AD12292">
            <v>410000</v>
          </cell>
        </row>
        <row r="12293">
          <cell r="W12293" t="str">
            <v>QTANG40</v>
          </cell>
          <cell r="AD12293">
            <v>415000</v>
          </cell>
        </row>
        <row r="12294">
          <cell r="W12294" t="str">
            <v>QTANG40</v>
          </cell>
          <cell r="AD12294">
            <v>415000</v>
          </cell>
        </row>
        <row r="12295">
          <cell r="W12295" t="str">
            <v>QTANG40</v>
          </cell>
          <cell r="AD12295">
            <v>420000</v>
          </cell>
        </row>
        <row r="12296">
          <cell r="W12296" t="str">
            <v>QTANG40</v>
          </cell>
          <cell r="AD12296">
            <v>420000</v>
          </cell>
        </row>
        <row r="12297">
          <cell r="W12297" t="str">
            <v>QTANG40</v>
          </cell>
          <cell r="AD12297">
            <v>420000</v>
          </cell>
        </row>
        <row r="12298">
          <cell r="W12298" t="str">
            <v>QTANG40</v>
          </cell>
          <cell r="AD12298">
            <v>420000</v>
          </cell>
        </row>
        <row r="12299">
          <cell r="W12299" t="str">
            <v>QTANG40</v>
          </cell>
          <cell r="AD12299">
            <v>420000</v>
          </cell>
        </row>
        <row r="12300">
          <cell r="W12300" t="str">
            <v>QTANG40</v>
          </cell>
          <cell r="AD12300">
            <v>420000</v>
          </cell>
        </row>
        <row r="12301">
          <cell r="W12301" t="str">
            <v>QTANG40</v>
          </cell>
          <cell r="AD12301">
            <v>420000</v>
          </cell>
        </row>
        <row r="12302">
          <cell r="W12302" t="str">
            <v>QTANG40</v>
          </cell>
          <cell r="AD12302">
            <v>420000</v>
          </cell>
        </row>
        <row r="12303">
          <cell r="W12303" t="str">
            <v>QTANG40</v>
          </cell>
          <cell r="AD12303">
            <v>425000</v>
          </cell>
        </row>
        <row r="12304">
          <cell r="W12304" t="str">
            <v>QTANG40</v>
          </cell>
          <cell r="AD12304">
            <v>425000</v>
          </cell>
        </row>
        <row r="12305">
          <cell r="W12305" t="str">
            <v>QTANG40</v>
          </cell>
          <cell r="AD12305">
            <v>425000</v>
          </cell>
        </row>
        <row r="12306">
          <cell r="W12306" t="str">
            <v>QTANG40</v>
          </cell>
          <cell r="AD12306">
            <v>425000</v>
          </cell>
        </row>
        <row r="12307">
          <cell r="W12307" t="str">
            <v>QTANG40</v>
          </cell>
          <cell r="AD12307">
            <v>425000</v>
          </cell>
        </row>
        <row r="12308">
          <cell r="W12308" t="str">
            <v>QTANG40</v>
          </cell>
          <cell r="AD12308">
            <v>425000</v>
          </cell>
        </row>
        <row r="12309">
          <cell r="W12309" t="str">
            <v>QTANG40</v>
          </cell>
          <cell r="AD12309">
            <v>425000</v>
          </cell>
        </row>
        <row r="12310">
          <cell r="W12310" t="str">
            <v>QTANG40</v>
          </cell>
          <cell r="AD12310">
            <v>425000</v>
          </cell>
        </row>
        <row r="12311">
          <cell r="W12311" t="str">
            <v>QTANG40</v>
          </cell>
          <cell r="AD12311">
            <v>425000</v>
          </cell>
        </row>
        <row r="12312">
          <cell r="W12312" t="str">
            <v>QTANG40</v>
          </cell>
          <cell r="AD12312">
            <v>425000</v>
          </cell>
        </row>
        <row r="12313">
          <cell r="W12313" t="str">
            <v>QTANG40</v>
          </cell>
          <cell r="AD12313">
            <v>425000</v>
          </cell>
        </row>
        <row r="12314">
          <cell r="W12314" t="str">
            <v>QTANG40</v>
          </cell>
          <cell r="AD12314">
            <v>425000</v>
          </cell>
        </row>
        <row r="12315">
          <cell r="W12315" t="str">
            <v>QTANG40</v>
          </cell>
          <cell r="AD12315">
            <v>425000</v>
          </cell>
        </row>
        <row r="12316">
          <cell r="W12316" t="str">
            <v>QTANG40</v>
          </cell>
          <cell r="AD12316">
            <v>425000</v>
          </cell>
        </row>
        <row r="12317">
          <cell r="W12317" t="str">
            <v>QTANG40</v>
          </cell>
          <cell r="AD12317">
            <v>425000</v>
          </cell>
        </row>
        <row r="12318">
          <cell r="W12318" t="str">
            <v>QTANG40</v>
          </cell>
          <cell r="AD12318">
            <v>425000</v>
          </cell>
        </row>
        <row r="12319">
          <cell r="W12319" t="str">
            <v>QTANG40</v>
          </cell>
          <cell r="AD12319">
            <v>425000</v>
          </cell>
        </row>
        <row r="12320">
          <cell r="W12320" t="str">
            <v>QTANG40</v>
          </cell>
          <cell r="AD12320">
            <v>425000</v>
          </cell>
        </row>
        <row r="12321">
          <cell r="W12321" t="str">
            <v>QTANG40</v>
          </cell>
          <cell r="AD12321">
            <v>425000</v>
          </cell>
        </row>
        <row r="12322">
          <cell r="W12322" t="str">
            <v>QTANG40</v>
          </cell>
          <cell r="AD12322">
            <v>425000</v>
          </cell>
        </row>
        <row r="12323">
          <cell r="W12323" t="str">
            <v>QTANG40</v>
          </cell>
          <cell r="AD12323">
            <v>430000</v>
          </cell>
        </row>
        <row r="12324">
          <cell r="W12324" t="str">
            <v>QTANG40</v>
          </cell>
          <cell r="AD12324">
            <v>430000</v>
          </cell>
        </row>
        <row r="12325">
          <cell r="W12325" t="str">
            <v>QTANG40</v>
          </cell>
          <cell r="AD12325">
            <v>435000</v>
          </cell>
        </row>
        <row r="12326">
          <cell r="W12326" t="str">
            <v>QTANG40</v>
          </cell>
          <cell r="AD12326">
            <v>435000</v>
          </cell>
        </row>
        <row r="12327">
          <cell r="W12327" t="str">
            <v>QTANG40</v>
          </cell>
          <cell r="AD12327">
            <v>435000</v>
          </cell>
        </row>
        <row r="12328">
          <cell r="W12328" t="str">
            <v>QTANG40</v>
          </cell>
          <cell r="AD12328">
            <v>440000</v>
          </cell>
        </row>
        <row r="12329">
          <cell r="W12329" t="str">
            <v>QTANG40</v>
          </cell>
          <cell r="AD12329">
            <v>440000</v>
          </cell>
        </row>
        <row r="12330">
          <cell r="W12330" t="str">
            <v>QTANG40</v>
          </cell>
          <cell r="AD12330">
            <v>440000</v>
          </cell>
        </row>
        <row r="12331">
          <cell r="W12331" t="str">
            <v>QTANG40</v>
          </cell>
          <cell r="AD12331">
            <v>440000</v>
          </cell>
        </row>
        <row r="12332">
          <cell r="W12332" t="str">
            <v>QTANG40</v>
          </cell>
          <cell r="AD12332">
            <v>440000</v>
          </cell>
        </row>
        <row r="12333">
          <cell r="W12333" t="str">
            <v>QTANG40</v>
          </cell>
          <cell r="AD12333">
            <v>440000</v>
          </cell>
        </row>
        <row r="12334">
          <cell r="W12334" t="str">
            <v>QTANG40</v>
          </cell>
          <cell r="AD12334">
            <v>445000</v>
          </cell>
        </row>
        <row r="12335">
          <cell r="W12335" t="str">
            <v>QTANG40</v>
          </cell>
          <cell r="AD12335">
            <v>450000</v>
          </cell>
        </row>
        <row r="12336">
          <cell r="W12336" t="str">
            <v>QTANG40</v>
          </cell>
          <cell r="AD12336">
            <v>450000</v>
          </cell>
        </row>
        <row r="12337">
          <cell r="W12337" t="str">
            <v>QTANG40</v>
          </cell>
          <cell r="AD12337">
            <v>450000</v>
          </cell>
        </row>
        <row r="12338">
          <cell r="W12338" t="str">
            <v>QTANG40</v>
          </cell>
          <cell r="AD12338">
            <v>450000</v>
          </cell>
        </row>
        <row r="12339">
          <cell r="W12339" t="str">
            <v>QTANG40</v>
          </cell>
          <cell r="AD12339">
            <v>450000</v>
          </cell>
        </row>
        <row r="12340">
          <cell r="W12340" t="str">
            <v>QTANG40</v>
          </cell>
          <cell r="AD12340">
            <v>450000</v>
          </cell>
        </row>
        <row r="12341">
          <cell r="W12341" t="str">
            <v>QTANG40</v>
          </cell>
          <cell r="AD12341">
            <v>450000</v>
          </cell>
        </row>
        <row r="12342">
          <cell r="W12342" t="str">
            <v>QTANG40</v>
          </cell>
          <cell r="AD12342">
            <v>450000</v>
          </cell>
        </row>
        <row r="12343">
          <cell r="W12343" t="str">
            <v>QTANG40</v>
          </cell>
          <cell r="AD12343">
            <v>450000</v>
          </cell>
        </row>
        <row r="12344">
          <cell r="W12344" t="str">
            <v>QTANG40</v>
          </cell>
          <cell r="AD12344">
            <v>450000</v>
          </cell>
        </row>
        <row r="12345">
          <cell r="W12345" t="str">
            <v>QTANG40</v>
          </cell>
          <cell r="AD12345">
            <v>450000</v>
          </cell>
        </row>
        <row r="12346">
          <cell r="W12346" t="str">
            <v>QTANG40</v>
          </cell>
          <cell r="AD12346">
            <v>450000</v>
          </cell>
        </row>
        <row r="12347">
          <cell r="W12347" t="str">
            <v>QTANG40</v>
          </cell>
          <cell r="AD12347">
            <v>450000</v>
          </cell>
        </row>
        <row r="12348">
          <cell r="W12348" t="str">
            <v>QTANG40</v>
          </cell>
          <cell r="AD12348">
            <v>450000</v>
          </cell>
        </row>
        <row r="12349">
          <cell r="W12349" t="str">
            <v>QTANG40</v>
          </cell>
          <cell r="AD12349">
            <v>450000</v>
          </cell>
        </row>
        <row r="12350">
          <cell r="W12350" t="str">
            <v>QTANG40</v>
          </cell>
          <cell r="AD12350">
            <v>450000</v>
          </cell>
        </row>
        <row r="12351">
          <cell r="W12351" t="str">
            <v>QTANG40</v>
          </cell>
          <cell r="AD12351">
            <v>450000</v>
          </cell>
        </row>
        <row r="12352">
          <cell r="W12352" t="str">
            <v>QTANG40</v>
          </cell>
          <cell r="AD12352">
            <v>450000</v>
          </cell>
        </row>
        <row r="12353">
          <cell r="W12353" t="str">
            <v>QTANG40</v>
          </cell>
          <cell r="AD12353">
            <v>450000</v>
          </cell>
        </row>
        <row r="12354">
          <cell r="W12354" t="str">
            <v>QTANG40</v>
          </cell>
          <cell r="AD12354">
            <v>450000</v>
          </cell>
        </row>
        <row r="12355">
          <cell r="W12355" t="str">
            <v>QTANG40</v>
          </cell>
          <cell r="AD12355">
            <v>450000</v>
          </cell>
        </row>
        <row r="12356">
          <cell r="W12356" t="str">
            <v>QTANG40</v>
          </cell>
          <cell r="AD12356">
            <v>450000</v>
          </cell>
        </row>
        <row r="12357">
          <cell r="W12357" t="str">
            <v>QTANG40</v>
          </cell>
          <cell r="AD12357">
            <v>475000</v>
          </cell>
        </row>
        <row r="12358">
          <cell r="W12358" t="str">
            <v>QTANG40</v>
          </cell>
          <cell r="AD12358">
            <v>500000</v>
          </cell>
        </row>
        <row r="12359">
          <cell r="W12359" t="str">
            <v>QTANG40</v>
          </cell>
          <cell r="AD12359">
            <v>135000</v>
          </cell>
        </row>
        <row r="12360">
          <cell r="W12360" t="str">
            <v>QTANG03</v>
          </cell>
          <cell r="AD12360">
            <v>365000</v>
          </cell>
        </row>
        <row r="12361">
          <cell r="W12361" t="str">
            <v>QTANG03</v>
          </cell>
          <cell r="AD12361">
            <v>365000</v>
          </cell>
        </row>
        <row r="12362">
          <cell r="W12362" t="str">
            <v>QTANG03</v>
          </cell>
          <cell r="AD12362">
            <v>400000</v>
          </cell>
        </row>
        <row r="12363">
          <cell r="W12363" t="str">
            <v>ATANG08</v>
          </cell>
          <cell r="AD12363">
            <v>385000</v>
          </cell>
        </row>
        <row r="12364">
          <cell r="W12364" t="str">
            <v>ATANG08</v>
          </cell>
          <cell r="AD12364">
            <v>387500</v>
          </cell>
        </row>
        <row r="12365">
          <cell r="W12365" t="str">
            <v>ATANG08</v>
          </cell>
          <cell r="AD12365">
            <v>387500</v>
          </cell>
        </row>
        <row r="12366">
          <cell r="W12366" t="str">
            <v>ATANG08</v>
          </cell>
          <cell r="AD12366">
            <v>387500</v>
          </cell>
        </row>
        <row r="12367">
          <cell r="W12367" t="str">
            <v>ATANG08</v>
          </cell>
          <cell r="AD12367">
            <v>387500</v>
          </cell>
        </row>
        <row r="12368">
          <cell r="W12368" t="str">
            <v>ATANG08</v>
          </cell>
          <cell r="AD12368">
            <v>387500</v>
          </cell>
        </row>
        <row r="12369">
          <cell r="W12369" t="str">
            <v>ATANG08</v>
          </cell>
          <cell r="AD12369">
            <v>387500</v>
          </cell>
        </row>
        <row r="12370">
          <cell r="W12370" t="str">
            <v>ATANG08</v>
          </cell>
          <cell r="AD12370">
            <v>387500</v>
          </cell>
        </row>
        <row r="12371">
          <cell r="W12371" t="str">
            <v>ATANG08</v>
          </cell>
          <cell r="AD12371">
            <v>387500</v>
          </cell>
        </row>
        <row r="12372">
          <cell r="W12372" t="str">
            <v>ATANG08</v>
          </cell>
          <cell r="AD12372">
            <v>387500</v>
          </cell>
        </row>
        <row r="12373">
          <cell r="W12373" t="str">
            <v>ATANG08</v>
          </cell>
          <cell r="AD12373">
            <v>387500</v>
          </cell>
        </row>
        <row r="12374">
          <cell r="W12374" t="str">
            <v>ATANG08</v>
          </cell>
          <cell r="AD12374">
            <v>387500</v>
          </cell>
        </row>
        <row r="12375">
          <cell r="W12375" t="str">
            <v>ATANG08</v>
          </cell>
          <cell r="AD12375">
            <v>387500</v>
          </cell>
        </row>
        <row r="12376">
          <cell r="W12376" t="str">
            <v>ATANG08</v>
          </cell>
          <cell r="AD12376">
            <v>387500</v>
          </cell>
        </row>
        <row r="12377">
          <cell r="W12377" t="str">
            <v>ATANG08</v>
          </cell>
          <cell r="AD12377">
            <v>387500</v>
          </cell>
        </row>
        <row r="12378">
          <cell r="W12378" t="str">
            <v>ATANG08</v>
          </cell>
          <cell r="AD12378">
            <v>390000</v>
          </cell>
        </row>
        <row r="12379">
          <cell r="W12379" t="str">
            <v>ATANG08</v>
          </cell>
          <cell r="AD12379">
            <v>390000</v>
          </cell>
        </row>
        <row r="12380">
          <cell r="W12380" t="str">
            <v>ATANG08</v>
          </cell>
          <cell r="AD12380">
            <v>395000</v>
          </cell>
        </row>
        <row r="12381">
          <cell r="W12381" t="str">
            <v>QTANG41</v>
          </cell>
          <cell r="AD12381">
            <v>600000</v>
          </cell>
        </row>
        <row r="12382">
          <cell r="W12382" t="str">
            <v>QTANG41</v>
          </cell>
          <cell r="AD12382">
            <v>300000</v>
          </cell>
        </row>
        <row r="12383">
          <cell r="W12383" t="str">
            <v>QTANG05</v>
          </cell>
          <cell r="AD12383">
            <v>400000</v>
          </cell>
        </row>
        <row r="12384">
          <cell r="W12384" t="str">
            <v>ATANG52</v>
          </cell>
          <cell r="AD12384">
            <v>1</v>
          </cell>
        </row>
        <row r="12385">
          <cell r="W12385" t="str">
            <v>QTANG32</v>
          </cell>
          <cell r="AD12385">
            <v>476460</v>
          </cell>
        </row>
        <row r="12386">
          <cell r="W12386" t="str">
            <v>QTANG32</v>
          </cell>
          <cell r="AD12386">
            <v>542460</v>
          </cell>
        </row>
        <row r="12387">
          <cell r="W12387" t="str">
            <v>QTANG32</v>
          </cell>
          <cell r="AD12387">
            <v>542460</v>
          </cell>
        </row>
        <row r="12388">
          <cell r="W12388" t="str">
            <v>QTANG32</v>
          </cell>
          <cell r="AD12388">
            <v>542460</v>
          </cell>
        </row>
        <row r="12389">
          <cell r="W12389" t="str">
            <v>QTANG32</v>
          </cell>
          <cell r="AD12389">
            <v>542500</v>
          </cell>
        </row>
        <row r="12390">
          <cell r="W12390" t="str">
            <v>QTANG32</v>
          </cell>
          <cell r="AD12390">
            <v>585000</v>
          </cell>
        </row>
        <row r="12391">
          <cell r="W12391" t="str">
            <v>QTANG32</v>
          </cell>
          <cell r="AD12391">
            <v>585000</v>
          </cell>
        </row>
        <row r="12392">
          <cell r="W12392" t="str">
            <v>QTANG32</v>
          </cell>
          <cell r="AD12392">
            <v>585000</v>
          </cell>
        </row>
        <row r="12393">
          <cell r="W12393" t="str">
            <v>QTANG32</v>
          </cell>
          <cell r="AD12393">
            <v>585000</v>
          </cell>
        </row>
        <row r="12394">
          <cell r="W12394" t="str">
            <v>QTANG32</v>
          </cell>
          <cell r="AD12394">
            <v>585000</v>
          </cell>
        </row>
        <row r="12395">
          <cell r="W12395" t="str">
            <v>QTANG32</v>
          </cell>
          <cell r="AD12395">
            <v>585000</v>
          </cell>
        </row>
        <row r="12396">
          <cell r="W12396" t="str">
            <v>QTANG32</v>
          </cell>
          <cell r="AD12396">
            <v>585000</v>
          </cell>
        </row>
        <row r="12397">
          <cell r="W12397" t="str">
            <v>QTANG32</v>
          </cell>
          <cell r="AD12397">
            <v>585000</v>
          </cell>
        </row>
        <row r="12398">
          <cell r="W12398" t="str">
            <v>QTANG32</v>
          </cell>
          <cell r="AD12398">
            <v>585000</v>
          </cell>
        </row>
        <row r="12399">
          <cell r="W12399" t="str">
            <v>QTANG34</v>
          </cell>
          <cell r="AD12399">
            <v>640000</v>
          </cell>
        </row>
        <row r="12400">
          <cell r="W12400" t="str">
            <v>QTANG34</v>
          </cell>
          <cell r="AD12400">
            <v>670000</v>
          </cell>
        </row>
        <row r="12401">
          <cell r="W12401" t="str">
            <v>ATANG14</v>
          </cell>
          <cell r="AD12401">
            <v>1025000</v>
          </cell>
        </row>
        <row r="12402">
          <cell r="W12402" t="str">
            <v>ATANG14</v>
          </cell>
          <cell r="AD12402">
            <v>1100000</v>
          </cell>
        </row>
        <row r="12403">
          <cell r="W12403" t="str">
            <v>ATANG47</v>
          </cell>
          <cell r="AD12403">
            <v>1025000</v>
          </cell>
        </row>
        <row r="12404">
          <cell r="W12404" t="str">
            <v>QTANG12</v>
          </cell>
          <cell r="AD12404">
            <v>32500</v>
          </cell>
        </row>
        <row r="12405">
          <cell r="W12405" t="str">
            <v>QTANG12</v>
          </cell>
          <cell r="AD12405">
            <v>32500</v>
          </cell>
        </row>
        <row r="12406">
          <cell r="W12406" t="str">
            <v>QTANG12</v>
          </cell>
          <cell r="AD12406">
            <v>32500</v>
          </cell>
        </row>
        <row r="12407">
          <cell r="W12407" t="str">
            <v>QTANG12</v>
          </cell>
          <cell r="AD12407">
            <v>35000</v>
          </cell>
        </row>
        <row r="12408">
          <cell r="W12408" t="str">
            <v>QTANG12</v>
          </cell>
          <cell r="AD12408">
            <v>35000</v>
          </cell>
        </row>
        <row r="12409">
          <cell r="W12409" t="str">
            <v>QTANG12</v>
          </cell>
          <cell r="AD12409">
            <v>37500</v>
          </cell>
        </row>
        <row r="12410">
          <cell r="W12410" t="str">
            <v>QTANG12</v>
          </cell>
          <cell r="AD12410">
            <v>40000</v>
          </cell>
        </row>
        <row r="12411">
          <cell r="W12411" t="str">
            <v>QTANG12</v>
          </cell>
          <cell r="AD12411">
            <v>40000</v>
          </cell>
        </row>
        <row r="12412">
          <cell r="W12412" t="str">
            <v>QTANG12</v>
          </cell>
          <cell r="AD12412">
            <v>40000</v>
          </cell>
        </row>
        <row r="12413">
          <cell r="W12413" t="str">
            <v>QTANG12</v>
          </cell>
          <cell r="AD12413">
            <v>50000</v>
          </cell>
        </row>
        <row r="12414">
          <cell r="W12414" t="str">
            <v>QTANG12</v>
          </cell>
          <cell r="AD12414">
            <v>55000</v>
          </cell>
        </row>
        <row r="12415">
          <cell r="W12415" t="str">
            <v>QTANG12</v>
          </cell>
          <cell r="AD12415">
            <v>55000</v>
          </cell>
        </row>
        <row r="12416">
          <cell r="W12416" t="str">
            <v>QTANG08</v>
          </cell>
          <cell r="AD12416">
            <v>97000</v>
          </cell>
        </row>
        <row r="12417">
          <cell r="W12417" t="str">
            <v>QTANG08</v>
          </cell>
          <cell r="AD12417">
            <v>100000</v>
          </cell>
        </row>
        <row r="12418">
          <cell r="W12418" t="str">
            <v>QTANG08</v>
          </cell>
          <cell r="AD12418">
            <v>105000</v>
          </cell>
        </row>
        <row r="12419">
          <cell r="W12419" t="str">
            <v>QTANG08</v>
          </cell>
          <cell r="AD12419">
            <v>105000</v>
          </cell>
        </row>
        <row r="12420">
          <cell r="W12420" t="str">
            <v>QTANG08</v>
          </cell>
          <cell r="AD12420">
            <v>107000</v>
          </cell>
        </row>
        <row r="12421">
          <cell r="W12421" t="str">
            <v>QTANG08</v>
          </cell>
          <cell r="AD12421">
            <v>107000</v>
          </cell>
        </row>
        <row r="12422">
          <cell r="W12422" t="str">
            <v>QTANG08</v>
          </cell>
          <cell r="AD12422">
            <v>115000</v>
          </cell>
        </row>
        <row r="12423">
          <cell r="W12423" t="str">
            <v>QTANG08</v>
          </cell>
          <cell r="AD12423">
            <v>120000</v>
          </cell>
        </row>
        <row r="12424">
          <cell r="W12424" t="str">
            <v>QTANG08</v>
          </cell>
          <cell r="AD12424">
            <v>120000</v>
          </cell>
        </row>
        <row r="12425">
          <cell r="W12425" t="str">
            <v>QTANG08</v>
          </cell>
          <cell r="AD12425">
            <v>120000</v>
          </cell>
        </row>
        <row r="12426">
          <cell r="W12426" t="str">
            <v>QTANG08</v>
          </cell>
          <cell r="AD12426">
            <v>120000</v>
          </cell>
        </row>
        <row r="12427">
          <cell r="W12427" t="str">
            <v>QTANG08</v>
          </cell>
          <cell r="AD12427">
            <v>120000</v>
          </cell>
        </row>
        <row r="12428">
          <cell r="W12428" t="str">
            <v>QTANG08</v>
          </cell>
          <cell r="AD12428">
            <v>120000</v>
          </cell>
        </row>
        <row r="12429">
          <cell r="W12429" t="str">
            <v>QTANG08</v>
          </cell>
          <cell r="AD12429">
            <v>120000</v>
          </cell>
        </row>
        <row r="12430">
          <cell r="W12430" t="str">
            <v>QTANG08</v>
          </cell>
          <cell r="AD12430">
            <v>120000</v>
          </cell>
        </row>
        <row r="12431">
          <cell r="W12431" t="str">
            <v>QTANG08</v>
          </cell>
          <cell r="AD12431">
            <v>120000</v>
          </cell>
        </row>
        <row r="12432">
          <cell r="W12432" t="str">
            <v>QTANG08</v>
          </cell>
          <cell r="AD12432">
            <v>120000</v>
          </cell>
        </row>
        <row r="12433">
          <cell r="W12433" t="str">
            <v>QTANG08</v>
          </cell>
          <cell r="AD12433">
            <v>120000</v>
          </cell>
        </row>
        <row r="12434">
          <cell r="W12434" t="str">
            <v>QTANG08</v>
          </cell>
          <cell r="AD12434">
            <v>120000</v>
          </cell>
        </row>
        <row r="12435">
          <cell r="W12435" t="str">
            <v>QTANG08</v>
          </cell>
          <cell r="AD12435">
            <v>120000</v>
          </cell>
        </row>
        <row r="12436">
          <cell r="W12436" t="str">
            <v>QTANG08</v>
          </cell>
          <cell r="AD12436">
            <v>120000</v>
          </cell>
        </row>
        <row r="12437">
          <cell r="W12437" t="str">
            <v>QTANG08</v>
          </cell>
          <cell r="AD12437">
            <v>120000</v>
          </cell>
        </row>
        <row r="12438">
          <cell r="W12438" t="str">
            <v>QTANG08</v>
          </cell>
          <cell r="AD12438">
            <v>120000</v>
          </cell>
        </row>
        <row r="12439">
          <cell r="W12439" t="str">
            <v>QTANG08</v>
          </cell>
          <cell r="AD12439">
            <v>120000</v>
          </cell>
        </row>
        <row r="12440">
          <cell r="W12440" t="str">
            <v>QTANG08</v>
          </cell>
          <cell r="AD12440">
            <v>120000</v>
          </cell>
        </row>
        <row r="12441">
          <cell r="W12441" t="str">
            <v>QTANG08</v>
          </cell>
          <cell r="AD12441">
            <v>120000</v>
          </cell>
        </row>
        <row r="12442">
          <cell r="W12442" t="str">
            <v>QTANG08</v>
          </cell>
          <cell r="AD12442">
            <v>120000</v>
          </cell>
        </row>
        <row r="12443">
          <cell r="W12443" t="str">
            <v>QTANG08</v>
          </cell>
          <cell r="AD12443">
            <v>120000</v>
          </cell>
        </row>
        <row r="12444">
          <cell r="W12444" t="str">
            <v>QTANG08</v>
          </cell>
          <cell r="AD12444">
            <v>120000</v>
          </cell>
        </row>
        <row r="12445">
          <cell r="W12445" t="str">
            <v>QTANG08</v>
          </cell>
          <cell r="AD12445">
            <v>120000</v>
          </cell>
        </row>
        <row r="12446">
          <cell r="W12446" t="str">
            <v>QTANG08</v>
          </cell>
          <cell r="AD12446">
            <v>120000</v>
          </cell>
        </row>
        <row r="12447">
          <cell r="W12447" t="str">
            <v>QTANG08</v>
          </cell>
          <cell r="AD12447">
            <v>120000</v>
          </cell>
        </row>
        <row r="12448">
          <cell r="W12448" t="str">
            <v>QTANG08</v>
          </cell>
          <cell r="AD12448">
            <v>120000</v>
          </cell>
        </row>
        <row r="12449">
          <cell r="W12449" t="str">
            <v>QTANG08</v>
          </cell>
          <cell r="AD12449">
            <v>120000</v>
          </cell>
        </row>
        <row r="12450">
          <cell r="W12450" t="str">
            <v>QTANG08</v>
          </cell>
          <cell r="AD12450">
            <v>120000</v>
          </cell>
        </row>
        <row r="12451">
          <cell r="W12451" t="str">
            <v>QTANG08</v>
          </cell>
          <cell r="AD12451">
            <v>120000</v>
          </cell>
        </row>
        <row r="12452">
          <cell r="W12452" t="str">
            <v>QTANG08</v>
          </cell>
          <cell r="AD12452">
            <v>120000</v>
          </cell>
        </row>
        <row r="12453">
          <cell r="W12453" t="str">
            <v>QTANG08</v>
          </cell>
          <cell r="AD12453">
            <v>120000</v>
          </cell>
        </row>
        <row r="12454">
          <cell r="W12454" t="str">
            <v>QTANG08</v>
          </cell>
          <cell r="AD12454">
            <v>120000</v>
          </cell>
        </row>
        <row r="12455">
          <cell r="W12455" t="str">
            <v>QTANG08</v>
          </cell>
          <cell r="AD12455">
            <v>130000</v>
          </cell>
        </row>
        <row r="12456">
          <cell r="W12456" t="str">
            <v>QTANG08</v>
          </cell>
          <cell r="AD12456">
            <v>130000</v>
          </cell>
        </row>
        <row r="12457">
          <cell r="W12457" t="str">
            <v>QTARG01</v>
          </cell>
          <cell r="AD12457">
            <v>75000</v>
          </cell>
        </row>
        <row r="12458">
          <cell r="W12458" t="str">
            <v>QTARG01</v>
          </cell>
          <cell r="AD12458">
            <v>75000</v>
          </cell>
        </row>
        <row r="12459">
          <cell r="W12459" t="str">
            <v>QTARG01</v>
          </cell>
          <cell r="AD12459">
            <v>75000</v>
          </cell>
        </row>
        <row r="12460">
          <cell r="W12460" t="str">
            <v>QTARG01</v>
          </cell>
          <cell r="AD12460">
            <v>75000</v>
          </cell>
        </row>
        <row r="12461">
          <cell r="W12461" t="str">
            <v>QTARG01</v>
          </cell>
          <cell r="AD12461">
            <v>75000</v>
          </cell>
        </row>
        <row r="12462">
          <cell r="W12462" t="str">
            <v>QTARG01</v>
          </cell>
          <cell r="AD12462">
            <v>75000</v>
          </cell>
        </row>
        <row r="12463">
          <cell r="W12463" t="str">
            <v>QTARG01</v>
          </cell>
          <cell r="AD12463">
            <v>75000</v>
          </cell>
        </row>
        <row r="12464">
          <cell r="W12464" t="str">
            <v>QTARG01</v>
          </cell>
          <cell r="AD12464">
            <v>75000</v>
          </cell>
        </row>
        <row r="12465">
          <cell r="W12465" t="str">
            <v>QTARG01</v>
          </cell>
          <cell r="AD12465">
            <v>75000</v>
          </cell>
        </row>
        <row r="12466">
          <cell r="W12466" t="str">
            <v>QTARG01</v>
          </cell>
          <cell r="AD12466">
            <v>75000</v>
          </cell>
        </row>
        <row r="12467">
          <cell r="W12467" t="str">
            <v>QTARG01</v>
          </cell>
          <cell r="AD12467">
            <v>75000</v>
          </cell>
        </row>
        <row r="12468">
          <cell r="W12468" t="str">
            <v>QTARG01</v>
          </cell>
          <cell r="AD12468">
            <v>75000</v>
          </cell>
        </row>
        <row r="12469">
          <cell r="W12469" t="str">
            <v>QTARG01</v>
          </cell>
          <cell r="AD12469">
            <v>80000</v>
          </cell>
        </row>
        <row r="12470">
          <cell r="W12470" t="str">
            <v>QTERM01</v>
          </cell>
          <cell r="AD12470">
            <v>27500</v>
          </cell>
        </row>
        <row r="12471">
          <cell r="W12471" t="str">
            <v>QTERM01</v>
          </cell>
          <cell r="AD12471">
            <v>27500</v>
          </cell>
        </row>
        <row r="12472">
          <cell r="W12472" t="str">
            <v>QTERM01</v>
          </cell>
          <cell r="AD12472">
            <v>27500</v>
          </cell>
        </row>
        <row r="12473">
          <cell r="W12473" t="str">
            <v>QTERM01</v>
          </cell>
          <cell r="AD12473">
            <v>28500</v>
          </cell>
        </row>
        <row r="12474">
          <cell r="W12474" t="str">
            <v>QTERM01</v>
          </cell>
          <cell r="AD12474">
            <v>28500</v>
          </cell>
        </row>
        <row r="12475">
          <cell r="W12475" t="str">
            <v>QTERM01</v>
          </cell>
          <cell r="AD12475">
            <v>28500</v>
          </cell>
        </row>
        <row r="12476">
          <cell r="W12476" t="str">
            <v>QTERM01</v>
          </cell>
          <cell r="AD12476">
            <v>29000</v>
          </cell>
        </row>
        <row r="12477">
          <cell r="W12477" t="str">
            <v>QTERM01</v>
          </cell>
          <cell r="AD12477">
            <v>29000</v>
          </cell>
        </row>
        <row r="12478">
          <cell r="W12478" t="str">
            <v>QTERM01</v>
          </cell>
          <cell r="AD12478">
            <v>29000</v>
          </cell>
        </row>
        <row r="12479">
          <cell r="W12479" t="str">
            <v>QTERM02</v>
          </cell>
          <cell r="AD12479">
            <v>7000</v>
          </cell>
        </row>
        <row r="12480">
          <cell r="W12480" t="str">
            <v>QTERM02</v>
          </cell>
          <cell r="AD12480">
            <v>7250</v>
          </cell>
        </row>
        <row r="12481">
          <cell r="W12481" t="str">
            <v>QTERM02</v>
          </cell>
          <cell r="AD12481">
            <v>7250</v>
          </cell>
        </row>
        <row r="12482">
          <cell r="W12482" t="str">
            <v>QTERM02</v>
          </cell>
          <cell r="AD12482">
            <v>7250</v>
          </cell>
        </row>
        <row r="12483">
          <cell r="W12483" t="str">
            <v>QTERM02</v>
          </cell>
          <cell r="AD12483">
            <v>8500</v>
          </cell>
        </row>
        <row r="12484">
          <cell r="W12484" t="str">
            <v>QTERM02</v>
          </cell>
          <cell r="AD12484">
            <v>8500</v>
          </cell>
        </row>
        <row r="12485">
          <cell r="W12485" t="str">
            <v>QTERM02</v>
          </cell>
          <cell r="AD12485">
            <v>8500</v>
          </cell>
        </row>
        <row r="12486">
          <cell r="W12486" t="str">
            <v>QTERM02</v>
          </cell>
          <cell r="AD12486">
            <v>8750</v>
          </cell>
        </row>
        <row r="12487">
          <cell r="W12487" t="str">
            <v>QTERM02</v>
          </cell>
          <cell r="AD12487">
            <v>8750</v>
          </cell>
        </row>
        <row r="12488">
          <cell r="W12488" t="str">
            <v>QTERM02</v>
          </cell>
          <cell r="AD12488">
            <v>9000</v>
          </cell>
        </row>
        <row r="12489">
          <cell r="W12489" t="str">
            <v>QTERM02</v>
          </cell>
          <cell r="AD12489">
            <v>9000</v>
          </cell>
        </row>
        <row r="12490">
          <cell r="W12490" t="str">
            <v>QTERO02</v>
          </cell>
          <cell r="AD12490">
            <v>13500</v>
          </cell>
        </row>
        <row r="12491">
          <cell r="W12491" t="str">
            <v>QTERO02</v>
          </cell>
          <cell r="AD12491">
            <v>15000</v>
          </cell>
        </row>
        <row r="12492">
          <cell r="W12492" t="str">
            <v>QTERO02</v>
          </cell>
          <cell r="AD12492">
            <v>15000</v>
          </cell>
        </row>
        <row r="12493">
          <cell r="W12493" t="str">
            <v>QTERO02</v>
          </cell>
          <cell r="AD12493">
            <v>15000</v>
          </cell>
        </row>
        <row r="12494">
          <cell r="W12494" t="str">
            <v>QTERO02</v>
          </cell>
          <cell r="AD12494">
            <v>15000</v>
          </cell>
        </row>
        <row r="12495">
          <cell r="W12495" t="str">
            <v>QTERO02</v>
          </cell>
          <cell r="AD12495">
            <v>15000</v>
          </cell>
        </row>
        <row r="12496">
          <cell r="W12496" t="str">
            <v>QTERO02</v>
          </cell>
          <cell r="AD12496">
            <v>15000</v>
          </cell>
        </row>
        <row r="12497">
          <cell r="W12497" t="str">
            <v>QTERO02</v>
          </cell>
          <cell r="AD12497">
            <v>18000</v>
          </cell>
        </row>
        <row r="12498">
          <cell r="W12498" t="str">
            <v>QTERO03</v>
          </cell>
          <cell r="AD12498">
            <v>9500</v>
          </cell>
        </row>
        <row r="12499">
          <cell r="W12499" t="str">
            <v>QTERO03</v>
          </cell>
          <cell r="AD12499">
            <v>9500</v>
          </cell>
        </row>
        <row r="12500">
          <cell r="W12500" t="str">
            <v>QTERO03</v>
          </cell>
          <cell r="AD12500">
            <v>9500</v>
          </cell>
        </row>
        <row r="12501">
          <cell r="W12501" t="str">
            <v>QTERO03</v>
          </cell>
          <cell r="AD12501">
            <v>9500</v>
          </cell>
        </row>
        <row r="12502">
          <cell r="W12502" t="str">
            <v>QTERO03</v>
          </cell>
          <cell r="AD12502">
            <v>9500</v>
          </cell>
        </row>
        <row r="12503">
          <cell r="W12503" t="str">
            <v>QTERO03</v>
          </cell>
          <cell r="AD12503">
            <v>10000</v>
          </cell>
        </row>
        <row r="12504">
          <cell r="W12504" t="str">
            <v>QTERO03</v>
          </cell>
          <cell r="AD12504">
            <v>10000</v>
          </cell>
        </row>
        <row r="12505">
          <cell r="W12505" t="str">
            <v>QTERO03</v>
          </cell>
          <cell r="AD12505">
            <v>10000</v>
          </cell>
        </row>
        <row r="12506">
          <cell r="W12506" t="str">
            <v>QTERO03</v>
          </cell>
          <cell r="AD12506">
            <v>10000</v>
          </cell>
        </row>
        <row r="12507">
          <cell r="W12507" t="str">
            <v>QTERO05</v>
          </cell>
          <cell r="AD12507">
            <v>13500</v>
          </cell>
        </row>
        <row r="12508">
          <cell r="W12508" t="str">
            <v>QTERO05</v>
          </cell>
          <cell r="AD12508">
            <v>13500</v>
          </cell>
        </row>
        <row r="12509">
          <cell r="W12509" t="str">
            <v>QTERO05</v>
          </cell>
          <cell r="AD12509">
            <v>13500</v>
          </cell>
        </row>
        <row r="12510">
          <cell r="W12510" t="str">
            <v>QTERO05</v>
          </cell>
          <cell r="AD12510">
            <v>14000</v>
          </cell>
        </row>
        <row r="12511">
          <cell r="W12511" t="str">
            <v>QTERO05</v>
          </cell>
          <cell r="AD12511">
            <v>14000</v>
          </cell>
        </row>
        <row r="12512">
          <cell r="W12512" t="str">
            <v>QTERO05</v>
          </cell>
          <cell r="AD12512">
            <v>14000</v>
          </cell>
        </row>
        <row r="12513">
          <cell r="W12513" t="str">
            <v>QTERO05</v>
          </cell>
          <cell r="AD12513">
            <v>14000</v>
          </cell>
        </row>
        <row r="12514">
          <cell r="W12514" t="str">
            <v>QTERO05</v>
          </cell>
          <cell r="AD12514">
            <v>14000</v>
          </cell>
        </row>
        <row r="12515">
          <cell r="W12515" t="str">
            <v>QTERO05</v>
          </cell>
          <cell r="AD12515">
            <v>14000</v>
          </cell>
        </row>
        <row r="12516">
          <cell r="W12516" t="str">
            <v>QTERO05</v>
          </cell>
          <cell r="AD12516">
            <v>14000</v>
          </cell>
        </row>
        <row r="12517">
          <cell r="W12517" t="str">
            <v>QTERO05</v>
          </cell>
          <cell r="AD12517">
            <v>14500</v>
          </cell>
        </row>
        <row r="12518">
          <cell r="W12518" t="str">
            <v>QTERO05</v>
          </cell>
          <cell r="AD12518">
            <v>14500</v>
          </cell>
        </row>
        <row r="12519">
          <cell r="W12519" t="str">
            <v>QTERO05</v>
          </cell>
          <cell r="AD12519">
            <v>14500</v>
          </cell>
        </row>
        <row r="12520">
          <cell r="W12520" t="str">
            <v>QTERO05</v>
          </cell>
          <cell r="AD12520">
            <v>15500</v>
          </cell>
        </row>
        <row r="12521">
          <cell r="W12521" t="str">
            <v>QTERO05</v>
          </cell>
          <cell r="AD12521">
            <v>15500</v>
          </cell>
        </row>
        <row r="12522">
          <cell r="W12522" t="str">
            <v>QTHRO02</v>
          </cell>
          <cell r="AD12522">
            <v>85750</v>
          </cell>
        </row>
        <row r="12523">
          <cell r="W12523" t="str">
            <v>QTHRO02</v>
          </cell>
          <cell r="AD12523">
            <v>85750</v>
          </cell>
        </row>
        <row r="12524">
          <cell r="W12524" t="str">
            <v>QTHRO02</v>
          </cell>
          <cell r="AD12524">
            <v>85750</v>
          </cell>
        </row>
        <row r="12525">
          <cell r="W12525" t="str">
            <v>QTHRO02</v>
          </cell>
          <cell r="AD12525">
            <v>85750</v>
          </cell>
        </row>
        <row r="12526">
          <cell r="W12526" t="str">
            <v>QTHRO02</v>
          </cell>
          <cell r="AD12526">
            <v>85750</v>
          </cell>
        </row>
        <row r="12527">
          <cell r="W12527" t="str">
            <v>QTHRO02</v>
          </cell>
          <cell r="AD12527">
            <v>85750</v>
          </cell>
        </row>
        <row r="12528">
          <cell r="W12528" t="str">
            <v>QTHRO02</v>
          </cell>
          <cell r="AD12528">
            <v>85750</v>
          </cell>
        </row>
        <row r="12529">
          <cell r="W12529" t="str">
            <v>QTHRO02</v>
          </cell>
          <cell r="AD12529">
            <v>85750</v>
          </cell>
        </row>
        <row r="12530">
          <cell r="W12530" t="str">
            <v>QTHRO02</v>
          </cell>
          <cell r="AD12530">
            <v>85750</v>
          </cell>
        </row>
        <row r="12531">
          <cell r="W12531" t="str">
            <v>QTHRO02</v>
          </cell>
          <cell r="AD12531">
            <v>85750</v>
          </cell>
        </row>
        <row r="12532">
          <cell r="W12532" t="str">
            <v>QTHRO02</v>
          </cell>
          <cell r="AD12532">
            <v>85750</v>
          </cell>
        </row>
        <row r="12533">
          <cell r="W12533" t="str">
            <v>QTHRO02</v>
          </cell>
          <cell r="AD12533">
            <v>85750</v>
          </cell>
        </row>
        <row r="12534">
          <cell r="W12534" t="str">
            <v>QTHRO02</v>
          </cell>
          <cell r="AD12534">
            <v>85750</v>
          </cell>
        </row>
        <row r="12535">
          <cell r="W12535" t="str">
            <v>QTHRO02</v>
          </cell>
          <cell r="AD12535">
            <v>85750</v>
          </cell>
        </row>
        <row r="12536">
          <cell r="W12536" t="str">
            <v>QTHRO02</v>
          </cell>
          <cell r="AD12536">
            <v>85750</v>
          </cell>
        </row>
        <row r="12537">
          <cell r="W12537" t="str">
            <v>QTHRO02</v>
          </cell>
          <cell r="AD12537">
            <v>85750</v>
          </cell>
        </row>
        <row r="12538">
          <cell r="W12538" t="str">
            <v>QTHRO03</v>
          </cell>
          <cell r="AD12538">
            <v>169500</v>
          </cell>
        </row>
        <row r="12539">
          <cell r="W12539" t="str">
            <v>QTHRO03</v>
          </cell>
          <cell r="AD12539">
            <v>169500</v>
          </cell>
        </row>
        <row r="12540">
          <cell r="W12540" t="str">
            <v>QTHRO03</v>
          </cell>
          <cell r="AD12540">
            <v>169500</v>
          </cell>
        </row>
        <row r="12541">
          <cell r="W12541" t="str">
            <v>QTHRO03</v>
          </cell>
          <cell r="AD12541">
            <v>169500</v>
          </cell>
        </row>
        <row r="12542">
          <cell r="W12542" t="str">
            <v>QTHRO03</v>
          </cell>
          <cell r="AD12542">
            <v>169500</v>
          </cell>
        </row>
        <row r="12543">
          <cell r="W12543" t="str">
            <v>QTHRO03</v>
          </cell>
          <cell r="AD12543">
            <v>169500</v>
          </cell>
        </row>
        <row r="12544">
          <cell r="W12544" t="str">
            <v>QTHRO03</v>
          </cell>
          <cell r="AD12544">
            <v>169500</v>
          </cell>
        </row>
        <row r="12545">
          <cell r="W12545" t="str">
            <v>QTHRO03</v>
          </cell>
          <cell r="AD12545">
            <v>169500</v>
          </cell>
        </row>
        <row r="12546">
          <cell r="W12546" t="str">
            <v>QTHRO03</v>
          </cell>
          <cell r="AD12546">
            <v>169500</v>
          </cell>
        </row>
        <row r="12547">
          <cell r="W12547" t="str">
            <v>QTHRO04</v>
          </cell>
          <cell r="AD12547">
            <v>35000</v>
          </cell>
        </row>
        <row r="12548">
          <cell r="W12548" t="str">
            <v>QTHRO04</v>
          </cell>
          <cell r="AD12548">
            <v>38500</v>
          </cell>
        </row>
        <row r="12549">
          <cell r="W12549" t="str">
            <v>QTHRO04</v>
          </cell>
          <cell r="AD12549">
            <v>38750</v>
          </cell>
        </row>
        <row r="12550">
          <cell r="W12550" t="str">
            <v>QTHRO04</v>
          </cell>
          <cell r="AD12550">
            <v>39500</v>
          </cell>
        </row>
        <row r="12551">
          <cell r="W12551" t="str">
            <v>QTIEZ01</v>
          </cell>
          <cell r="AD12551">
            <v>68500</v>
          </cell>
        </row>
        <row r="12552">
          <cell r="W12552" t="str">
            <v>QTIEZ01</v>
          </cell>
          <cell r="AD12552">
            <v>71500</v>
          </cell>
        </row>
        <row r="12553">
          <cell r="W12553" t="str">
            <v>QTIGO01</v>
          </cell>
          <cell r="AD12553">
            <v>15500</v>
          </cell>
        </row>
        <row r="12554">
          <cell r="W12554" t="str">
            <v>QTIGO01</v>
          </cell>
          <cell r="AD12554">
            <v>15500</v>
          </cell>
        </row>
        <row r="12555">
          <cell r="W12555" t="str">
            <v>QTIGO01</v>
          </cell>
          <cell r="AD12555">
            <v>15500</v>
          </cell>
        </row>
        <row r="12556">
          <cell r="W12556" t="str">
            <v>QTIGO01</v>
          </cell>
          <cell r="AD12556">
            <v>15500</v>
          </cell>
        </row>
        <row r="12557">
          <cell r="W12557" t="str">
            <v>QTIGO01</v>
          </cell>
          <cell r="AD12557">
            <v>15500</v>
          </cell>
        </row>
        <row r="12558">
          <cell r="W12558" t="str">
            <v>QTIGO01</v>
          </cell>
          <cell r="AD12558">
            <v>16000</v>
          </cell>
        </row>
        <row r="12559">
          <cell r="W12559" t="str">
            <v>QTIGO01</v>
          </cell>
          <cell r="AD12559">
            <v>16000</v>
          </cell>
        </row>
        <row r="12560">
          <cell r="W12560" t="str">
            <v>QTIGO01</v>
          </cell>
          <cell r="AD12560">
            <v>16000</v>
          </cell>
        </row>
        <row r="12561">
          <cell r="W12561" t="str">
            <v>QTIGO01</v>
          </cell>
          <cell r="AD12561">
            <v>16500</v>
          </cell>
        </row>
        <row r="12562">
          <cell r="W12562" t="str">
            <v>QTIGO01</v>
          </cell>
          <cell r="AD12562">
            <v>16500</v>
          </cell>
        </row>
        <row r="12563">
          <cell r="W12563" t="str">
            <v>QTIGO01</v>
          </cell>
          <cell r="AD12563">
            <v>16500</v>
          </cell>
        </row>
        <row r="12564">
          <cell r="W12564" t="str">
            <v>QTIGO01</v>
          </cell>
          <cell r="AD12564">
            <v>16500</v>
          </cell>
        </row>
        <row r="12565">
          <cell r="W12565" t="str">
            <v>QTIGO01</v>
          </cell>
          <cell r="AD12565">
            <v>17000</v>
          </cell>
        </row>
        <row r="12566">
          <cell r="W12566" t="str">
            <v>QTIGO01</v>
          </cell>
          <cell r="AD12566">
            <v>17500</v>
          </cell>
        </row>
        <row r="12567">
          <cell r="W12567" t="str">
            <v>QTIMU13</v>
          </cell>
          <cell r="AD12567">
            <v>50000</v>
          </cell>
        </row>
        <row r="12568">
          <cell r="W12568" t="str">
            <v>QTIMU13</v>
          </cell>
          <cell r="AD12568">
            <v>50000</v>
          </cell>
        </row>
        <row r="12569">
          <cell r="W12569" t="str">
            <v>QTIMU13</v>
          </cell>
          <cell r="AD12569">
            <v>50000</v>
          </cell>
        </row>
        <row r="12570">
          <cell r="W12570" t="str">
            <v>QTIMU13</v>
          </cell>
          <cell r="AD12570">
            <v>50000</v>
          </cell>
        </row>
        <row r="12571">
          <cell r="W12571" t="str">
            <v>QTIMU13</v>
          </cell>
          <cell r="AD12571">
            <v>50000</v>
          </cell>
        </row>
        <row r="12572">
          <cell r="W12572" t="str">
            <v>QTIMU13</v>
          </cell>
          <cell r="AD12572">
            <v>50000</v>
          </cell>
        </row>
        <row r="12573">
          <cell r="W12573" t="str">
            <v>QTIMU13</v>
          </cell>
          <cell r="AD12573">
            <v>50000</v>
          </cell>
        </row>
        <row r="12574">
          <cell r="W12574" t="str">
            <v>QTIMU18</v>
          </cell>
          <cell r="AD12574">
            <v>26500</v>
          </cell>
        </row>
        <row r="12575">
          <cell r="W12575" t="str">
            <v>QTIMU18</v>
          </cell>
          <cell r="AD12575">
            <v>26500</v>
          </cell>
        </row>
        <row r="12576">
          <cell r="W12576" t="str">
            <v>QTIMU18</v>
          </cell>
          <cell r="AD12576">
            <v>26500</v>
          </cell>
        </row>
        <row r="12577">
          <cell r="W12577" t="str">
            <v>QTIMU18</v>
          </cell>
          <cell r="AD12577">
            <v>30000</v>
          </cell>
        </row>
        <row r="12578">
          <cell r="W12578" t="str">
            <v>QTIMU18</v>
          </cell>
          <cell r="AD12578">
            <v>30000</v>
          </cell>
        </row>
        <row r="12579">
          <cell r="W12579" t="str">
            <v>QTIMU27</v>
          </cell>
          <cell r="AD12579">
            <v>42000</v>
          </cell>
        </row>
        <row r="12580">
          <cell r="W12580" t="str">
            <v>QTIMU27</v>
          </cell>
          <cell r="AD12580">
            <v>42000</v>
          </cell>
        </row>
        <row r="12581">
          <cell r="W12581" t="str">
            <v>QTIMU24</v>
          </cell>
          <cell r="AD12581">
            <v>52000</v>
          </cell>
        </row>
        <row r="12582">
          <cell r="W12582" t="str">
            <v>QTIMU24</v>
          </cell>
          <cell r="AD12582">
            <v>53000</v>
          </cell>
        </row>
        <row r="12583">
          <cell r="W12583" t="str">
            <v>QTIMU04</v>
          </cell>
          <cell r="AD12583">
            <v>34500</v>
          </cell>
        </row>
        <row r="12584">
          <cell r="W12584" t="str">
            <v>QTIMU04</v>
          </cell>
          <cell r="AD12584">
            <v>34500</v>
          </cell>
        </row>
        <row r="12585">
          <cell r="W12585" t="str">
            <v>QTIMU04</v>
          </cell>
          <cell r="AD12585">
            <v>35000</v>
          </cell>
        </row>
        <row r="12586">
          <cell r="W12586" t="str">
            <v>QTIMU04</v>
          </cell>
          <cell r="AD12586">
            <v>35000</v>
          </cell>
        </row>
        <row r="12587">
          <cell r="W12587" t="str">
            <v>QTIMU04</v>
          </cell>
          <cell r="AD12587">
            <v>35000</v>
          </cell>
        </row>
        <row r="12588">
          <cell r="W12588" t="str">
            <v>QTIMU04</v>
          </cell>
          <cell r="AD12588">
            <v>35000</v>
          </cell>
        </row>
        <row r="12589">
          <cell r="W12589" t="str">
            <v>QTIMU04</v>
          </cell>
          <cell r="AD12589">
            <v>35000</v>
          </cell>
        </row>
        <row r="12590">
          <cell r="W12590" t="str">
            <v>QTIMU04</v>
          </cell>
          <cell r="AD12590">
            <v>35000</v>
          </cell>
        </row>
        <row r="12591">
          <cell r="W12591" t="str">
            <v>QTIMU04</v>
          </cell>
          <cell r="AD12591">
            <v>35000</v>
          </cell>
        </row>
        <row r="12592">
          <cell r="W12592" t="str">
            <v>QTIMU04</v>
          </cell>
          <cell r="AD12592">
            <v>35000</v>
          </cell>
        </row>
        <row r="12593">
          <cell r="W12593" t="str">
            <v>QTIMU04</v>
          </cell>
          <cell r="AD12593">
            <v>35000</v>
          </cell>
        </row>
        <row r="12594">
          <cell r="W12594" t="str">
            <v>QTIMU04</v>
          </cell>
          <cell r="AD12594">
            <v>35000</v>
          </cell>
        </row>
        <row r="12595">
          <cell r="W12595" t="str">
            <v>QTIMU04</v>
          </cell>
          <cell r="AD12595">
            <v>35000</v>
          </cell>
        </row>
        <row r="12596">
          <cell r="W12596" t="str">
            <v>QTIMU04</v>
          </cell>
          <cell r="AD12596">
            <v>35000</v>
          </cell>
        </row>
        <row r="12597">
          <cell r="W12597" t="str">
            <v>QTIMU04</v>
          </cell>
          <cell r="AD12597">
            <v>35000</v>
          </cell>
        </row>
        <row r="12598">
          <cell r="W12598" t="str">
            <v>QTIMU04</v>
          </cell>
          <cell r="AD12598">
            <v>35000</v>
          </cell>
        </row>
        <row r="12599">
          <cell r="W12599" t="str">
            <v>QTIMU04</v>
          </cell>
          <cell r="AD12599">
            <v>35000</v>
          </cell>
        </row>
        <row r="12600">
          <cell r="W12600" t="str">
            <v>QTIMU04</v>
          </cell>
          <cell r="AD12600">
            <v>35000</v>
          </cell>
        </row>
        <row r="12601">
          <cell r="W12601" t="str">
            <v>QTIMU04</v>
          </cell>
          <cell r="AD12601">
            <v>35000</v>
          </cell>
        </row>
        <row r="12602">
          <cell r="W12602" t="str">
            <v>QTIMU04</v>
          </cell>
          <cell r="AD12602">
            <v>35000</v>
          </cell>
        </row>
        <row r="12603">
          <cell r="W12603" t="str">
            <v>QTIMU04</v>
          </cell>
          <cell r="AD12603">
            <v>35000</v>
          </cell>
        </row>
        <row r="12604">
          <cell r="W12604" t="str">
            <v>QTIMU04</v>
          </cell>
          <cell r="AD12604">
            <v>35000</v>
          </cell>
        </row>
        <row r="12605">
          <cell r="W12605" t="str">
            <v>QTIMU04</v>
          </cell>
          <cell r="AD12605">
            <v>35000</v>
          </cell>
        </row>
        <row r="12606">
          <cell r="W12606" t="str">
            <v>QTIMU04</v>
          </cell>
          <cell r="AD12606">
            <v>35000</v>
          </cell>
        </row>
        <row r="12607">
          <cell r="W12607" t="str">
            <v>QTIMU04</v>
          </cell>
          <cell r="AD12607">
            <v>35000</v>
          </cell>
        </row>
        <row r="12608">
          <cell r="W12608" t="str">
            <v>QTIMU04</v>
          </cell>
          <cell r="AD12608">
            <v>35000</v>
          </cell>
        </row>
        <row r="12609">
          <cell r="W12609" t="str">
            <v>QTIMU04</v>
          </cell>
          <cell r="AD12609">
            <v>35000</v>
          </cell>
        </row>
        <row r="12610">
          <cell r="W12610" t="str">
            <v>QTIMU04</v>
          </cell>
          <cell r="AD12610">
            <v>35000</v>
          </cell>
        </row>
        <row r="12611">
          <cell r="W12611" t="str">
            <v>QTIMU04</v>
          </cell>
          <cell r="AD12611">
            <v>35000</v>
          </cell>
        </row>
        <row r="12612">
          <cell r="W12612" t="str">
            <v>QTIMU04</v>
          </cell>
          <cell r="AD12612">
            <v>35000</v>
          </cell>
        </row>
        <row r="12613">
          <cell r="W12613" t="str">
            <v>QTIMU04</v>
          </cell>
          <cell r="AD12613">
            <v>35000</v>
          </cell>
        </row>
        <row r="12614">
          <cell r="W12614" t="str">
            <v>QTIMU04</v>
          </cell>
          <cell r="AD12614">
            <v>35000</v>
          </cell>
        </row>
        <row r="12615">
          <cell r="W12615" t="str">
            <v>QTIMU04</v>
          </cell>
          <cell r="AD12615">
            <v>35000</v>
          </cell>
        </row>
        <row r="12616">
          <cell r="W12616" t="str">
            <v>QTIMU04</v>
          </cell>
          <cell r="AD12616">
            <v>35000</v>
          </cell>
        </row>
        <row r="12617">
          <cell r="W12617" t="str">
            <v>QTIMU04</v>
          </cell>
          <cell r="AD12617">
            <v>35000</v>
          </cell>
        </row>
        <row r="12618">
          <cell r="W12618" t="str">
            <v>QTIMU04</v>
          </cell>
          <cell r="AD12618">
            <v>35000</v>
          </cell>
        </row>
        <row r="12619">
          <cell r="W12619" t="str">
            <v>QTIMU04</v>
          </cell>
          <cell r="AD12619">
            <v>35000</v>
          </cell>
        </row>
        <row r="12620">
          <cell r="W12620" t="str">
            <v>QTIMU04</v>
          </cell>
          <cell r="AD12620">
            <v>35000</v>
          </cell>
        </row>
        <row r="12621">
          <cell r="W12621" t="str">
            <v>QTIMU04</v>
          </cell>
          <cell r="AD12621">
            <v>35000</v>
          </cell>
        </row>
        <row r="12622">
          <cell r="W12622" t="str">
            <v>QTIMU04</v>
          </cell>
          <cell r="AD12622">
            <v>35000</v>
          </cell>
        </row>
        <row r="12623">
          <cell r="W12623" t="str">
            <v>QTIMU04</v>
          </cell>
          <cell r="AD12623">
            <v>35000</v>
          </cell>
        </row>
        <row r="12624">
          <cell r="W12624" t="str">
            <v>QTIMU04</v>
          </cell>
          <cell r="AD12624">
            <v>35000</v>
          </cell>
        </row>
        <row r="12625">
          <cell r="W12625" t="str">
            <v>QTIMU04</v>
          </cell>
          <cell r="AD12625">
            <v>35000</v>
          </cell>
        </row>
        <row r="12626">
          <cell r="W12626" t="str">
            <v>QTIMU04</v>
          </cell>
          <cell r="AD12626">
            <v>35000</v>
          </cell>
        </row>
        <row r="12627">
          <cell r="W12627" t="str">
            <v>QTIMU04</v>
          </cell>
          <cell r="AD12627">
            <v>35000</v>
          </cell>
        </row>
        <row r="12628">
          <cell r="W12628" t="str">
            <v>QTIMU04</v>
          </cell>
          <cell r="AD12628">
            <v>35000</v>
          </cell>
        </row>
        <row r="12629">
          <cell r="W12629" t="str">
            <v>QTIMU04</v>
          </cell>
          <cell r="AD12629">
            <v>35000</v>
          </cell>
        </row>
        <row r="12630">
          <cell r="W12630" t="str">
            <v>QTIMU04</v>
          </cell>
          <cell r="AD12630">
            <v>35000</v>
          </cell>
        </row>
        <row r="12631">
          <cell r="W12631" t="str">
            <v>QTIMU04</v>
          </cell>
          <cell r="AD12631">
            <v>35000</v>
          </cell>
        </row>
        <row r="12632">
          <cell r="W12632" t="str">
            <v>QTIMU04</v>
          </cell>
          <cell r="AD12632">
            <v>35000</v>
          </cell>
        </row>
        <row r="12633">
          <cell r="W12633" t="str">
            <v>QTIMU04</v>
          </cell>
          <cell r="AD12633">
            <v>35000</v>
          </cell>
        </row>
        <row r="12634">
          <cell r="W12634" t="str">
            <v>QTIMU04</v>
          </cell>
          <cell r="AD12634">
            <v>35000</v>
          </cell>
        </row>
        <row r="12635">
          <cell r="W12635" t="str">
            <v>QTIMU04</v>
          </cell>
          <cell r="AD12635">
            <v>35000</v>
          </cell>
        </row>
        <row r="12636">
          <cell r="W12636" t="str">
            <v>QTIMU04</v>
          </cell>
          <cell r="AD12636">
            <v>35000</v>
          </cell>
        </row>
        <row r="12637">
          <cell r="W12637" t="str">
            <v>QTIMU04</v>
          </cell>
          <cell r="AD12637">
            <v>35000</v>
          </cell>
        </row>
        <row r="12638">
          <cell r="W12638" t="str">
            <v>QTIMU04</v>
          </cell>
          <cell r="AD12638">
            <v>35000</v>
          </cell>
        </row>
        <row r="12639">
          <cell r="W12639" t="str">
            <v>QTIMU04</v>
          </cell>
          <cell r="AD12639">
            <v>35000</v>
          </cell>
        </row>
        <row r="12640">
          <cell r="W12640" t="str">
            <v>QTIMU04</v>
          </cell>
          <cell r="AD12640">
            <v>35000</v>
          </cell>
        </row>
        <row r="12641">
          <cell r="W12641" t="str">
            <v>QTIMU04</v>
          </cell>
          <cell r="AD12641">
            <v>35000</v>
          </cell>
        </row>
        <row r="12642">
          <cell r="W12642" t="str">
            <v>QTIMU04</v>
          </cell>
          <cell r="AD12642">
            <v>35000</v>
          </cell>
        </row>
        <row r="12643">
          <cell r="W12643" t="str">
            <v>QTIMU04</v>
          </cell>
          <cell r="AD12643">
            <v>35000</v>
          </cell>
        </row>
        <row r="12644">
          <cell r="W12644" t="str">
            <v>QTIMU04</v>
          </cell>
          <cell r="AD12644">
            <v>35000</v>
          </cell>
        </row>
        <row r="12645">
          <cell r="W12645" t="str">
            <v>QTIMU04</v>
          </cell>
          <cell r="AD12645">
            <v>35000</v>
          </cell>
        </row>
        <row r="12646">
          <cell r="W12646" t="str">
            <v>QTIMU04</v>
          </cell>
          <cell r="AD12646">
            <v>35000</v>
          </cell>
        </row>
        <row r="12647">
          <cell r="W12647" t="str">
            <v>QTIMU04</v>
          </cell>
          <cell r="AD12647">
            <v>35000</v>
          </cell>
        </row>
        <row r="12648">
          <cell r="W12648" t="str">
            <v>QTIMU04</v>
          </cell>
          <cell r="AD12648">
            <v>35000</v>
          </cell>
        </row>
        <row r="12649">
          <cell r="W12649" t="str">
            <v>QTIMU04</v>
          </cell>
          <cell r="AD12649">
            <v>35000</v>
          </cell>
        </row>
        <row r="12650">
          <cell r="W12650" t="str">
            <v>QTIMU04</v>
          </cell>
          <cell r="AD12650">
            <v>35000</v>
          </cell>
        </row>
        <row r="12651">
          <cell r="W12651" t="str">
            <v>QTIMU04</v>
          </cell>
          <cell r="AD12651">
            <v>35000</v>
          </cell>
        </row>
        <row r="12652">
          <cell r="W12652" t="str">
            <v>QTIMU04</v>
          </cell>
          <cell r="AD12652">
            <v>35000</v>
          </cell>
        </row>
        <row r="12653">
          <cell r="W12653" t="str">
            <v>QTIMU04</v>
          </cell>
          <cell r="AD12653">
            <v>35000</v>
          </cell>
        </row>
        <row r="12654">
          <cell r="W12654" t="str">
            <v>QTIMU04</v>
          </cell>
          <cell r="AD12654">
            <v>35000</v>
          </cell>
        </row>
        <row r="12655">
          <cell r="W12655" t="str">
            <v>QTIMU04</v>
          </cell>
          <cell r="AD12655">
            <v>35000</v>
          </cell>
        </row>
        <row r="12656">
          <cell r="W12656" t="str">
            <v>QTIMU04</v>
          </cell>
          <cell r="AD12656">
            <v>35000</v>
          </cell>
        </row>
        <row r="12657">
          <cell r="W12657" t="str">
            <v>QTIMU04</v>
          </cell>
          <cell r="AD12657">
            <v>35000</v>
          </cell>
        </row>
        <row r="12658">
          <cell r="W12658" t="str">
            <v>QTIMU04</v>
          </cell>
          <cell r="AD12658">
            <v>35000</v>
          </cell>
        </row>
        <row r="12659">
          <cell r="W12659" t="str">
            <v>QTIMU04</v>
          </cell>
          <cell r="AD12659">
            <v>35000</v>
          </cell>
        </row>
        <row r="12660">
          <cell r="W12660" t="str">
            <v>QTIMU04</v>
          </cell>
          <cell r="AD12660">
            <v>35000</v>
          </cell>
        </row>
        <row r="12661">
          <cell r="W12661" t="str">
            <v>QTIMU04</v>
          </cell>
          <cell r="AD12661">
            <v>35000</v>
          </cell>
        </row>
        <row r="12662">
          <cell r="W12662" t="str">
            <v>QTIMU04</v>
          </cell>
          <cell r="AD12662">
            <v>35000</v>
          </cell>
        </row>
        <row r="12663">
          <cell r="W12663" t="str">
            <v>QTIMU04</v>
          </cell>
          <cell r="AD12663">
            <v>35000</v>
          </cell>
        </row>
        <row r="12664">
          <cell r="W12664" t="str">
            <v>QTIMU04</v>
          </cell>
          <cell r="AD12664">
            <v>35000</v>
          </cell>
        </row>
        <row r="12665">
          <cell r="W12665" t="str">
            <v>QTIMU04</v>
          </cell>
          <cell r="AD12665">
            <v>35000</v>
          </cell>
        </row>
        <row r="12666">
          <cell r="W12666" t="str">
            <v>QTIMU04</v>
          </cell>
          <cell r="AD12666">
            <v>35000</v>
          </cell>
        </row>
        <row r="12667">
          <cell r="W12667" t="str">
            <v>QTIMU04</v>
          </cell>
          <cell r="AD12667">
            <v>35000</v>
          </cell>
        </row>
        <row r="12668">
          <cell r="W12668" t="str">
            <v>QTIMU04</v>
          </cell>
          <cell r="AD12668">
            <v>35000</v>
          </cell>
        </row>
        <row r="12669">
          <cell r="W12669" t="str">
            <v>QTIMU04</v>
          </cell>
          <cell r="AD12669">
            <v>35000</v>
          </cell>
        </row>
        <row r="12670">
          <cell r="W12670" t="str">
            <v>QTIMU04</v>
          </cell>
          <cell r="AD12670">
            <v>35000</v>
          </cell>
        </row>
        <row r="12671">
          <cell r="W12671" t="str">
            <v>QTIMU04</v>
          </cell>
          <cell r="AD12671">
            <v>35000</v>
          </cell>
        </row>
        <row r="12672">
          <cell r="W12672" t="str">
            <v>ATIMU03</v>
          </cell>
          <cell r="AD12672">
            <v>35000</v>
          </cell>
        </row>
        <row r="12673">
          <cell r="W12673" t="str">
            <v>ATIMU03</v>
          </cell>
          <cell r="AD12673">
            <v>35000</v>
          </cell>
        </row>
        <row r="12674">
          <cell r="W12674" t="str">
            <v>QTIMU04</v>
          </cell>
          <cell r="AD12674">
            <v>35000</v>
          </cell>
        </row>
        <row r="12675">
          <cell r="W12675" t="str">
            <v>QTIMU04</v>
          </cell>
          <cell r="AD12675">
            <v>35000</v>
          </cell>
        </row>
        <row r="12676">
          <cell r="W12676" t="str">
            <v>QTIMU04</v>
          </cell>
          <cell r="AD12676">
            <v>35000</v>
          </cell>
        </row>
        <row r="12677">
          <cell r="W12677" t="str">
            <v>QTIMU04</v>
          </cell>
          <cell r="AD12677">
            <v>35000</v>
          </cell>
        </row>
        <row r="12678">
          <cell r="W12678" t="str">
            <v>QTIMU04</v>
          </cell>
          <cell r="AD12678">
            <v>35000</v>
          </cell>
        </row>
        <row r="12679">
          <cell r="W12679" t="str">
            <v>QTIMU04</v>
          </cell>
          <cell r="AD12679">
            <v>35000</v>
          </cell>
        </row>
        <row r="12680">
          <cell r="W12680" t="str">
            <v>QTIMU04</v>
          </cell>
          <cell r="AD12680">
            <v>35000</v>
          </cell>
        </row>
        <row r="12681">
          <cell r="W12681" t="str">
            <v>QTIMU04</v>
          </cell>
          <cell r="AD12681">
            <v>35000</v>
          </cell>
        </row>
        <row r="12682">
          <cell r="W12682" t="str">
            <v>QTIMU04</v>
          </cell>
          <cell r="AD12682">
            <v>35000</v>
          </cell>
        </row>
        <row r="12683">
          <cell r="W12683" t="str">
            <v>QTIMU04</v>
          </cell>
          <cell r="AD12683">
            <v>35000</v>
          </cell>
        </row>
        <row r="12684">
          <cell r="W12684" t="str">
            <v>QTIMU04</v>
          </cell>
          <cell r="AD12684">
            <v>35000</v>
          </cell>
        </row>
        <row r="12685">
          <cell r="W12685" t="str">
            <v>QTIMU04</v>
          </cell>
          <cell r="AD12685">
            <v>35000</v>
          </cell>
        </row>
        <row r="12686">
          <cell r="W12686" t="str">
            <v>QTIMU04</v>
          </cell>
          <cell r="AD12686">
            <v>35000</v>
          </cell>
        </row>
        <row r="12687">
          <cell r="W12687" t="str">
            <v>QTIMU04</v>
          </cell>
          <cell r="AD12687">
            <v>35000</v>
          </cell>
        </row>
        <row r="12688">
          <cell r="W12688" t="str">
            <v>QTIMU04</v>
          </cell>
          <cell r="AD12688">
            <v>35000</v>
          </cell>
        </row>
        <row r="12689">
          <cell r="W12689" t="str">
            <v>QTIMU04</v>
          </cell>
          <cell r="AD12689">
            <v>35000</v>
          </cell>
        </row>
        <row r="12690">
          <cell r="W12690" t="str">
            <v>QTIMU04</v>
          </cell>
          <cell r="AD12690">
            <v>35000</v>
          </cell>
        </row>
        <row r="12691">
          <cell r="W12691" t="str">
            <v>ATIMU03</v>
          </cell>
          <cell r="AD12691">
            <v>35000</v>
          </cell>
        </row>
        <row r="12692">
          <cell r="W12692" t="str">
            <v>ATIMU03</v>
          </cell>
          <cell r="AD12692">
            <v>35000</v>
          </cell>
        </row>
        <row r="12693">
          <cell r="W12693" t="str">
            <v>ATIMU03</v>
          </cell>
          <cell r="AD12693">
            <v>35000</v>
          </cell>
        </row>
        <row r="12694">
          <cell r="W12694" t="str">
            <v>ATIMU03</v>
          </cell>
          <cell r="AD12694">
            <v>35000</v>
          </cell>
        </row>
        <row r="12695">
          <cell r="W12695" t="str">
            <v>ATIMU03</v>
          </cell>
          <cell r="AD12695">
            <v>35000</v>
          </cell>
        </row>
        <row r="12696">
          <cell r="W12696" t="str">
            <v>ATIMU03</v>
          </cell>
          <cell r="AD12696">
            <v>35000</v>
          </cell>
        </row>
        <row r="12697">
          <cell r="W12697" t="str">
            <v>ATIMU03</v>
          </cell>
          <cell r="AD12697">
            <v>35000</v>
          </cell>
        </row>
        <row r="12698">
          <cell r="W12698" t="str">
            <v>ATIMU03</v>
          </cell>
          <cell r="AD12698">
            <v>35000</v>
          </cell>
        </row>
        <row r="12699">
          <cell r="W12699" t="str">
            <v>ATIMU03</v>
          </cell>
          <cell r="AD12699">
            <v>35000</v>
          </cell>
        </row>
        <row r="12700">
          <cell r="W12700" t="str">
            <v>ATIMU03</v>
          </cell>
          <cell r="AD12700">
            <v>35000</v>
          </cell>
        </row>
        <row r="12701">
          <cell r="W12701" t="str">
            <v>QTIMU04</v>
          </cell>
          <cell r="AD12701">
            <v>35000</v>
          </cell>
        </row>
        <row r="12702">
          <cell r="W12702" t="str">
            <v>QTIMU04</v>
          </cell>
          <cell r="AD12702">
            <v>35000</v>
          </cell>
        </row>
        <row r="12703">
          <cell r="W12703" t="str">
            <v>ATIMU03</v>
          </cell>
          <cell r="AD12703">
            <v>35000</v>
          </cell>
        </row>
        <row r="12704">
          <cell r="W12704" t="str">
            <v>ATIMU03</v>
          </cell>
          <cell r="AD12704">
            <v>35000</v>
          </cell>
        </row>
        <row r="12705">
          <cell r="W12705" t="str">
            <v>ATIMU03</v>
          </cell>
          <cell r="AD12705">
            <v>35000</v>
          </cell>
        </row>
        <row r="12706">
          <cell r="W12706" t="str">
            <v>ATIMU03</v>
          </cell>
          <cell r="AD12706">
            <v>35000</v>
          </cell>
        </row>
        <row r="12707">
          <cell r="W12707" t="str">
            <v>ATIMU03</v>
          </cell>
          <cell r="AD12707">
            <v>35000</v>
          </cell>
        </row>
        <row r="12708">
          <cell r="W12708" t="str">
            <v>ATIMU03</v>
          </cell>
          <cell r="AD12708">
            <v>35000</v>
          </cell>
        </row>
        <row r="12709">
          <cell r="W12709" t="str">
            <v>ATIMU03</v>
          </cell>
          <cell r="AD12709">
            <v>35000</v>
          </cell>
        </row>
        <row r="12710">
          <cell r="W12710" t="str">
            <v>ATIMU03</v>
          </cell>
          <cell r="AD12710">
            <v>35000</v>
          </cell>
        </row>
        <row r="12711">
          <cell r="W12711" t="str">
            <v>ATIMU03</v>
          </cell>
          <cell r="AD12711">
            <v>35000</v>
          </cell>
        </row>
        <row r="12712">
          <cell r="W12712" t="str">
            <v>ATIMU03</v>
          </cell>
          <cell r="AD12712">
            <v>35000</v>
          </cell>
        </row>
        <row r="12713">
          <cell r="W12713" t="str">
            <v>ATIMU03</v>
          </cell>
          <cell r="AD12713">
            <v>35000</v>
          </cell>
        </row>
        <row r="12714">
          <cell r="W12714" t="str">
            <v>ATIMU03</v>
          </cell>
          <cell r="AD12714">
            <v>35000</v>
          </cell>
        </row>
        <row r="12715">
          <cell r="W12715" t="str">
            <v>ATIMU03</v>
          </cell>
          <cell r="AD12715">
            <v>35000</v>
          </cell>
        </row>
        <row r="12716">
          <cell r="W12716" t="str">
            <v>QTIMU04</v>
          </cell>
          <cell r="AD12716">
            <v>35000</v>
          </cell>
        </row>
        <row r="12717">
          <cell r="W12717" t="str">
            <v>QTIMU04</v>
          </cell>
          <cell r="AD12717">
            <v>35000</v>
          </cell>
        </row>
        <row r="12718">
          <cell r="W12718" t="str">
            <v>ATIMU03</v>
          </cell>
          <cell r="AD12718">
            <v>35000</v>
          </cell>
        </row>
        <row r="12719">
          <cell r="W12719" t="str">
            <v>ATIMU03</v>
          </cell>
          <cell r="AD12719">
            <v>35000</v>
          </cell>
        </row>
        <row r="12720">
          <cell r="W12720" t="str">
            <v>ATIMU03</v>
          </cell>
          <cell r="AD12720">
            <v>35000</v>
          </cell>
        </row>
        <row r="12721">
          <cell r="W12721" t="str">
            <v>ATIMU03</v>
          </cell>
          <cell r="AD12721">
            <v>35000</v>
          </cell>
        </row>
        <row r="12722">
          <cell r="W12722" t="str">
            <v>ATIMU03</v>
          </cell>
          <cell r="AD12722">
            <v>35000</v>
          </cell>
        </row>
        <row r="12723">
          <cell r="W12723" t="str">
            <v>ATIMU03</v>
          </cell>
          <cell r="AD12723">
            <v>35000</v>
          </cell>
        </row>
        <row r="12724">
          <cell r="W12724" t="str">
            <v>ATIMU03</v>
          </cell>
          <cell r="AD12724">
            <v>35000</v>
          </cell>
        </row>
        <row r="12725">
          <cell r="W12725" t="str">
            <v>ATIMU03</v>
          </cell>
          <cell r="AD12725">
            <v>35000</v>
          </cell>
        </row>
        <row r="12726">
          <cell r="W12726" t="str">
            <v>ATIMU03</v>
          </cell>
          <cell r="AD12726">
            <v>35000</v>
          </cell>
        </row>
        <row r="12727">
          <cell r="W12727" t="str">
            <v>ATIMU03</v>
          </cell>
          <cell r="AD12727">
            <v>35000</v>
          </cell>
        </row>
        <row r="12728">
          <cell r="W12728" t="str">
            <v>ATIMU03</v>
          </cell>
          <cell r="AD12728">
            <v>35000</v>
          </cell>
        </row>
        <row r="12729">
          <cell r="W12729" t="str">
            <v>ATIMU03</v>
          </cell>
          <cell r="AD12729">
            <v>35000</v>
          </cell>
        </row>
        <row r="12730">
          <cell r="W12730" t="str">
            <v>QTIMU04</v>
          </cell>
          <cell r="AD12730">
            <v>35000</v>
          </cell>
        </row>
        <row r="12731">
          <cell r="W12731" t="str">
            <v>QTIMU04</v>
          </cell>
          <cell r="AD12731">
            <v>35000</v>
          </cell>
        </row>
        <row r="12732">
          <cell r="W12732" t="str">
            <v>QTIMU04</v>
          </cell>
          <cell r="AD12732">
            <v>35000</v>
          </cell>
        </row>
        <row r="12733">
          <cell r="W12733" t="str">
            <v>QTIMU04</v>
          </cell>
          <cell r="AD12733">
            <v>35000</v>
          </cell>
        </row>
        <row r="12734">
          <cell r="W12734" t="str">
            <v>QTIMU04</v>
          </cell>
          <cell r="AD12734">
            <v>35000</v>
          </cell>
        </row>
        <row r="12735">
          <cell r="W12735" t="str">
            <v>QTIMU04</v>
          </cell>
          <cell r="AD12735">
            <v>35000</v>
          </cell>
        </row>
        <row r="12736">
          <cell r="W12736" t="str">
            <v>QTIMU04</v>
          </cell>
          <cell r="AD12736">
            <v>35000</v>
          </cell>
        </row>
        <row r="12737">
          <cell r="W12737" t="str">
            <v>QTIMU04</v>
          </cell>
          <cell r="AD12737">
            <v>35000</v>
          </cell>
        </row>
        <row r="12738">
          <cell r="W12738" t="str">
            <v>QTIMU04</v>
          </cell>
          <cell r="AD12738">
            <v>35000</v>
          </cell>
        </row>
        <row r="12739">
          <cell r="W12739" t="str">
            <v>QTIMU04</v>
          </cell>
          <cell r="AD12739">
            <v>35000</v>
          </cell>
        </row>
        <row r="12740">
          <cell r="W12740" t="str">
            <v>QTIMU04</v>
          </cell>
          <cell r="AD12740">
            <v>35000</v>
          </cell>
        </row>
        <row r="12741">
          <cell r="W12741" t="str">
            <v>QTIMU04</v>
          </cell>
          <cell r="AD12741">
            <v>35000</v>
          </cell>
        </row>
        <row r="12742">
          <cell r="W12742" t="str">
            <v>ATIMU03</v>
          </cell>
          <cell r="AD12742">
            <v>36000</v>
          </cell>
        </row>
        <row r="12743">
          <cell r="W12743" t="str">
            <v>QTIMU06</v>
          </cell>
          <cell r="AD12743">
            <v>15000</v>
          </cell>
        </row>
        <row r="12744">
          <cell r="W12744" t="str">
            <v>QTIMU06</v>
          </cell>
          <cell r="AD12744">
            <v>15000</v>
          </cell>
        </row>
        <row r="12745">
          <cell r="W12745" t="str">
            <v>QTIMU06</v>
          </cell>
          <cell r="AD12745">
            <v>15000</v>
          </cell>
        </row>
        <row r="12746">
          <cell r="W12746" t="str">
            <v>QTIMU06</v>
          </cell>
          <cell r="AD12746">
            <v>15000</v>
          </cell>
        </row>
        <row r="12747">
          <cell r="W12747" t="str">
            <v>QTIMU06</v>
          </cell>
          <cell r="AD12747">
            <v>15000</v>
          </cell>
        </row>
        <row r="12748">
          <cell r="W12748" t="str">
            <v>QTIMU06</v>
          </cell>
          <cell r="AD12748">
            <v>15000</v>
          </cell>
        </row>
        <row r="12749">
          <cell r="W12749" t="str">
            <v>QTIMU06</v>
          </cell>
          <cell r="AD12749">
            <v>15500</v>
          </cell>
        </row>
        <row r="12750">
          <cell r="W12750" t="str">
            <v>QTIMU06</v>
          </cell>
          <cell r="AD12750">
            <v>15500</v>
          </cell>
        </row>
        <row r="12751">
          <cell r="W12751" t="str">
            <v>QTIMU06</v>
          </cell>
          <cell r="AD12751">
            <v>16000</v>
          </cell>
        </row>
        <row r="12752">
          <cell r="W12752" t="str">
            <v>QTIMU06</v>
          </cell>
          <cell r="AD12752">
            <v>17000</v>
          </cell>
        </row>
        <row r="12753">
          <cell r="W12753" t="str">
            <v>QTIMU06</v>
          </cell>
          <cell r="AD12753">
            <v>17000</v>
          </cell>
        </row>
        <row r="12754">
          <cell r="W12754" t="str">
            <v>QTIMU06</v>
          </cell>
          <cell r="AD12754">
            <v>17000</v>
          </cell>
        </row>
        <row r="12755">
          <cell r="W12755" t="str">
            <v>QTIMU06</v>
          </cell>
          <cell r="AD12755">
            <v>17000</v>
          </cell>
        </row>
        <row r="12756">
          <cell r="W12756" t="str">
            <v>QTIMU06</v>
          </cell>
          <cell r="AD12756">
            <v>17000</v>
          </cell>
        </row>
        <row r="12757">
          <cell r="W12757" t="str">
            <v>QTIMU06</v>
          </cell>
          <cell r="AD12757">
            <v>17000</v>
          </cell>
        </row>
        <row r="12758">
          <cell r="W12758" t="str">
            <v>QTIMU06</v>
          </cell>
          <cell r="AD12758">
            <v>17000</v>
          </cell>
        </row>
        <row r="12759">
          <cell r="W12759" t="str">
            <v>QTIMU06</v>
          </cell>
          <cell r="AD12759">
            <v>17000</v>
          </cell>
        </row>
        <row r="12760">
          <cell r="W12760" t="str">
            <v>QTIMU06</v>
          </cell>
          <cell r="AD12760">
            <v>17000</v>
          </cell>
        </row>
        <row r="12761">
          <cell r="W12761" t="str">
            <v>QTIMU06</v>
          </cell>
          <cell r="AD12761">
            <v>17000</v>
          </cell>
        </row>
        <row r="12762">
          <cell r="W12762" t="str">
            <v>QTIMU06</v>
          </cell>
          <cell r="AD12762">
            <v>17000</v>
          </cell>
        </row>
        <row r="12763">
          <cell r="W12763" t="str">
            <v>QTIMU06</v>
          </cell>
          <cell r="AD12763">
            <v>17000</v>
          </cell>
        </row>
        <row r="12764">
          <cell r="W12764" t="str">
            <v>QTIMU06</v>
          </cell>
          <cell r="AD12764">
            <v>17000</v>
          </cell>
        </row>
        <row r="12765">
          <cell r="W12765" t="str">
            <v>QTIMU06</v>
          </cell>
          <cell r="AD12765">
            <v>17000</v>
          </cell>
        </row>
        <row r="12766">
          <cell r="W12766" t="str">
            <v>QTIMU06</v>
          </cell>
          <cell r="AD12766">
            <v>17000</v>
          </cell>
        </row>
        <row r="12767">
          <cell r="W12767" t="str">
            <v>QTIMU06</v>
          </cell>
          <cell r="AD12767">
            <v>17000</v>
          </cell>
        </row>
        <row r="12768">
          <cell r="W12768" t="str">
            <v>QTIMU06</v>
          </cell>
          <cell r="AD12768">
            <v>17000</v>
          </cell>
        </row>
        <row r="12769">
          <cell r="W12769" t="str">
            <v>QTIMU06</v>
          </cell>
          <cell r="AD12769">
            <v>17000</v>
          </cell>
        </row>
        <row r="12770">
          <cell r="W12770" t="str">
            <v>QTIMU06</v>
          </cell>
          <cell r="AD12770">
            <v>17000</v>
          </cell>
        </row>
        <row r="12771">
          <cell r="W12771" t="str">
            <v>QTOMA21</v>
          </cell>
          <cell r="AD12771">
            <v>70000</v>
          </cell>
        </row>
        <row r="12772">
          <cell r="W12772" t="str">
            <v>QTOMA21</v>
          </cell>
          <cell r="AD12772">
            <v>70000</v>
          </cell>
        </row>
        <row r="12773">
          <cell r="W12773" t="str">
            <v>QTOMA21</v>
          </cell>
          <cell r="AD12773">
            <v>75000</v>
          </cell>
        </row>
        <row r="12774">
          <cell r="W12774" t="str">
            <v>QTOMA02</v>
          </cell>
          <cell r="AD12774">
            <v>16000</v>
          </cell>
        </row>
        <row r="12775">
          <cell r="W12775" t="str">
            <v>QTOMA02</v>
          </cell>
          <cell r="AD12775">
            <v>16500</v>
          </cell>
        </row>
        <row r="12776">
          <cell r="W12776" t="str">
            <v>QTOMA02</v>
          </cell>
          <cell r="AD12776">
            <v>17000</v>
          </cell>
        </row>
        <row r="12777">
          <cell r="W12777" t="str">
            <v>QTOMA02</v>
          </cell>
          <cell r="AD12777">
            <v>17000</v>
          </cell>
        </row>
        <row r="12778">
          <cell r="W12778" t="str">
            <v>QTOMA02</v>
          </cell>
          <cell r="AD12778">
            <v>17000</v>
          </cell>
        </row>
        <row r="12779">
          <cell r="W12779" t="str">
            <v>QTOMA02</v>
          </cell>
          <cell r="AD12779">
            <v>17000</v>
          </cell>
        </row>
        <row r="12780">
          <cell r="W12780" t="str">
            <v>QTOMA02</v>
          </cell>
          <cell r="AD12780">
            <v>17000</v>
          </cell>
        </row>
        <row r="12781">
          <cell r="W12781" t="str">
            <v>QTOMA02</v>
          </cell>
          <cell r="AD12781">
            <v>17000</v>
          </cell>
        </row>
        <row r="12782">
          <cell r="W12782" t="str">
            <v>QTOMA02</v>
          </cell>
          <cell r="AD12782">
            <v>17000</v>
          </cell>
        </row>
        <row r="12783">
          <cell r="W12783" t="str">
            <v>QTOMA02</v>
          </cell>
          <cell r="AD12783">
            <v>17000</v>
          </cell>
        </row>
        <row r="12784">
          <cell r="W12784" t="str">
            <v>QTOMA02</v>
          </cell>
          <cell r="AD12784">
            <v>17000</v>
          </cell>
        </row>
        <row r="12785">
          <cell r="W12785" t="str">
            <v>QTOMA02</v>
          </cell>
          <cell r="AD12785">
            <v>17500</v>
          </cell>
        </row>
        <row r="12786">
          <cell r="W12786" t="str">
            <v>QTOMA02</v>
          </cell>
          <cell r="AD12786">
            <v>17500</v>
          </cell>
        </row>
        <row r="12787">
          <cell r="W12787" t="str">
            <v>QTOPI01</v>
          </cell>
          <cell r="AD12787">
            <v>20000</v>
          </cell>
        </row>
        <row r="12788">
          <cell r="W12788" t="str">
            <v>QTOPI01</v>
          </cell>
          <cell r="AD12788">
            <v>20000</v>
          </cell>
        </row>
        <row r="12789">
          <cell r="W12789" t="str">
            <v>QTOPI01</v>
          </cell>
          <cell r="AD12789">
            <v>20000</v>
          </cell>
        </row>
        <row r="12790">
          <cell r="W12790" t="str">
            <v>QTOPI01</v>
          </cell>
          <cell r="AD12790">
            <v>20000</v>
          </cell>
        </row>
        <row r="12791">
          <cell r="W12791" t="str">
            <v>QTOPI01</v>
          </cell>
          <cell r="AD12791">
            <v>20000</v>
          </cell>
        </row>
        <row r="12792">
          <cell r="W12792" t="str">
            <v>QTOPI01</v>
          </cell>
          <cell r="AD12792">
            <v>20000</v>
          </cell>
        </row>
        <row r="12793">
          <cell r="W12793" t="str">
            <v>QTOPI01</v>
          </cell>
          <cell r="AD12793">
            <v>20000</v>
          </cell>
        </row>
        <row r="12794">
          <cell r="W12794" t="str">
            <v>QTOPI01</v>
          </cell>
          <cell r="AD12794">
            <v>20000</v>
          </cell>
        </row>
        <row r="12795">
          <cell r="W12795" t="str">
            <v>QTOPI01</v>
          </cell>
          <cell r="AD12795">
            <v>20000</v>
          </cell>
        </row>
        <row r="12796">
          <cell r="W12796" t="str">
            <v>ATOPS10</v>
          </cell>
          <cell r="AD12796">
            <v>4750</v>
          </cell>
        </row>
        <row r="12797">
          <cell r="W12797" t="str">
            <v>ATOPS10</v>
          </cell>
          <cell r="AD12797">
            <v>5000</v>
          </cell>
        </row>
        <row r="12798">
          <cell r="W12798" t="str">
            <v>ATOPS10</v>
          </cell>
          <cell r="AD12798">
            <v>5000</v>
          </cell>
        </row>
        <row r="12799">
          <cell r="W12799" t="str">
            <v>ATOPS10</v>
          </cell>
          <cell r="AD12799">
            <v>5000</v>
          </cell>
        </row>
        <row r="12800">
          <cell r="W12800" t="str">
            <v>ATOPS02</v>
          </cell>
          <cell r="AD12800">
            <v>18500</v>
          </cell>
        </row>
        <row r="12801">
          <cell r="W12801" t="str">
            <v>ATOPS02</v>
          </cell>
          <cell r="AD12801">
            <v>20000</v>
          </cell>
        </row>
        <row r="12802">
          <cell r="W12802" t="str">
            <v>ATOPS02</v>
          </cell>
          <cell r="AD12802">
            <v>20000</v>
          </cell>
        </row>
        <row r="12803">
          <cell r="W12803" t="str">
            <v>ATOPS02</v>
          </cell>
          <cell r="AD12803">
            <v>20000</v>
          </cell>
        </row>
        <row r="12804">
          <cell r="W12804" t="str">
            <v>ATOPS02</v>
          </cell>
          <cell r="AD12804">
            <v>20000</v>
          </cell>
        </row>
        <row r="12805">
          <cell r="W12805" t="str">
            <v>ATOPS02</v>
          </cell>
          <cell r="AD12805">
            <v>20000</v>
          </cell>
        </row>
        <row r="12806">
          <cell r="W12806" t="str">
            <v>ATOPS02</v>
          </cell>
          <cell r="AD12806">
            <v>20000</v>
          </cell>
        </row>
        <row r="12807">
          <cell r="W12807" t="str">
            <v>ATOPS11</v>
          </cell>
          <cell r="AD12807">
            <v>4750</v>
          </cell>
        </row>
        <row r="12808">
          <cell r="W12808" t="str">
            <v>ATOPS11</v>
          </cell>
          <cell r="AD12808">
            <v>4750</v>
          </cell>
        </row>
        <row r="12809">
          <cell r="W12809" t="str">
            <v>ATOPS11</v>
          </cell>
          <cell r="AD12809">
            <v>5000</v>
          </cell>
        </row>
        <row r="12810">
          <cell r="W12810" t="str">
            <v>ATOPS11</v>
          </cell>
          <cell r="AD12810">
            <v>5000</v>
          </cell>
        </row>
        <row r="12811">
          <cell r="W12811" t="str">
            <v>ATOPS11</v>
          </cell>
          <cell r="AD12811">
            <v>5000</v>
          </cell>
        </row>
        <row r="12812">
          <cell r="W12812" t="str">
            <v>ATOPS11</v>
          </cell>
          <cell r="AD12812">
            <v>5000</v>
          </cell>
        </row>
        <row r="12813">
          <cell r="W12813" t="str">
            <v>ATOPS11</v>
          </cell>
          <cell r="AD12813">
            <v>5000</v>
          </cell>
        </row>
        <row r="12814">
          <cell r="W12814" t="str">
            <v>ATOPS11</v>
          </cell>
          <cell r="AD12814">
            <v>5000</v>
          </cell>
        </row>
        <row r="12815">
          <cell r="W12815" t="str">
            <v>ATOPS11</v>
          </cell>
          <cell r="AD12815">
            <v>5000</v>
          </cell>
        </row>
        <row r="12816">
          <cell r="W12816" t="str">
            <v>ATOPS11</v>
          </cell>
          <cell r="AD12816">
            <v>5000</v>
          </cell>
        </row>
        <row r="12817">
          <cell r="W12817" t="str">
            <v>ATOPS04</v>
          </cell>
          <cell r="AD12817">
            <v>18500</v>
          </cell>
        </row>
        <row r="12818">
          <cell r="W12818" t="str">
            <v>ATOPS04</v>
          </cell>
          <cell r="AD12818">
            <v>18500</v>
          </cell>
        </row>
        <row r="12819">
          <cell r="W12819" t="str">
            <v>ATOPS04</v>
          </cell>
          <cell r="AD12819">
            <v>20000</v>
          </cell>
        </row>
        <row r="12820">
          <cell r="W12820" t="str">
            <v>ATOPS04</v>
          </cell>
          <cell r="AD12820">
            <v>20000</v>
          </cell>
        </row>
        <row r="12821">
          <cell r="W12821" t="str">
            <v>ATOPS04</v>
          </cell>
          <cell r="AD12821">
            <v>20000</v>
          </cell>
        </row>
        <row r="12822">
          <cell r="W12822" t="str">
            <v>ATOPS04</v>
          </cell>
          <cell r="AD12822">
            <v>20000</v>
          </cell>
        </row>
        <row r="12823">
          <cell r="W12823" t="str">
            <v>ATOPS04</v>
          </cell>
          <cell r="AD12823">
            <v>20000</v>
          </cell>
        </row>
        <row r="12824">
          <cell r="W12824" t="str">
            <v>ATOPS04</v>
          </cell>
          <cell r="AD12824">
            <v>20000</v>
          </cell>
        </row>
        <row r="12825">
          <cell r="W12825" t="str">
            <v>ATOPS04</v>
          </cell>
          <cell r="AD12825">
            <v>20000</v>
          </cell>
        </row>
        <row r="12826">
          <cell r="W12826" t="str">
            <v>ATOPS04</v>
          </cell>
          <cell r="AD12826">
            <v>20000</v>
          </cell>
        </row>
        <row r="12827">
          <cell r="W12827" t="str">
            <v>ATOPS04</v>
          </cell>
          <cell r="AD12827">
            <v>20000</v>
          </cell>
        </row>
        <row r="12828">
          <cell r="W12828" t="str">
            <v>ATOPS04</v>
          </cell>
          <cell r="AD12828">
            <v>20000</v>
          </cell>
        </row>
        <row r="12829">
          <cell r="W12829" t="str">
            <v>ATOPS04</v>
          </cell>
          <cell r="AD12829">
            <v>20000</v>
          </cell>
        </row>
        <row r="12830">
          <cell r="W12830" t="str">
            <v>ATOPS04</v>
          </cell>
          <cell r="AD12830">
            <v>20000</v>
          </cell>
        </row>
        <row r="12831">
          <cell r="W12831" t="str">
            <v>ATOPS04</v>
          </cell>
          <cell r="AD12831">
            <v>20000</v>
          </cell>
        </row>
        <row r="12832">
          <cell r="W12832" t="str">
            <v>ATOPS04</v>
          </cell>
          <cell r="AD12832">
            <v>20000</v>
          </cell>
        </row>
        <row r="12833">
          <cell r="W12833" t="str">
            <v>QTOPS01</v>
          </cell>
          <cell r="AD12833">
            <v>17000</v>
          </cell>
        </row>
        <row r="12834">
          <cell r="W12834" t="str">
            <v>QTOPS02</v>
          </cell>
          <cell r="AD12834">
            <v>79500</v>
          </cell>
        </row>
        <row r="12835">
          <cell r="W12835" t="str">
            <v>QTOPS02</v>
          </cell>
          <cell r="AD12835">
            <v>79500</v>
          </cell>
        </row>
        <row r="12836">
          <cell r="W12836" t="str">
            <v>QTOPS02</v>
          </cell>
          <cell r="AD12836">
            <v>79500</v>
          </cell>
        </row>
        <row r="12837">
          <cell r="W12837" t="str">
            <v>QTOPS02</v>
          </cell>
          <cell r="AD12837">
            <v>79500</v>
          </cell>
        </row>
        <row r="12838">
          <cell r="W12838" t="str">
            <v>QTOPS02</v>
          </cell>
          <cell r="AD12838">
            <v>79500</v>
          </cell>
        </row>
        <row r="12839">
          <cell r="W12839" t="str">
            <v>QTOPS02</v>
          </cell>
          <cell r="AD12839">
            <v>79500</v>
          </cell>
        </row>
        <row r="12840">
          <cell r="W12840" t="str">
            <v>QTOPS02</v>
          </cell>
          <cell r="AD12840">
            <v>79500</v>
          </cell>
        </row>
        <row r="12841">
          <cell r="W12841" t="str">
            <v>QTOPS02</v>
          </cell>
          <cell r="AD12841">
            <v>79500</v>
          </cell>
        </row>
        <row r="12842">
          <cell r="W12842" t="str">
            <v>QTOPS02</v>
          </cell>
          <cell r="AD12842">
            <v>79500</v>
          </cell>
        </row>
        <row r="12843">
          <cell r="W12843" t="str">
            <v>QTOPS02</v>
          </cell>
          <cell r="AD12843">
            <v>79500</v>
          </cell>
        </row>
        <row r="12844">
          <cell r="W12844" t="str">
            <v>QTOPS02</v>
          </cell>
          <cell r="AD12844">
            <v>79500</v>
          </cell>
        </row>
        <row r="12845">
          <cell r="W12845" t="str">
            <v>QTOPS02</v>
          </cell>
          <cell r="AD12845">
            <v>79500</v>
          </cell>
        </row>
        <row r="12846">
          <cell r="W12846" t="str">
            <v>QTOPS02</v>
          </cell>
          <cell r="AD12846">
            <v>79500</v>
          </cell>
        </row>
        <row r="12847">
          <cell r="W12847" t="str">
            <v>QTOPS02</v>
          </cell>
          <cell r="AD12847">
            <v>79500</v>
          </cell>
        </row>
        <row r="12848">
          <cell r="W12848" t="str">
            <v>QTOPS02</v>
          </cell>
          <cell r="AD12848">
            <v>79500</v>
          </cell>
        </row>
        <row r="12849">
          <cell r="W12849" t="str">
            <v>QTOPS02</v>
          </cell>
          <cell r="AD12849">
            <v>79500</v>
          </cell>
        </row>
        <row r="12850">
          <cell r="W12850" t="str">
            <v>QTOPS02</v>
          </cell>
          <cell r="AD12850">
            <v>79500</v>
          </cell>
        </row>
        <row r="12851">
          <cell r="W12851" t="str">
            <v>QTOPS02</v>
          </cell>
          <cell r="AD12851">
            <v>79500</v>
          </cell>
        </row>
        <row r="12852">
          <cell r="W12852" t="str">
            <v>QTOPS02</v>
          </cell>
          <cell r="AD12852">
            <v>79500</v>
          </cell>
        </row>
        <row r="12853">
          <cell r="W12853" t="str">
            <v>QTOPS02</v>
          </cell>
          <cell r="AD12853">
            <v>79500</v>
          </cell>
        </row>
        <row r="12854">
          <cell r="W12854" t="str">
            <v>QTOPS02</v>
          </cell>
          <cell r="AD12854">
            <v>79500</v>
          </cell>
        </row>
        <row r="12855">
          <cell r="W12855" t="str">
            <v>QTRIG01</v>
          </cell>
          <cell r="AD12855">
            <v>189000</v>
          </cell>
        </row>
        <row r="12856">
          <cell r="W12856" t="str">
            <v>QTRIG01</v>
          </cell>
          <cell r="AD12856">
            <v>192000</v>
          </cell>
        </row>
        <row r="12857">
          <cell r="W12857" t="str">
            <v>QTRIG01</v>
          </cell>
          <cell r="AD12857">
            <v>192000</v>
          </cell>
        </row>
        <row r="12858">
          <cell r="W12858" t="str">
            <v>QTRIG01</v>
          </cell>
          <cell r="AD12858">
            <v>192000</v>
          </cell>
        </row>
        <row r="12859">
          <cell r="W12859" t="str">
            <v>QTRIG01</v>
          </cell>
          <cell r="AD12859">
            <v>193500</v>
          </cell>
        </row>
        <row r="12860">
          <cell r="W12860" t="str">
            <v>QTRIG01</v>
          </cell>
          <cell r="AD12860">
            <v>193500</v>
          </cell>
        </row>
        <row r="12861">
          <cell r="W12861" t="str">
            <v>QTRIG01</v>
          </cell>
          <cell r="AD12861">
            <v>193500</v>
          </cell>
        </row>
        <row r="12862">
          <cell r="W12862" t="str">
            <v>QTRIG01</v>
          </cell>
          <cell r="AD12862">
            <v>193500</v>
          </cell>
        </row>
        <row r="12863">
          <cell r="W12863" t="str">
            <v>QTRIG01</v>
          </cell>
          <cell r="AD12863">
            <v>193500</v>
          </cell>
        </row>
        <row r="12864">
          <cell r="W12864" t="str">
            <v>QTRIG01</v>
          </cell>
          <cell r="AD12864">
            <v>193500</v>
          </cell>
        </row>
        <row r="12865">
          <cell r="W12865" t="str">
            <v>QTRIG01</v>
          </cell>
          <cell r="AD12865">
            <v>193500</v>
          </cell>
        </row>
        <row r="12866">
          <cell r="W12866" t="str">
            <v>QTRIG01</v>
          </cell>
          <cell r="AD12866">
            <v>193500</v>
          </cell>
        </row>
        <row r="12867">
          <cell r="W12867" t="str">
            <v>QTRIG02</v>
          </cell>
          <cell r="AD12867">
            <v>99000</v>
          </cell>
        </row>
        <row r="12868">
          <cell r="W12868" t="str">
            <v>QTRIG02</v>
          </cell>
          <cell r="AD12868">
            <v>100500</v>
          </cell>
        </row>
        <row r="12869">
          <cell r="W12869" t="str">
            <v>QTRIG02</v>
          </cell>
          <cell r="AD12869">
            <v>101000</v>
          </cell>
        </row>
        <row r="12870">
          <cell r="W12870" t="str">
            <v>QTRIG02</v>
          </cell>
          <cell r="AD12870">
            <v>101000</v>
          </cell>
        </row>
        <row r="12871">
          <cell r="W12871" t="str">
            <v>QTRIG02</v>
          </cell>
          <cell r="AD12871">
            <v>101000</v>
          </cell>
        </row>
        <row r="12872">
          <cell r="W12872" t="str">
            <v>QTRIG02</v>
          </cell>
          <cell r="AD12872">
            <v>101000</v>
          </cell>
        </row>
        <row r="12873">
          <cell r="W12873" t="str">
            <v>QTRIG02</v>
          </cell>
          <cell r="AD12873">
            <v>101000</v>
          </cell>
        </row>
        <row r="12874">
          <cell r="W12874" t="str">
            <v>QTRIG02</v>
          </cell>
          <cell r="AD12874">
            <v>101000</v>
          </cell>
        </row>
        <row r="12875">
          <cell r="W12875" t="str">
            <v>QTRIG02</v>
          </cell>
          <cell r="AD12875">
            <v>101000</v>
          </cell>
        </row>
        <row r="12876">
          <cell r="W12876" t="str">
            <v>QTRIS01</v>
          </cell>
          <cell r="AD12876">
            <v>34500</v>
          </cell>
        </row>
        <row r="12877">
          <cell r="W12877" t="str">
            <v>QTRIS01</v>
          </cell>
          <cell r="AD12877">
            <v>35000</v>
          </cell>
        </row>
        <row r="12878">
          <cell r="W12878" t="str">
            <v>QTRIS01</v>
          </cell>
          <cell r="AD12878">
            <v>35000</v>
          </cell>
        </row>
        <row r="12879">
          <cell r="W12879" t="str">
            <v>QTRIS01</v>
          </cell>
          <cell r="AD12879">
            <v>35000</v>
          </cell>
        </row>
        <row r="12880">
          <cell r="W12880" t="str">
            <v>QTRIS01</v>
          </cell>
          <cell r="AD12880">
            <v>35000</v>
          </cell>
        </row>
        <row r="12881">
          <cell r="W12881" t="str">
            <v>QTRIS01</v>
          </cell>
          <cell r="AD12881">
            <v>35000</v>
          </cell>
        </row>
        <row r="12882">
          <cell r="W12882" t="str">
            <v>QTRIS01</v>
          </cell>
          <cell r="AD12882">
            <v>35000</v>
          </cell>
        </row>
        <row r="12883">
          <cell r="W12883" t="str">
            <v>QTRIS01</v>
          </cell>
          <cell r="AD12883">
            <v>35000</v>
          </cell>
        </row>
        <row r="12884">
          <cell r="W12884" t="str">
            <v>QTRIS01</v>
          </cell>
          <cell r="AD12884">
            <v>35000</v>
          </cell>
        </row>
        <row r="12885">
          <cell r="W12885" t="str">
            <v>QTRIS01</v>
          </cell>
          <cell r="AD12885">
            <v>35000</v>
          </cell>
        </row>
        <row r="12886">
          <cell r="W12886" t="str">
            <v>QTRIS01</v>
          </cell>
          <cell r="AD12886">
            <v>35000</v>
          </cell>
        </row>
        <row r="12887">
          <cell r="W12887" t="str">
            <v>QTRIS01</v>
          </cell>
          <cell r="AD12887">
            <v>35000</v>
          </cell>
        </row>
        <row r="12888">
          <cell r="W12888" t="str">
            <v>QTRIS01</v>
          </cell>
          <cell r="AD12888">
            <v>35000</v>
          </cell>
        </row>
        <row r="12889">
          <cell r="W12889" t="str">
            <v>QTRIS01</v>
          </cell>
          <cell r="AD12889">
            <v>35000</v>
          </cell>
        </row>
        <row r="12890">
          <cell r="W12890" t="str">
            <v>QTRIS01</v>
          </cell>
          <cell r="AD12890">
            <v>35000</v>
          </cell>
        </row>
        <row r="12891">
          <cell r="W12891" t="str">
            <v>QTRIS01</v>
          </cell>
          <cell r="AD12891">
            <v>35500</v>
          </cell>
        </row>
        <row r="12892">
          <cell r="W12892" t="str">
            <v>QTRIS01</v>
          </cell>
          <cell r="AD12892">
            <v>35500</v>
          </cell>
        </row>
        <row r="12893">
          <cell r="W12893" t="str">
            <v>QTRIS01</v>
          </cell>
          <cell r="AD12893">
            <v>35500</v>
          </cell>
        </row>
        <row r="12894">
          <cell r="W12894" t="str">
            <v>QTRIS01</v>
          </cell>
          <cell r="AD12894">
            <v>35500</v>
          </cell>
        </row>
        <row r="12895">
          <cell r="W12895" t="str">
            <v>QTRIS01</v>
          </cell>
          <cell r="AD12895">
            <v>35500</v>
          </cell>
        </row>
        <row r="12896">
          <cell r="W12896" t="str">
            <v>QTRIS01</v>
          </cell>
          <cell r="AD12896">
            <v>35500</v>
          </cell>
        </row>
        <row r="12897">
          <cell r="W12897" t="str">
            <v>QTRIS01</v>
          </cell>
          <cell r="AD12897">
            <v>35500</v>
          </cell>
        </row>
        <row r="12898">
          <cell r="W12898" t="str">
            <v>QTRIS01</v>
          </cell>
          <cell r="AD12898">
            <v>35500</v>
          </cell>
        </row>
        <row r="12899">
          <cell r="W12899" t="str">
            <v>QTRIS01</v>
          </cell>
          <cell r="AD12899">
            <v>35500</v>
          </cell>
        </row>
        <row r="12900">
          <cell r="W12900" t="str">
            <v>QTRIS01</v>
          </cell>
          <cell r="AD12900">
            <v>36000</v>
          </cell>
        </row>
        <row r="12901">
          <cell r="W12901" t="str">
            <v>QTRIS01</v>
          </cell>
          <cell r="AD12901">
            <v>36000</v>
          </cell>
        </row>
        <row r="12902">
          <cell r="W12902" t="str">
            <v>QTRIS01</v>
          </cell>
          <cell r="AD12902">
            <v>36000</v>
          </cell>
        </row>
        <row r="12903">
          <cell r="W12903" t="str">
            <v>QTRIS01</v>
          </cell>
          <cell r="AD12903">
            <v>36000</v>
          </cell>
        </row>
        <row r="12904">
          <cell r="W12904" t="str">
            <v>QTRIS01</v>
          </cell>
          <cell r="AD12904">
            <v>36000</v>
          </cell>
        </row>
        <row r="12905">
          <cell r="W12905" t="str">
            <v>QTRIS01</v>
          </cell>
          <cell r="AD12905">
            <v>36000</v>
          </cell>
        </row>
        <row r="12906">
          <cell r="W12906" t="str">
            <v>ATRIS01</v>
          </cell>
          <cell r="AD12906">
            <v>40000</v>
          </cell>
        </row>
        <row r="12907">
          <cell r="W12907" t="str">
            <v>QTRIV02</v>
          </cell>
          <cell r="AD12907">
            <v>68500</v>
          </cell>
        </row>
        <row r="12908">
          <cell r="W12908" t="str">
            <v>QTRIV02</v>
          </cell>
          <cell r="AD12908">
            <v>68500</v>
          </cell>
        </row>
        <row r="12909">
          <cell r="W12909" t="str">
            <v>QTSP 03</v>
          </cell>
          <cell r="AD12909">
            <v>235000</v>
          </cell>
        </row>
        <row r="12910">
          <cell r="W12910" t="str">
            <v>QTUNT03</v>
          </cell>
          <cell r="AD12910">
            <v>45000</v>
          </cell>
        </row>
        <row r="12911">
          <cell r="W12911" t="str">
            <v>QTUNT03</v>
          </cell>
          <cell r="AD12911">
            <v>45000</v>
          </cell>
        </row>
        <row r="12912">
          <cell r="W12912" t="str">
            <v>QTUNT03</v>
          </cell>
          <cell r="AD12912">
            <v>45000</v>
          </cell>
        </row>
        <row r="12913">
          <cell r="W12913" t="str">
            <v>QTUNT03</v>
          </cell>
          <cell r="AD12913">
            <v>45000</v>
          </cell>
        </row>
        <row r="12914">
          <cell r="W12914" t="str">
            <v>QTUNT03</v>
          </cell>
          <cell r="AD12914">
            <v>45000</v>
          </cell>
        </row>
        <row r="12915">
          <cell r="W12915" t="str">
            <v>QTUNT03</v>
          </cell>
          <cell r="AD12915">
            <v>45000</v>
          </cell>
        </row>
        <row r="12916">
          <cell r="W12916" t="str">
            <v>QTUNT03</v>
          </cell>
          <cell r="AD12916">
            <v>45000</v>
          </cell>
        </row>
        <row r="12917">
          <cell r="W12917" t="str">
            <v>QTUNT03</v>
          </cell>
          <cell r="AD12917">
            <v>45000</v>
          </cell>
        </row>
        <row r="12918">
          <cell r="W12918" t="str">
            <v>QTUNT03</v>
          </cell>
          <cell r="AD12918">
            <v>45000</v>
          </cell>
        </row>
        <row r="12919">
          <cell r="W12919" t="str">
            <v>ATUNT01</v>
          </cell>
          <cell r="AD12919">
            <v>45000</v>
          </cell>
        </row>
        <row r="12920">
          <cell r="W12920" t="str">
            <v>QTUNT03</v>
          </cell>
          <cell r="AD12920">
            <v>45000</v>
          </cell>
        </row>
        <row r="12921">
          <cell r="W12921" t="str">
            <v>QTUNT03</v>
          </cell>
          <cell r="AD12921">
            <v>46000</v>
          </cell>
        </row>
        <row r="12922">
          <cell r="W12922" t="str">
            <v>QTUNT03</v>
          </cell>
          <cell r="AD12922">
            <v>46000</v>
          </cell>
        </row>
        <row r="12923">
          <cell r="W12923" t="str">
            <v>QTUNT03</v>
          </cell>
          <cell r="AD12923">
            <v>46000</v>
          </cell>
        </row>
        <row r="12924">
          <cell r="W12924" t="str">
            <v>QTUNT03</v>
          </cell>
          <cell r="AD12924">
            <v>46000</v>
          </cell>
        </row>
        <row r="12925">
          <cell r="W12925" t="str">
            <v>QTUNT03</v>
          </cell>
          <cell r="AD12925">
            <v>46000</v>
          </cell>
        </row>
        <row r="12926">
          <cell r="W12926" t="str">
            <v>QTUNT03</v>
          </cell>
          <cell r="AD12926">
            <v>46000</v>
          </cell>
        </row>
        <row r="12927">
          <cell r="W12927" t="str">
            <v>QTUNT03</v>
          </cell>
          <cell r="AD12927">
            <v>47000</v>
          </cell>
        </row>
        <row r="12928">
          <cell r="W12928" t="str">
            <v>QTUNT03</v>
          </cell>
          <cell r="AD12928">
            <v>47000</v>
          </cell>
        </row>
        <row r="12929">
          <cell r="W12929" t="str">
            <v>QTUNT03</v>
          </cell>
          <cell r="AD12929">
            <v>47000</v>
          </cell>
        </row>
        <row r="12930">
          <cell r="W12930" t="str">
            <v>QTUNT03</v>
          </cell>
          <cell r="AD12930">
            <v>47000</v>
          </cell>
        </row>
        <row r="12931">
          <cell r="W12931" t="str">
            <v>QTUNT03</v>
          </cell>
          <cell r="AD12931">
            <v>47000</v>
          </cell>
        </row>
        <row r="12932">
          <cell r="W12932" t="str">
            <v>QTUNT03</v>
          </cell>
          <cell r="AD12932">
            <v>47000</v>
          </cell>
        </row>
        <row r="12933">
          <cell r="W12933" t="str">
            <v>QTUNT03</v>
          </cell>
          <cell r="AD12933">
            <v>47000</v>
          </cell>
        </row>
        <row r="12934">
          <cell r="W12934" t="str">
            <v>QTUNT03</v>
          </cell>
          <cell r="AD12934">
            <v>47000</v>
          </cell>
        </row>
        <row r="12935">
          <cell r="W12935" t="str">
            <v>QTUNT05</v>
          </cell>
          <cell r="AD12935">
            <v>23500</v>
          </cell>
        </row>
        <row r="12936">
          <cell r="W12936" t="str">
            <v>AURAN01</v>
          </cell>
          <cell r="AD12936">
            <v>1</v>
          </cell>
        </row>
        <row r="12937">
          <cell r="W12937" t="str">
            <v>AVPRO01</v>
          </cell>
          <cell r="AD12937">
            <v>1</v>
          </cell>
        </row>
        <row r="12938">
          <cell r="W12938" t="str">
            <v>AVPRO02</v>
          </cell>
          <cell r="AD12938">
            <v>1</v>
          </cell>
        </row>
        <row r="12939">
          <cell r="W12939" t="str">
            <v>QVALE01</v>
          </cell>
          <cell r="AD12939">
            <v>54000</v>
          </cell>
        </row>
        <row r="12940">
          <cell r="W12940" t="str">
            <v>QVALE01</v>
          </cell>
          <cell r="AD12940">
            <v>54000</v>
          </cell>
        </row>
        <row r="12941">
          <cell r="W12941" t="str">
            <v>QVALE01</v>
          </cell>
          <cell r="AD12941">
            <v>54000</v>
          </cell>
        </row>
        <row r="12942">
          <cell r="W12942" t="str">
            <v>QVALE01</v>
          </cell>
          <cell r="AD12942">
            <v>54000</v>
          </cell>
        </row>
        <row r="12943">
          <cell r="W12943" t="str">
            <v>QVALE01</v>
          </cell>
          <cell r="AD12943">
            <v>54000</v>
          </cell>
        </row>
        <row r="12944">
          <cell r="W12944" t="str">
            <v>QVAYE01</v>
          </cell>
          <cell r="AD12944">
            <v>210000</v>
          </cell>
        </row>
        <row r="12945">
          <cell r="W12945" t="str">
            <v>QVAYE01</v>
          </cell>
          <cell r="AD12945">
            <v>210000</v>
          </cell>
        </row>
        <row r="12946">
          <cell r="W12946" t="str">
            <v>QVAYE01</v>
          </cell>
          <cell r="AD12946">
            <v>210000</v>
          </cell>
        </row>
        <row r="12947">
          <cell r="W12947" t="str">
            <v>QVAYE01</v>
          </cell>
          <cell r="AD12947">
            <v>210000</v>
          </cell>
        </row>
        <row r="12948">
          <cell r="W12948" t="str">
            <v>QVAYE01</v>
          </cell>
          <cell r="AD12948">
            <v>210000</v>
          </cell>
        </row>
        <row r="12949">
          <cell r="W12949" t="str">
            <v>QVAYE01</v>
          </cell>
          <cell r="AD12949">
            <v>210000</v>
          </cell>
        </row>
        <row r="12950">
          <cell r="W12950" t="str">
            <v>QVAYE01</v>
          </cell>
          <cell r="AD12950">
            <v>210000</v>
          </cell>
        </row>
        <row r="12951">
          <cell r="W12951" t="str">
            <v>QVAYE01</v>
          </cell>
          <cell r="AD12951">
            <v>210000</v>
          </cell>
        </row>
        <row r="12952">
          <cell r="W12952" t="str">
            <v>QVAYE01</v>
          </cell>
          <cell r="AD12952">
            <v>220000</v>
          </cell>
        </row>
        <row r="12953">
          <cell r="W12953" t="str">
            <v>QVAYE01</v>
          </cell>
          <cell r="AD12953">
            <v>220000</v>
          </cell>
        </row>
        <row r="12954">
          <cell r="W12954" t="str">
            <v>QVAYE01</v>
          </cell>
          <cell r="AD12954">
            <v>220000</v>
          </cell>
        </row>
        <row r="12955">
          <cell r="W12955" t="str">
            <v>QVAYE01</v>
          </cell>
          <cell r="AD12955">
            <v>220000</v>
          </cell>
        </row>
        <row r="12956">
          <cell r="W12956" t="str">
            <v>QVAYE01</v>
          </cell>
          <cell r="AD12956">
            <v>220000</v>
          </cell>
        </row>
        <row r="12957">
          <cell r="W12957" t="str">
            <v>QVAYE01</v>
          </cell>
          <cell r="AD12957">
            <v>220000</v>
          </cell>
        </row>
        <row r="12958">
          <cell r="W12958" t="str">
            <v>QVAYE01</v>
          </cell>
          <cell r="AD12958">
            <v>220000</v>
          </cell>
        </row>
        <row r="12959">
          <cell r="W12959" t="str">
            <v>QVAYE01</v>
          </cell>
          <cell r="AD12959">
            <v>220000</v>
          </cell>
        </row>
        <row r="12960">
          <cell r="W12960" t="str">
            <v>QVAYE01</v>
          </cell>
          <cell r="AD12960">
            <v>220000</v>
          </cell>
        </row>
        <row r="12961">
          <cell r="W12961" t="str">
            <v>QVAYE01</v>
          </cell>
          <cell r="AD12961">
            <v>220000</v>
          </cell>
        </row>
        <row r="12962">
          <cell r="W12962" t="str">
            <v>QVIAR01</v>
          </cell>
          <cell r="AD12962">
            <v>135000</v>
          </cell>
        </row>
        <row r="12963">
          <cell r="W12963" t="str">
            <v>QVIAR01</v>
          </cell>
          <cell r="AD12963">
            <v>135000</v>
          </cell>
        </row>
        <row r="12964">
          <cell r="W12964" t="str">
            <v>QVIAR01</v>
          </cell>
          <cell r="AD12964">
            <v>135000</v>
          </cell>
        </row>
        <row r="12965">
          <cell r="W12965" t="str">
            <v>QVIAR01</v>
          </cell>
          <cell r="AD12965">
            <v>137500</v>
          </cell>
        </row>
        <row r="12966">
          <cell r="W12966" t="str">
            <v>QVIAR01</v>
          </cell>
          <cell r="AD12966">
            <v>137500</v>
          </cell>
        </row>
        <row r="12967">
          <cell r="W12967" t="str">
            <v>QVIRT01</v>
          </cell>
          <cell r="AD12967">
            <v>19850</v>
          </cell>
        </row>
        <row r="12968">
          <cell r="W12968" t="str">
            <v>QVIRT01</v>
          </cell>
          <cell r="AD12968">
            <v>19900</v>
          </cell>
        </row>
        <row r="12969">
          <cell r="W12969" t="str">
            <v>QVIRT01</v>
          </cell>
          <cell r="AD12969">
            <v>20000</v>
          </cell>
        </row>
        <row r="12970">
          <cell r="W12970" t="str">
            <v>QVIRT01</v>
          </cell>
          <cell r="AD12970">
            <v>20000</v>
          </cell>
        </row>
        <row r="12971">
          <cell r="W12971" t="str">
            <v>QVIRT01</v>
          </cell>
          <cell r="AD12971">
            <v>20000</v>
          </cell>
        </row>
        <row r="12972">
          <cell r="W12972" t="str">
            <v>QVIRT01</v>
          </cell>
          <cell r="AD12972">
            <v>20000</v>
          </cell>
        </row>
        <row r="12973">
          <cell r="W12973" t="str">
            <v>QVIRT01</v>
          </cell>
          <cell r="AD12973">
            <v>20000</v>
          </cell>
        </row>
        <row r="12974">
          <cell r="W12974" t="str">
            <v>QVIRT01</v>
          </cell>
          <cell r="AD12974">
            <v>20000</v>
          </cell>
        </row>
        <row r="12975">
          <cell r="W12975" t="str">
            <v>QVIRT01</v>
          </cell>
          <cell r="AD12975">
            <v>20000</v>
          </cell>
        </row>
        <row r="12976">
          <cell r="W12976" t="str">
            <v>QVIRT01</v>
          </cell>
          <cell r="AD12976">
            <v>20000</v>
          </cell>
        </row>
        <row r="12977">
          <cell r="W12977" t="str">
            <v>QVIRT01</v>
          </cell>
          <cell r="AD12977">
            <v>20000</v>
          </cell>
        </row>
        <row r="12978">
          <cell r="W12978" t="str">
            <v>QVIRT01</v>
          </cell>
          <cell r="AD12978">
            <v>20000</v>
          </cell>
        </row>
        <row r="12979">
          <cell r="W12979" t="str">
            <v>QVIRT01</v>
          </cell>
          <cell r="AD12979">
            <v>20000</v>
          </cell>
        </row>
        <row r="12980">
          <cell r="W12980" t="str">
            <v>QVIRT01</v>
          </cell>
          <cell r="AD12980">
            <v>20000</v>
          </cell>
        </row>
        <row r="12981">
          <cell r="W12981" t="str">
            <v>QVIRT01</v>
          </cell>
          <cell r="AD12981">
            <v>20000</v>
          </cell>
        </row>
        <row r="12982">
          <cell r="W12982" t="str">
            <v>QVIRT01</v>
          </cell>
          <cell r="AD12982">
            <v>20000</v>
          </cell>
        </row>
        <row r="12983">
          <cell r="W12983" t="str">
            <v>QVIRT01</v>
          </cell>
          <cell r="AD12983">
            <v>20000</v>
          </cell>
        </row>
        <row r="12984">
          <cell r="W12984" t="str">
            <v>QVIRT01</v>
          </cell>
          <cell r="AD12984">
            <v>20050</v>
          </cell>
        </row>
        <row r="12985">
          <cell r="W12985" t="str">
            <v>QVIRT01</v>
          </cell>
          <cell r="AD12985">
            <v>20050</v>
          </cell>
        </row>
        <row r="12986">
          <cell r="W12986" t="str">
            <v>QVIRT01</v>
          </cell>
          <cell r="AD12986">
            <v>20050</v>
          </cell>
        </row>
        <row r="12987">
          <cell r="W12987" t="str">
            <v>QVIRT01</v>
          </cell>
          <cell r="AD12987">
            <v>20050</v>
          </cell>
        </row>
        <row r="12988">
          <cell r="W12988" t="str">
            <v>QVIRT01</v>
          </cell>
          <cell r="AD12988">
            <v>20050</v>
          </cell>
        </row>
        <row r="12989">
          <cell r="W12989" t="str">
            <v>QVIRT01</v>
          </cell>
          <cell r="AD12989">
            <v>20100</v>
          </cell>
        </row>
        <row r="12990">
          <cell r="W12990" t="str">
            <v>QVIRT01</v>
          </cell>
          <cell r="AD12990">
            <v>20250</v>
          </cell>
        </row>
        <row r="12991">
          <cell r="W12991" t="str">
            <v>QVIRT01</v>
          </cell>
          <cell r="AD12991">
            <v>20250</v>
          </cell>
        </row>
        <row r="12992">
          <cell r="W12992" t="str">
            <v>QVIRT01</v>
          </cell>
          <cell r="AD12992">
            <v>20250</v>
          </cell>
        </row>
        <row r="12993">
          <cell r="W12993" t="str">
            <v>QVIRT01</v>
          </cell>
          <cell r="AD12993">
            <v>20500</v>
          </cell>
        </row>
        <row r="12994">
          <cell r="W12994" t="str">
            <v>QVIRT01</v>
          </cell>
          <cell r="AD12994">
            <v>20500</v>
          </cell>
        </row>
        <row r="12995">
          <cell r="W12995" t="str">
            <v>QVIRT01</v>
          </cell>
          <cell r="AD12995">
            <v>20500</v>
          </cell>
        </row>
        <row r="12996">
          <cell r="W12996" t="str">
            <v>QVIRT01</v>
          </cell>
          <cell r="AD12996">
            <v>20500</v>
          </cell>
        </row>
        <row r="12997">
          <cell r="W12997" t="str">
            <v>QVIRT01</v>
          </cell>
          <cell r="AD12997">
            <v>20500</v>
          </cell>
        </row>
        <row r="12998">
          <cell r="W12998" t="str">
            <v>QVIRT01</v>
          </cell>
          <cell r="AD12998">
            <v>21000</v>
          </cell>
        </row>
        <row r="12999">
          <cell r="W12999" t="str">
            <v>QVIRT01</v>
          </cell>
          <cell r="AD12999">
            <v>21500</v>
          </cell>
        </row>
        <row r="13000">
          <cell r="W13000" t="str">
            <v>QVIRT02</v>
          </cell>
          <cell r="AD13000">
            <v>92500</v>
          </cell>
        </row>
        <row r="13001">
          <cell r="W13001" t="str">
            <v>QVIRT02</v>
          </cell>
          <cell r="AD13001">
            <v>93000</v>
          </cell>
        </row>
        <row r="13002">
          <cell r="W13002" t="str">
            <v>QVIRT02</v>
          </cell>
          <cell r="AD13002">
            <v>93750</v>
          </cell>
        </row>
        <row r="13003">
          <cell r="W13003" t="str">
            <v>QVIRT02</v>
          </cell>
          <cell r="AD13003">
            <v>93750</v>
          </cell>
        </row>
        <row r="13004">
          <cell r="W13004" t="str">
            <v>QVIRT02</v>
          </cell>
          <cell r="AD13004">
            <v>93750</v>
          </cell>
        </row>
        <row r="13005">
          <cell r="W13005" t="str">
            <v>QVIRT02</v>
          </cell>
          <cell r="AD13005">
            <v>93750</v>
          </cell>
        </row>
        <row r="13006">
          <cell r="W13006" t="str">
            <v>QVIRT02</v>
          </cell>
          <cell r="AD13006">
            <v>93750</v>
          </cell>
        </row>
        <row r="13007">
          <cell r="W13007" t="str">
            <v>QVIRT02</v>
          </cell>
          <cell r="AD13007">
            <v>93750</v>
          </cell>
        </row>
        <row r="13008">
          <cell r="W13008" t="str">
            <v>QVIRT02</v>
          </cell>
          <cell r="AD13008">
            <v>93750</v>
          </cell>
        </row>
        <row r="13009">
          <cell r="W13009" t="str">
            <v>QVIRT02</v>
          </cell>
          <cell r="AD13009">
            <v>94000</v>
          </cell>
        </row>
        <row r="13010">
          <cell r="W13010" t="str">
            <v>QVIRT02</v>
          </cell>
          <cell r="AD13010">
            <v>94000</v>
          </cell>
        </row>
        <row r="13011">
          <cell r="W13011" t="str">
            <v>QVIRT02</v>
          </cell>
          <cell r="AD13011">
            <v>94500</v>
          </cell>
        </row>
        <row r="13012">
          <cell r="W13012" t="str">
            <v>QVIRT02</v>
          </cell>
          <cell r="AD13012">
            <v>94500</v>
          </cell>
        </row>
        <row r="13013">
          <cell r="W13013" t="str">
            <v>QVIRT02</v>
          </cell>
          <cell r="AD13013">
            <v>94500</v>
          </cell>
        </row>
        <row r="13014">
          <cell r="W13014" t="str">
            <v>QVIRT02</v>
          </cell>
          <cell r="AD13014">
            <v>94500</v>
          </cell>
        </row>
        <row r="13015">
          <cell r="W13015" t="str">
            <v>QVIRT02</v>
          </cell>
          <cell r="AD13015">
            <v>94500</v>
          </cell>
        </row>
        <row r="13016">
          <cell r="W13016" t="str">
            <v>QVIRT02</v>
          </cell>
          <cell r="AD13016">
            <v>94500</v>
          </cell>
        </row>
        <row r="13017">
          <cell r="W13017" t="str">
            <v>QVIRT02</v>
          </cell>
          <cell r="AD13017">
            <v>94500</v>
          </cell>
        </row>
        <row r="13018">
          <cell r="W13018" t="str">
            <v>QVIRT02</v>
          </cell>
          <cell r="AD13018">
            <v>94500</v>
          </cell>
        </row>
        <row r="13019">
          <cell r="W13019" t="str">
            <v>QVIRT02</v>
          </cell>
          <cell r="AD13019">
            <v>94500</v>
          </cell>
        </row>
        <row r="13020">
          <cell r="W13020" t="str">
            <v>QVIRT02</v>
          </cell>
          <cell r="AD13020">
            <v>94500</v>
          </cell>
        </row>
        <row r="13021">
          <cell r="W13021" t="str">
            <v>QVIRT02</v>
          </cell>
          <cell r="AD13021">
            <v>94500</v>
          </cell>
        </row>
        <row r="13022">
          <cell r="W13022" t="str">
            <v>AVIRT02</v>
          </cell>
          <cell r="AD13022">
            <v>94500</v>
          </cell>
        </row>
        <row r="13023">
          <cell r="W13023" t="str">
            <v>QVIRT02</v>
          </cell>
          <cell r="AD13023">
            <v>94500</v>
          </cell>
        </row>
        <row r="13024">
          <cell r="W13024" t="str">
            <v>QVIRT02</v>
          </cell>
          <cell r="AD13024">
            <v>94500</v>
          </cell>
        </row>
        <row r="13025">
          <cell r="W13025" t="str">
            <v>QVIRT02</v>
          </cell>
          <cell r="AD13025">
            <v>94500</v>
          </cell>
        </row>
        <row r="13026">
          <cell r="W13026" t="str">
            <v>QVIRT02</v>
          </cell>
          <cell r="AD13026">
            <v>94500</v>
          </cell>
        </row>
        <row r="13027">
          <cell r="W13027" t="str">
            <v>QVIRT02</v>
          </cell>
          <cell r="AD13027">
            <v>95000</v>
          </cell>
        </row>
        <row r="13028">
          <cell r="W13028" t="str">
            <v>QVIRT02</v>
          </cell>
          <cell r="AD13028">
            <v>97000</v>
          </cell>
        </row>
        <row r="13029">
          <cell r="W13029" t="str">
            <v>QVIRT02</v>
          </cell>
          <cell r="AD13029">
            <v>100500</v>
          </cell>
        </row>
        <row r="13030">
          <cell r="W13030" t="str">
            <v>QVIRT03</v>
          </cell>
          <cell r="AD13030">
            <v>180000</v>
          </cell>
        </row>
        <row r="13031">
          <cell r="W13031" t="str">
            <v>QVIRT03</v>
          </cell>
          <cell r="AD13031">
            <v>181600</v>
          </cell>
        </row>
        <row r="13032">
          <cell r="W13032" t="str">
            <v>QVIRT03</v>
          </cell>
          <cell r="AD13032">
            <v>181750</v>
          </cell>
        </row>
        <row r="13033">
          <cell r="W13033" t="str">
            <v>QVIRT03</v>
          </cell>
          <cell r="AD13033">
            <v>182000</v>
          </cell>
        </row>
        <row r="13034">
          <cell r="W13034" t="str">
            <v>QVIRT03</v>
          </cell>
          <cell r="AD13034">
            <v>182000</v>
          </cell>
        </row>
        <row r="13035">
          <cell r="W13035" t="str">
            <v>QVIRT03</v>
          </cell>
          <cell r="AD13035">
            <v>182000</v>
          </cell>
        </row>
        <row r="13036">
          <cell r="W13036" t="str">
            <v>QVIRT03</v>
          </cell>
          <cell r="AD13036">
            <v>183200</v>
          </cell>
        </row>
        <row r="13037">
          <cell r="W13037" t="str">
            <v>QVIRT03</v>
          </cell>
          <cell r="AD13037">
            <v>183250</v>
          </cell>
        </row>
        <row r="13038">
          <cell r="W13038" t="str">
            <v>QVIRT03</v>
          </cell>
          <cell r="AD13038">
            <v>183250</v>
          </cell>
        </row>
        <row r="13039">
          <cell r="W13039" t="str">
            <v>QVIRT03</v>
          </cell>
          <cell r="AD13039">
            <v>183500</v>
          </cell>
        </row>
        <row r="13040">
          <cell r="W13040" t="str">
            <v>QVIRT03</v>
          </cell>
          <cell r="AD13040">
            <v>183500</v>
          </cell>
        </row>
        <row r="13041">
          <cell r="W13041" t="str">
            <v>QVIRT03</v>
          </cell>
          <cell r="AD13041">
            <v>183500</v>
          </cell>
        </row>
        <row r="13042">
          <cell r="W13042" t="str">
            <v>QVIRT03</v>
          </cell>
          <cell r="AD13042">
            <v>183500</v>
          </cell>
        </row>
        <row r="13043">
          <cell r="W13043" t="str">
            <v>QVIRT03</v>
          </cell>
          <cell r="AD13043">
            <v>183500</v>
          </cell>
        </row>
        <row r="13044">
          <cell r="W13044" t="str">
            <v>QVIRT03</v>
          </cell>
          <cell r="AD13044">
            <v>183500</v>
          </cell>
        </row>
        <row r="13045">
          <cell r="W13045" t="str">
            <v>QVIRT03</v>
          </cell>
          <cell r="AD13045">
            <v>184000</v>
          </cell>
        </row>
        <row r="13046">
          <cell r="W13046" t="str">
            <v>QVIRT03</v>
          </cell>
          <cell r="AD13046">
            <v>184000</v>
          </cell>
        </row>
        <row r="13047">
          <cell r="W13047" t="str">
            <v>QVIRT03</v>
          </cell>
          <cell r="AD13047">
            <v>184000</v>
          </cell>
        </row>
        <row r="13048">
          <cell r="W13048" t="str">
            <v>QVIRT03</v>
          </cell>
          <cell r="AD13048">
            <v>184000</v>
          </cell>
        </row>
        <row r="13049">
          <cell r="W13049" t="str">
            <v>QVIRT03</v>
          </cell>
          <cell r="AD13049">
            <v>184000</v>
          </cell>
        </row>
        <row r="13050">
          <cell r="W13050" t="str">
            <v>QVIRT03</v>
          </cell>
          <cell r="AD13050">
            <v>184000</v>
          </cell>
        </row>
        <row r="13051">
          <cell r="W13051" t="str">
            <v>QVIRT03</v>
          </cell>
          <cell r="AD13051">
            <v>184500</v>
          </cell>
        </row>
        <row r="13052">
          <cell r="W13052" t="str">
            <v>QVIRT03</v>
          </cell>
          <cell r="AD13052">
            <v>185000</v>
          </cell>
        </row>
        <row r="13053">
          <cell r="W13053" t="str">
            <v>QVIRT03</v>
          </cell>
          <cell r="AD13053">
            <v>194500</v>
          </cell>
        </row>
        <row r="13054">
          <cell r="W13054" t="str">
            <v>QVIRT03</v>
          </cell>
          <cell r="AD13054">
            <v>194500</v>
          </cell>
        </row>
        <row r="13055">
          <cell r="W13055" t="str">
            <v>QVIRT03</v>
          </cell>
          <cell r="AD13055">
            <v>194500</v>
          </cell>
        </row>
        <row r="13056">
          <cell r="W13056" t="str">
            <v>QVIRT03</v>
          </cell>
          <cell r="AD13056">
            <v>200000</v>
          </cell>
        </row>
        <row r="13057">
          <cell r="W13057" t="str">
            <v>QVIRT03</v>
          </cell>
          <cell r="AD13057">
            <v>200000</v>
          </cell>
        </row>
        <row r="13058">
          <cell r="W13058" t="str">
            <v>QVIRT03</v>
          </cell>
          <cell r="AD13058">
            <v>200000</v>
          </cell>
        </row>
        <row r="13059">
          <cell r="W13059" t="str">
            <v>AVIST01</v>
          </cell>
          <cell r="AD13059">
            <v>60000</v>
          </cell>
        </row>
        <row r="13060">
          <cell r="W13060" t="str">
            <v>QVIST01</v>
          </cell>
          <cell r="AD13060">
            <v>60000</v>
          </cell>
        </row>
        <row r="13061">
          <cell r="W13061" t="str">
            <v>QVIST01</v>
          </cell>
          <cell r="AD13061">
            <v>60000</v>
          </cell>
        </row>
        <row r="13062">
          <cell r="W13062" t="str">
            <v>QVIST01</v>
          </cell>
          <cell r="AD13062">
            <v>61000</v>
          </cell>
        </row>
        <row r="13063">
          <cell r="W13063" t="str">
            <v>QVIST01</v>
          </cell>
          <cell r="AD13063">
            <v>61000</v>
          </cell>
        </row>
        <row r="13064">
          <cell r="W13064" t="str">
            <v>QVIST01</v>
          </cell>
          <cell r="AD13064">
            <v>61000</v>
          </cell>
        </row>
        <row r="13065">
          <cell r="W13065" t="str">
            <v>QVIST01</v>
          </cell>
          <cell r="AD13065">
            <v>61000</v>
          </cell>
        </row>
        <row r="13066">
          <cell r="W13066" t="str">
            <v>QVIST02</v>
          </cell>
          <cell r="AD13066">
            <v>27500</v>
          </cell>
        </row>
        <row r="13067">
          <cell r="W13067" t="str">
            <v>QVIST02</v>
          </cell>
          <cell r="AD13067">
            <v>33000</v>
          </cell>
        </row>
        <row r="13068">
          <cell r="W13068" t="str">
            <v>QVIST02</v>
          </cell>
          <cell r="AD13068">
            <v>33000</v>
          </cell>
        </row>
        <row r="13069">
          <cell r="W13069" t="str">
            <v>QVIST02</v>
          </cell>
          <cell r="AD13069">
            <v>33000</v>
          </cell>
        </row>
        <row r="13070">
          <cell r="W13070" t="str">
            <v>QVIST03</v>
          </cell>
          <cell r="AD13070">
            <v>16000</v>
          </cell>
        </row>
        <row r="13071">
          <cell r="W13071" t="str">
            <v>QVIST03</v>
          </cell>
          <cell r="AD13071">
            <v>16000</v>
          </cell>
        </row>
        <row r="13072">
          <cell r="W13072" t="str">
            <v>QVIST03</v>
          </cell>
          <cell r="AD13072">
            <v>17000</v>
          </cell>
        </row>
        <row r="13073">
          <cell r="W13073" t="str">
            <v>QWALA02</v>
          </cell>
          <cell r="AD13073">
            <v>54000</v>
          </cell>
        </row>
        <row r="13074">
          <cell r="W13074" t="str">
            <v>QWALA02</v>
          </cell>
          <cell r="AD13074">
            <v>54000</v>
          </cell>
        </row>
        <row r="13075">
          <cell r="W13075" t="str">
            <v>QWALA02</v>
          </cell>
          <cell r="AD13075">
            <v>54000</v>
          </cell>
        </row>
        <row r="13076">
          <cell r="W13076" t="str">
            <v>QWALA02</v>
          </cell>
          <cell r="AD13076">
            <v>54000</v>
          </cell>
        </row>
        <row r="13077">
          <cell r="W13077" t="str">
            <v>QWALA02</v>
          </cell>
          <cell r="AD13077">
            <v>54000</v>
          </cell>
        </row>
        <row r="13078">
          <cell r="W13078" t="str">
            <v>QWALA02</v>
          </cell>
          <cell r="AD13078">
            <v>54000</v>
          </cell>
        </row>
        <row r="13079">
          <cell r="W13079" t="str">
            <v>QWALA02</v>
          </cell>
          <cell r="AD13079">
            <v>54000</v>
          </cell>
        </row>
        <row r="13080">
          <cell r="W13080" t="str">
            <v>QWALA02</v>
          </cell>
          <cell r="AD13080">
            <v>54000</v>
          </cell>
        </row>
        <row r="13081">
          <cell r="W13081" t="str">
            <v>QWALA02</v>
          </cell>
          <cell r="AD13081">
            <v>54000</v>
          </cell>
        </row>
        <row r="13082">
          <cell r="W13082" t="str">
            <v>QWALA02</v>
          </cell>
          <cell r="AD13082">
            <v>54000</v>
          </cell>
        </row>
        <row r="13083">
          <cell r="W13083" t="str">
            <v>QWALA02</v>
          </cell>
          <cell r="AD13083">
            <v>54000</v>
          </cell>
        </row>
        <row r="13084">
          <cell r="W13084" t="str">
            <v>QWALA02</v>
          </cell>
          <cell r="AD13084">
            <v>54000</v>
          </cell>
        </row>
        <row r="13085">
          <cell r="W13085" t="str">
            <v>QWALA02</v>
          </cell>
          <cell r="AD13085">
            <v>54000</v>
          </cell>
        </row>
        <row r="13086">
          <cell r="W13086" t="str">
            <v>QWALA02</v>
          </cell>
          <cell r="AD13086">
            <v>54000</v>
          </cell>
        </row>
        <row r="13087">
          <cell r="W13087" t="str">
            <v>QWALA02</v>
          </cell>
          <cell r="AD13087">
            <v>54000</v>
          </cell>
        </row>
        <row r="13088">
          <cell r="W13088" t="str">
            <v>QWALA02</v>
          </cell>
          <cell r="AD13088">
            <v>54000</v>
          </cell>
        </row>
        <row r="13089">
          <cell r="W13089" t="str">
            <v>QWALA02</v>
          </cell>
          <cell r="AD13089">
            <v>54000</v>
          </cell>
        </row>
        <row r="13090">
          <cell r="W13090" t="str">
            <v>QWALA02</v>
          </cell>
          <cell r="AD13090">
            <v>54000</v>
          </cell>
        </row>
        <row r="13091">
          <cell r="W13091" t="str">
            <v>QWALA02</v>
          </cell>
          <cell r="AD13091">
            <v>54000</v>
          </cell>
        </row>
        <row r="13092">
          <cell r="W13092" t="str">
            <v>QWALA02</v>
          </cell>
          <cell r="AD13092">
            <v>54000</v>
          </cell>
        </row>
        <row r="13093">
          <cell r="W13093" t="str">
            <v>QWALA02</v>
          </cell>
          <cell r="AD13093">
            <v>54000</v>
          </cell>
        </row>
        <row r="13094">
          <cell r="W13094" t="str">
            <v>QWALA02</v>
          </cell>
          <cell r="AD13094">
            <v>54000</v>
          </cell>
        </row>
        <row r="13095">
          <cell r="W13095" t="str">
            <v>AWALA01</v>
          </cell>
          <cell r="AD13095">
            <v>54000</v>
          </cell>
        </row>
        <row r="13096">
          <cell r="W13096" t="str">
            <v>QWALA02</v>
          </cell>
          <cell r="AD13096">
            <v>54000</v>
          </cell>
        </row>
        <row r="13097">
          <cell r="W13097" t="str">
            <v>QWALA02</v>
          </cell>
          <cell r="AD13097">
            <v>54000</v>
          </cell>
        </row>
        <row r="13098">
          <cell r="W13098" t="str">
            <v>QWALA03</v>
          </cell>
          <cell r="AD13098">
            <v>23500</v>
          </cell>
        </row>
        <row r="13099">
          <cell r="W13099" t="str">
            <v>QWALA03</v>
          </cell>
          <cell r="AD13099">
            <v>23500</v>
          </cell>
        </row>
        <row r="13100">
          <cell r="W13100" t="str">
            <v>QWALA03</v>
          </cell>
          <cell r="AD13100">
            <v>23500</v>
          </cell>
        </row>
        <row r="13101">
          <cell r="W13101" t="str">
            <v>QWALA03</v>
          </cell>
          <cell r="AD13101">
            <v>23500</v>
          </cell>
        </row>
        <row r="13102">
          <cell r="W13102" t="str">
            <v>QWALA03</v>
          </cell>
          <cell r="AD13102">
            <v>23500</v>
          </cell>
        </row>
        <row r="13103">
          <cell r="W13103" t="str">
            <v>QWELL01</v>
          </cell>
          <cell r="AD13103">
            <v>45000</v>
          </cell>
        </row>
        <row r="13104">
          <cell r="W13104" t="str">
            <v>QWELL01</v>
          </cell>
          <cell r="AD13104">
            <v>45000</v>
          </cell>
        </row>
        <row r="13105">
          <cell r="W13105" t="str">
            <v>QWELL01</v>
          </cell>
          <cell r="AD13105">
            <v>45000</v>
          </cell>
        </row>
        <row r="13106">
          <cell r="W13106" t="str">
            <v>QWELL01</v>
          </cell>
          <cell r="AD13106">
            <v>45000</v>
          </cell>
        </row>
        <row r="13107">
          <cell r="W13107" t="str">
            <v>QWELL01</v>
          </cell>
          <cell r="AD13107">
            <v>45000</v>
          </cell>
        </row>
        <row r="13108">
          <cell r="W13108" t="str">
            <v>QWELL01</v>
          </cell>
          <cell r="AD13108">
            <v>45000</v>
          </cell>
        </row>
        <row r="13109">
          <cell r="W13109" t="str">
            <v>QWELL01</v>
          </cell>
          <cell r="AD13109">
            <v>45000</v>
          </cell>
        </row>
        <row r="13110">
          <cell r="W13110" t="str">
            <v>QWELL01</v>
          </cell>
          <cell r="AD13110">
            <v>45000</v>
          </cell>
        </row>
        <row r="13111">
          <cell r="W13111" t="str">
            <v>QWELL01</v>
          </cell>
          <cell r="AD13111">
            <v>45000</v>
          </cell>
        </row>
        <row r="13112">
          <cell r="W13112" t="str">
            <v>QWEND01</v>
          </cell>
          <cell r="AD13112">
            <v>88000</v>
          </cell>
        </row>
        <row r="13113">
          <cell r="W13113" t="str">
            <v>QWEND01</v>
          </cell>
          <cell r="AD13113">
            <v>88000</v>
          </cell>
        </row>
        <row r="13114">
          <cell r="W13114" t="str">
            <v>QWEND01</v>
          </cell>
          <cell r="AD13114">
            <v>88000</v>
          </cell>
        </row>
        <row r="13115">
          <cell r="W13115" t="str">
            <v>QWEND01</v>
          </cell>
          <cell r="AD13115">
            <v>88000</v>
          </cell>
        </row>
        <row r="13116">
          <cell r="W13116" t="str">
            <v>QWEND01</v>
          </cell>
          <cell r="AD13116">
            <v>88000</v>
          </cell>
        </row>
        <row r="13117">
          <cell r="W13117" t="str">
            <v>QWEND01</v>
          </cell>
          <cell r="AD13117">
            <v>88000</v>
          </cell>
        </row>
        <row r="13118">
          <cell r="W13118" t="str">
            <v>QWEND01</v>
          </cell>
          <cell r="AD13118">
            <v>88000</v>
          </cell>
        </row>
        <row r="13119">
          <cell r="W13119" t="str">
            <v>QWEND01</v>
          </cell>
          <cell r="AD13119">
            <v>88000</v>
          </cell>
        </row>
        <row r="13120">
          <cell r="W13120" t="str">
            <v>QWEND01</v>
          </cell>
          <cell r="AD13120">
            <v>88000</v>
          </cell>
        </row>
        <row r="13121">
          <cell r="W13121" t="str">
            <v>QWEND01</v>
          </cell>
          <cell r="AD13121">
            <v>88000</v>
          </cell>
        </row>
        <row r="13122">
          <cell r="W13122" t="str">
            <v>QWEND01</v>
          </cell>
          <cell r="AD13122">
            <v>88000</v>
          </cell>
        </row>
        <row r="13123">
          <cell r="W13123" t="str">
            <v>QWEND01</v>
          </cell>
          <cell r="AD13123">
            <v>90000</v>
          </cell>
        </row>
        <row r="13124">
          <cell r="W13124" t="str">
            <v>QWEND01</v>
          </cell>
          <cell r="AD13124">
            <v>90000</v>
          </cell>
        </row>
        <row r="13125">
          <cell r="W13125" t="str">
            <v>QWEND01</v>
          </cell>
          <cell r="AD13125">
            <v>91000</v>
          </cell>
        </row>
        <row r="13126">
          <cell r="W13126" t="str">
            <v>QWEND01</v>
          </cell>
          <cell r="AD13126">
            <v>91000</v>
          </cell>
        </row>
        <row r="13127">
          <cell r="W13127" t="str">
            <v>QWEND01</v>
          </cell>
          <cell r="AD13127">
            <v>92500</v>
          </cell>
        </row>
        <row r="13128">
          <cell r="W13128" t="str">
            <v>QWEND01</v>
          </cell>
          <cell r="AD13128">
            <v>92500</v>
          </cell>
        </row>
        <row r="13129">
          <cell r="W13129" t="str">
            <v>QWEND01</v>
          </cell>
          <cell r="AD13129">
            <v>92500</v>
          </cell>
        </row>
        <row r="13130">
          <cell r="W13130" t="str">
            <v>QWEND01</v>
          </cell>
          <cell r="AD13130">
            <v>95000</v>
          </cell>
        </row>
        <row r="13131">
          <cell r="W13131" t="str">
            <v>QWIN01</v>
          </cell>
          <cell r="AD13131">
            <v>4500</v>
          </cell>
        </row>
        <row r="13132">
          <cell r="W13132" t="str">
            <v>QWIN01</v>
          </cell>
          <cell r="AD13132">
            <v>4500</v>
          </cell>
        </row>
        <row r="13133">
          <cell r="W13133" t="str">
            <v>QWIN01</v>
          </cell>
          <cell r="AD13133">
            <v>4500</v>
          </cell>
        </row>
        <row r="13134">
          <cell r="W13134" t="str">
            <v>QWIN01</v>
          </cell>
          <cell r="AD13134">
            <v>4500</v>
          </cell>
        </row>
        <row r="13135">
          <cell r="W13135" t="str">
            <v>QWIN01</v>
          </cell>
          <cell r="AD13135">
            <v>4500</v>
          </cell>
        </row>
        <row r="13136">
          <cell r="W13136" t="str">
            <v>QWIN01</v>
          </cell>
          <cell r="AD13136">
            <v>4500</v>
          </cell>
        </row>
        <row r="13137">
          <cell r="W13137" t="str">
            <v>QWIN01</v>
          </cell>
          <cell r="AD13137">
            <v>4500</v>
          </cell>
        </row>
        <row r="13138">
          <cell r="W13138" t="str">
            <v>QWIND03</v>
          </cell>
          <cell r="AD13138">
            <v>61000</v>
          </cell>
        </row>
        <row r="13139">
          <cell r="W13139" t="str">
            <v>QWIND03</v>
          </cell>
          <cell r="AD13139">
            <v>62000</v>
          </cell>
        </row>
        <row r="13140">
          <cell r="W13140" t="str">
            <v>QWIND03</v>
          </cell>
          <cell r="AD13140">
            <v>63000</v>
          </cell>
        </row>
        <row r="13141">
          <cell r="W13141" t="str">
            <v>QWIND03</v>
          </cell>
          <cell r="AD13141">
            <v>63000</v>
          </cell>
        </row>
        <row r="13142">
          <cell r="W13142" t="str">
            <v>QWIND05</v>
          </cell>
          <cell r="AD13142">
            <v>20000</v>
          </cell>
        </row>
        <row r="13143">
          <cell r="W13143" t="str">
            <v>QWIND05</v>
          </cell>
          <cell r="AD13143">
            <v>20000</v>
          </cell>
        </row>
        <row r="13144">
          <cell r="W13144" t="str">
            <v>QWIND05</v>
          </cell>
          <cell r="AD13144">
            <v>21000</v>
          </cell>
        </row>
        <row r="13145">
          <cell r="W13145" t="str">
            <v>QWIND05</v>
          </cell>
          <cell r="AD13145">
            <v>21000</v>
          </cell>
        </row>
        <row r="13146">
          <cell r="W13146" t="str">
            <v>QWIND05</v>
          </cell>
          <cell r="AD13146">
            <v>21000</v>
          </cell>
        </row>
        <row r="13147">
          <cell r="W13147" t="str">
            <v>QWIND05</v>
          </cell>
          <cell r="AD13147">
            <v>22000</v>
          </cell>
        </row>
        <row r="13148">
          <cell r="W13148" t="str">
            <v>QWIND05</v>
          </cell>
          <cell r="AD13148">
            <v>22000</v>
          </cell>
        </row>
        <row r="13149">
          <cell r="W13149" t="str">
            <v>QXSILL01</v>
          </cell>
          <cell r="AD13149">
            <v>86000</v>
          </cell>
        </row>
        <row r="13150">
          <cell r="W13150" t="str">
            <v>QXSILL01</v>
          </cell>
          <cell r="AD13150">
            <v>86000</v>
          </cell>
        </row>
        <row r="13151">
          <cell r="W13151" t="str">
            <v>QXSILL01</v>
          </cell>
          <cell r="AD13151">
            <v>89000</v>
          </cell>
        </row>
        <row r="13152">
          <cell r="W13152" t="str">
            <v>QX-ZO01</v>
          </cell>
          <cell r="AD13152">
            <v>36300</v>
          </cell>
        </row>
        <row r="13153">
          <cell r="W13153" t="str">
            <v>QX-ZO01</v>
          </cell>
          <cell r="AD13153">
            <v>36300</v>
          </cell>
        </row>
        <row r="13154">
          <cell r="W13154" t="str">
            <v>QX-ZO01</v>
          </cell>
          <cell r="AD13154">
            <v>37500</v>
          </cell>
        </row>
        <row r="13155">
          <cell r="W13155" t="str">
            <v>QX-ZO01</v>
          </cell>
          <cell r="AD13155">
            <v>40000</v>
          </cell>
        </row>
        <row r="13156">
          <cell r="W13156" t="str">
            <v>QYOUS01</v>
          </cell>
          <cell r="AD13156">
            <v>22500</v>
          </cell>
        </row>
        <row r="13157">
          <cell r="W13157" t="str">
            <v>QYOUS01</v>
          </cell>
          <cell r="AD13157">
            <v>22500</v>
          </cell>
        </row>
        <row r="13158">
          <cell r="W13158" t="str">
            <v>QYOUS01</v>
          </cell>
          <cell r="AD13158">
            <v>22500</v>
          </cell>
        </row>
        <row r="13159">
          <cell r="W13159" t="str">
            <v>QYOUS01</v>
          </cell>
          <cell r="AD13159">
            <v>22500</v>
          </cell>
        </row>
        <row r="13160">
          <cell r="W13160" t="str">
            <v>QYOUS01</v>
          </cell>
          <cell r="AD13160">
            <v>22500</v>
          </cell>
        </row>
        <row r="13161">
          <cell r="W13161" t="str">
            <v>QYOUS01</v>
          </cell>
          <cell r="AD13161">
            <v>22500</v>
          </cell>
        </row>
        <row r="13162">
          <cell r="W13162" t="str">
            <v>QYOUS01</v>
          </cell>
          <cell r="AD13162">
            <v>22500</v>
          </cell>
        </row>
        <row r="13163">
          <cell r="W13163" t="str">
            <v>QYOUS01</v>
          </cell>
          <cell r="AD13163">
            <v>22500</v>
          </cell>
        </row>
        <row r="13164">
          <cell r="W13164" t="str">
            <v>QYOUS01</v>
          </cell>
          <cell r="AD13164">
            <v>22500</v>
          </cell>
        </row>
        <row r="13165">
          <cell r="W13165" t="str">
            <v>QYOUS01</v>
          </cell>
          <cell r="AD13165">
            <v>22500</v>
          </cell>
        </row>
        <row r="13166">
          <cell r="W13166" t="str">
            <v>QYOUS01</v>
          </cell>
          <cell r="AD13166">
            <v>22500</v>
          </cell>
        </row>
        <row r="13167">
          <cell r="W13167" t="str">
            <v>QYOUS01</v>
          </cell>
          <cell r="AD13167">
            <v>22500</v>
          </cell>
        </row>
        <row r="13168">
          <cell r="W13168" t="str">
            <v>QZACA01</v>
          </cell>
          <cell r="AD13168">
            <v>145000</v>
          </cell>
        </row>
        <row r="13169">
          <cell r="W13169" t="str">
            <v>QZACA01</v>
          </cell>
          <cell r="AD13169">
            <v>150000</v>
          </cell>
        </row>
        <row r="13170">
          <cell r="W13170" t="str">
            <v>QZACA01</v>
          </cell>
          <cell r="AD13170">
            <v>150000</v>
          </cell>
        </row>
        <row r="13171">
          <cell r="W13171" t="str">
            <v>QZACA01</v>
          </cell>
          <cell r="AD13171">
            <v>150000</v>
          </cell>
        </row>
        <row r="13172">
          <cell r="W13172" t="str">
            <v>QZACA01</v>
          </cell>
          <cell r="AD13172">
            <v>150000</v>
          </cell>
        </row>
        <row r="13173">
          <cell r="W13173" t="str">
            <v>QZACA01</v>
          </cell>
          <cell r="AD13173">
            <v>155000</v>
          </cell>
        </row>
        <row r="13174">
          <cell r="W13174" t="str">
            <v>QZACA01</v>
          </cell>
          <cell r="AD13174">
            <v>155000</v>
          </cell>
        </row>
        <row r="13175">
          <cell r="W13175" t="str">
            <v>QZACA01</v>
          </cell>
          <cell r="AD13175">
            <v>155000</v>
          </cell>
        </row>
        <row r="13176">
          <cell r="W13176" t="str">
            <v>QZACA01</v>
          </cell>
          <cell r="AD13176">
            <v>155000</v>
          </cell>
        </row>
        <row r="13177">
          <cell r="W13177" t="str">
            <v>QZACA01</v>
          </cell>
          <cell r="AD13177">
            <v>155000</v>
          </cell>
        </row>
        <row r="13178">
          <cell r="W13178" t="str">
            <v>QZACA01</v>
          </cell>
          <cell r="AD13178">
            <v>155000</v>
          </cell>
        </row>
        <row r="13179">
          <cell r="W13179" t="str">
            <v>QZACA01</v>
          </cell>
          <cell r="AD13179">
            <v>155000</v>
          </cell>
        </row>
        <row r="13180">
          <cell r="W13180" t="str">
            <v>QZACA01</v>
          </cell>
          <cell r="AD13180">
            <v>155000</v>
          </cell>
        </row>
        <row r="13181">
          <cell r="W13181" t="str">
            <v>QZACA01</v>
          </cell>
          <cell r="AD13181">
            <v>155000</v>
          </cell>
        </row>
        <row r="13182">
          <cell r="W13182" t="str">
            <v>QZACA01</v>
          </cell>
          <cell r="AD13182">
            <v>155000</v>
          </cell>
        </row>
        <row r="13183">
          <cell r="W13183" t="str">
            <v>QZACA01</v>
          </cell>
          <cell r="AD13183">
            <v>155000</v>
          </cell>
        </row>
        <row r="13184">
          <cell r="W13184" t="str">
            <v>QZACA01</v>
          </cell>
          <cell r="AD13184">
            <v>155000</v>
          </cell>
        </row>
        <row r="13185">
          <cell r="W13185" t="str">
            <v>QZACA01</v>
          </cell>
          <cell r="AD13185">
            <v>155000</v>
          </cell>
        </row>
        <row r="13186">
          <cell r="W13186" t="str">
            <v>QZACA01</v>
          </cell>
          <cell r="AD13186">
            <v>155000</v>
          </cell>
        </row>
        <row r="13187">
          <cell r="W13187" t="str">
            <v>QZACA01</v>
          </cell>
          <cell r="AD13187">
            <v>155000</v>
          </cell>
        </row>
        <row r="13188">
          <cell r="W13188" t="str">
            <v>QZACA01</v>
          </cell>
          <cell r="AD13188">
            <v>155000</v>
          </cell>
        </row>
        <row r="13189">
          <cell r="W13189" t="str">
            <v>QZACA01</v>
          </cell>
          <cell r="AD13189">
            <v>155000</v>
          </cell>
        </row>
        <row r="13190">
          <cell r="W13190" t="str">
            <v>QZACA01</v>
          </cell>
          <cell r="AD13190">
            <v>155000</v>
          </cell>
        </row>
        <row r="13191">
          <cell r="W13191" t="str">
            <v>QZACA01</v>
          </cell>
          <cell r="AD13191">
            <v>155000</v>
          </cell>
        </row>
        <row r="13192">
          <cell r="W13192" t="str">
            <v>QZACA01</v>
          </cell>
          <cell r="AD13192">
            <v>155000</v>
          </cell>
        </row>
        <row r="13193">
          <cell r="W13193" t="str">
            <v>QZACA01</v>
          </cell>
          <cell r="AD13193">
            <v>155000</v>
          </cell>
        </row>
        <row r="13194">
          <cell r="W13194" t="str">
            <v>QZACA01</v>
          </cell>
          <cell r="AD13194">
            <v>155000</v>
          </cell>
        </row>
        <row r="13195">
          <cell r="W13195" t="str">
            <v>QZACA01</v>
          </cell>
          <cell r="AD13195">
            <v>155000</v>
          </cell>
        </row>
        <row r="13196">
          <cell r="W13196" t="str">
            <v>QZACA01</v>
          </cell>
          <cell r="AD13196">
            <v>155000</v>
          </cell>
        </row>
        <row r="13197">
          <cell r="W13197" t="str">
            <v>QZACA01</v>
          </cell>
          <cell r="AD13197">
            <v>155000</v>
          </cell>
        </row>
        <row r="13198">
          <cell r="W13198" t="str">
            <v>QZACA01</v>
          </cell>
          <cell r="AD13198">
            <v>155000</v>
          </cell>
        </row>
        <row r="13199">
          <cell r="W13199" t="str">
            <v>QZACA01</v>
          </cell>
          <cell r="AD13199">
            <v>155000</v>
          </cell>
        </row>
        <row r="13200">
          <cell r="W13200" t="str">
            <v>QZACA01</v>
          </cell>
          <cell r="AD13200">
            <v>155000</v>
          </cell>
        </row>
        <row r="13201">
          <cell r="W13201" t="str">
            <v>QZACA01</v>
          </cell>
          <cell r="AD13201">
            <v>175000</v>
          </cell>
        </row>
        <row r="13202">
          <cell r="W13202" t="str">
            <v>QZATA01</v>
          </cell>
          <cell r="AD13202">
            <v>197500</v>
          </cell>
        </row>
        <row r="13203">
          <cell r="W13203" t="str">
            <v>QZATA01</v>
          </cell>
          <cell r="AD13203">
            <v>200000</v>
          </cell>
        </row>
        <row r="13204">
          <cell r="W13204" t="str">
            <v>QZATA01</v>
          </cell>
          <cell r="AD13204">
            <v>200000</v>
          </cell>
        </row>
        <row r="13205">
          <cell r="W13205" t="str">
            <v>QZATA01</v>
          </cell>
          <cell r="AD13205">
            <v>200000</v>
          </cell>
        </row>
        <row r="13206">
          <cell r="W13206" t="str">
            <v>QZATA01</v>
          </cell>
          <cell r="AD13206">
            <v>200000</v>
          </cell>
        </row>
        <row r="13207">
          <cell r="W13207" t="str">
            <v>QZATA01</v>
          </cell>
          <cell r="AD13207">
            <v>200000</v>
          </cell>
        </row>
        <row r="13208">
          <cell r="W13208" t="str">
            <v>QZATA01</v>
          </cell>
          <cell r="AD13208">
            <v>200000</v>
          </cell>
        </row>
        <row r="13209">
          <cell r="W13209" t="str">
            <v>QZATA01</v>
          </cell>
          <cell r="AD13209">
            <v>205000</v>
          </cell>
        </row>
        <row r="13210">
          <cell r="W13210" t="str">
            <v>QZATA01</v>
          </cell>
          <cell r="AD13210">
            <v>210000</v>
          </cell>
        </row>
        <row r="13211">
          <cell r="W13211" t="str">
            <v>QZATA01</v>
          </cell>
          <cell r="AD13211">
            <v>210000</v>
          </cell>
        </row>
        <row r="13212">
          <cell r="W13212" t="str">
            <v>QZATA01</v>
          </cell>
          <cell r="AD13212">
            <v>210000</v>
          </cell>
        </row>
        <row r="13213">
          <cell r="W13213" t="str">
            <v>QZATA01</v>
          </cell>
          <cell r="AD13213">
            <v>210000</v>
          </cell>
        </row>
        <row r="13214">
          <cell r="W13214" t="str">
            <v>QZATA01</v>
          </cell>
          <cell r="AD13214">
            <v>212500</v>
          </cell>
        </row>
        <row r="13215">
          <cell r="W13215" t="str">
            <v>QZATA01</v>
          </cell>
          <cell r="AD13215">
            <v>212500</v>
          </cell>
        </row>
        <row r="13216">
          <cell r="W13216" t="str">
            <v>QZATA01</v>
          </cell>
          <cell r="AD13216">
            <v>212500</v>
          </cell>
        </row>
        <row r="13217">
          <cell r="W13217" t="str">
            <v>QZATA01</v>
          </cell>
          <cell r="AD13217">
            <v>212500</v>
          </cell>
        </row>
        <row r="13218">
          <cell r="W13218" t="str">
            <v>QZATA01</v>
          </cell>
          <cell r="AD13218">
            <v>212500</v>
          </cell>
        </row>
        <row r="13219">
          <cell r="W13219" t="str">
            <v>QZATA01</v>
          </cell>
          <cell r="AD13219">
            <v>212500</v>
          </cell>
        </row>
        <row r="13220">
          <cell r="W13220" t="str">
            <v>QZATA01</v>
          </cell>
          <cell r="AD13220">
            <v>212500</v>
          </cell>
        </row>
        <row r="13221">
          <cell r="W13221" t="str">
            <v>QZATA01</v>
          </cell>
          <cell r="AD13221">
            <v>212500</v>
          </cell>
        </row>
        <row r="13222">
          <cell r="W13222" t="str">
            <v>QZATA01</v>
          </cell>
          <cell r="AD13222">
            <v>212500</v>
          </cell>
        </row>
        <row r="13223">
          <cell r="W13223" t="str">
            <v>QZATA01</v>
          </cell>
          <cell r="AD13223">
            <v>212500</v>
          </cell>
        </row>
        <row r="13224">
          <cell r="W13224" t="str">
            <v>QZATA01</v>
          </cell>
          <cell r="AD13224">
            <v>225000</v>
          </cell>
        </row>
        <row r="13225">
          <cell r="W13225" t="str">
            <v>QZATA01</v>
          </cell>
          <cell r="AD13225">
            <v>225000</v>
          </cell>
        </row>
        <row r="13226">
          <cell r="W13226" t="str">
            <v>QZATA01</v>
          </cell>
          <cell r="AD13226">
            <v>225000</v>
          </cell>
        </row>
        <row r="13227">
          <cell r="W13227" t="str">
            <v>QZATA01</v>
          </cell>
          <cell r="AD13227">
            <v>225000</v>
          </cell>
        </row>
        <row r="13228">
          <cell r="W13228" t="str">
            <v>QZATA01</v>
          </cell>
          <cell r="AD13228">
            <v>225000</v>
          </cell>
        </row>
        <row r="13229">
          <cell r="W13229" t="str">
            <v>QZATA01</v>
          </cell>
          <cell r="AD13229">
            <v>225000</v>
          </cell>
        </row>
        <row r="13230">
          <cell r="W13230" t="str">
            <v>QZATA01</v>
          </cell>
          <cell r="AD13230">
            <v>225000</v>
          </cell>
        </row>
        <row r="13231">
          <cell r="W13231" t="str">
            <v>QZATA01</v>
          </cell>
          <cell r="AD13231">
            <v>225000</v>
          </cell>
        </row>
        <row r="13232">
          <cell r="W13232" t="str">
            <v>QZEPH01</v>
          </cell>
          <cell r="AD13232">
            <v>42500</v>
          </cell>
        </row>
        <row r="13233">
          <cell r="W13233" t="str">
            <v>QZEPH01</v>
          </cell>
          <cell r="AD13233">
            <v>42500</v>
          </cell>
        </row>
        <row r="13234">
          <cell r="W13234" t="str">
            <v>QZEPH01</v>
          </cell>
          <cell r="AD13234">
            <v>43000</v>
          </cell>
        </row>
        <row r="13235">
          <cell r="W13235" t="str">
            <v>QZEPH01</v>
          </cell>
          <cell r="AD13235">
            <v>45000</v>
          </cell>
        </row>
        <row r="13236">
          <cell r="W13236" t="str">
            <v>QZEPH01</v>
          </cell>
          <cell r="AD13236">
            <v>45000</v>
          </cell>
        </row>
        <row r="13237">
          <cell r="W13237" t="str">
            <v>QZEPH01</v>
          </cell>
          <cell r="AD13237">
            <v>45000</v>
          </cell>
        </row>
        <row r="13238">
          <cell r="W13238" t="str">
            <v>QZEPH01</v>
          </cell>
          <cell r="AD13238">
            <v>45000</v>
          </cell>
        </row>
        <row r="13239">
          <cell r="W13239" t="str">
            <v>QZEPH01</v>
          </cell>
          <cell r="AD13239">
            <v>45000</v>
          </cell>
        </row>
        <row r="13240">
          <cell r="W13240" t="str">
            <v>QZEPH01</v>
          </cell>
          <cell r="AD13240">
            <v>45000</v>
          </cell>
        </row>
        <row r="13241">
          <cell r="W13241" t="str">
            <v>QZEPH01</v>
          </cell>
          <cell r="AD13241">
            <v>45000</v>
          </cell>
        </row>
        <row r="13242">
          <cell r="W13242" t="str">
            <v>QZEPH01</v>
          </cell>
          <cell r="AD13242">
            <v>45650</v>
          </cell>
        </row>
        <row r="13243">
          <cell r="W13243" t="str">
            <v>QZEPH01</v>
          </cell>
          <cell r="AD13243">
            <v>45650</v>
          </cell>
        </row>
        <row r="13244">
          <cell r="W13244" t="str">
            <v>QZEPH01</v>
          </cell>
          <cell r="AD13244">
            <v>47500</v>
          </cell>
        </row>
        <row r="13245">
          <cell r="W13245" t="str">
            <v>QZINC01</v>
          </cell>
          <cell r="AD13245">
            <v>4750</v>
          </cell>
        </row>
        <row r="13246">
          <cell r="W13246" t="str">
            <v>QZINC01</v>
          </cell>
          <cell r="AD13246">
            <v>5000</v>
          </cell>
        </row>
        <row r="13247">
          <cell r="W13247" t="str">
            <v>QZINC01</v>
          </cell>
          <cell r="AD13247">
            <v>5000</v>
          </cell>
        </row>
        <row r="13248">
          <cell r="W13248" t="str">
            <v>QZINC01</v>
          </cell>
          <cell r="AD13248">
            <v>5000</v>
          </cell>
        </row>
        <row r="13249">
          <cell r="W13249" t="str">
            <v>QZINC01</v>
          </cell>
          <cell r="AD13249">
            <v>5000</v>
          </cell>
        </row>
        <row r="13250">
          <cell r="W13250" t="str">
            <v>QZINC01</v>
          </cell>
          <cell r="AD13250">
            <v>5000</v>
          </cell>
        </row>
        <row r="13251">
          <cell r="W13251" t="str">
            <v>QZINC01</v>
          </cell>
          <cell r="AD13251">
            <v>5000</v>
          </cell>
        </row>
        <row r="13252">
          <cell r="W13252" t="str">
            <v>QZINC01</v>
          </cell>
          <cell r="AD13252">
            <v>5000</v>
          </cell>
        </row>
        <row r="13253">
          <cell r="W13253" t="str">
            <v>QZINC01</v>
          </cell>
          <cell r="AD13253">
            <v>5000</v>
          </cell>
        </row>
        <row r="13254">
          <cell r="W13254" t="str">
            <v>QZINC01</v>
          </cell>
          <cell r="AD13254">
            <v>5000</v>
          </cell>
        </row>
        <row r="13255">
          <cell r="W13255" t="str">
            <v>QZINC01</v>
          </cell>
          <cell r="AD13255">
            <v>5000</v>
          </cell>
        </row>
        <row r="13256">
          <cell r="W13256" t="str">
            <v>QZINC01</v>
          </cell>
          <cell r="AD13256">
            <v>5000</v>
          </cell>
        </row>
        <row r="13257">
          <cell r="W13257" t="str">
            <v>AZINC01</v>
          </cell>
          <cell r="AD13257">
            <v>5000</v>
          </cell>
        </row>
        <row r="13258">
          <cell r="W13258" t="str">
            <v>QZINC01</v>
          </cell>
          <cell r="AD13258">
            <v>5000</v>
          </cell>
        </row>
        <row r="13259">
          <cell r="W13259" t="str">
            <v>QZINC01</v>
          </cell>
          <cell r="AD13259">
            <v>5000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 tint="-0.249977111117893"/>
  </sheetPr>
  <dimension ref="A1:AF76"/>
  <sheetViews>
    <sheetView workbookViewId="0">
      <pane xSplit="2" ySplit="4" topLeftCell="C39" activePane="bottomRight" state="frozen"/>
      <selection activeCell="E43" sqref="E43"/>
      <selection pane="topRight" activeCell="E43" sqref="E43"/>
      <selection pane="bottomLeft" activeCell="E43" sqref="E43"/>
      <selection pane="bottomRight" activeCell="E43" sqref="E43"/>
    </sheetView>
  </sheetViews>
  <sheetFormatPr defaultColWidth="20.7109375" defaultRowHeight="15"/>
  <cols>
    <col min="1" max="1" width="4.28515625" customWidth="1"/>
    <col min="2" max="6" width="10.7109375" customWidth="1"/>
    <col min="7" max="7" width="13.85546875" customWidth="1"/>
    <col min="8" max="8" width="40.140625" style="84" customWidth="1"/>
    <col min="9" max="9" width="12.85546875" customWidth="1"/>
    <col min="10" max="10" width="21.85546875" customWidth="1"/>
    <col min="11" max="11" width="37" customWidth="1"/>
    <col min="12" max="12" width="21" customWidth="1"/>
    <col min="13" max="13" width="19.42578125" customWidth="1"/>
    <col min="14" max="15" width="10.7109375" customWidth="1"/>
    <col min="16" max="16" width="20.7109375" hidden="1" customWidth="1"/>
    <col min="17" max="33" width="20.7109375" customWidth="1"/>
  </cols>
  <sheetData>
    <row r="1" spans="1:13" ht="19.5">
      <c r="A1" s="37"/>
      <c r="B1" s="130" t="s">
        <v>113</v>
      </c>
      <c r="C1" s="37"/>
      <c r="D1" s="37"/>
      <c r="E1" s="37"/>
      <c r="F1" s="37"/>
      <c r="G1" s="37"/>
      <c r="H1" s="131"/>
      <c r="I1" s="37"/>
    </row>
    <row r="2" spans="1:13" ht="17.25">
      <c r="A2" s="37"/>
      <c r="B2" s="132" t="s">
        <v>498</v>
      </c>
      <c r="C2" s="37"/>
      <c r="D2" s="37"/>
      <c r="E2" s="37"/>
      <c r="F2" s="37"/>
      <c r="G2" s="37"/>
      <c r="H2" s="131"/>
      <c r="I2" s="37"/>
    </row>
    <row r="3" spans="1:13">
      <c r="A3" s="37"/>
      <c r="B3" s="37"/>
      <c r="C3" s="37"/>
      <c r="D3" s="37"/>
      <c r="E3" s="37"/>
      <c r="F3" s="37"/>
      <c r="G3" s="37"/>
      <c r="H3" s="131"/>
      <c r="I3" s="37"/>
    </row>
    <row r="4" spans="1:13" ht="25.5" customHeight="1">
      <c r="A4" s="69" t="s">
        <v>60</v>
      </c>
      <c r="B4" s="70" t="s">
        <v>40</v>
      </c>
      <c r="C4" s="70" t="s">
        <v>41</v>
      </c>
      <c r="D4" s="70" t="s">
        <v>42</v>
      </c>
      <c r="E4" s="70" t="s">
        <v>13</v>
      </c>
      <c r="F4" s="70" t="s">
        <v>132</v>
      </c>
      <c r="G4" s="69" t="s">
        <v>43</v>
      </c>
      <c r="H4" s="70" t="s">
        <v>189</v>
      </c>
      <c r="I4" s="82" t="s">
        <v>78</v>
      </c>
      <c r="J4" s="69" t="s">
        <v>44</v>
      </c>
      <c r="K4" s="69" t="s">
        <v>91</v>
      </c>
      <c r="L4" s="186" t="s">
        <v>92</v>
      </c>
      <c r="M4" s="189"/>
    </row>
    <row r="5" spans="1:13" s="81" customFormat="1" ht="37.5" hidden="1" customHeight="1">
      <c r="A5" s="88">
        <v>1</v>
      </c>
      <c r="B5" s="183">
        <v>44937</v>
      </c>
      <c r="C5" s="183">
        <v>44937</v>
      </c>
      <c r="D5" s="178" t="s">
        <v>156</v>
      </c>
      <c r="E5" s="178" t="s">
        <v>49</v>
      </c>
      <c r="F5" s="178" t="s">
        <v>4</v>
      </c>
      <c r="G5" s="184" t="s">
        <v>157</v>
      </c>
      <c r="H5" s="184" t="s">
        <v>158</v>
      </c>
      <c r="I5" s="185">
        <v>6875000</v>
      </c>
      <c r="J5" s="182" t="s">
        <v>159</v>
      </c>
      <c r="K5" s="149"/>
      <c r="L5" s="187"/>
      <c r="M5" s="190"/>
    </row>
    <row r="6" spans="1:13" s="81" customFormat="1" hidden="1">
      <c r="A6" s="88">
        <v>2</v>
      </c>
      <c r="B6" s="89">
        <v>44938</v>
      </c>
      <c r="C6" s="89">
        <v>44938</v>
      </c>
      <c r="D6" s="90" t="s">
        <v>162</v>
      </c>
      <c r="E6" s="90" t="s">
        <v>8</v>
      </c>
      <c r="F6" s="90" t="s">
        <v>6</v>
      </c>
      <c r="G6" s="73" t="s">
        <v>163</v>
      </c>
      <c r="H6" s="73" t="s">
        <v>164</v>
      </c>
      <c r="I6" s="74">
        <v>5347000</v>
      </c>
      <c r="J6" s="91" t="s">
        <v>165</v>
      </c>
      <c r="K6" s="80"/>
      <c r="L6" s="188"/>
      <c r="M6" s="191"/>
    </row>
    <row r="7" spans="1:13" s="81" customFormat="1" ht="97.5" hidden="1" customHeight="1">
      <c r="A7" s="205">
        <v>1</v>
      </c>
      <c r="B7" s="206">
        <v>44943</v>
      </c>
      <c r="C7" s="206">
        <v>44943</v>
      </c>
      <c r="D7" s="207" t="s">
        <v>166</v>
      </c>
      <c r="E7" s="208" t="s">
        <v>7</v>
      </c>
      <c r="F7" s="208" t="s">
        <v>5</v>
      </c>
      <c r="G7" s="209" t="s">
        <v>167</v>
      </c>
      <c r="H7" s="209" t="s">
        <v>168</v>
      </c>
      <c r="I7" s="210">
        <v>10080000</v>
      </c>
      <c r="J7" s="209" t="s">
        <v>131</v>
      </c>
      <c r="K7" s="211" t="s">
        <v>187</v>
      </c>
      <c r="L7" s="212" t="s">
        <v>188</v>
      </c>
      <c r="M7" s="192"/>
    </row>
    <row r="8" spans="1:13" s="81" customFormat="1" ht="48" hidden="1">
      <c r="A8" s="88">
        <v>3</v>
      </c>
      <c r="B8" s="89">
        <v>44950</v>
      </c>
      <c r="C8" s="89">
        <v>44949</v>
      </c>
      <c r="D8" s="90" t="s">
        <v>191</v>
      </c>
      <c r="E8" s="90" t="s">
        <v>10</v>
      </c>
      <c r="F8" s="90" t="s">
        <v>3</v>
      </c>
      <c r="G8" s="91" t="s">
        <v>153</v>
      </c>
      <c r="H8" s="91" t="s">
        <v>193</v>
      </c>
      <c r="I8" s="152">
        <v>8740000</v>
      </c>
      <c r="J8" s="91" t="s">
        <v>195</v>
      </c>
      <c r="K8" s="154" t="s">
        <v>197</v>
      </c>
      <c r="L8" s="155" t="s">
        <v>199</v>
      </c>
      <c r="M8" s="153"/>
    </row>
    <row r="9" spans="1:13" s="81" customFormat="1" ht="48" hidden="1">
      <c r="A9" s="88">
        <v>4</v>
      </c>
      <c r="B9" s="89">
        <v>44950</v>
      </c>
      <c r="C9" s="89">
        <v>44950</v>
      </c>
      <c r="D9" s="90" t="s">
        <v>192</v>
      </c>
      <c r="E9" s="90" t="s">
        <v>11</v>
      </c>
      <c r="F9" s="90" t="s">
        <v>4</v>
      </c>
      <c r="G9" s="91" t="s">
        <v>130</v>
      </c>
      <c r="H9" s="91" t="s">
        <v>194</v>
      </c>
      <c r="I9" s="152">
        <v>92300000</v>
      </c>
      <c r="J9" s="91" t="s">
        <v>196</v>
      </c>
      <c r="K9" s="154" t="s">
        <v>198</v>
      </c>
      <c r="L9" s="155" t="s">
        <v>200</v>
      </c>
      <c r="M9" s="153"/>
    </row>
    <row r="10" spans="1:13" s="81" customFormat="1" hidden="1">
      <c r="A10" s="88">
        <v>5</v>
      </c>
      <c r="B10" s="89">
        <v>44952</v>
      </c>
      <c r="C10" s="89">
        <v>44952</v>
      </c>
      <c r="D10" s="90" t="s">
        <v>201</v>
      </c>
      <c r="E10" s="90" t="s">
        <v>7</v>
      </c>
      <c r="F10" s="90" t="s">
        <v>5</v>
      </c>
      <c r="G10" s="91" t="s">
        <v>202</v>
      </c>
      <c r="H10" s="91" t="s">
        <v>203</v>
      </c>
      <c r="I10" s="152">
        <v>2770000</v>
      </c>
      <c r="J10" s="202" t="s">
        <v>204</v>
      </c>
      <c r="K10" s="156" t="s">
        <v>206</v>
      </c>
      <c r="L10" s="157" t="s">
        <v>205</v>
      </c>
      <c r="M10" s="153"/>
    </row>
    <row r="11" spans="1:13" s="81" customFormat="1" ht="29.25" hidden="1" customHeight="1">
      <c r="A11" s="88">
        <v>6</v>
      </c>
      <c r="B11" s="226">
        <v>44954</v>
      </c>
      <c r="C11" s="227">
        <v>44954</v>
      </c>
      <c r="D11" s="228" t="s">
        <v>246</v>
      </c>
      <c r="E11" s="228" t="s">
        <v>3</v>
      </c>
      <c r="F11" s="228" t="s">
        <v>10</v>
      </c>
      <c r="G11" s="229" t="s">
        <v>247</v>
      </c>
      <c r="H11" s="228" t="s">
        <v>248</v>
      </c>
      <c r="I11" s="230">
        <v>1350000</v>
      </c>
      <c r="J11" s="228" t="s">
        <v>249</v>
      </c>
      <c r="K11" s="123" t="s">
        <v>249</v>
      </c>
      <c r="L11" s="225"/>
      <c r="M11" s="153"/>
    </row>
    <row r="12" spans="1:13" s="81" customFormat="1" ht="72.75" hidden="1" customHeight="1">
      <c r="A12" s="85">
        <v>1</v>
      </c>
      <c r="B12" s="232">
        <v>44965</v>
      </c>
      <c r="C12" s="76">
        <v>44965</v>
      </c>
      <c r="D12" s="73" t="s">
        <v>272</v>
      </c>
      <c r="E12" s="231" t="s">
        <v>49</v>
      </c>
      <c r="F12" s="73" t="s">
        <v>6</v>
      </c>
      <c r="G12" s="231" t="s">
        <v>273</v>
      </c>
      <c r="H12" s="98" t="s">
        <v>274</v>
      </c>
      <c r="I12" s="74">
        <v>820000</v>
      </c>
      <c r="J12" s="182" t="s">
        <v>275</v>
      </c>
      <c r="K12" s="149" t="s">
        <v>276</v>
      </c>
      <c r="L12" s="133"/>
      <c r="M12" s="153"/>
    </row>
    <row r="13" spans="1:13" s="81" customFormat="1" ht="63.75" hidden="1" customHeight="1">
      <c r="A13" s="88">
        <v>2</v>
      </c>
      <c r="B13" s="232">
        <v>44965</v>
      </c>
      <c r="C13" s="76">
        <v>44965</v>
      </c>
      <c r="D13" s="73" t="s">
        <v>277</v>
      </c>
      <c r="E13" s="231" t="s">
        <v>9</v>
      </c>
      <c r="F13" s="73" t="s">
        <v>6</v>
      </c>
      <c r="G13" s="231" t="s">
        <v>278</v>
      </c>
      <c r="H13" s="98" t="s">
        <v>279</v>
      </c>
      <c r="I13" s="74">
        <v>4120000</v>
      </c>
      <c r="J13" s="182" t="s">
        <v>275</v>
      </c>
      <c r="K13" s="182" t="s">
        <v>280</v>
      </c>
      <c r="L13" s="133"/>
      <c r="M13" s="153"/>
    </row>
    <row r="14" spans="1:13" s="81" customFormat="1" ht="45.75" hidden="1" customHeight="1">
      <c r="A14" s="88">
        <v>3</v>
      </c>
      <c r="B14" s="89">
        <v>44977</v>
      </c>
      <c r="C14" s="89">
        <v>44977</v>
      </c>
      <c r="D14" s="90" t="s">
        <v>327</v>
      </c>
      <c r="E14" s="182" t="s">
        <v>10</v>
      </c>
      <c r="F14" s="182" t="s">
        <v>3</v>
      </c>
      <c r="G14" s="91" t="s">
        <v>372</v>
      </c>
      <c r="H14" s="182" t="s">
        <v>373</v>
      </c>
      <c r="I14" s="152">
        <v>2280000</v>
      </c>
      <c r="J14" s="182" t="s">
        <v>401</v>
      </c>
      <c r="K14" s="182" t="s">
        <v>426</v>
      </c>
      <c r="L14" s="133"/>
      <c r="M14" s="153"/>
    </row>
    <row r="15" spans="1:13" s="260" customFormat="1" ht="24.75" customHeight="1">
      <c r="A15" s="85">
        <v>1</v>
      </c>
      <c r="B15" s="72">
        <v>45002</v>
      </c>
      <c r="C15" s="72">
        <v>45000</v>
      </c>
      <c r="D15" s="73" t="s">
        <v>508</v>
      </c>
      <c r="E15" s="86" t="s">
        <v>9</v>
      </c>
      <c r="F15" s="86" t="s">
        <v>4</v>
      </c>
      <c r="G15" s="80" t="s">
        <v>513</v>
      </c>
      <c r="H15" s="80" t="s">
        <v>525</v>
      </c>
      <c r="I15" s="83">
        <v>28721550</v>
      </c>
      <c r="J15" s="149" t="s">
        <v>534</v>
      </c>
      <c r="K15" s="149" t="s">
        <v>537</v>
      </c>
      <c r="L15" s="133"/>
      <c r="M15" s="153"/>
    </row>
    <row r="16" spans="1:13" s="81" customFormat="1" ht="12" customHeight="1">
      <c r="A16" s="85"/>
      <c r="B16" s="87"/>
      <c r="C16" s="87"/>
      <c r="D16" s="86"/>
      <c r="E16" s="86"/>
      <c r="F16" s="85"/>
      <c r="G16" s="80"/>
      <c r="H16" s="80"/>
      <c r="I16" s="83"/>
      <c r="J16" s="80"/>
      <c r="K16" s="112"/>
      <c r="L16" s="133"/>
      <c r="M16" s="153"/>
    </row>
    <row r="17" spans="1:14" s="81" customFormat="1" ht="12" customHeight="1">
      <c r="A17" s="85"/>
      <c r="B17" s="87"/>
      <c r="C17" s="87"/>
      <c r="D17" s="86"/>
      <c r="E17" s="86"/>
      <c r="F17" s="85"/>
      <c r="G17" s="80"/>
      <c r="H17" s="80"/>
      <c r="I17" s="83"/>
      <c r="J17" s="80"/>
      <c r="K17" s="115"/>
      <c r="L17" s="133"/>
      <c r="M17" s="153"/>
    </row>
    <row r="18" spans="1:14" s="134" customFormat="1" ht="12" customHeight="1">
      <c r="A18" s="85"/>
      <c r="B18" s="87"/>
      <c r="C18" s="87"/>
      <c r="D18" s="86"/>
      <c r="E18" s="86"/>
      <c r="F18" s="85"/>
      <c r="G18" s="80"/>
      <c r="H18" s="83"/>
      <c r="I18" s="83"/>
      <c r="J18" s="80"/>
      <c r="K18" s="112"/>
      <c r="L18" s="103"/>
      <c r="M18" s="153"/>
    </row>
    <row r="19" spans="1:14" s="134" customFormat="1" ht="13.5" customHeight="1">
      <c r="A19" s="85"/>
      <c r="B19" s="87"/>
      <c r="C19" s="87"/>
      <c r="D19" s="87"/>
      <c r="E19" s="86"/>
      <c r="F19" s="85"/>
      <c r="G19" s="80"/>
      <c r="H19" s="83"/>
      <c r="I19" s="83"/>
      <c r="J19" s="80"/>
      <c r="K19" s="135"/>
      <c r="L19" s="103"/>
      <c r="M19" s="158"/>
    </row>
    <row r="20" spans="1:14" s="81" customFormat="1">
      <c r="A20" s="85"/>
      <c r="B20" s="87"/>
      <c r="C20" s="87"/>
      <c r="D20" s="86"/>
      <c r="E20" s="86"/>
      <c r="F20" s="85"/>
      <c r="G20" s="80"/>
      <c r="H20" s="83"/>
      <c r="I20" s="83"/>
      <c r="J20" s="80"/>
      <c r="K20" s="107"/>
      <c r="L20" s="107"/>
      <c r="M20" s="107"/>
    </row>
    <row r="21" spans="1:14" s="140" customFormat="1">
      <c r="A21" s="142"/>
      <c r="B21" s="143"/>
      <c r="C21" s="143"/>
      <c r="D21" s="144"/>
      <c r="E21" s="144"/>
      <c r="F21" s="142"/>
      <c r="G21" s="145"/>
      <c r="H21" s="146"/>
      <c r="I21" s="146"/>
      <c r="J21" s="145"/>
      <c r="K21" s="107"/>
      <c r="L21" s="148"/>
      <c r="M21" s="148"/>
      <c r="N21" s="159"/>
    </row>
    <row r="22" spans="1:14" s="140" customFormat="1">
      <c r="A22" s="142"/>
      <c r="B22" s="143"/>
      <c r="C22" s="143"/>
      <c r="D22" s="144"/>
      <c r="E22" s="144"/>
      <c r="F22" s="142"/>
      <c r="G22" s="145"/>
      <c r="H22" s="146"/>
      <c r="I22" s="146"/>
      <c r="J22" s="145"/>
      <c r="K22" s="107"/>
      <c r="L22" s="148"/>
      <c r="M22" s="148"/>
      <c r="N22" s="159"/>
    </row>
    <row r="23" spans="1:14" s="141" customFormat="1" ht="12">
      <c r="A23" s="142"/>
      <c r="B23" s="143"/>
      <c r="C23" s="143"/>
      <c r="D23" s="144"/>
      <c r="E23" s="144"/>
      <c r="F23" s="142"/>
      <c r="G23" s="145"/>
      <c r="H23" s="146"/>
      <c r="I23" s="146"/>
      <c r="J23" s="145"/>
      <c r="K23" s="147"/>
      <c r="L23" s="148"/>
      <c r="M23" s="147"/>
    </row>
    <row r="24" spans="1:14" s="141" customFormat="1" ht="12">
      <c r="A24" s="142"/>
      <c r="B24" s="143"/>
      <c r="C24" s="143"/>
      <c r="D24" s="144"/>
      <c r="E24" s="144"/>
      <c r="F24" s="142"/>
      <c r="G24" s="145"/>
      <c r="H24" s="146"/>
      <c r="I24" s="146"/>
      <c r="J24" s="146"/>
      <c r="K24" s="147"/>
      <c r="L24" s="148"/>
      <c r="M24" s="147"/>
    </row>
    <row r="25" spans="1:14" s="141" customFormat="1" ht="12">
      <c r="A25" s="142"/>
      <c r="B25" s="143"/>
      <c r="C25" s="143"/>
      <c r="D25" s="144"/>
      <c r="E25" s="144"/>
      <c r="F25" s="142"/>
      <c r="G25" s="145"/>
      <c r="H25" s="146"/>
      <c r="I25" s="146"/>
      <c r="J25" s="146"/>
      <c r="K25" s="147"/>
      <c r="L25" s="148"/>
      <c r="M25" s="147"/>
    </row>
    <row r="26" spans="1:14">
      <c r="A26" s="85"/>
      <c r="B26" s="87"/>
      <c r="C26" s="87"/>
      <c r="D26" s="86"/>
      <c r="E26" s="86"/>
      <c r="F26" s="85"/>
      <c r="G26" s="80"/>
      <c r="H26" s="83"/>
      <c r="I26" s="83"/>
      <c r="J26" s="80"/>
      <c r="K26" s="108"/>
      <c r="L26" s="107"/>
      <c r="M26" s="108"/>
    </row>
    <row r="27" spans="1:14">
      <c r="A27" s="85"/>
      <c r="B27" s="87"/>
      <c r="C27" s="87"/>
      <c r="D27" s="86"/>
      <c r="E27" s="86"/>
      <c r="F27" s="85"/>
      <c r="G27" s="80"/>
      <c r="H27" s="83"/>
      <c r="I27" s="83"/>
      <c r="J27" s="80"/>
      <c r="K27" s="108"/>
      <c r="L27" s="107"/>
      <c r="M27" s="108"/>
    </row>
    <row r="28" spans="1:14">
      <c r="A28" s="85"/>
      <c r="B28" s="87"/>
      <c r="C28" s="87"/>
      <c r="D28" s="86"/>
      <c r="E28" s="86"/>
      <c r="F28" s="85"/>
      <c r="G28" s="80"/>
      <c r="H28" s="83"/>
      <c r="I28" s="83"/>
      <c r="J28" s="80"/>
      <c r="K28" s="108"/>
      <c r="L28" s="107"/>
      <c r="M28" s="108"/>
    </row>
    <row r="29" spans="1:14">
      <c r="A29" s="85"/>
      <c r="B29" s="87"/>
      <c r="C29" s="87"/>
      <c r="D29" s="86"/>
      <c r="E29" s="86"/>
      <c r="F29" s="85"/>
      <c r="G29" s="80"/>
      <c r="H29" s="83"/>
      <c r="I29" s="83"/>
      <c r="J29" s="80"/>
      <c r="K29" s="108"/>
      <c r="L29" s="107"/>
      <c r="M29" s="108"/>
    </row>
    <row r="30" spans="1:14">
      <c r="A30" s="85"/>
      <c r="B30" s="87"/>
      <c r="C30" s="87"/>
      <c r="D30" s="86"/>
      <c r="E30" s="86"/>
      <c r="F30" s="85"/>
      <c r="G30" s="80"/>
      <c r="H30" s="83"/>
      <c r="I30" s="83"/>
      <c r="J30" s="80"/>
      <c r="K30" s="108"/>
      <c r="L30" s="107"/>
      <c r="M30" s="108"/>
    </row>
    <row r="31" spans="1:14">
      <c r="A31" s="88">
        <v>1</v>
      </c>
      <c r="B31" s="89"/>
      <c r="C31" s="89"/>
      <c r="D31" s="90"/>
      <c r="E31" s="90"/>
      <c r="F31" s="91"/>
      <c r="G31" s="88"/>
      <c r="H31" s="92"/>
      <c r="I31" s="91"/>
      <c r="J31" s="88"/>
      <c r="K31" s="108"/>
      <c r="L31" s="107"/>
      <c r="M31" s="108"/>
    </row>
    <row r="33" spans="2:32" ht="6.75" customHeight="1"/>
    <row r="34" spans="2:32" ht="32.25" customHeight="1">
      <c r="B34" s="510" t="s">
        <v>74</v>
      </c>
      <c r="C34" s="510"/>
      <c r="D34" s="510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R34" s="22" t="s">
        <v>75</v>
      </c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2:32">
      <c r="B35" s="24" t="s">
        <v>499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R35" s="24" t="s">
        <v>160</v>
      </c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2:32">
      <c r="B36" s="16" t="s">
        <v>13</v>
      </c>
      <c r="C36" s="17" t="s">
        <v>19</v>
      </c>
      <c r="D36" s="17" t="s">
        <v>20</v>
      </c>
      <c r="E36" s="17" t="s">
        <v>21</v>
      </c>
      <c r="F36" s="17" t="s">
        <v>22</v>
      </c>
      <c r="G36" s="17" t="s">
        <v>23</v>
      </c>
      <c r="H36" s="17" t="s">
        <v>24</v>
      </c>
      <c r="I36" s="17" t="s">
        <v>25</v>
      </c>
      <c r="J36" s="17" t="s">
        <v>26</v>
      </c>
      <c r="K36" s="17" t="s">
        <v>27</v>
      </c>
      <c r="L36" s="17" t="s">
        <v>28</v>
      </c>
      <c r="M36" s="17" t="s">
        <v>35</v>
      </c>
      <c r="N36" s="17" t="s">
        <v>36</v>
      </c>
      <c r="O36" s="17" t="s">
        <v>0</v>
      </c>
      <c r="P36" s="17" t="s">
        <v>37</v>
      </c>
      <c r="Q36" s="109"/>
      <c r="R36" s="16" t="s">
        <v>13</v>
      </c>
      <c r="S36" s="17" t="s">
        <v>19</v>
      </c>
      <c r="T36" s="17" t="s">
        <v>20</v>
      </c>
      <c r="U36" s="17" t="s">
        <v>21</v>
      </c>
      <c r="V36" s="17" t="s">
        <v>22</v>
      </c>
      <c r="W36" s="17" t="s">
        <v>23</v>
      </c>
      <c r="X36" s="17" t="s">
        <v>24</v>
      </c>
      <c r="Y36" s="17" t="s">
        <v>25</v>
      </c>
      <c r="Z36" s="17" t="s">
        <v>26</v>
      </c>
      <c r="AA36" s="17" t="s">
        <v>27</v>
      </c>
      <c r="AB36" s="17" t="s">
        <v>28</v>
      </c>
      <c r="AC36" s="17" t="s">
        <v>35</v>
      </c>
      <c r="AD36" s="17" t="s">
        <v>36</v>
      </c>
      <c r="AE36" s="17" t="s">
        <v>0</v>
      </c>
      <c r="AF36" s="17" t="s">
        <v>37</v>
      </c>
    </row>
    <row r="37" spans="2:32">
      <c r="B37" s="20" t="s">
        <v>49</v>
      </c>
      <c r="C37" s="18">
        <v>1</v>
      </c>
      <c r="D37" s="18">
        <v>1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9">
        <f t="shared" ref="O37:O44" si="0">SUM(C37:N37)</f>
        <v>2</v>
      </c>
      <c r="P37" s="40" t="e">
        <f>+O37/#REF!</f>
        <v>#REF!</v>
      </c>
      <c r="Q37" s="110"/>
      <c r="R37" s="20" t="s">
        <v>49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39">
        <f t="shared" ref="AE37:AE44" si="1">SUM(S37:AD37)</f>
        <v>0</v>
      </c>
      <c r="AF37" s="68">
        <f t="shared" ref="AF37:AF44" si="2">AE37/O49</f>
        <v>0</v>
      </c>
    </row>
    <row r="38" spans="2:32" ht="20.100000000000001" customHeight="1">
      <c r="B38" s="20" t="s">
        <v>10</v>
      </c>
      <c r="C38" s="18">
        <v>2</v>
      </c>
      <c r="D38" s="18">
        <v>1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39">
        <f t="shared" si="0"/>
        <v>3</v>
      </c>
      <c r="P38" s="40" t="e">
        <f>+O38/#REF!</f>
        <v>#REF!</v>
      </c>
      <c r="Q38" s="110"/>
      <c r="R38" s="20" t="s">
        <v>10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39">
        <f t="shared" si="1"/>
        <v>0</v>
      </c>
      <c r="AF38" s="68">
        <f t="shared" si="2"/>
        <v>0</v>
      </c>
    </row>
    <row r="39" spans="2:32">
      <c r="B39" s="20" t="s">
        <v>11</v>
      </c>
      <c r="C39" s="18">
        <v>1</v>
      </c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39">
        <f t="shared" si="0"/>
        <v>1</v>
      </c>
      <c r="P39" s="40" t="e">
        <f>+O39/#REF!</f>
        <v>#REF!</v>
      </c>
      <c r="Q39" s="110"/>
      <c r="R39" s="20" t="s">
        <v>11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39">
        <f t="shared" si="1"/>
        <v>0</v>
      </c>
      <c r="AF39" s="68">
        <f t="shared" si="2"/>
        <v>0</v>
      </c>
    </row>
    <row r="40" spans="2:32">
      <c r="B40" s="20" t="s">
        <v>83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39">
        <f t="shared" si="0"/>
        <v>0</v>
      </c>
      <c r="P40" s="40" t="e">
        <f>+O40/#REF!</f>
        <v>#REF!</v>
      </c>
      <c r="Q40" s="110"/>
      <c r="R40" s="20" t="s">
        <v>83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39">
        <f t="shared" si="1"/>
        <v>0</v>
      </c>
      <c r="AF40" s="68">
        <f t="shared" si="2"/>
        <v>0</v>
      </c>
    </row>
    <row r="41" spans="2:32">
      <c r="B41" s="20" t="s">
        <v>51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39">
        <f t="shared" si="0"/>
        <v>0</v>
      </c>
      <c r="P41" s="40" t="e">
        <f>+O41/#REF!</f>
        <v>#REF!</v>
      </c>
      <c r="Q41" s="110"/>
      <c r="R41" s="20" t="s">
        <v>51</v>
      </c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39">
        <f t="shared" si="1"/>
        <v>0</v>
      </c>
      <c r="AF41" s="68">
        <f t="shared" si="2"/>
        <v>0</v>
      </c>
    </row>
    <row r="42" spans="2:32">
      <c r="B42" s="20" t="s">
        <v>7</v>
      </c>
      <c r="C42" s="18">
        <v>1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39">
        <f t="shared" si="0"/>
        <v>1</v>
      </c>
      <c r="P42" s="40" t="e">
        <f>+O42/#REF!</f>
        <v>#REF!</v>
      </c>
      <c r="Q42" s="110"/>
      <c r="R42" s="20" t="s">
        <v>7</v>
      </c>
      <c r="S42" s="18">
        <v>1</v>
      </c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39">
        <f t="shared" si="1"/>
        <v>1</v>
      </c>
      <c r="AF42" s="68">
        <f t="shared" si="2"/>
        <v>3.9872408293460925E-4</v>
      </c>
    </row>
    <row r="43" spans="2:32">
      <c r="B43" s="20" t="s">
        <v>8</v>
      </c>
      <c r="C43" s="18">
        <v>1</v>
      </c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39">
        <f t="shared" si="0"/>
        <v>1</v>
      </c>
      <c r="P43" s="40" t="e">
        <f>+O43/#REF!</f>
        <v>#REF!</v>
      </c>
      <c r="Q43" s="110"/>
      <c r="R43" s="20" t="s">
        <v>8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39">
        <f t="shared" si="1"/>
        <v>0</v>
      </c>
      <c r="AF43" s="68">
        <f t="shared" si="2"/>
        <v>0</v>
      </c>
    </row>
    <row r="44" spans="2:32">
      <c r="B44" s="20" t="s">
        <v>9</v>
      </c>
      <c r="C44" s="18"/>
      <c r="D44" s="18">
        <v>1</v>
      </c>
      <c r="E44" s="18">
        <v>1</v>
      </c>
      <c r="F44" s="18"/>
      <c r="G44" s="18"/>
      <c r="H44" s="18"/>
      <c r="I44" s="18"/>
      <c r="J44" s="18"/>
      <c r="K44" s="18"/>
      <c r="L44" s="18"/>
      <c r="M44" s="18"/>
      <c r="N44" s="18"/>
      <c r="O44" s="39">
        <f t="shared" si="0"/>
        <v>2</v>
      </c>
      <c r="P44" s="40" t="e">
        <f>+O44/#REF!</f>
        <v>#REF!</v>
      </c>
      <c r="Q44" s="110"/>
      <c r="R44" s="20" t="s">
        <v>9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39">
        <f t="shared" si="1"/>
        <v>0</v>
      </c>
      <c r="AF44" s="68">
        <f t="shared" si="2"/>
        <v>0</v>
      </c>
    </row>
    <row r="45" spans="2:32" ht="24.95" customHeight="1">
      <c r="B45" s="21" t="s">
        <v>18</v>
      </c>
      <c r="C45" s="19">
        <f t="shared" ref="C45:O45" si="3">SUM(C37:C44)</f>
        <v>6</v>
      </c>
      <c r="D45" s="19">
        <f t="shared" si="3"/>
        <v>3</v>
      </c>
      <c r="E45" s="19">
        <f t="shared" si="3"/>
        <v>1</v>
      </c>
      <c r="F45" s="19">
        <f t="shared" si="3"/>
        <v>0</v>
      </c>
      <c r="G45" s="19">
        <f t="shared" si="3"/>
        <v>0</v>
      </c>
      <c r="H45" s="19">
        <f t="shared" si="3"/>
        <v>0</v>
      </c>
      <c r="I45" s="19">
        <f t="shared" si="3"/>
        <v>0</v>
      </c>
      <c r="J45" s="19">
        <f t="shared" si="3"/>
        <v>0</v>
      </c>
      <c r="K45" s="19">
        <f t="shared" si="3"/>
        <v>0</v>
      </c>
      <c r="L45" s="19">
        <f t="shared" si="3"/>
        <v>0</v>
      </c>
      <c r="M45" s="19">
        <f t="shared" si="3"/>
        <v>0</v>
      </c>
      <c r="N45" s="19">
        <f t="shared" si="3"/>
        <v>0</v>
      </c>
      <c r="O45" s="41">
        <f t="shared" si="3"/>
        <v>10</v>
      </c>
      <c r="P45" s="42" t="e">
        <f>SUM(P37:P44)</f>
        <v>#REF!</v>
      </c>
      <c r="Q45" s="111"/>
      <c r="R45" s="21" t="s">
        <v>18</v>
      </c>
      <c r="S45" s="19">
        <f t="shared" ref="S45:AE45" si="4">SUM(S37:S44)</f>
        <v>1</v>
      </c>
      <c r="T45" s="19">
        <f t="shared" si="4"/>
        <v>0</v>
      </c>
      <c r="U45" s="19">
        <f t="shared" si="4"/>
        <v>0</v>
      </c>
      <c r="V45" s="19">
        <f t="shared" si="4"/>
        <v>0</v>
      </c>
      <c r="W45" s="19">
        <f t="shared" si="4"/>
        <v>0</v>
      </c>
      <c r="X45" s="19">
        <f t="shared" si="4"/>
        <v>0</v>
      </c>
      <c r="Y45" s="19">
        <f t="shared" si="4"/>
        <v>0</v>
      </c>
      <c r="Z45" s="19">
        <f t="shared" si="4"/>
        <v>0</v>
      </c>
      <c r="AA45" s="19">
        <f t="shared" si="4"/>
        <v>0</v>
      </c>
      <c r="AB45" s="19">
        <f t="shared" si="4"/>
        <v>0</v>
      </c>
      <c r="AC45" s="19">
        <f t="shared" si="4"/>
        <v>0</v>
      </c>
      <c r="AD45" s="19">
        <f t="shared" si="4"/>
        <v>0</v>
      </c>
      <c r="AE45" s="41">
        <f t="shared" si="4"/>
        <v>1</v>
      </c>
      <c r="AF45" s="42"/>
    </row>
    <row r="46" spans="2:32" ht="15" customHeight="1">
      <c r="B46" s="250" t="s">
        <v>70</v>
      </c>
      <c r="C46" s="250"/>
      <c r="D46" s="250"/>
      <c r="H46"/>
    </row>
    <row r="47" spans="2:32">
      <c r="B47" s="511" t="s">
        <v>70</v>
      </c>
      <c r="C47" s="511"/>
      <c r="H47"/>
    </row>
    <row r="48" spans="2:32">
      <c r="B48" s="16" t="s">
        <v>13</v>
      </c>
      <c r="C48" s="17" t="s">
        <v>19</v>
      </c>
      <c r="D48" s="17" t="s">
        <v>20</v>
      </c>
      <c r="E48" s="17" t="s">
        <v>21</v>
      </c>
      <c r="F48" s="17" t="s">
        <v>22</v>
      </c>
      <c r="G48" s="17" t="s">
        <v>23</v>
      </c>
      <c r="H48" s="17" t="s">
        <v>24</v>
      </c>
      <c r="I48" s="17" t="s">
        <v>25</v>
      </c>
      <c r="J48" s="17" t="s">
        <v>26</v>
      </c>
      <c r="K48" s="17" t="s">
        <v>27</v>
      </c>
      <c r="L48" s="17" t="s">
        <v>28</v>
      </c>
      <c r="M48" s="17" t="s">
        <v>35</v>
      </c>
      <c r="N48" s="17" t="s">
        <v>36</v>
      </c>
      <c r="O48" s="17" t="s">
        <v>0</v>
      </c>
    </row>
    <row r="49" spans="2:15">
      <c r="B49" s="20" t="s">
        <v>49</v>
      </c>
      <c r="C49" s="18">
        <v>311</v>
      </c>
      <c r="D49" s="18">
        <v>316</v>
      </c>
      <c r="E49" s="18">
        <v>215</v>
      </c>
      <c r="F49" s="18"/>
      <c r="G49" s="18"/>
      <c r="H49" s="18"/>
      <c r="I49" s="18"/>
      <c r="J49" s="18"/>
      <c r="K49" s="18"/>
      <c r="L49" s="18"/>
      <c r="M49" s="18"/>
      <c r="N49" s="18"/>
      <c r="O49" s="18">
        <f t="shared" ref="O49:O63" si="5">SUM(C49:N49)</f>
        <v>842</v>
      </c>
    </row>
    <row r="50" spans="2:15">
      <c r="B50" s="20" t="s">
        <v>10</v>
      </c>
      <c r="C50" s="18">
        <v>1841</v>
      </c>
      <c r="D50" s="18">
        <v>1656</v>
      </c>
      <c r="E50" s="18">
        <v>1270</v>
      </c>
      <c r="F50" s="18"/>
      <c r="G50" s="18"/>
      <c r="H50" s="18"/>
      <c r="I50" s="18"/>
      <c r="J50" s="18"/>
      <c r="K50" s="18"/>
      <c r="L50" s="18"/>
      <c r="M50" s="18"/>
      <c r="N50" s="18"/>
      <c r="O50" s="18">
        <f t="shared" si="5"/>
        <v>4767</v>
      </c>
    </row>
    <row r="51" spans="2:15">
      <c r="B51" s="20" t="s">
        <v>11</v>
      </c>
      <c r="C51" s="18">
        <v>794</v>
      </c>
      <c r="D51" s="18">
        <v>691</v>
      </c>
      <c r="E51" s="18">
        <v>479</v>
      </c>
      <c r="F51" s="18"/>
      <c r="G51" s="18"/>
      <c r="H51" s="18"/>
      <c r="I51" s="18"/>
      <c r="J51" s="18"/>
      <c r="K51" s="18"/>
      <c r="L51" s="18"/>
      <c r="M51" s="18"/>
      <c r="N51" s="18"/>
      <c r="O51" s="18">
        <f t="shared" si="5"/>
        <v>1964</v>
      </c>
    </row>
    <row r="52" spans="2:15">
      <c r="B52" s="20" t="s">
        <v>83</v>
      </c>
      <c r="C52" s="18">
        <v>197</v>
      </c>
      <c r="D52" s="18">
        <v>168</v>
      </c>
      <c r="E52" s="18">
        <v>114</v>
      </c>
      <c r="F52" s="18"/>
      <c r="G52" s="18"/>
      <c r="H52" s="18"/>
      <c r="I52" s="18"/>
      <c r="J52" s="18"/>
      <c r="K52" s="18"/>
      <c r="L52" s="18"/>
      <c r="M52" s="18"/>
      <c r="N52" s="18"/>
      <c r="O52" s="18">
        <f t="shared" si="5"/>
        <v>479</v>
      </c>
    </row>
    <row r="53" spans="2:15">
      <c r="B53" s="20" t="s">
        <v>51</v>
      </c>
      <c r="C53" s="18">
        <v>562</v>
      </c>
      <c r="D53" s="18">
        <v>620</v>
      </c>
      <c r="E53" s="18">
        <v>421</v>
      </c>
      <c r="F53" s="18"/>
      <c r="G53" s="18"/>
      <c r="H53" s="18"/>
      <c r="I53" s="18"/>
      <c r="J53" s="18"/>
      <c r="K53" s="18"/>
      <c r="L53" s="18"/>
      <c r="M53" s="18"/>
      <c r="N53" s="18"/>
      <c r="O53" s="18">
        <f t="shared" si="5"/>
        <v>1603</v>
      </c>
    </row>
    <row r="54" spans="2:15">
      <c r="B54" s="20" t="s">
        <v>7</v>
      </c>
      <c r="C54" s="18">
        <v>1021</v>
      </c>
      <c r="D54" s="18">
        <v>905</v>
      </c>
      <c r="E54" s="18">
        <v>582</v>
      </c>
      <c r="F54" s="18"/>
      <c r="G54" s="18"/>
      <c r="H54" s="18"/>
      <c r="I54" s="18"/>
      <c r="J54" s="18"/>
      <c r="K54" s="18"/>
      <c r="L54" s="18"/>
      <c r="M54" s="18"/>
      <c r="N54" s="18"/>
      <c r="O54" s="18">
        <f t="shared" si="5"/>
        <v>2508</v>
      </c>
    </row>
    <row r="55" spans="2:15">
      <c r="B55" s="20" t="s">
        <v>8</v>
      </c>
      <c r="C55" s="18">
        <v>1387</v>
      </c>
      <c r="D55" s="18">
        <v>1338</v>
      </c>
      <c r="E55" s="18">
        <v>1090</v>
      </c>
      <c r="F55" s="18"/>
      <c r="G55" s="18"/>
      <c r="H55" s="18"/>
      <c r="I55" s="18"/>
      <c r="J55" s="18"/>
      <c r="K55" s="18"/>
      <c r="L55" s="18"/>
      <c r="M55" s="18"/>
      <c r="N55" s="18"/>
      <c r="O55" s="18">
        <f t="shared" si="5"/>
        <v>3815</v>
      </c>
    </row>
    <row r="56" spans="2:15">
      <c r="B56" s="20" t="s">
        <v>9</v>
      </c>
      <c r="C56" s="18">
        <v>1116</v>
      </c>
      <c r="D56" s="18">
        <v>1085</v>
      </c>
      <c r="E56" s="18">
        <v>766</v>
      </c>
      <c r="F56" s="18"/>
      <c r="G56" s="18"/>
      <c r="H56" s="18"/>
      <c r="I56" s="18"/>
      <c r="J56" s="18"/>
      <c r="K56" s="18"/>
      <c r="L56" s="18"/>
      <c r="M56" s="18"/>
      <c r="N56" s="18"/>
      <c r="O56" s="18">
        <f t="shared" si="5"/>
        <v>2967</v>
      </c>
    </row>
    <row r="57" spans="2:15" ht="15" hidden="1" customHeight="1">
      <c r="B57" s="20" t="s">
        <v>138</v>
      </c>
      <c r="C57" s="18">
        <v>3</v>
      </c>
      <c r="D57" s="18">
        <v>8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>
        <f t="shared" si="5"/>
        <v>11</v>
      </c>
    </row>
    <row r="58" spans="2:15" ht="15" hidden="1" customHeight="1">
      <c r="B58" s="20" t="s">
        <v>76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>
        <f t="shared" si="5"/>
        <v>0</v>
      </c>
    </row>
    <row r="59" spans="2:15" ht="15" hidden="1" customHeight="1">
      <c r="B59" s="20" t="s">
        <v>64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>
        <f t="shared" si="5"/>
        <v>0</v>
      </c>
    </row>
    <row r="60" spans="2:15" ht="15" hidden="1" customHeight="1">
      <c r="B60" s="20" t="s">
        <v>81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>
        <f t="shared" si="5"/>
        <v>0</v>
      </c>
    </row>
    <row r="61" spans="2:15" ht="15" hidden="1" customHeight="1">
      <c r="B61" s="20" t="s">
        <v>80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>
        <f t="shared" si="5"/>
        <v>0</v>
      </c>
    </row>
    <row r="62" spans="2:15" ht="15" hidden="1" customHeight="1">
      <c r="B62" s="20" t="s">
        <v>66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>
        <f t="shared" si="5"/>
        <v>0</v>
      </c>
    </row>
    <row r="63" spans="2:15" ht="15" hidden="1" customHeight="1">
      <c r="B63" s="20" t="s">
        <v>67</v>
      </c>
      <c r="C63" s="18"/>
      <c r="D63" s="18">
        <v>6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>
        <f t="shared" si="5"/>
        <v>6</v>
      </c>
    </row>
    <row r="64" spans="2:15" ht="15" customHeight="1">
      <c r="B64" s="21" t="s">
        <v>271</v>
      </c>
      <c r="C64" s="19">
        <f t="shared" ref="C64:O64" si="6">SUM(C49:C63)</f>
        <v>7232</v>
      </c>
      <c r="D64" s="19">
        <f t="shared" si="6"/>
        <v>6793</v>
      </c>
      <c r="E64" s="19">
        <f t="shared" si="6"/>
        <v>4937</v>
      </c>
      <c r="F64" s="19">
        <f t="shared" si="6"/>
        <v>0</v>
      </c>
      <c r="G64" s="19">
        <f t="shared" si="6"/>
        <v>0</v>
      </c>
      <c r="H64" s="19">
        <f t="shared" si="6"/>
        <v>0</v>
      </c>
      <c r="I64" s="19">
        <f t="shared" si="6"/>
        <v>0</v>
      </c>
      <c r="J64" s="19">
        <f t="shared" si="6"/>
        <v>0</v>
      </c>
      <c r="K64" s="19">
        <f t="shared" si="6"/>
        <v>0</v>
      </c>
      <c r="L64" s="19">
        <f t="shared" si="6"/>
        <v>0</v>
      </c>
      <c r="M64" s="19">
        <f t="shared" si="6"/>
        <v>0</v>
      </c>
      <c r="N64" s="19">
        <f t="shared" si="6"/>
        <v>0</v>
      </c>
      <c r="O64" s="19">
        <f t="shared" si="6"/>
        <v>18962</v>
      </c>
    </row>
    <row r="65" spans="2:15"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4"/>
    </row>
    <row r="66" spans="2:15">
      <c r="B66" s="36" t="s">
        <v>69</v>
      </c>
      <c r="H66"/>
    </row>
    <row r="67" spans="2:15">
      <c r="B67" s="57" t="s">
        <v>13</v>
      </c>
      <c r="C67" s="58" t="s">
        <v>19</v>
      </c>
      <c r="D67" s="58" t="s">
        <v>20</v>
      </c>
      <c r="E67" s="58" t="s">
        <v>21</v>
      </c>
      <c r="F67" s="58" t="s">
        <v>22</v>
      </c>
      <c r="G67" s="58" t="s">
        <v>23</v>
      </c>
      <c r="H67" s="58" t="s">
        <v>24</v>
      </c>
      <c r="I67" s="58" t="s">
        <v>25</v>
      </c>
      <c r="J67" s="58" t="s">
        <v>26</v>
      </c>
      <c r="K67" s="58" t="s">
        <v>27</v>
      </c>
      <c r="L67" s="58" t="s">
        <v>28</v>
      </c>
      <c r="M67" s="58" t="s">
        <v>35</v>
      </c>
      <c r="N67" s="58" t="s">
        <v>36</v>
      </c>
      <c r="O67" s="58" t="s">
        <v>0</v>
      </c>
    </row>
    <row r="68" spans="2:15">
      <c r="B68" s="59" t="s">
        <v>49</v>
      </c>
      <c r="C68" s="223">
        <f t="shared" ref="C68:C75" si="7">C37/C49</f>
        <v>3.2154340836012861E-3</v>
      </c>
      <c r="D68" s="223">
        <f t="shared" ref="D68:O70" si="8">D37/D49</f>
        <v>3.1645569620253164E-3</v>
      </c>
      <c r="E68" s="223">
        <f t="shared" si="8"/>
        <v>0</v>
      </c>
      <c r="F68" s="223" t="e">
        <f t="shared" si="8"/>
        <v>#DIV/0!</v>
      </c>
      <c r="G68" s="223" t="e">
        <f t="shared" si="8"/>
        <v>#DIV/0!</v>
      </c>
      <c r="H68" s="223" t="e">
        <f t="shared" si="8"/>
        <v>#DIV/0!</v>
      </c>
      <c r="I68" s="223" t="e">
        <f t="shared" si="8"/>
        <v>#DIV/0!</v>
      </c>
      <c r="J68" s="223" t="e">
        <f t="shared" si="8"/>
        <v>#DIV/0!</v>
      </c>
      <c r="K68" s="223" t="e">
        <f t="shared" si="8"/>
        <v>#DIV/0!</v>
      </c>
      <c r="L68" s="223" t="e">
        <f t="shared" si="8"/>
        <v>#DIV/0!</v>
      </c>
      <c r="M68" s="223" t="e">
        <f t="shared" si="8"/>
        <v>#DIV/0!</v>
      </c>
      <c r="N68" s="223" t="e">
        <f t="shared" si="8"/>
        <v>#DIV/0!</v>
      </c>
      <c r="O68" s="224">
        <f t="shared" si="8"/>
        <v>2.3752969121140144E-3</v>
      </c>
    </row>
    <row r="69" spans="2:15">
      <c r="B69" s="59" t="s">
        <v>10</v>
      </c>
      <c r="C69" s="223">
        <f t="shared" si="7"/>
        <v>1.0863661053775121E-3</v>
      </c>
      <c r="D69" s="223">
        <f t="shared" si="8"/>
        <v>6.0386473429951688E-4</v>
      </c>
      <c r="E69" s="223">
        <f t="shared" si="8"/>
        <v>0</v>
      </c>
      <c r="F69" s="223" t="e">
        <f t="shared" si="8"/>
        <v>#DIV/0!</v>
      </c>
      <c r="G69" s="223" t="e">
        <f t="shared" si="8"/>
        <v>#DIV/0!</v>
      </c>
      <c r="H69" s="223" t="e">
        <f t="shared" si="8"/>
        <v>#DIV/0!</v>
      </c>
      <c r="I69" s="223" t="e">
        <f t="shared" si="8"/>
        <v>#DIV/0!</v>
      </c>
      <c r="J69" s="223" t="e">
        <f t="shared" si="8"/>
        <v>#DIV/0!</v>
      </c>
      <c r="K69" s="223" t="e">
        <f t="shared" si="8"/>
        <v>#DIV/0!</v>
      </c>
      <c r="L69" s="223" t="e">
        <f t="shared" si="8"/>
        <v>#DIV/0!</v>
      </c>
      <c r="M69" s="223" t="e">
        <f t="shared" si="8"/>
        <v>#DIV/0!</v>
      </c>
      <c r="N69" s="223" t="e">
        <f t="shared" si="8"/>
        <v>#DIV/0!</v>
      </c>
      <c r="O69" s="223">
        <f t="shared" si="8"/>
        <v>6.2932662051604787E-4</v>
      </c>
    </row>
    <row r="70" spans="2:15">
      <c r="B70" s="59" t="s">
        <v>11</v>
      </c>
      <c r="C70" s="223">
        <f t="shared" si="7"/>
        <v>1.2594458438287153E-3</v>
      </c>
      <c r="D70" s="223">
        <f t="shared" si="8"/>
        <v>0</v>
      </c>
      <c r="E70" s="223">
        <f t="shared" si="8"/>
        <v>0</v>
      </c>
      <c r="F70" s="223" t="e">
        <f t="shared" si="8"/>
        <v>#DIV/0!</v>
      </c>
      <c r="G70" s="223" t="e">
        <f t="shared" si="8"/>
        <v>#DIV/0!</v>
      </c>
      <c r="H70" s="223" t="e">
        <f t="shared" si="8"/>
        <v>#DIV/0!</v>
      </c>
      <c r="I70" s="223" t="e">
        <f t="shared" si="8"/>
        <v>#DIV/0!</v>
      </c>
      <c r="J70" s="223" t="e">
        <f t="shared" si="8"/>
        <v>#DIV/0!</v>
      </c>
      <c r="K70" s="223" t="e">
        <f t="shared" si="8"/>
        <v>#DIV/0!</v>
      </c>
      <c r="L70" s="223" t="e">
        <f t="shared" si="8"/>
        <v>#DIV/0!</v>
      </c>
      <c r="M70" s="223" t="e">
        <f t="shared" si="8"/>
        <v>#DIV/0!</v>
      </c>
      <c r="N70" s="223" t="e">
        <f t="shared" si="8"/>
        <v>#DIV/0!</v>
      </c>
      <c r="O70" s="223">
        <f t="shared" si="8"/>
        <v>5.0916496945010179E-4</v>
      </c>
    </row>
    <row r="71" spans="2:15">
      <c r="B71" s="59" t="s">
        <v>83</v>
      </c>
      <c r="C71" s="223">
        <f t="shared" si="7"/>
        <v>0</v>
      </c>
      <c r="D71" s="223">
        <v>0</v>
      </c>
      <c r="E71" s="223">
        <f>E40/E52</f>
        <v>0</v>
      </c>
      <c r="F71" s="223">
        <v>0</v>
      </c>
      <c r="G71" s="223">
        <v>0</v>
      </c>
      <c r="H71" s="223">
        <v>0</v>
      </c>
      <c r="I71" s="223">
        <v>0</v>
      </c>
      <c r="J71" s="223">
        <v>0</v>
      </c>
      <c r="K71" s="223" t="e">
        <f t="shared" ref="K71:O75" si="9">K40/K52</f>
        <v>#DIV/0!</v>
      </c>
      <c r="L71" s="223" t="e">
        <f t="shared" si="9"/>
        <v>#DIV/0!</v>
      </c>
      <c r="M71" s="223" t="e">
        <f t="shared" si="9"/>
        <v>#DIV/0!</v>
      </c>
      <c r="N71" s="223" t="e">
        <f t="shared" si="9"/>
        <v>#DIV/0!</v>
      </c>
      <c r="O71" s="223">
        <f t="shared" si="9"/>
        <v>0</v>
      </c>
    </row>
    <row r="72" spans="2:15">
      <c r="B72" s="59" t="s">
        <v>51</v>
      </c>
      <c r="C72" s="223">
        <f t="shared" si="7"/>
        <v>0</v>
      </c>
      <c r="D72" s="223">
        <f>D41/D53</f>
        <v>0</v>
      </c>
      <c r="E72" s="223">
        <f>E41/E53</f>
        <v>0</v>
      </c>
      <c r="F72" s="223" t="e">
        <f t="shared" ref="F72:J75" si="10">F41/F53</f>
        <v>#DIV/0!</v>
      </c>
      <c r="G72" s="223" t="e">
        <f t="shared" si="10"/>
        <v>#DIV/0!</v>
      </c>
      <c r="H72" s="223" t="e">
        <f t="shared" si="10"/>
        <v>#DIV/0!</v>
      </c>
      <c r="I72" s="223" t="e">
        <f t="shared" si="10"/>
        <v>#DIV/0!</v>
      </c>
      <c r="J72" s="223" t="e">
        <f t="shared" si="10"/>
        <v>#DIV/0!</v>
      </c>
      <c r="K72" s="223" t="e">
        <f t="shared" si="9"/>
        <v>#DIV/0!</v>
      </c>
      <c r="L72" s="223" t="e">
        <f t="shared" si="9"/>
        <v>#DIV/0!</v>
      </c>
      <c r="M72" s="223" t="e">
        <f t="shared" si="9"/>
        <v>#DIV/0!</v>
      </c>
      <c r="N72" s="223" t="e">
        <f t="shared" si="9"/>
        <v>#DIV/0!</v>
      </c>
      <c r="O72" s="223">
        <f t="shared" si="9"/>
        <v>0</v>
      </c>
    </row>
    <row r="73" spans="2:15">
      <c r="B73" s="59" t="s">
        <v>7</v>
      </c>
      <c r="C73" s="223">
        <f t="shared" si="7"/>
        <v>9.7943192948090111E-4</v>
      </c>
      <c r="D73" s="223">
        <f>D42/D54</f>
        <v>0</v>
      </c>
      <c r="E73" s="223">
        <f>E42/E54</f>
        <v>0</v>
      </c>
      <c r="F73" s="223" t="e">
        <f t="shared" si="10"/>
        <v>#DIV/0!</v>
      </c>
      <c r="G73" s="223" t="e">
        <f t="shared" si="10"/>
        <v>#DIV/0!</v>
      </c>
      <c r="H73" s="223" t="e">
        <f t="shared" si="10"/>
        <v>#DIV/0!</v>
      </c>
      <c r="I73" s="223" t="e">
        <f t="shared" si="10"/>
        <v>#DIV/0!</v>
      </c>
      <c r="J73" s="223" t="e">
        <f t="shared" si="10"/>
        <v>#DIV/0!</v>
      </c>
      <c r="K73" s="223" t="e">
        <f t="shared" si="9"/>
        <v>#DIV/0!</v>
      </c>
      <c r="L73" s="223" t="e">
        <f t="shared" si="9"/>
        <v>#DIV/0!</v>
      </c>
      <c r="M73" s="223" t="e">
        <f t="shared" si="9"/>
        <v>#DIV/0!</v>
      </c>
      <c r="N73" s="223" t="e">
        <f t="shared" si="9"/>
        <v>#DIV/0!</v>
      </c>
      <c r="O73" s="223">
        <f t="shared" si="9"/>
        <v>3.9872408293460925E-4</v>
      </c>
    </row>
    <row r="74" spans="2:15">
      <c r="B74" s="59" t="s">
        <v>8</v>
      </c>
      <c r="C74" s="60">
        <f t="shared" si="7"/>
        <v>7.2098053352559477E-4</v>
      </c>
      <c r="D74" s="60">
        <f>D43/D55</f>
        <v>0</v>
      </c>
      <c r="E74" s="60">
        <f>E43/E55</f>
        <v>0</v>
      </c>
      <c r="F74" s="60" t="e">
        <f t="shared" si="10"/>
        <v>#DIV/0!</v>
      </c>
      <c r="G74" s="60" t="e">
        <f t="shared" si="10"/>
        <v>#DIV/0!</v>
      </c>
      <c r="H74" s="60" t="e">
        <f t="shared" si="10"/>
        <v>#DIV/0!</v>
      </c>
      <c r="I74" s="60" t="e">
        <f t="shared" si="10"/>
        <v>#DIV/0!</v>
      </c>
      <c r="J74" s="60" t="e">
        <f t="shared" si="10"/>
        <v>#DIV/0!</v>
      </c>
      <c r="K74" s="60" t="e">
        <f t="shared" si="9"/>
        <v>#DIV/0!</v>
      </c>
      <c r="L74" s="60" t="e">
        <f t="shared" si="9"/>
        <v>#DIV/0!</v>
      </c>
      <c r="M74" s="60" t="e">
        <f t="shared" si="9"/>
        <v>#DIV/0!</v>
      </c>
      <c r="N74" s="60" t="e">
        <f t="shared" si="9"/>
        <v>#DIV/0!</v>
      </c>
      <c r="O74" s="60">
        <f t="shared" si="9"/>
        <v>2.6212319790301441E-4</v>
      </c>
    </row>
    <row r="75" spans="2:15">
      <c r="B75" s="59" t="s">
        <v>9</v>
      </c>
      <c r="C75" s="60">
        <f t="shared" si="7"/>
        <v>0</v>
      </c>
      <c r="D75" s="60">
        <f>D44/D56</f>
        <v>9.2165898617511521E-4</v>
      </c>
      <c r="E75" s="60">
        <f>E44/E56</f>
        <v>1.3054830287206266E-3</v>
      </c>
      <c r="F75" s="60" t="e">
        <f t="shared" si="10"/>
        <v>#DIV/0!</v>
      </c>
      <c r="G75" s="60" t="e">
        <f t="shared" si="10"/>
        <v>#DIV/0!</v>
      </c>
      <c r="H75" s="60" t="e">
        <f t="shared" si="10"/>
        <v>#DIV/0!</v>
      </c>
      <c r="I75" s="60" t="e">
        <f t="shared" si="10"/>
        <v>#DIV/0!</v>
      </c>
      <c r="J75" s="60" t="e">
        <f t="shared" si="10"/>
        <v>#DIV/0!</v>
      </c>
      <c r="K75" s="60" t="e">
        <f t="shared" si="9"/>
        <v>#DIV/0!</v>
      </c>
      <c r="L75" s="60" t="e">
        <f t="shared" si="9"/>
        <v>#DIV/0!</v>
      </c>
      <c r="M75" s="60" t="e">
        <f t="shared" si="9"/>
        <v>#DIV/0!</v>
      </c>
      <c r="N75" s="60" t="e">
        <f t="shared" si="9"/>
        <v>#DIV/0!</v>
      </c>
      <c r="O75" s="60">
        <f t="shared" si="9"/>
        <v>6.740815638692282E-4</v>
      </c>
    </row>
    <row r="76" spans="2:15">
      <c r="B76" s="61" t="s">
        <v>271</v>
      </c>
      <c r="C76" s="201">
        <f>C45/C64</f>
        <v>8.2964601769911503E-4</v>
      </c>
      <c r="D76" s="201">
        <f>D45/D64</f>
        <v>4.4163109082879436E-4</v>
      </c>
      <c r="E76" s="201">
        <f>E45/E64</f>
        <v>2.0255215718047398E-4</v>
      </c>
      <c r="F76" s="201" t="e">
        <f t="shared" ref="F76:N76" si="11">SUM(F68:F75)</f>
        <v>#DIV/0!</v>
      </c>
      <c r="G76" s="201" t="e">
        <f t="shared" si="11"/>
        <v>#DIV/0!</v>
      </c>
      <c r="H76" s="201" t="e">
        <f t="shared" si="11"/>
        <v>#DIV/0!</v>
      </c>
      <c r="I76" s="201" t="e">
        <f t="shared" si="11"/>
        <v>#DIV/0!</v>
      </c>
      <c r="J76" s="201" t="e">
        <f t="shared" si="11"/>
        <v>#DIV/0!</v>
      </c>
      <c r="K76" s="201" t="e">
        <f t="shared" si="11"/>
        <v>#DIV/0!</v>
      </c>
      <c r="L76" s="201" t="e">
        <f t="shared" si="11"/>
        <v>#DIV/0!</v>
      </c>
      <c r="M76" s="201" t="e">
        <f t="shared" si="11"/>
        <v>#DIV/0!</v>
      </c>
      <c r="N76" s="201" t="e">
        <f t="shared" si="11"/>
        <v>#DIV/0!</v>
      </c>
      <c r="O76" s="222">
        <f>O45/O64</f>
        <v>5.273705305347537E-4</v>
      </c>
    </row>
  </sheetData>
  <sortState ref="A2:J17">
    <sortCondition ref="E2:E17"/>
  </sortState>
  <mergeCells count="2">
    <mergeCell ref="B34:D34"/>
    <mergeCell ref="B47:C47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5" tint="-0.249977111117893"/>
  </sheetPr>
  <dimension ref="A1:U54"/>
  <sheetViews>
    <sheetView workbookViewId="0">
      <pane xSplit="2" ySplit="5" topLeftCell="C6" activePane="bottomRight" state="frozen"/>
      <selection activeCell="F73" sqref="F73"/>
      <selection pane="topRight" activeCell="F73" sqref="F73"/>
      <selection pane="bottomLeft" activeCell="F73" sqref="F73"/>
      <selection pane="bottomRight" activeCell="B7" sqref="B7"/>
    </sheetView>
  </sheetViews>
  <sheetFormatPr defaultColWidth="9.140625" defaultRowHeight="15"/>
  <cols>
    <col min="1" max="1" width="5.140625" customWidth="1"/>
    <col min="2" max="2" width="8.28515625" bestFit="1" customWidth="1"/>
    <col min="3" max="6" width="10.7109375" customWidth="1"/>
    <col min="7" max="7" width="22.28515625" customWidth="1"/>
    <col min="8" max="8" width="31.7109375" customWidth="1"/>
    <col min="9" max="9" width="10.7109375" customWidth="1"/>
    <col min="10" max="10" width="22" customWidth="1"/>
    <col min="11" max="11" width="39.42578125" customWidth="1"/>
    <col min="12" max="12" width="24.42578125" customWidth="1"/>
    <col min="13" max="13" width="17.85546875" customWidth="1"/>
    <col min="14" max="17" width="10.7109375" customWidth="1"/>
  </cols>
  <sheetData>
    <row r="1" spans="1:21">
      <c r="A1" s="37"/>
      <c r="B1" s="37"/>
      <c r="C1" s="37"/>
      <c r="D1" s="37"/>
      <c r="E1" s="37"/>
      <c r="F1" s="37"/>
      <c r="G1" s="37"/>
      <c r="H1" s="37"/>
      <c r="I1" s="37"/>
      <c r="J1" s="37"/>
    </row>
    <row r="2" spans="1:21" ht="19.5">
      <c r="A2" s="130" t="s">
        <v>112</v>
      </c>
      <c r="B2" s="130"/>
      <c r="C2" s="130"/>
      <c r="D2" s="130"/>
      <c r="E2" s="37"/>
      <c r="F2" s="37"/>
      <c r="G2" s="37"/>
      <c r="H2" s="37"/>
      <c r="I2" s="37"/>
      <c r="J2" s="37"/>
    </row>
    <row r="3" spans="1:21" ht="19.5">
      <c r="A3" s="132" t="s">
        <v>498</v>
      </c>
      <c r="B3" s="130"/>
      <c r="C3" s="130"/>
      <c r="D3" s="130"/>
      <c r="E3" s="37"/>
      <c r="F3" s="37"/>
      <c r="G3" s="37"/>
      <c r="H3" s="37"/>
      <c r="I3" s="37"/>
      <c r="J3" s="37"/>
    </row>
    <row r="4" spans="1:21">
      <c r="A4" s="37"/>
      <c r="B4" s="37"/>
      <c r="C4" s="37"/>
      <c r="D4" s="37"/>
      <c r="E4" s="37"/>
      <c r="F4" s="37"/>
      <c r="G4" s="37"/>
      <c r="H4" s="37"/>
      <c r="I4" s="37"/>
      <c r="J4" s="37"/>
    </row>
    <row r="5" spans="1:21" ht="22.5">
      <c r="A5" s="69" t="s">
        <v>60</v>
      </c>
      <c r="B5" s="70" t="s">
        <v>40</v>
      </c>
      <c r="C5" s="70" t="s">
        <v>41</v>
      </c>
      <c r="D5" s="70" t="s">
        <v>42</v>
      </c>
      <c r="E5" s="70" t="s">
        <v>48</v>
      </c>
      <c r="F5" s="70" t="s">
        <v>13</v>
      </c>
      <c r="G5" s="69" t="s">
        <v>43</v>
      </c>
      <c r="H5" s="69" t="s">
        <v>190</v>
      </c>
      <c r="I5" s="69" t="s">
        <v>78</v>
      </c>
      <c r="J5" s="69" t="s">
        <v>44</v>
      </c>
      <c r="K5" s="69" t="s">
        <v>91</v>
      </c>
      <c r="L5" s="69" t="s">
        <v>134</v>
      </c>
      <c r="M5" s="101" t="s">
        <v>133</v>
      </c>
      <c r="N5" s="136"/>
      <c r="S5" s="512"/>
      <c r="T5" s="512"/>
      <c r="U5" s="512"/>
    </row>
    <row r="6" spans="1:21" s="81" customFormat="1" ht="37.5" customHeight="1">
      <c r="A6" s="88">
        <v>1</v>
      </c>
      <c r="B6" s="72">
        <v>44937</v>
      </c>
      <c r="C6" s="72">
        <v>44937</v>
      </c>
      <c r="D6" s="73" t="s">
        <v>154</v>
      </c>
      <c r="E6" s="77" t="s">
        <v>11</v>
      </c>
      <c r="F6" s="77" t="s">
        <v>6</v>
      </c>
      <c r="G6" s="74" t="s">
        <v>61</v>
      </c>
      <c r="H6" s="91" t="s">
        <v>155</v>
      </c>
      <c r="I6" s="152">
        <v>21813168</v>
      </c>
      <c r="J6" s="179" t="s">
        <v>47</v>
      </c>
      <c r="K6" s="182" t="s">
        <v>161</v>
      </c>
      <c r="L6" s="180"/>
      <c r="M6" s="138"/>
    </row>
    <row r="7" spans="1:21" s="53" customFormat="1" ht="38.25" customHeight="1">
      <c r="A7" s="77">
        <v>1</v>
      </c>
      <c r="B7" s="72">
        <v>44970</v>
      </c>
      <c r="C7" s="76">
        <v>44970</v>
      </c>
      <c r="D7" s="103" t="s">
        <v>300</v>
      </c>
      <c r="E7" s="77" t="s">
        <v>7</v>
      </c>
      <c r="F7" s="77" t="s">
        <v>3</v>
      </c>
      <c r="G7" s="163" t="s">
        <v>330</v>
      </c>
      <c r="H7" s="164" t="s">
        <v>118</v>
      </c>
      <c r="I7" s="99">
        <v>9925000</v>
      </c>
      <c r="J7" s="115" t="s">
        <v>379</v>
      </c>
      <c r="K7" s="181" t="s">
        <v>405</v>
      </c>
      <c r="L7" s="98"/>
      <c r="M7" s="98"/>
      <c r="S7" s="165"/>
      <c r="T7" s="165"/>
      <c r="U7" s="165"/>
    </row>
    <row r="8" spans="1:21" s="53" customFormat="1" ht="11.25">
      <c r="A8" s="77">
        <v>1</v>
      </c>
      <c r="B8" s="72"/>
      <c r="C8" s="76"/>
      <c r="D8" s="77"/>
      <c r="E8" s="77"/>
      <c r="F8" s="77"/>
      <c r="G8" s="73"/>
      <c r="H8" s="160"/>
      <c r="I8" s="99"/>
      <c r="J8" s="100"/>
      <c r="K8" s="115"/>
      <c r="L8" s="115"/>
      <c r="M8" s="115"/>
      <c r="N8" s="55"/>
      <c r="O8" s="55"/>
      <c r="P8" s="55"/>
      <c r="Q8" s="55"/>
      <c r="R8" s="55"/>
      <c r="S8" s="55"/>
      <c r="T8" s="55"/>
      <c r="U8" s="55"/>
    </row>
    <row r="9" spans="1:21" s="53" customFormat="1" ht="11.25">
      <c r="A9" s="77"/>
      <c r="B9" s="72"/>
      <c r="C9" s="76"/>
      <c r="D9" s="77"/>
      <c r="E9" s="77"/>
      <c r="F9" s="77"/>
      <c r="G9" s="73"/>
      <c r="H9" s="160"/>
      <c r="I9" s="161"/>
      <c r="J9" s="162"/>
      <c r="K9" s="98"/>
      <c r="L9" s="98"/>
      <c r="M9" s="98"/>
    </row>
    <row r="10" spans="1:21" s="53" customFormat="1" ht="11.25">
      <c r="A10" s="77"/>
      <c r="B10" s="72"/>
      <c r="C10" s="76"/>
      <c r="D10" s="77"/>
      <c r="E10" s="77"/>
      <c r="F10" s="77"/>
      <c r="G10" s="73"/>
      <c r="H10" s="160"/>
      <c r="I10" s="99"/>
      <c r="J10" s="162"/>
      <c r="K10" s="73"/>
      <c r="L10" s="73"/>
      <c r="M10" s="73"/>
    </row>
    <row r="11" spans="1:21" s="53" customFormat="1" ht="18" customHeight="1">
      <c r="A11" s="77"/>
      <c r="B11" s="72"/>
      <c r="C11" s="76"/>
      <c r="D11" s="77"/>
      <c r="E11" s="77"/>
      <c r="F11" s="77"/>
      <c r="G11" s="163"/>
      <c r="H11" s="164"/>
      <c r="I11" s="99"/>
      <c r="J11" s="100"/>
      <c r="K11" s="73"/>
      <c r="L11" s="73"/>
      <c r="M11" s="73"/>
      <c r="N11" s="137"/>
      <c r="S11" s="165"/>
      <c r="T11" s="165"/>
      <c r="U11" s="165"/>
    </row>
    <row r="12" spans="1:21" s="55" customFormat="1" ht="15.95" customHeight="1">
      <c r="A12" s="77"/>
      <c r="B12" s="72"/>
      <c r="C12" s="76"/>
      <c r="D12" s="77"/>
      <c r="E12" s="77"/>
      <c r="F12" s="77"/>
      <c r="G12" s="103"/>
      <c r="H12" s="73"/>
      <c r="I12" s="99"/>
      <c r="J12" s="100"/>
      <c r="K12" s="513"/>
      <c r="L12" s="166"/>
      <c r="M12" s="115"/>
      <c r="N12" s="53"/>
      <c r="O12" s="53"/>
      <c r="P12" s="53"/>
      <c r="Q12" s="53"/>
      <c r="R12" s="53"/>
      <c r="S12" s="165"/>
      <c r="T12" s="165"/>
      <c r="U12" s="165"/>
    </row>
    <row r="13" spans="1:21" s="53" customFormat="1" ht="15.95" customHeight="1">
      <c r="A13" s="77"/>
      <c r="B13" s="72"/>
      <c r="C13" s="76"/>
      <c r="D13" s="77"/>
      <c r="E13" s="77"/>
      <c r="F13" s="77"/>
      <c r="G13" s="103"/>
      <c r="H13" s="73"/>
      <c r="I13" s="99"/>
      <c r="J13" s="100"/>
      <c r="K13" s="514"/>
      <c r="L13" s="167"/>
      <c r="M13" s="115"/>
      <c r="S13" s="165"/>
      <c r="T13" s="165"/>
      <c r="U13" s="165"/>
    </row>
    <row r="14" spans="1:21" s="53" customFormat="1" ht="15.95" customHeight="1">
      <c r="A14" s="77"/>
      <c r="B14" s="72"/>
      <c r="C14" s="76"/>
      <c r="D14" s="77"/>
      <c r="E14" s="77"/>
      <c r="F14" s="77"/>
      <c r="G14" s="73"/>
      <c r="H14" s="160"/>
      <c r="I14" s="99"/>
      <c r="J14" s="100"/>
      <c r="K14" s="514"/>
      <c r="L14" s="167"/>
      <c r="M14" s="115"/>
      <c r="S14" s="165"/>
      <c r="T14" s="165"/>
      <c r="U14" s="165"/>
    </row>
    <row r="15" spans="1:21" s="53" customFormat="1" ht="15.95" customHeight="1">
      <c r="A15" s="77"/>
      <c r="B15" s="72"/>
      <c r="C15" s="76"/>
      <c r="D15" s="77"/>
      <c r="E15" s="77"/>
      <c r="F15" s="77"/>
      <c r="G15" s="73"/>
      <c r="H15" s="160"/>
      <c r="I15" s="99"/>
      <c r="J15" s="100"/>
      <c r="K15" s="515"/>
      <c r="L15" s="168"/>
      <c r="M15" s="115"/>
      <c r="S15" s="78"/>
      <c r="T15" s="78"/>
      <c r="U15" s="78"/>
    </row>
    <row r="16" spans="1:21" s="53" customFormat="1" ht="11.25">
      <c r="A16" s="77"/>
      <c r="B16" s="72"/>
      <c r="C16" s="76"/>
      <c r="D16" s="77"/>
      <c r="E16" s="77"/>
      <c r="F16" s="77"/>
      <c r="G16" s="73"/>
      <c r="H16" s="160"/>
      <c r="I16" s="99"/>
      <c r="J16" s="100"/>
      <c r="K16" s="115"/>
      <c r="L16" s="115"/>
      <c r="M16" s="115"/>
    </row>
    <row r="17" spans="1:14" s="55" customFormat="1" ht="78" customHeight="1">
      <c r="A17" s="77"/>
      <c r="B17" s="72"/>
      <c r="C17" s="76"/>
      <c r="D17" s="77"/>
      <c r="E17" s="77"/>
      <c r="F17" s="77"/>
      <c r="G17" s="73"/>
      <c r="H17" s="163"/>
      <c r="I17" s="99"/>
      <c r="J17" s="100"/>
      <c r="K17" s="115"/>
      <c r="L17" s="115"/>
      <c r="M17" s="516"/>
    </row>
    <row r="18" spans="1:14" s="53" customFormat="1" ht="80.25" customHeight="1">
      <c r="A18" s="77"/>
      <c r="B18" s="72"/>
      <c r="C18" s="76"/>
      <c r="D18" s="77"/>
      <c r="E18" s="77"/>
      <c r="F18" s="77"/>
      <c r="G18" s="73"/>
      <c r="H18" s="163"/>
      <c r="I18" s="99"/>
      <c r="J18" s="100"/>
      <c r="K18" s="73"/>
      <c r="L18" s="115"/>
      <c r="M18" s="517"/>
    </row>
    <row r="19" spans="1:14" s="55" customFormat="1" ht="80.25" customHeight="1">
      <c r="A19" s="77"/>
      <c r="B19" s="72"/>
      <c r="C19" s="76"/>
      <c r="D19" s="77"/>
      <c r="E19" s="77"/>
      <c r="F19" s="77"/>
      <c r="G19" s="73"/>
      <c r="H19" s="163"/>
      <c r="I19" s="99"/>
      <c r="J19" s="100"/>
      <c r="K19" s="115"/>
      <c r="L19" s="115"/>
      <c r="M19" s="517"/>
    </row>
    <row r="20" spans="1:14" s="55" customFormat="1" ht="36" customHeight="1">
      <c r="A20" s="77"/>
      <c r="B20" s="72"/>
      <c r="C20" s="76"/>
      <c r="D20" s="77"/>
      <c r="E20" s="77"/>
      <c r="F20" s="77"/>
      <c r="G20" s="73"/>
      <c r="H20" s="163"/>
      <c r="I20" s="99"/>
      <c r="J20" s="100"/>
      <c r="K20" s="115"/>
      <c r="L20" s="115"/>
      <c r="M20" s="517"/>
    </row>
    <row r="21" spans="1:14" s="55" customFormat="1" ht="36" customHeight="1">
      <c r="A21" s="77"/>
      <c r="B21" s="72"/>
      <c r="C21" s="76"/>
      <c r="D21" s="77"/>
      <c r="E21" s="77"/>
      <c r="F21" s="77"/>
      <c r="G21" s="73"/>
      <c r="H21" s="163"/>
      <c r="I21" s="99"/>
      <c r="J21" s="169"/>
      <c r="K21" s="115"/>
      <c r="L21" s="115"/>
      <c r="M21" s="517"/>
    </row>
    <row r="22" spans="1:14" s="55" customFormat="1" ht="43.5" customHeight="1">
      <c r="A22" s="77"/>
      <c r="B22" s="72"/>
      <c r="C22" s="76"/>
      <c r="D22" s="77"/>
      <c r="E22" s="77"/>
      <c r="F22" s="77"/>
      <c r="G22" s="163"/>
      <c r="H22" s="99"/>
      <c r="I22" s="99"/>
      <c r="J22" s="169"/>
      <c r="K22" s="115"/>
      <c r="L22" s="115"/>
      <c r="M22" s="517"/>
    </row>
    <row r="23" spans="1:14" s="53" customFormat="1" ht="33" customHeight="1">
      <c r="A23" s="77"/>
      <c r="B23" s="72"/>
      <c r="C23" s="76"/>
      <c r="D23" s="77"/>
      <c r="E23" s="77"/>
      <c r="F23" s="77"/>
      <c r="G23" s="163"/>
      <c r="H23" s="99"/>
      <c r="I23" s="99"/>
      <c r="J23" s="73"/>
      <c r="K23" s="115"/>
      <c r="L23" s="115"/>
      <c r="M23" s="517"/>
      <c r="N23" s="170"/>
    </row>
    <row r="24" spans="1:14" s="53" customFormat="1" ht="198" customHeight="1">
      <c r="A24" s="77"/>
      <c r="B24" s="171"/>
      <c r="C24" s="171"/>
      <c r="D24" s="115"/>
      <c r="E24" s="102"/>
      <c r="F24" s="77"/>
      <c r="G24" s="172"/>
      <c r="H24" s="173"/>
      <c r="I24" s="173"/>
      <c r="J24" s="115"/>
      <c r="K24" s="115"/>
      <c r="L24" s="115"/>
      <c r="M24" s="518"/>
    </row>
    <row r="25" spans="1:14" s="53" customFormat="1" ht="30" customHeight="1">
      <c r="A25" s="77"/>
      <c r="B25" s="72"/>
      <c r="C25" s="76"/>
      <c r="D25" s="77"/>
      <c r="E25" s="77"/>
      <c r="F25" s="77"/>
      <c r="G25" s="163"/>
      <c r="H25" s="99"/>
      <c r="I25" s="174"/>
      <c r="J25" s="169"/>
      <c r="K25" s="115"/>
      <c r="L25" s="71"/>
      <c r="M25" s="71"/>
    </row>
    <row r="26" spans="1:14" s="53" customFormat="1" ht="18" customHeight="1">
      <c r="A26" s="77"/>
      <c r="B26" s="72"/>
      <c r="C26" s="76"/>
      <c r="D26" s="77"/>
      <c r="E26" s="77"/>
      <c r="F26" s="77"/>
      <c r="G26" s="163"/>
      <c r="H26" s="99"/>
      <c r="I26" s="174"/>
      <c r="J26" s="169"/>
      <c r="K26" s="73"/>
      <c r="L26" s="71"/>
      <c r="M26" s="71"/>
    </row>
    <row r="27" spans="1:14" s="53" customFormat="1" ht="29.25" customHeight="1">
      <c r="A27" s="77"/>
      <c r="B27" s="76"/>
      <c r="C27" s="76"/>
      <c r="D27" s="77"/>
      <c r="E27" s="77"/>
      <c r="F27" s="77"/>
      <c r="G27" s="163"/>
      <c r="H27" s="99"/>
      <c r="I27" s="174"/>
      <c r="J27" s="175"/>
      <c r="K27" s="115"/>
      <c r="L27" s="71"/>
      <c r="M27" s="71"/>
    </row>
    <row r="31" spans="1:14">
      <c r="B31" s="176" t="s">
        <v>32</v>
      </c>
    </row>
    <row r="32" spans="1:14" ht="15.75" thickBot="1">
      <c r="B32" s="116" t="s">
        <v>406</v>
      </c>
    </row>
    <row r="33" spans="2:15">
      <c r="B33" s="1" t="s">
        <v>33</v>
      </c>
      <c r="C33" s="2" t="s">
        <v>19</v>
      </c>
      <c r="D33" s="2" t="s">
        <v>20</v>
      </c>
      <c r="E33" s="2" t="s">
        <v>21</v>
      </c>
      <c r="F33" s="2" t="s">
        <v>22</v>
      </c>
      <c r="G33" s="2" t="s">
        <v>23</v>
      </c>
      <c r="H33" s="2" t="s">
        <v>24</v>
      </c>
      <c r="I33" s="2" t="s">
        <v>25</v>
      </c>
      <c r="J33" s="2" t="s">
        <v>26</v>
      </c>
      <c r="K33" s="2" t="s">
        <v>27</v>
      </c>
      <c r="L33" s="43" t="s">
        <v>28</v>
      </c>
      <c r="M33" s="43" t="s">
        <v>35</v>
      </c>
      <c r="N33" s="44" t="s">
        <v>36</v>
      </c>
      <c r="O33" s="44" t="s">
        <v>0</v>
      </c>
    </row>
    <row r="34" spans="2:15">
      <c r="B34" s="25" t="s">
        <v>3</v>
      </c>
      <c r="C34" s="26"/>
      <c r="D34" s="26">
        <v>2</v>
      </c>
      <c r="E34" s="26"/>
      <c r="F34" s="26"/>
      <c r="G34" s="26"/>
      <c r="H34" s="26"/>
      <c r="I34" s="26"/>
      <c r="J34" s="26"/>
      <c r="K34" s="26"/>
      <c r="L34" s="26"/>
      <c r="M34" s="26"/>
      <c r="N34" s="27"/>
      <c r="O34" s="31">
        <f>SUM(C34:N34)</f>
        <v>2</v>
      </c>
    </row>
    <row r="35" spans="2:15">
      <c r="B35" s="25" t="s">
        <v>4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7"/>
      <c r="O35" s="31">
        <f>SUM(C35:N35)</f>
        <v>0</v>
      </c>
    </row>
    <row r="36" spans="2:15">
      <c r="B36" s="28" t="s">
        <v>6</v>
      </c>
      <c r="C36" s="29">
        <v>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7"/>
      <c r="O36" s="31">
        <f>SUM(C36:N36)</f>
        <v>1</v>
      </c>
    </row>
    <row r="37" spans="2:15">
      <c r="B37" s="25" t="s">
        <v>5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45"/>
      <c r="O37" s="31">
        <f>SUM(C37:N37)</f>
        <v>0</v>
      </c>
    </row>
    <row r="38" spans="2:15" ht="15.75" thickBot="1">
      <c r="B38" s="3" t="s">
        <v>18</v>
      </c>
      <c r="C38" s="4">
        <f t="shared" ref="C38:O38" si="0">SUM(C34:C37)</f>
        <v>1</v>
      </c>
      <c r="D38" s="4">
        <f t="shared" si="0"/>
        <v>2</v>
      </c>
      <c r="E38" s="4">
        <f t="shared" si="0"/>
        <v>0</v>
      </c>
      <c r="F38" s="4">
        <f t="shared" si="0"/>
        <v>0</v>
      </c>
      <c r="G38" s="4">
        <f t="shared" si="0"/>
        <v>0</v>
      </c>
      <c r="H38" s="4">
        <f t="shared" si="0"/>
        <v>0</v>
      </c>
      <c r="I38" s="4">
        <f t="shared" si="0"/>
        <v>0</v>
      </c>
      <c r="J38" s="4">
        <f t="shared" si="0"/>
        <v>0</v>
      </c>
      <c r="K38" s="4">
        <f t="shared" si="0"/>
        <v>0</v>
      </c>
      <c r="L38" s="4">
        <f t="shared" si="0"/>
        <v>0</v>
      </c>
      <c r="M38" s="4">
        <f t="shared" si="0"/>
        <v>0</v>
      </c>
      <c r="N38" s="4">
        <f t="shared" si="0"/>
        <v>0</v>
      </c>
      <c r="O38" s="4">
        <f t="shared" si="0"/>
        <v>3</v>
      </c>
    </row>
    <row r="39" spans="2:15" ht="16.5" thickTop="1" thickBot="1">
      <c r="B39" s="176" t="s">
        <v>57</v>
      </c>
    </row>
    <row r="40" spans="2:15">
      <c r="B40" s="5" t="s">
        <v>33</v>
      </c>
      <c r="C40" s="6" t="s">
        <v>19</v>
      </c>
      <c r="D40" s="6" t="s">
        <v>20</v>
      </c>
      <c r="E40" s="6" t="s">
        <v>21</v>
      </c>
      <c r="F40" s="6" t="s">
        <v>22</v>
      </c>
      <c r="G40" s="6" t="s">
        <v>23</v>
      </c>
      <c r="H40" s="6" t="s">
        <v>24</v>
      </c>
      <c r="I40" s="6" t="s">
        <v>25</v>
      </c>
      <c r="J40" s="6" t="s">
        <v>26</v>
      </c>
      <c r="K40" s="6" t="s">
        <v>27</v>
      </c>
      <c r="L40" s="14" t="s">
        <v>28</v>
      </c>
      <c r="M40" s="14" t="s">
        <v>35</v>
      </c>
      <c r="N40" s="14" t="s">
        <v>36</v>
      </c>
      <c r="O40" s="15" t="s">
        <v>0</v>
      </c>
    </row>
    <row r="41" spans="2:15">
      <c r="B41" s="25" t="s">
        <v>3</v>
      </c>
      <c r="C41" s="26">
        <v>1420</v>
      </c>
      <c r="D41" s="26">
        <v>1799</v>
      </c>
      <c r="E41" s="26">
        <v>1154</v>
      </c>
      <c r="F41" s="26"/>
      <c r="G41" s="26"/>
      <c r="H41" s="26"/>
      <c r="I41" s="26"/>
      <c r="J41" s="26"/>
      <c r="K41" s="26"/>
      <c r="L41" s="26"/>
      <c r="M41" s="27"/>
      <c r="N41" s="27"/>
      <c r="O41" s="31">
        <f t="shared" ref="O41:O46" si="1">SUM(C41:N41)</f>
        <v>4373</v>
      </c>
    </row>
    <row r="42" spans="2:15">
      <c r="B42" s="25" t="s">
        <v>4</v>
      </c>
      <c r="C42" s="29">
        <v>2113</v>
      </c>
      <c r="D42" s="29">
        <v>1431</v>
      </c>
      <c r="E42" s="29">
        <v>1808</v>
      </c>
      <c r="F42" s="29"/>
      <c r="G42" s="29"/>
      <c r="H42" s="29"/>
      <c r="I42" s="29"/>
      <c r="J42" s="29"/>
      <c r="K42" s="29"/>
      <c r="L42" s="29"/>
      <c r="M42" s="29"/>
      <c r="N42" s="27"/>
      <c r="O42" s="31">
        <f t="shared" si="1"/>
        <v>5352</v>
      </c>
    </row>
    <row r="43" spans="2:15">
      <c r="B43" s="28" t="s">
        <v>6</v>
      </c>
      <c r="C43" s="29">
        <v>1702</v>
      </c>
      <c r="D43" s="29">
        <v>2572</v>
      </c>
      <c r="E43" s="29">
        <v>1826</v>
      </c>
      <c r="F43" s="29"/>
      <c r="G43" s="29"/>
      <c r="H43" s="29"/>
      <c r="I43" s="29"/>
      <c r="J43" s="29"/>
      <c r="K43" s="29"/>
      <c r="L43" s="29"/>
      <c r="M43" s="29"/>
      <c r="N43" s="27"/>
      <c r="O43" s="31">
        <f t="shared" si="1"/>
        <v>6100</v>
      </c>
    </row>
    <row r="44" spans="2:15">
      <c r="B44" s="25" t="s">
        <v>5</v>
      </c>
      <c r="C44" s="29">
        <v>1801</v>
      </c>
      <c r="D44" s="29">
        <v>811</v>
      </c>
      <c r="E44" s="29"/>
      <c r="F44" s="29"/>
      <c r="G44" s="29"/>
      <c r="H44" s="29"/>
      <c r="I44" s="29"/>
      <c r="J44" s="29"/>
      <c r="K44" s="29"/>
      <c r="L44" s="29"/>
      <c r="M44" s="29"/>
      <c r="N44" s="27"/>
      <c r="O44" s="31">
        <f t="shared" si="1"/>
        <v>2612</v>
      </c>
    </row>
    <row r="45" spans="2:15">
      <c r="B45" s="25" t="s">
        <v>140</v>
      </c>
      <c r="C45" s="29">
        <v>192</v>
      </c>
      <c r="D45" s="29">
        <v>172</v>
      </c>
      <c r="E45" s="29">
        <v>136</v>
      </c>
      <c r="F45" s="29"/>
      <c r="G45" s="29"/>
      <c r="H45" s="29"/>
      <c r="I45" s="29"/>
      <c r="J45" s="29"/>
      <c r="K45" s="29"/>
      <c r="L45" s="29"/>
      <c r="M45" s="29"/>
      <c r="N45" s="27"/>
      <c r="O45" s="31">
        <f t="shared" si="1"/>
        <v>500</v>
      </c>
    </row>
    <row r="46" spans="2:15">
      <c r="B46" s="25" t="s">
        <v>65</v>
      </c>
      <c r="C46" s="29">
        <v>4</v>
      </c>
      <c r="D46" s="29">
        <v>8</v>
      </c>
      <c r="E46" s="29">
        <v>13</v>
      </c>
      <c r="F46" s="29"/>
      <c r="G46" s="29"/>
      <c r="H46" s="29"/>
      <c r="I46" s="29"/>
      <c r="J46" s="29"/>
      <c r="K46" s="29"/>
      <c r="L46" s="29"/>
      <c r="M46" s="29"/>
      <c r="N46" s="27"/>
      <c r="O46" s="31">
        <f t="shared" si="1"/>
        <v>25</v>
      </c>
    </row>
    <row r="47" spans="2:15" ht="15.75" thickBot="1">
      <c r="B47" s="7" t="s">
        <v>30</v>
      </c>
      <c r="C47" s="8">
        <f t="shared" ref="C47:O47" si="2">SUM(C41:C46)</f>
        <v>7232</v>
      </c>
      <c r="D47" s="8">
        <f t="shared" si="2"/>
        <v>6793</v>
      </c>
      <c r="E47" s="8">
        <f t="shared" si="2"/>
        <v>4937</v>
      </c>
      <c r="F47" s="8">
        <f t="shared" si="2"/>
        <v>0</v>
      </c>
      <c r="G47" s="8">
        <f t="shared" si="2"/>
        <v>0</v>
      </c>
      <c r="H47" s="8">
        <f t="shared" si="2"/>
        <v>0</v>
      </c>
      <c r="I47" s="8">
        <f t="shared" si="2"/>
        <v>0</v>
      </c>
      <c r="J47" s="8">
        <f t="shared" si="2"/>
        <v>0</v>
      </c>
      <c r="K47" s="8">
        <f t="shared" si="2"/>
        <v>0</v>
      </c>
      <c r="L47" s="8">
        <f t="shared" si="2"/>
        <v>0</v>
      </c>
      <c r="M47" s="8">
        <f t="shared" si="2"/>
        <v>0</v>
      </c>
      <c r="N47" s="8">
        <f t="shared" si="2"/>
        <v>0</v>
      </c>
      <c r="O47" s="8">
        <f t="shared" si="2"/>
        <v>18962</v>
      </c>
    </row>
    <row r="48" spans="2:15" ht="15.75" thickTop="1">
      <c r="B48" s="176" t="s">
        <v>58</v>
      </c>
    </row>
    <row r="49" spans="2:15">
      <c r="B49" s="194" t="s">
        <v>34</v>
      </c>
      <c r="C49" s="195" t="s">
        <v>19</v>
      </c>
      <c r="D49" s="195" t="s">
        <v>20</v>
      </c>
      <c r="E49" s="195" t="s">
        <v>21</v>
      </c>
      <c r="F49" s="195" t="s">
        <v>22</v>
      </c>
      <c r="G49" s="195" t="s">
        <v>23</v>
      </c>
      <c r="H49" s="195" t="s">
        <v>24</v>
      </c>
      <c r="I49" s="195" t="s">
        <v>25</v>
      </c>
      <c r="J49" s="195" t="s">
        <v>26</v>
      </c>
      <c r="K49" s="195" t="s">
        <v>27</v>
      </c>
      <c r="L49" s="195" t="s">
        <v>28</v>
      </c>
      <c r="M49" s="195" t="s">
        <v>35</v>
      </c>
      <c r="N49" s="195" t="s">
        <v>36</v>
      </c>
      <c r="O49" s="196" t="s">
        <v>0</v>
      </c>
    </row>
    <row r="50" spans="2:15">
      <c r="B50" s="193" t="s">
        <v>3</v>
      </c>
      <c r="C50" s="203">
        <f>+C34/C41</f>
        <v>0</v>
      </c>
      <c r="D50" s="203">
        <f t="shared" ref="D50:O50" si="3">+D34/D41</f>
        <v>1.1117287381878821E-3</v>
      </c>
      <c r="E50" s="199">
        <f t="shared" si="3"/>
        <v>0</v>
      </c>
      <c r="F50" s="199" t="e">
        <f t="shared" si="3"/>
        <v>#DIV/0!</v>
      </c>
      <c r="G50" s="199" t="e">
        <f t="shared" si="3"/>
        <v>#DIV/0!</v>
      </c>
      <c r="H50" s="199" t="e">
        <f t="shared" si="3"/>
        <v>#DIV/0!</v>
      </c>
      <c r="I50" s="199" t="e">
        <f t="shared" si="3"/>
        <v>#DIV/0!</v>
      </c>
      <c r="J50" s="199" t="e">
        <f t="shared" si="3"/>
        <v>#DIV/0!</v>
      </c>
      <c r="K50" s="199" t="e">
        <f t="shared" si="3"/>
        <v>#DIV/0!</v>
      </c>
      <c r="L50" s="199" t="e">
        <f t="shared" si="3"/>
        <v>#DIV/0!</v>
      </c>
      <c r="M50" s="199" t="e">
        <f t="shared" si="3"/>
        <v>#DIV/0!</v>
      </c>
      <c r="N50" s="199" t="e">
        <f t="shared" si="3"/>
        <v>#DIV/0!</v>
      </c>
      <c r="O50" s="200">
        <f t="shared" si="3"/>
        <v>4.5735193231191402E-4</v>
      </c>
    </row>
    <row r="51" spans="2:15">
      <c r="B51" s="193" t="s">
        <v>4</v>
      </c>
      <c r="C51" s="203">
        <f>+C35/C42</f>
        <v>0</v>
      </c>
      <c r="D51" s="203">
        <f t="shared" ref="D51:O51" si="4">+D35/D42</f>
        <v>0</v>
      </c>
      <c r="E51" s="199">
        <f t="shared" si="4"/>
        <v>0</v>
      </c>
      <c r="F51" s="199" t="e">
        <f t="shared" si="4"/>
        <v>#DIV/0!</v>
      </c>
      <c r="G51" s="199" t="e">
        <f t="shared" si="4"/>
        <v>#DIV/0!</v>
      </c>
      <c r="H51" s="199" t="e">
        <f t="shared" si="4"/>
        <v>#DIV/0!</v>
      </c>
      <c r="I51" s="199" t="e">
        <f t="shared" si="4"/>
        <v>#DIV/0!</v>
      </c>
      <c r="J51" s="199" t="e">
        <f t="shared" si="4"/>
        <v>#DIV/0!</v>
      </c>
      <c r="K51" s="199" t="e">
        <f t="shared" si="4"/>
        <v>#DIV/0!</v>
      </c>
      <c r="L51" s="199" t="e">
        <f t="shared" si="4"/>
        <v>#DIV/0!</v>
      </c>
      <c r="M51" s="199" t="e">
        <f t="shared" si="4"/>
        <v>#DIV/0!</v>
      </c>
      <c r="N51" s="199" t="e">
        <f t="shared" si="4"/>
        <v>#DIV/0!</v>
      </c>
      <c r="O51" s="200">
        <f t="shared" si="4"/>
        <v>0</v>
      </c>
    </row>
    <row r="52" spans="2:15">
      <c r="B52" s="193" t="s">
        <v>6</v>
      </c>
      <c r="C52" s="203">
        <f>+C36/C43</f>
        <v>5.8754406580493535E-4</v>
      </c>
      <c r="D52" s="203">
        <f t="shared" ref="D52:O52" si="5">+D36/D43</f>
        <v>0</v>
      </c>
      <c r="E52" s="199">
        <f t="shared" si="5"/>
        <v>0</v>
      </c>
      <c r="F52" s="199" t="e">
        <f t="shared" si="5"/>
        <v>#DIV/0!</v>
      </c>
      <c r="G52" s="199" t="e">
        <f t="shared" si="5"/>
        <v>#DIV/0!</v>
      </c>
      <c r="H52" s="199" t="e">
        <f t="shared" si="5"/>
        <v>#DIV/0!</v>
      </c>
      <c r="I52" s="199" t="e">
        <f t="shared" si="5"/>
        <v>#DIV/0!</v>
      </c>
      <c r="J52" s="199" t="e">
        <f t="shared" si="5"/>
        <v>#DIV/0!</v>
      </c>
      <c r="K52" s="199" t="e">
        <f t="shared" si="5"/>
        <v>#DIV/0!</v>
      </c>
      <c r="L52" s="199" t="e">
        <f t="shared" si="5"/>
        <v>#DIV/0!</v>
      </c>
      <c r="M52" s="199" t="e">
        <f t="shared" si="5"/>
        <v>#DIV/0!</v>
      </c>
      <c r="N52" s="199" t="e">
        <f t="shared" si="5"/>
        <v>#DIV/0!</v>
      </c>
      <c r="O52" s="200">
        <f t="shared" si="5"/>
        <v>1.639344262295082E-4</v>
      </c>
    </row>
    <row r="53" spans="2:15">
      <c r="B53" s="193" t="s">
        <v>5</v>
      </c>
      <c r="C53" s="203">
        <f>+C37/C44</f>
        <v>0</v>
      </c>
      <c r="D53" s="203">
        <f t="shared" ref="D53:O53" si="6">+D37/D44</f>
        <v>0</v>
      </c>
      <c r="E53" s="199" t="e">
        <f t="shared" si="6"/>
        <v>#DIV/0!</v>
      </c>
      <c r="F53" s="199" t="e">
        <f t="shared" si="6"/>
        <v>#DIV/0!</v>
      </c>
      <c r="G53" s="199" t="e">
        <f t="shared" si="6"/>
        <v>#DIV/0!</v>
      </c>
      <c r="H53" s="199" t="e">
        <f t="shared" si="6"/>
        <v>#DIV/0!</v>
      </c>
      <c r="I53" s="199" t="e">
        <f t="shared" si="6"/>
        <v>#DIV/0!</v>
      </c>
      <c r="J53" s="199" t="e">
        <f t="shared" si="6"/>
        <v>#DIV/0!</v>
      </c>
      <c r="K53" s="199" t="e">
        <f t="shared" si="6"/>
        <v>#DIV/0!</v>
      </c>
      <c r="L53" s="199" t="e">
        <f t="shared" si="6"/>
        <v>#DIV/0!</v>
      </c>
      <c r="M53" s="199" t="e">
        <f t="shared" si="6"/>
        <v>#DIV/0!</v>
      </c>
      <c r="N53" s="199" t="e">
        <f t="shared" si="6"/>
        <v>#DIV/0!</v>
      </c>
      <c r="O53" s="200">
        <f t="shared" si="6"/>
        <v>0</v>
      </c>
    </row>
    <row r="54" spans="2:15">
      <c r="B54" s="197" t="s">
        <v>18</v>
      </c>
      <c r="C54" s="204">
        <f t="shared" ref="C54:N54" si="7">+C38/C47</f>
        <v>1.3827433628318584E-4</v>
      </c>
      <c r="D54" s="204">
        <f t="shared" si="7"/>
        <v>2.9442072721919626E-4</v>
      </c>
      <c r="E54" s="198">
        <f t="shared" si="7"/>
        <v>0</v>
      </c>
      <c r="F54" s="198" t="e">
        <f t="shared" si="7"/>
        <v>#DIV/0!</v>
      </c>
      <c r="G54" s="198" t="e">
        <f t="shared" si="7"/>
        <v>#DIV/0!</v>
      </c>
      <c r="H54" s="198" t="e">
        <f t="shared" si="7"/>
        <v>#DIV/0!</v>
      </c>
      <c r="I54" s="198" t="e">
        <f t="shared" si="7"/>
        <v>#DIV/0!</v>
      </c>
      <c r="J54" s="198" t="e">
        <f t="shared" si="7"/>
        <v>#DIV/0!</v>
      </c>
      <c r="K54" s="198" t="e">
        <f t="shared" si="7"/>
        <v>#DIV/0!</v>
      </c>
      <c r="L54" s="198" t="e">
        <f t="shared" si="7"/>
        <v>#DIV/0!</v>
      </c>
      <c r="M54" s="198" t="e">
        <f t="shared" si="7"/>
        <v>#DIV/0!</v>
      </c>
      <c r="N54" s="198" t="e">
        <f t="shared" si="7"/>
        <v>#DIV/0!</v>
      </c>
      <c r="O54" s="198">
        <f>+O38/O47</f>
        <v>1.5821115916042611E-4</v>
      </c>
    </row>
  </sheetData>
  <sortState ref="A6:R16">
    <sortCondition ref="E6:E16"/>
  </sortState>
  <mergeCells count="3">
    <mergeCell ref="S5:U5"/>
    <mergeCell ref="K12:K15"/>
    <mergeCell ref="M17:M24"/>
  </mergeCells>
  <pageMargins left="0.2" right="0.2" top="0.25" bottom="0.25" header="0" footer="0"/>
  <pageSetup paperSize="1000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249977111117893"/>
  </sheetPr>
  <dimension ref="A2:R50"/>
  <sheetViews>
    <sheetView workbookViewId="0">
      <pane xSplit="2" ySplit="5" topLeftCell="C6" activePane="bottomRight" state="frozen"/>
      <selection activeCell="C59" sqref="C59"/>
      <selection pane="topRight" activeCell="C59" sqref="C59"/>
      <selection pane="bottomLeft" activeCell="C59" sqref="C59"/>
      <selection pane="bottomRight" activeCell="C59" sqref="C59"/>
    </sheetView>
  </sheetViews>
  <sheetFormatPr defaultColWidth="8.85546875" defaultRowHeight="15"/>
  <cols>
    <col min="1" max="1" width="5.140625" customWidth="1"/>
    <col min="2" max="2" width="8.28515625" bestFit="1" customWidth="1"/>
    <col min="3" max="5" width="15.7109375" customWidth="1"/>
    <col min="6" max="6" width="24.85546875" customWidth="1"/>
    <col min="7" max="12" width="19.140625" customWidth="1"/>
    <col min="13" max="14" width="19.140625" hidden="1" customWidth="1"/>
    <col min="15" max="15" width="19.140625" customWidth="1"/>
  </cols>
  <sheetData>
    <row r="2" spans="1:18" ht="19.5">
      <c r="A2" s="96" t="s">
        <v>111</v>
      </c>
      <c r="B2" s="96"/>
      <c r="C2" s="96"/>
      <c r="D2" s="96"/>
    </row>
    <row r="3" spans="1:18" ht="19.5">
      <c r="A3" s="97" t="s">
        <v>102</v>
      </c>
      <c r="B3" s="96"/>
      <c r="C3" s="96"/>
      <c r="D3" s="96"/>
    </row>
    <row r="5" spans="1:18" ht="22.5">
      <c r="A5" s="69" t="s">
        <v>60</v>
      </c>
      <c r="B5" s="70" t="s">
        <v>40</v>
      </c>
      <c r="C5" s="70" t="s">
        <v>41</v>
      </c>
      <c r="D5" s="70" t="s">
        <v>42</v>
      </c>
      <c r="E5" s="70" t="s">
        <v>48</v>
      </c>
      <c r="F5" s="69" t="s">
        <v>43</v>
      </c>
      <c r="G5" s="69" t="s">
        <v>44</v>
      </c>
      <c r="H5" s="69" t="s">
        <v>78</v>
      </c>
      <c r="I5" s="69" t="s">
        <v>44</v>
      </c>
      <c r="J5" s="69" t="s">
        <v>91</v>
      </c>
      <c r="K5" s="101" t="s">
        <v>92</v>
      </c>
      <c r="P5" s="512"/>
      <c r="Q5" s="512"/>
      <c r="R5" s="512"/>
    </row>
    <row r="6" spans="1:18" s="53" customFormat="1" ht="106.5" customHeight="1">
      <c r="A6" s="77">
        <v>1</v>
      </c>
      <c r="B6" s="72">
        <v>44837</v>
      </c>
      <c r="C6" s="76">
        <v>44835</v>
      </c>
      <c r="D6" s="77" t="s">
        <v>97</v>
      </c>
      <c r="E6" s="77" t="s">
        <v>6</v>
      </c>
      <c r="F6" s="74" t="s">
        <v>98</v>
      </c>
      <c r="G6" s="104" t="s">
        <v>99</v>
      </c>
      <c r="H6" s="99">
        <v>0</v>
      </c>
      <c r="I6" s="100" t="s">
        <v>79</v>
      </c>
      <c r="J6" s="73" t="s">
        <v>100</v>
      </c>
      <c r="K6" s="112" t="s">
        <v>101</v>
      </c>
      <c r="P6" s="522"/>
      <c r="Q6" s="522"/>
      <c r="R6" s="522"/>
    </row>
    <row r="7" spans="1:18" s="53" customFormat="1" ht="38.25" customHeight="1">
      <c r="A7" s="77">
        <v>2</v>
      </c>
      <c r="B7" s="72">
        <v>44845</v>
      </c>
      <c r="C7" s="76">
        <v>44845</v>
      </c>
      <c r="D7" s="77" t="s">
        <v>93</v>
      </c>
      <c r="E7" s="77" t="s">
        <v>4</v>
      </c>
      <c r="F7" s="74" t="s">
        <v>94</v>
      </c>
      <c r="G7" s="104" t="s">
        <v>95</v>
      </c>
      <c r="H7" s="99">
        <v>1850000</v>
      </c>
      <c r="I7" s="100" t="s">
        <v>79</v>
      </c>
      <c r="J7" s="98" t="s">
        <v>103</v>
      </c>
      <c r="K7" s="71"/>
      <c r="P7" s="522"/>
      <c r="Q7" s="522"/>
      <c r="R7" s="522"/>
    </row>
    <row r="8" spans="1:18" s="53" customFormat="1" ht="18" customHeight="1">
      <c r="A8" s="519">
        <v>3</v>
      </c>
      <c r="B8" s="523">
        <v>44853</v>
      </c>
      <c r="C8" s="523">
        <v>44853</v>
      </c>
      <c r="D8" s="519" t="s">
        <v>104</v>
      </c>
      <c r="E8" s="77" t="s">
        <v>6</v>
      </c>
      <c r="F8" s="103" t="s">
        <v>61</v>
      </c>
      <c r="G8" s="73" t="s">
        <v>105</v>
      </c>
      <c r="H8" s="79">
        <v>100510775</v>
      </c>
      <c r="I8" s="75" t="s">
        <v>109</v>
      </c>
      <c r="J8" s="513" t="s">
        <v>110</v>
      </c>
      <c r="K8" s="71"/>
      <c r="P8" s="522"/>
      <c r="Q8" s="522"/>
      <c r="R8" s="522"/>
    </row>
    <row r="9" spans="1:18" s="53" customFormat="1" ht="18" customHeight="1">
      <c r="A9" s="520"/>
      <c r="B9" s="524"/>
      <c r="C9" s="524"/>
      <c r="D9" s="520"/>
      <c r="E9" s="77" t="s">
        <v>6</v>
      </c>
      <c r="F9" s="103" t="s">
        <v>61</v>
      </c>
      <c r="G9" s="73" t="s">
        <v>106</v>
      </c>
      <c r="H9" s="79">
        <v>100510775</v>
      </c>
      <c r="I9" s="75" t="s">
        <v>109</v>
      </c>
      <c r="J9" s="514"/>
      <c r="K9" s="71"/>
      <c r="P9" s="522"/>
      <c r="Q9" s="522"/>
      <c r="R9" s="522"/>
    </row>
    <row r="10" spans="1:18" s="53" customFormat="1" ht="18" customHeight="1">
      <c r="A10" s="520"/>
      <c r="B10" s="524"/>
      <c r="C10" s="524"/>
      <c r="D10" s="520"/>
      <c r="E10" s="77" t="s">
        <v>6</v>
      </c>
      <c r="F10" s="73" t="s">
        <v>61</v>
      </c>
      <c r="G10" s="74" t="s">
        <v>107</v>
      </c>
      <c r="H10" s="79">
        <v>100510775</v>
      </c>
      <c r="I10" s="75" t="s">
        <v>109</v>
      </c>
      <c r="J10" s="514"/>
      <c r="K10" s="71"/>
      <c r="P10" s="522"/>
      <c r="Q10" s="522"/>
      <c r="R10" s="522"/>
    </row>
    <row r="11" spans="1:18" s="53" customFormat="1" ht="18" customHeight="1">
      <c r="A11" s="521"/>
      <c r="B11" s="525"/>
      <c r="C11" s="525"/>
      <c r="D11" s="521"/>
      <c r="E11" s="77" t="s">
        <v>6</v>
      </c>
      <c r="F11" s="73" t="s">
        <v>61</v>
      </c>
      <c r="G11" s="74" t="s">
        <v>108</v>
      </c>
      <c r="H11" s="79">
        <v>100510775</v>
      </c>
      <c r="I11" s="75" t="s">
        <v>109</v>
      </c>
      <c r="J11" s="515"/>
      <c r="K11" s="71"/>
      <c r="P11" s="78"/>
      <c r="Q11" s="78"/>
      <c r="R11" s="78"/>
    </row>
    <row r="12" spans="1:18" s="55" customFormat="1" ht="51" customHeight="1">
      <c r="A12" s="77">
        <v>4</v>
      </c>
      <c r="B12" s="72">
        <v>44856</v>
      </c>
      <c r="C12" s="76">
        <v>44855</v>
      </c>
      <c r="D12" s="77" t="s">
        <v>114</v>
      </c>
      <c r="E12" s="77" t="s">
        <v>4</v>
      </c>
      <c r="F12" s="73" t="s">
        <v>115</v>
      </c>
      <c r="G12" s="74" t="s">
        <v>96</v>
      </c>
      <c r="H12" s="99">
        <v>949999.99999794003</v>
      </c>
      <c r="I12" s="100" t="s">
        <v>116</v>
      </c>
      <c r="J12" s="115" t="s">
        <v>117</v>
      </c>
      <c r="K12" s="73"/>
    </row>
    <row r="13" spans="1:18" s="53" customFormat="1" ht="18" customHeight="1">
      <c r="A13" s="77">
        <v>5</v>
      </c>
      <c r="B13" s="72">
        <v>44860</v>
      </c>
      <c r="C13" s="76">
        <v>44859</v>
      </c>
      <c r="D13" s="77" t="s">
        <v>119</v>
      </c>
      <c r="E13" s="77" t="s">
        <v>5</v>
      </c>
      <c r="F13" s="73" t="s">
        <v>120</v>
      </c>
      <c r="G13" s="74" t="s">
        <v>96</v>
      </c>
      <c r="H13" s="99">
        <v>136500</v>
      </c>
      <c r="I13" s="100" t="s">
        <v>47</v>
      </c>
      <c r="J13" s="71"/>
      <c r="K13" s="71"/>
    </row>
    <row r="14" spans="1:18" s="53" customFormat="1" ht="18" customHeight="1">
      <c r="A14" s="77">
        <v>6</v>
      </c>
      <c r="B14" s="72">
        <v>44861</v>
      </c>
      <c r="C14" s="76">
        <v>44856</v>
      </c>
      <c r="D14" s="77" t="s">
        <v>122</v>
      </c>
      <c r="E14" s="77" t="s">
        <v>4</v>
      </c>
      <c r="F14" s="71" t="s">
        <v>124</v>
      </c>
      <c r="G14" s="74" t="s">
        <v>96</v>
      </c>
      <c r="H14" s="79">
        <v>3299999.9999966999</v>
      </c>
      <c r="I14" s="75" t="s">
        <v>126</v>
      </c>
      <c r="J14" s="71" t="s">
        <v>127</v>
      </c>
      <c r="K14" s="71"/>
    </row>
    <row r="15" spans="1:18" s="53" customFormat="1" ht="18" customHeight="1">
      <c r="A15" s="77">
        <v>7</v>
      </c>
      <c r="B15" s="72">
        <v>44863</v>
      </c>
      <c r="C15" s="76">
        <v>44858</v>
      </c>
      <c r="D15" s="77" t="s">
        <v>123</v>
      </c>
      <c r="E15" s="77" t="s">
        <v>3</v>
      </c>
      <c r="F15" s="71" t="s">
        <v>88</v>
      </c>
      <c r="G15" s="74" t="s">
        <v>125</v>
      </c>
      <c r="H15" s="79">
        <v>10860000</v>
      </c>
      <c r="I15" s="75" t="s">
        <v>47</v>
      </c>
      <c r="J15" s="71" t="s">
        <v>128</v>
      </c>
      <c r="K15" s="71"/>
    </row>
    <row r="16" spans="1:18" s="53" customFormat="1" ht="18" customHeight="1">
      <c r="A16" s="93"/>
      <c r="B16" s="72"/>
      <c r="C16" s="76"/>
      <c r="D16" s="77"/>
      <c r="E16" s="77"/>
      <c r="F16" s="71"/>
      <c r="G16" s="74"/>
      <c r="H16" s="79"/>
      <c r="I16" s="75"/>
      <c r="J16" s="71"/>
      <c r="K16" s="71"/>
    </row>
    <row r="17" spans="1:15" s="53" customFormat="1" ht="18" customHeight="1">
      <c r="A17" s="93"/>
      <c r="B17" s="72"/>
      <c r="C17" s="76"/>
      <c r="D17" s="77"/>
      <c r="E17" s="77"/>
      <c r="F17" s="71"/>
      <c r="G17" s="74"/>
      <c r="H17" s="79"/>
      <c r="I17" s="75"/>
      <c r="J17" s="71"/>
      <c r="K17" s="71"/>
    </row>
    <row r="18" spans="1:15" s="53" customFormat="1" ht="18" customHeight="1">
      <c r="A18" s="93"/>
      <c r="B18" s="72"/>
      <c r="C18" s="76"/>
      <c r="D18" s="77"/>
      <c r="E18" s="77"/>
      <c r="F18" s="71"/>
      <c r="G18" s="74"/>
      <c r="H18" s="79"/>
      <c r="I18" s="75"/>
      <c r="J18" s="71"/>
      <c r="K18" s="71"/>
    </row>
    <row r="19" spans="1:15" s="53" customFormat="1" ht="18" customHeight="1">
      <c r="A19" s="93"/>
      <c r="B19" s="72"/>
      <c r="C19" s="76"/>
      <c r="D19" s="77"/>
      <c r="E19" s="77"/>
      <c r="F19" s="71"/>
      <c r="G19" s="74"/>
      <c r="H19" s="79"/>
      <c r="I19" s="75"/>
      <c r="J19" s="71"/>
      <c r="K19" s="71"/>
    </row>
    <row r="23" spans="1:15">
      <c r="B23" s="36" t="s">
        <v>32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</row>
    <row r="24" spans="1:15" ht="15.75" thickBot="1">
      <c r="B24" s="24" t="s">
        <v>121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</row>
    <row r="25" spans="1:15">
      <c r="B25" s="1" t="s">
        <v>33</v>
      </c>
      <c r="C25" s="2" t="s">
        <v>19</v>
      </c>
      <c r="D25" s="2" t="s">
        <v>20</v>
      </c>
      <c r="E25" s="2" t="s">
        <v>21</v>
      </c>
      <c r="F25" s="2" t="s">
        <v>22</v>
      </c>
      <c r="G25" s="2" t="s">
        <v>23</v>
      </c>
      <c r="H25" s="2" t="s">
        <v>24</v>
      </c>
      <c r="I25" s="2" t="s">
        <v>25</v>
      </c>
      <c r="J25" s="2" t="s">
        <v>26</v>
      </c>
      <c r="K25" s="2" t="s">
        <v>27</v>
      </c>
      <c r="L25" s="43" t="s">
        <v>28</v>
      </c>
      <c r="M25" s="43" t="s">
        <v>35</v>
      </c>
      <c r="N25" s="44" t="s">
        <v>36</v>
      </c>
      <c r="O25" s="44" t="s">
        <v>0</v>
      </c>
    </row>
    <row r="26" spans="1:15">
      <c r="B26" s="25" t="s">
        <v>3</v>
      </c>
      <c r="C26" s="26">
        <v>14</v>
      </c>
      <c r="D26" s="26">
        <v>7</v>
      </c>
      <c r="E26" s="26">
        <v>12</v>
      </c>
      <c r="F26" s="26">
        <v>13</v>
      </c>
      <c r="G26" s="26">
        <v>8</v>
      </c>
      <c r="H26" s="26">
        <v>5</v>
      </c>
      <c r="I26" s="26">
        <v>0</v>
      </c>
      <c r="J26" s="26">
        <v>4</v>
      </c>
      <c r="K26" s="26">
        <v>1</v>
      </c>
      <c r="L26" s="26">
        <v>1</v>
      </c>
      <c r="M26" s="26"/>
      <c r="N26" s="27"/>
      <c r="O26" s="113">
        <f>SUM(C26:N26)</f>
        <v>65</v>
      </c>
    </row>
    <row r="27" spans="1:15" hidden="1">
      <c r="B27" s="28" t="s">
        <v>29</v>
      </c>
      <c r="C27" s="29">
        <v>2</v>
      </c>
      <c r="D27" s="29">
        <v>1</v>
      </c>
      <c r="E27" s="29">
        <v>0</v>
      </c>
      <c r="F27" s="29">
        <v>0</v>
      </c>
      <c r="G27" s="29">
        <v>0</v>
      </c>
      <c r="H27" s="29"/>
      <c r="I27" s="29"/>
      <c r="J27" s="29"/>
      <c r="K27" s="29">
        <v>0</v>
      </c>
      <c r="L27" s="29"/>
      <c r="M27" s="29"/>
      <c r="N27" s="27"/>
      <c r="O27" s="31">
        <f>SUM(C27:N27)</f>
        <v>3</v>
      </c>
    </row>
    <row r="28" spans="1:15">
      <c r="B28" s="25" t="s">
        <v>4</v>
      </c>
      <c r="C28" s="29">
        <v>3</v>
      </c>
      <c r="D28" s="29">
        <v>2</v>
      </c>
      <c r="E28" s="29">
        <v>5</v>
      </c>
      <c r="F28" s="29">
        <v>0</v>
      </c>
      <c r="G28" s="29">
        <v>1</v>
      </c>
      <c r="H28" s="29">
        <v>1</v>
      </c>
      <c r="I28" s="29">
        <v>0</v>
      </c>
      <c r="J28" s="29">
        <v>0</v>
      </c>
      <c r="K28" s="29">
        <v>1</v>
      </c>
      <c r="L28" s="29">
        <v>3</v>
      </c>
      <c r="M28" s="29"/>
      <c r="N28" s="27"/>
      <c r="O28" s="31">
        <f>SUM(C28:N28)</f>
        <v>16</v>
      </c>
    </row>
    <row r="29" spans="1:15">
      <c r="B29" s="28" t="s">
        <v>6</v>
      </c>
      <c r="C29" s="29">
        <v>4</v>
      </c>
      <c r="D29" s="29">
        <v>1</v>
      </c>
      <c r="E29" s="29">
        <v>9</v>
      </c>
      <c r="F29" s="29">
        <v>2</v>
      </c>
      <c r="G29" s="29">
        <v>1</v>
      </c>
      <c r="H29" s="29">
        <v>2</v>
      </c>
      <c r="I29" s="29">
        <v>3</v>
      </c>
      <c r="J29" s="29">
        <v>4</v>
      </c>
      <c r="K29" s="29">
        <v>2</v>
      </c>
      <c r="L29" s="29">
        <v>2</v>
      </c>
      <c r="M29" s="29"/>
      <c r="N29" s="27"/>
      <c r="O29" s="31">
        <f>SUM(C29:N29)</f>
        <v>30</v>
      </c>
    </row>
    <row r="30" spans="1:15">
      <c r="B30" s="25" t="s">
        <v>5</v>
      </c>
      <c r="C30" s="30">
        <v>3</v>
      </c>
      <c r="D30" s="30">
        <v>1</v>
      </c>
      <c r="E30" s="30">
        <v>3</v>
      </c>
      <c r="F30" s="30">
        <v>7</v>
      </c>
      <c r="G30" s="30">
        <v>3</v>
      </c>
      <c r="H30" s="30">
        <v>4</v>
      </c>
      <c r="I30" s="30">
        <v>4</v>
      </c>
      <c r="J30" s="30">
        <v>6</v>
      </c>
      <c r="K30" s="30">
        <v>1</v>
      </c>
      <c r="L30" s="30">
        <v>1</v>
      </c>
      <c r="M30" s="30"/>
      <c r="N30" s="45"/>
      <c r="O30" s="31">
        <f>SUM(C30:N30)</f>
        <v>33</v>
      </c>
    </row>
    <row r="31" spans="1:15" ht="15.75" thickBot="1">
      <c r="B31" s="3" t="s">
        <v>18</v>
      </c>
      <c r="C31" s="4">
        <f>SUM(C26:C30)</f>
        <v>26</v>
      </c>
      <c r="D31" s="4">
        <f t="shared" ref="D31:O31" si="0">SUM(D26:D30)</f>
        <v>12</v>
      </c>
      <c r="E31" s="4">
        <f t="shared" si="0"/>
        <v>29</v>
      </c>
      <c r="F31" s="4">
        <f t="shared" si="0"/>
        <v>22</v>
      </c>
      <c r="G31" s="4">
        <f t="shared" si="0"/>
        <v>13</v>
      </c>
      <c r="H31" s="4">
        <f t="shared" si="0"/>
        <v>12</v>
      </c>
      <c r="I31" s="4">
        <f t="shared" si="0"/>
        <v>7</v>
      </c>
      <c r="J31" s="4">
        <f t="shared" si="0"/>
        <v>14</v>
      </c>
      <c r="K31" s="4">
        <f t="shared" si="0"/>
        <v>5</v>
      </c>
      <c r="L31" s="4">
        <f t="shared" si="0"/>
        <v>7</v>
      </c>
      <c r="M31" s="4">
        <f t="shared" si="0"/>
        <v>0</v>
      </c>
      <c r="N31" s="4">
        <f t="shared" si="0"/>
        <v>0</v>
      </c>
      <c r="O31" s="4">
        <f t="shared" si="0"/>
        <v>147</v>
      </c>
    </row>
    <row r="32" spans="1:15" ht="16.5" thickTop="1" thickBot="1">
      <c r="B32" s="36" t="s">
        <v>38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</row>
    <row r="33" spans="2:15">
      <c r="B33" s="5" t="s">
        <v>33</v>
      </c>
      <c r="C33" s="6" t="s">
        <v>19</v>
      </c>
      <c r="D33" s="6" t="s">
        <v>20</v>
      </c>
      <c r="E33" s="6" t="s">
        <v>21</v>
      </c>
      <c r="F33" s="6" t="s">
        <v>22</v>
      </c>
      <c r="G33" s="6" t="s">
        <v>23</v>
      </c>
      <c r="H33" s="6" t="s">
        <v>24</v>
      </c>
      <c r="I33" s="6" t="s">
        <v>25</v>
      </c>
      <c r="J33" s="6" t="s">
        <v>26</v>
      </c>
      <c r="K33" s="6" t="s">
        <v>27</v>
      </c>
      <c r="L33" s="14" t="s">
        <v>28</v>
      </c>
      <c r="M33" s="14" t="s">
        <v>35</v>
      </c>
      <c r="N33" s="14" t="s">
        <v>36</v>
      </c>
      <c r="O33" s="15" t="s">
        <v>0</v>
      </c>
    </row>
    <row r="34" spans="2:15">
      <c r="B34" s="25" t="s">
        <v>3</v>
      </c>
      <c r="C34" s="26">
        <v>634</v>
      </c>
      <c r="D34" s="26">
        <v>667</v>
      </c>
      <c r="E34" s="26">
        <v>1048</v>
      </c>
      <c r="F34" s="26">
        <v>725</v>
      </c>
      <c r="G34" s="26">
        <v>734</v>
      </c>
      <c r="H34" s="26">
        <v>896</v>
      </c>
      <c r="I34" s="26">
        <v>914</v>
      </c>
      <c r="J34" s="26">
        <v>851</v>
      </c>
      <c r="K34" s="26">
        <v>881</v>
      </c>
      <c r="L34" s="26">
        <v>758</v>
      </c>
      <c r="M34" s="27"/>
      <c r="N34" s="27"/>
      <c r="O34" s="31">
        <f t="shared" ref="O34:O40" si="1">SUM(C34:N34)</f>
        <v>8108</v>
      </c>
    </row>
    <row r="35" spans="2:15" hidden="1">
      <c r="B35" s="28" t="s">
        <v>52</v>
      </c>
      <c r="C35" s="29">
        <v>806</v>
      </c>
      <c r="D35" s="29">
        <v>458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/>
      <c r="L35" s="29"/>
      <c r="M35" s="29"/>
      <c r="N35" s="27"/>
      <c r="O35" s="31">
        <f t="shared" si="1"/>
        <v>1264</v>
      </c>
    </row>
    <row r="36" spans="2:15">
      <c r="B36" s="25" t="s">
        <v>4</v>
      </c>
      <c r="C36" s="29">
        <v>1011</v>
      </c>
      <c r="D36" s="29">
        <v>844</v>
      </c>
      <c r="E36" s="29">
        <v>1086</v>
      </c>
      <c r="F36" s="29">
        <v>640</v>
      </c>
      <c r="G36" s="29">
        <v>755</v>
      </c>
      <c r="H36" s="29">
        <v>738</v>
      </c>
      <c r="I36" s="29">
        <v>935</v>
      </c>
      <c r="J36" s="29">
        <v>949</v>
      </c>
      <c r="K36" s="29">
        <v>926</v>
      </c>
      <c r="L36" s="29">
        <v>575</v>
      </c>
      <c r="M36" s="29"/>
      <c r="N36" s="27"/>
      <c r="O36" s="31">
        <f t="shared" si="1"/>
        <v>8459</v>
      </c>
    </row>
    <row r="37" spans="2:15">
      <c r="B37" s="28" t="s">
        <v>6</v>
      </c>
      <c r="C37" s="29">
        <v>834</v>
      </c>
      <c r="D37" s="29">
        <v>694</v>
      </c>
      <c r="E37" s="29">
        <v>1195</v>
      </c>
      <c r="F37" s="29">
        <v>633</v>
      </c>
      <c r="G37" s="29">
        <v>729</v>
      </c>
      <c r="H37" s="29">
        <v>952</v>
      </c>
      <c r="I37" s="29">
        <v>791</v>
      </c>
      <c r="J37" s="29">
        <v>948</v>
      </c>
      <c r="K37" s="29">
        <v>832</v>
      </c>
      <c r="L37" s="29">
        <v>884</v>
      </c>
      <c r="M37" s="29"/>
      <c r="N37" s="27"/>
      <c r="O37" s="31">
        <f t="shared" si="1"/>
        <v>8492</v>
      </c>
    </row>
    <row r="38" spans="2:15">
      <c r="B38" s="25" t="s">
        <v>5</v>
      </c>
      <c r="C38" s="29">
        <v>810</v>
      </c>
      <c r="D38" s="29">
        <v>610</v>
      </c>
      <c r="E38" s="29">
        <v>809</v>
      </c>
      <c r="F38" s="29">
        <v>1167</v>
      </c>
      <c r="G38" s="29">
        <v>746</v>
      </c>
      <c r="H38" s="29">
        <v>1022</v>
      </c>
      <c r="I38" s="29">
        <v>809</v>
      </c>
      <c r="J38" s="29">
        <v>1230</v>
      </c>
      <c r="K38" s="29">
        <v>1002</v>
      </c>
      <c r="L38" s="29">
        <v>975</v>
      </c>
      <c r="M38" s="29"/>
      <c r="N38" s="27"/>
      <c r="O38" s="31">
        <f t="shared" si="1"/>
        <v>9180</v>
      </c>
    </row>
    <row r="39" spans="2:15" hidden="1">
      <c r="B39" s="25" t="s">
        <v>65</v>
      </c>
      <c r="C39" s="29">
        <v>4</v>
      </c>
      <c r="D39" s="29"/>
      <c r="E39" s="29">
        <v>2</v>
      </c>
      <c r="F39" s="29">
        <v>1</v>
      </c>
      <c r="G39" s="29">
        <v>1</v>
      </c>
      <c r="H39" s="29">
        <v>2</v>
      </c>
      <c r="I39" s="29">
        <v>5</v>
      </c>
      <c r="J39" s="29">
        <v>6</v>
      </c>
      <c r="K39" s="29">
        <v>2</v>
      </c>
      <c r="L39" s="29"/>
      <c r="M39" s="29"/>
      <c r="N39" s="27"/>
      <c r="O39" s="31">
        <f t="shared" si="1"/>
        <v>23</v>
      </c>
    </row>
    <row r="40" spans="2:15" hidden="1">
      <c r="B40" s="25" t="s">
        <v>68</v>
      </c>
      <c r="C40" s="29"/>
      <c r="D40" s="29"/>
      <c r="E40" s="29"/>
      <c r="F40" s="29">
        <v>1</v>
      </c>
      <c r="G40" s="29"/>
      <c r="H40" s="29"/>
      <c r="I40" s="29"/>
      <c r="J40" s="29"/>
      <c r="K40" s="29"/>
      <c r="L40" s="29"/>
      <c r="M40" s="29"/>
      <c r="N40" s="27"/>
      <c r="O40" s="31">
        <f t="shared" si="1"/>
        <v>1</v>
      </c>
    </row>
    <row r="41" spans="2:15" ht="15.75" thickBot="1">
      <c r="B41" s="7" t="s">
        <v>30</v>
      </c>
      <c r="C41" s="8">
        <f t="shared" ref="C41:I41" si="2">SUM(C34:C40)</f>
        <v>4099</v>
      </c>
      <c r="D41" s="8">
        <f t="shared" si="2"/>
        <v>3273</v>
      </c>
      <c r="E41" s="8">
        <f t="shared" si="2"/>
        <v>4140</v>
      </c>
      <c r="F41" s="8">
        <f t="shared" si="2"/>
        <v>3167</v>
      </c>
      <c r="G41" s="8">
        <f t="shared" si="2"/>
        <v>2965</v>
      </c>
      <c r="H41" s="8">
        <f t="shared" si="2"/>
        <v>3610</v>
      </c>
      <c r="I41" s="8">
        <f t="shared" si="2"/>
        <v>3454</v>
      </c>
      <c r="J41" s="8">
        <f>SUM(J34:J40)</f>
        <v>3984</v>
      </c>
      <c r="K41" s="8">
        <f>SUM(K34:K40)</f>
        <v>3643</v>
      </c>
      <c r="L41" s="8">
        <f>SUM(L34:L38)</f>
        <v>3192</v>
      </c>
      <c r="M41" s="8">
        <f>SUM(M34:M38)</f>
        <v>0</v>
      </c>
      <c r="N41" s="8">
        <f>SUM(N34:N38)</f>
        <v>0</v>
      </c>
      <c r="O41" s="8">
        <f>SUM(O34:O40)</f>
        <v>35527</v>
      </c>
    </row>
    <row r="42" spans="2:15" ht="16.5" thickTop="1" thickBot="1">
      <c r="B42" s="36" t="s">
        <v>39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</row>
    <row r="43" spans="2:15">
      <c r="B43" s="9" t="s">
        <v>34</v>
      </c>
      <c r="C43" s="10" t="s">
        <v>19</v>
      </c>
      <c r="D43" s="10" t="s">
        <v>20</v>
      </c>
      <c r="E43" s="10" t="s">
        <v>21</v>
      </c>
      <c r="F43" s="10" t="s">
        <v>22</v>
      </c>
      <c r="G43" s="10" t="s">
        <v>23</v>
      </c>
      <c r="H43" s="10" t="s">
        <v>24</v>
      </c>
      <c r="I43" s="10" t="s">
        <v>25</v>
      </c>
      <c r="J43" s="10" t="s">
        <v>26</v>
      </c>
      <c r="K43" s="10" t="s">
        <v>27</v>
      </c>
      <c r="L43" s="10" t="s">
        <v>28</v>
      </c>
      <c r="M43" s="10" t="s">
        <v>35</v>
      </c>
      <c r="N43" s="10" t="s">
        <v>36</v>
      </c>
      <c r="O43" s="11" t="s">
        <v>0</v>
      </c>
    </row>
    <row r="44" spans="2:15">
      <c r="B44" s="25" t="s">
        <v>3</v>
      </c>
      <c r="C44" s="32">
        <f t="shared" ref="C44:O44" si="3">+C26/C34</f>
        <v>2.2082018927444796E-2</v>
      </c>
      <c r="D44" s="32">
        <f t="shared" si="3"/>
        <v>1.0494752623688156E-2</v>
      </c>
      <c r="E44" s="32">
        <f t="shared" si="3"/>
        <v>1.1450381679389313E-2</v>
      </c>
      <c r="F44" s="32">
        <f t="shared" si="3"/>
        <v>1.793103448275862E-2</v>
      </c>
      <c r="G44" s="32">
        <f t="shared" si="3"/>
        <v>1.0899182561307902E-2</v>
      </c>
      <c r="H44" s="32">
        <f t="shared" si="3"/>
        <v>5.580357142857143E-3</v>
      </c>
      <c r="I44" s="32">
        <f t="shared" si="3"/>
        <v>0</v>
      </c>
      <c r="J44" s="32">
        <f t="shared" si="3"/>
        <v>4.7003525264394828E-3</v>
      </c>
      <c r="K44" s="32">
        <f t="shared" si="3"/>
        <v>1.1350737797956867E-3</v>
      </c>
      <c r="L44" s="32">
        <f t="shared" si="3"/>
        <v>1.3192612137203166E-3</v>
      </c>
      <c r="M44" s="32" t="e">
        <f t="shared" si="3"/>
        <v>#DIV/0!</v>
      </c>
      <c r="N44" s="32" t="e">
        <f t="shared" si="3"/>
        <v>#DIV/0!</v>
      </c>
      <c r="O44" s="34">
        <f t="shared" si="3"/>
        <v>8.0167735569807597E-3</v>
      </c>
    </row>
    <row r="45" spans="2:15" hidden="1">
      <c r="B45" s="28" t="s">
        <v>29</v>
      </c>
      <c r="C45" s="33">
        <f>+C27/C35</f>
        <v>2.4813895781637717E-3</v>
      </c>
      <c r="D45" s="33">
        <f>+D27/D35</f>
        <v>2.1834061135371178E-3</v>
      </c>
      <c r="E45" s="33">
        <v>0</v>
      </c>
      <c r="F45" s="33">
        <v>0</v>
      </c>
      <c r="G45" s="33">
        <v>0</v>
      </c>
      <c r="H45" s="33">
        <v>0</v>
      </c>
      <c r="I45" s="33" t="e">
        <f t="shared" ref="I45:O45" si="4">+I27/I35</f>
        <v>#DIV/0!</v>
      </c>
      <c r="J45" s="33" t="e">
        <f t="shared" si="4"/>
        <v>#DIV/0!</v>
      </c>
      <c r="K45" s="33" t="e">
        <f t="shared" si="4"/>
        <v>#DIV/0!</v>
      </c>
      <c r="L45" s="33" t="e">
        <f t="shared" si="4"/>
        <v>#DIV/0!</v>
      </c>
      <c r="M45" s="33" t="e">
        <f t="shared" si="4"/>
        <v>#DIV/0!</v>
      </c>
      <c r="N45" s="33" t="e">
        <f t="shared" si="4"/>
        <v>#DIV/0!</v>
      </c>
      <c r="O45" s="35">
        <f t="shared" si="4"/>
        <v>2.3734177215189874E-3</v>
      </c>
    </row>
    <row r="46" spans="2:15">
      <c r="B46" s="25" t="s">
        <v>4</v>
      </c>
      <c r="C46" s="33">
        <f>+C28/C36</f>
        <v>2.967359050445104E-3</v>
      </c>
      <c r="D46" s="33">
        <f t="shared" ref="D46:O46" si="5">+D28/D36</f>
        <v>2.3696682464454978E-3</v>
      </c>
      <c r="E46" s="33">
        <f t="shared" si="5"/>
        <v>4.6040515653775326E-3</v>
      </c>
      <c r="F46" s="33">
        <f t="shared" si="5"/>
        <v>0</v>
      </c>
      <c r="G46" s="33">
        <f t="shared" si="5"/>
        <v>1.3245033112582781E-3</v>
      </c>
      <c r="H46" s="33">
        <f t="shared" si="5"/>
        <v>1.3550135501355014E-3</v>
      </c>
      <c r="I46" s="33">
        <f t="shared" si="5"/>
        <v>0</v>
      </c>
      <c r="J46" s="33">
        <f t="shared" si="5"/>
        <v>0</v>
      </c>
      <c r="K46" s="33">
        <f t="shared" si="5"/>
        <v>1.0799136069114472E-3</v>
      </c>
      <c r="L46" s="33">
        <f t="shared" si="5"/>
        <v>5.2173913043478265E-3</v>
      </c>
      <c r="M46" s="33" t="e">
        <f t="shared" ref="M46:N48" si="6">+M28/M36</f>
        <v>#DIV/0!</v>
      </c>
      <c r="N46" s="33" t="e">
        <f t="shared" si="6"/>
        <v>#DIV/0!</v>
      </c>
      <c r="O46" s="35">
        <f t="shared" si="5"/>
        <v>1.8914765338692518E-3</v>
      </c>
    </row>
    <row r="47" spans="2:15">
      <c r="B47" s="28" t="s">
        <v>6</v>
      </c>
      <c r="C47" s="33">
        <f t="shared" ref="C47:O48" si="7">+C29/C37</f>
        <v>4.7961630695443642E-3</v>
      </c>
      <c r="D47" s="33">
        <f t="shared" si="7"/>
        <v>1.440922190201729E-3</v>
      </c>
      <c r="E47" s="33">
        <f t="shared" si="7"/>
        <v>7.5313807531380752E-3</v>
      </c>
      <c r="F47" s="33">
        <f t="shared" si="7"/>
        <v>3.1595576619273301E-3</v>
      </c>
      <c r="G47" s="33">
        <f t="shared" si="7"/>
        <v>1.3717421124828531E-3</v>
      </c>
      <c r="H47" s="33">
        <f t="shared" si="7"/>
        <v>2.1008403361344537E-3</v>
      </c>
      <c r="I47" s="33">
        <f t="shared" si="7"/>
        <v>3.7926675094816687E-3</v>
      </c>
      <c r="J47" s="33">
        <f t="shared" si="7"/>
        <v>4.2194092827004216E-3</v>
      </c>
      <c r="K47" s="33">
        <f t="shared" si="7"/>
        <v>2.403846153846154E-3</v>
      </c>
      <c r="L47" s="33">
        <f t="shared" si="7"/>
        <v>2.2624434389140274E-3</v>
      </c>
      <c r="M47" s="33" t="e">
        <f t="shared" si="6"/>
        <v>#DIV/0!</v>
      </c>
      <c r="N47" s="33" t="e">
        <f t="shared" si="6"/>
        <v>#DIV/0!</v>
      </c>
      <c r="O47" s="35">
        <f t="shared" si="7"/>
        <v>3.5327366933584551E-3</v>
      </c>
    </row>
    <row r="48" spans="2:15">
      <c r="B48" s="25" t="s">
        <v>5</v>
      </c>
      <c r="C48" s="33">
        <f t="shared" si="7"/>
        <v>3.7037037037037038E-3</v>
      </c>
      <c r="D48" s="33">
        <f t="shared" si="7"/>
        <v>1.639344262295082E-3</v>
      </c>
      <c r="E48" s="33">
        <f t="shared" si="7"/>
        <v>3.708281829419036E-3</v>
      </c>
      <c r="F48" s="33">
        <f t="shared" si="7"/>
        <v>5.9982862039417309E-3</v>
      </c>
      <c r="G48" s="33">
        <f t="shared" si="7"/>
        <v>4.0214477211796247E-3</v>
      </c>
      <c r="H48" s="33">
        <f t="shared" si="7"/>
        <v>3.9138943248532287E-3</v>
      </c>
      <c r="I48" s="33">
        <f t="shared" si="7"/>
        <v>4.944375772558714E-3</v>
      </c>
      <c r="J48" s="33">
        <f t="shared" si="7"/>
        <v>4.8780487804878049E-3</v>
      </c>
      <c r="K48" s="33">
        <f t="shared" si="7"/>
        <v>9.9800399201596798E-4</v>
      </c>
      <c r="L48" s="33">
        <f t="shared" si="7"/>
        <v>1.0256410256410256E-3</v>
      </c>
      <c r="M48" s="33" t="e">
        <f t="shared" si="6"/>
        <v>#DIV/0!</v>
      </c>
      <c r="N48" s="33" t="e">
        <f t="shared" si="6"/>
        <v>#DIV/0!</v>
      </c>
      <c r="O48" s="35">
        <f t="shared" si="7"/>
        <v>3.5947712418300652E-3</v>
      </c>
    </row>
    <row r="49" spans="2:15" ht="15.75" thickBot="1">
      <c r="B49" s="12" t="s">
        <v>18</v>
      </c>
      <c r="C49" s="13">
        <f>+C31/C41</f>
        <v>6.3430104903635029E-3</v>
      </c>
      <c r="D49" s="13">
        <f t="shared" ref="D49:O49" si="8">+D31/D41</f>
        <v>3.6663611365719525E-3</v>
      </c>
      <c r="E49" s="13">
        <f t="shared" si="8"/>
        <v>7.0048309178743964E-3</v>
      </c>
      <c r="F49" s="13">
        <f t="shared" si="8"/>
        <v>6.9466371960846228E-3</v>
      </c>
      <c r="G49" s="13">
        <f t="shared" si="8"/>
        <v>4.3844856661045531E-3</v>
      </c>
      <c r="H49" s="13">
        <f t="shared" si="8"/>
        <v>3.3240997229916896E-3</v>
      </c>
      <c r="I49" s="13">
        <f t="shared" si="8"/>
        <v>2.0266357845975681E-3</v>
      </c>
      <c r="J49" s="13">
        <f t="shared" si="8"/>
        <v>3.5140562248995983E-3</v>
      </c>
      <c r="K49" s="13">
        <f t="shared" si="8"/>
        <v>1.372495196266813E-3</v>
      </c>
      <c r="L49" s="13">
        <f t="shared" si="8"/>
        <v>2.1929824561403508E-3</v>
      </c>
      <c r="M49" s="13" t="e">
        <f t="shared" si="8"/>
        <v>#DIV/0!</v>
      </c>
      <c r="N49" s="13" t="e">
        <f t="shared" si="8"/>
        <v>#DIV/0!</v>
      </c>
      <c r="O49" s="13">
        <f t="shared" si="8"/>
        <v>4.1376980887775491E-3</v>
      </c>
    </row>
    <row r="50" spans="2:15" ht="15.75" thickTop="1"/>
  </sheetData>
  <mergeCells count="7">
    <mergeCell ref="A8:A11"/>
    <mergeCell ref="P5:R5"/>
    <mergeCell ref="P6:R10"/>
    <mergeCell ref="J8:J11"/>
    <mergeCell ref="B8:B11"/>
    <mergeCell ref="C8:C11"/>
    <mergeCell ref="D8:D11"/>
  </mergeCells>
  <pageMargins left="0.2" right="0.2" top="0.25" bottom="0.25" header="0" footer="0"/>
  <pageSetup paperSize="1000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6" tint="-0.249977111117893"/>
  </sheetPr>
  <dimension ref="A1:K25"/>
  <sheetViews>
    <sheetView workbookViewId="0">
      <selection activeCell="F73" sqref="F73"/>
    </sheetView>
  </sheetViews>
  <sheetFormatPr defaultColWidth="8.85546875" defaultRowHeight="15"/>
  <cols>
    <col min="1" max="1" width="3.28515625" bestFit="1" customWidth="1"/>
    <col min="2" max="3" width="8.28515625" bestFit="1" customWidth="1"/>
    <col min="4" max="4" width="9" bestFit="1" customWidth="1"/>
    <col min="5" max="5" width="16.85546875" bestFit="1" customWidth="1"/>
    <col min="6" max="6" width="44.42578125" bestFit="1" customWidth="1"/>
    <col min="7" max="7" width="10.140625" bestFit="1" customWidth="1"/>
    <col min="8" max="8" width="26.42578125" customWidth="1"/>
    <col min="9" max="9" width="32" bestFit="1" customWidth="1"/>
    <col min="10" max="10" width="8.42578125" customWidth="1"/>
    <col min="11" max="11" width="11.140625" customWidth="1"/>
  </cols>
  <sheetData>
    <row r="1" spans="1:11" ht="19.5">
      <c r="B1" s="96" t="s">
        <v>84</v>
      </c>
    </row>
    <row r="2" spans="1:11" ht="15.75">
      <c r="B2" s="177">
        <v>2023</v>
      </c>
    </row>
    <row r="4" spans="1:11" ht="22.5">
      <c r="A4" s="69" t="s">
        <v>60</v>
      </c>
      <c r="B4" s="70" t="s">
        <v>40</v>
      </c>
      <c r="C4" s="70" t="s">
        <v>41</v>
      </c>
      <c r="D4" s="70" t="s">
        <v>42</v>
      </c>
      <c r="E4" s="69" t="s">
        <v>43</v>
      </c>
      <c r="F4" s="69" t="s">
        <v>44</v>
      </c>
      <c r="G4" s="69" t="s">
        <v>78</v>
      </c>
      <c r="H4" s="69" t="s">
        <v>44</v>
      </c>
      <c r="I4" s="69" t="s">
        <v>85</v>
      </c>
      <c r="J4" s="101" t="s">
        <v>86</v>
      </c>
      <c r="K4" s="101" t="s">
        <v>87</v>
      </c>
    </row>
    <row r="5" spans="1:11">
      <c r="A5" s="93"/>
      <c r="B5" s="118">
        <v>44936</v>
      </c>
      <c r="C5" s="213">
        <v>44921</v>
      </c>
      <c r="D5" s="55" t="s">
        <v>146</v>
      </c>
      <c r="E5" s="215" t="s">
        <v>147</v>
      </c>
      <c r="F5" s="55" t="s">
        <v>148</v>
      </c>
      <c r="G5" s="214">
        <v>1545000</v>
      </c>
      <c r="H5" s="202" t="s">
        <v>242</v>
      </c>
      <c r="I5" s="75"/>
      <c r="J5" s="108"/>
      <c r="K5" s="108"/>
    </row>
    <row r="6" spans="1:11">
      <c r="A6" s="93"/>
      <c r="B6" s="72"/>
      <c r="C6" s="76"/>
      <c r="D6" s="77"/>
      <c r="E6" s="74"/>
      <c r="F6" s="94"/>
      <c r="G6" s="79"/>
      <c r="H6" s="75"/>
      <c r="I6" s="75"/>
      <c r="J6" s="108"/>
      <c r="K6" s="108"/>
    </row>
    <row r="7" spans="1:11">
      <c r="A7" s="93"/>
      <c r="B7" s="72"/>
      <c r="C7" s="76"/>
      <c r="D7" s="77"/>
      <c r="E7" s="74"/>
      <c r="F7" s="94"/>
      <c r="G7" s="79"/>
      <c r="H7" s="75"/>
      <c r="I7" s="75"/>
      <c r="J7" s="108"/>
      <c r="K7" s="108"/>
    </row>
    <row r="8" spans="1:11">
      <c r="A8" s="93"/>
      <c r="B8" s="72"/>
      <c r="C8" s="76"/>
      <c r="D8" s="77"/>
      <c r="E8" s="74"/>
      <c r="F8" s="94"/>
      <c r="G8" s="79"/>
      <c r="H8" s="75"/>
      <c r="I8" s="75"/>
      <c r="J8" s="108"/>
      <c r="K8" s="108"/>
    </row>
    <row r="9" spans="1:11">
      <c r="A9" s="93"/>
      <c r="B9" s="72"/>
      <c r="C9" s="76"/>
      <c r="D9" s="77"/>
      <c r="E9" s="74"/>
      <c r="F9" s="94"/>
      <c r="G9" s="79"/>
      <c r="H9" s="75"/>
      <c r="I9" s="75"/>
      <c r="J9" s="108"/>
      <c r="K9" s="108"/>
    </row>
    <row r="10" spans="1:11">
      <c r="A10" s="93"/>
      <c r="B10" s="72"/>
      <c r="C10" s="76"/>
      <c r="D10" s="77"/>
      <c r="E10" s="73"/>
      <c r="F10" s="74"/>
      <c r="G10" s="79"/>
      <c r="H10" s="75"/>
      <c r="I10" s="75"/>
      <c r="J10" s="108"/>
      <c r="K10" s="108"/>
    </row>
    <row r="11" spans="1:11">
      <c r="A11" s="93"/>
      <c r="B11" s="72"/>
      <c r="C11" s="76"/>
      <c r="D11" s="77"/>
      <c r="E11" s="73"/>
      <c r="F11" s="74"/>
      <c r="G11" s="79"/>
      <c r="H11" s="75"/>
      <c r="I11" s="71"/>
      <c r="J11" s="108"/>
      <c r="K11" s="108"/>
    </row>
    <row r="12" spans="1:11">
      <c r="A12" s="77"/>
      <c r="B12" s="72"/>
      <c r="C12" s="76"/>
      <c r="D12" s="77"/>
      <c r="E12" s="74"/>
      <c r="F12" s="94"/>
      <c r="G12" s="99"/>
      <c r="H12" s="100"/>
      <c r="I12" s="98"/>
      <c r="J12" s="102"/>
      <c r="K12" s="102"/>
    </row>
    <row r="13" spans="1:11">
      <c r="A13" s="93"/>
      <c r="B13" s="72"/>
      <c r="C13" s="76"/>
      <c r="D13" s="77"/>
      <c r="E13" s="74"/>
      <c r="F13" s="94"/>
      <c r="G13" s="79"/>
      <c r="H13" s="75"/>
      <c r="I13" s="98"/>
      <c r="J13" s="102"/>
      <c r="K13" s="102"/>
    </row>
    <row r="14" spans="1:11">
      <c r="A14" s="77"/>
      <c r="B14" s="72"/>
      <c r="C14" s="76"/>
      <c r="D14" s="77"/>
      <c r="E14" s="74"/>
      <c r="F14" s="94"/>
      <c r="G14" s="99"/>
      <c r="H14" s="100"/>
      <c r="I14" s="98"/>
      <c r="J14" s="102"/>
      <c r="K14" s="102"/>
    </row>
    <row r="15" spans="1:11">
      <c r="A15" s="77"/>
      <c r="B15" s="72"/>
      <c r="C15" s="76"/>
      <c r="D15" s="77"/>
      <c r="E15" s="74"/>
      <c r="F15" s="94"/>
      <c r="G15" s="79"/>
      <c r="H15" s="75"/>
      <c r="I15" s="98"/>
      <c r="J15" s="102"/>
      <c r="K15" s="102"/>
    </row>
    <row r="16" spans="1:11">
      <c r="A16" s="77"/>
      <c r="B16" s="72"/>
      <c r="C16" s="76"/>
      <c r="D16" s="77"/>
      <c r="E16" s="74"/>
      <c r="F16" s="94"/>
      <c r="G16" s="79"/>
      <c r="H16" s="75"/>
      <c r="I16" s="98"/>
      <c r="J16" s="98"/>
      <c r="K16" s="98"/>
    </row>
    <row r="17" spans="1:11">
      <c r="A17" s="93"/>
      <c r="B17" s="72"/>
      <c r="C17" s="76"/>
      <c r="D17" s="77"/>
      <c r="E17" s="74"/>
      <c r="F17" s="94"/>
      <c r="G17" s="99"/>
      <c r="H17" s="100"/>
      <c r="I17" s="98"/>
      <c r="J17" s="98"/>
      <c r="K17" s="98"/>
    </row>
    <row r="18" spans="1:11" ht="67.5" customHeight="1">
      <c r="A18" s="77"/>
      <c r="B18" s="72"/>
      <c r="C18" s="76"/>
      <c r="D18" s="77"/>
      <c r="E18" s="73"/>
      <c r="F18" s="74"/>
      <c r="G18" s="99"/>
      <c r="H18" s="114"/>
      <c r="I18" s="98"/>
      <c r="J18" s="98"/>
      <c r="K18" s="98"/>
    </row>
    <row r="19" spans="1:11" ht="70.5" customHeight="1">
      <c r="A19" s="77"/>
      <c r="B19" s="72"/>
      <c r="C19" s="76"/>
      <c r="D19" s="77"/>
      <c r="E19" s="73"/>
      <c r="F19" s="74"/>
      <c r="G19" s="99"/>
      <c r="H19" s="114"/>
      <c r="I19" s="98"/>
      <c r="J19" s="71"/>
      <c r="K19" s="71"/>
    </row>
    <row r="20" spans="1:11" ht="26.25" customHeight="1">
      <c r="A20" s="77"/>
      <c r="B20" s="72"/>
      <c r="C20" s="76"/>
      <c r="D20" s="77"/>
      <c r="E20" s="73"/>
      <c r="F20" s="74"/>
      <c r="G20" s="99"/>
      <c r="H20" s="139"/>
      <c r="I20" s="98"/>
      <c r="J20" s="71"/>
      <c r="K20" s="71"/>
    </row>
    <row r="21" spans="1:11">
      <c r="A21" s="71"/>
      <c r="B21" s="72"/>
      <c r="C21" s="76"/>
      <c r="D21" s="77"/>
      <c r="E21" s="73"/>
      <c r="F21" s="74"/>
      <c r="G21" s="79"/>
      <c r="H21" s="75"/>
      <c r="I21" s="71"/>
      <c r="J21" s="71"/>
      <c r="K21" s="71"/>
    </row>
    <row r="22" spans="1:11">
      <c r="A22" s="71"/>
      <c r="B22" s="72"/>
      <c r="C22" s="76"/>
      <c r="D22" s="77"/>
      <c r="E22" s="71"/>
      <c r="F22" s="74"/>
      <c r="G22" s="79"/>
      <c r="H22" s="75"/>
      <c r="I22" s="71"/>
      <c r="J22" s="71"/>
      <c r="K22" s="71"/>
    </row>
    <row r="23" spans="1:11">
      <c r="A23" s="71"/>
      <c r="B23" s="72"/>
      <c r="C23" s="76"/>
      <c r="D23" s="77"/>
      <c r="E23" s="71"/>
      <c r="F23" s="74"/>
      <c r="G23" s="79"/>
      <c r="H23" s="75"/>
      <c r="I23" s="71"/>
      <c r="J23" s="71"/>
      <c r="K23" s="71"/>
    </row>
    <row r="24" spans="1:11">
      <c r="A24" s="71"/>
      <c r="B24" s="72"/>
      <c r="C24" s="76"/>
      <c r="D24" s="77"/>
      <c r="E24" s="71"/>
      <c r="F24" s="74"/>
      <c r="G24" s="79"/>
      <c r="H24" s="75"/>
      <c r="I24" s="71"/>
      <c r="J24" s="71"/>
      <c r="K24" s="71"/>
    </row>
    <row r="25" spans="1:11">
      <c r="A25" s="71"/>
      <c r="B25" s="72"/>
      <c r="C25" s="76"/>
      <c r="D25" s="77"/>
      <c r="E25" s="71"/>
      <c r="F25" s="74"/>
      <c r="G25" s="79"/>
      <c r="H25" s="75"/>
      <c r="I25" s="71"/>
      <c r="J25" s="71"/>
      <c r="K25" s="71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7" tint="0.59999389629810485"/>
  </sheetPr>
  <dimension ref="A2:AG124"/>
  <sheetViews>
    <sheetView tabSelected="1" zoomScale="110" zoomScaleNormal="110" workbookViewId="0">
      <selection activeCell="AF8" sqref="AF8"/>
    </sheetView>
  </sheetViews>
  <sheetFormatPr defaultColWidth="8.85546875" defaultRowHeight="15"/>
  <cols>
    <col min="1" max="1" width="5.7109375" customWidth="1"/>
    <col min="2" max="2" width="34" customWidth="1"/>
    <col min="3" max="3" width="6.7109375" customWidth="1"/>
    <col min="4" max="4" width="7.42578125" customWidth="1"/>
    <col min="5" max="7" width="6" customWidth="1"/>
    <col min="8" max="9" width="6" hidden="1" customWidth="1"/>
    <col min="10" max="10" width="7.7109375" hidden="1" customWidth="1"/>
    <col min="11" max="11" width="9.85546875" hidden="1" customWidth="1"/>
    <col min="12" max="12" width="7.42578125" hidden="1" customWidth="1"/>
    <col min="13" max="13" width="8.85546875" hidden="1" customWidth="1"/>
    <col min="14" max="14" width="8.42578125" hidden="1" customWidth="1"/>
    <col min="15" max="15" width="6.85546875" bestFit="1" customWidth="1"/>
    <col min="16" max="16" width="2.42578125" customWidth="1"/>
    <col min="17" max="17" width="6.42578125" customWidth="1"/>
    <col min="18" max="18" width="5.42578125" customWidth="1"/>
    <col min="19" max="29" width="9.140625" hidden="1" customWidth="1"/>
    <col min="31" max="31" width="0" hidden="1" customWidth="1"/>
  </cols>
  <sheetData>
    <row r="2" spans="2:32">
      <c r="B2" s="22" t="s">
        <v>31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2:32">
      <c r="B3" s="24" t="s">
        <v>1671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2:32" ht="15.75" thickBot="1">
      <c r="B4" s="46" t="s">
        <v>14</v>
      </c>
      <c r="C4" s="46" t="s">
        <v>1404</v>
      </c>
      <c r="D4" s="46" t="s">
        <v>1406</v>
      </c>
      <c r="E4" s="46" t="s">
        <v>1407</v>
      </c>
      <c r="F4" s="46" t="s">
        <v>1408</v>
      </c>
      <c r="G4" s="46" t="s">
        <v>23</v>
      </c>
      <c r="H4" s="46" t="s">
        <v>1405</v>
      </c>
      <c r="I4" s="46" t="s">
        <v>1409</v>
      </c>
      <c r="J4" s="46" t="s">
        <v>1410</v>
      </c>
      <c r="K4" s="46" t="s">
        <v>1087</v>
      </c>
      <c r="L4" s="46" t="s">
        <v>1179</v>
      </c>
      <c r="M4" s="46" t="s">
        <v>1311</v>
      </c>
      <c r="N4" s="46" t="s">
        <v>1403</v>
      </c>
      <c r="O4" s="407" t="s">
        <v>0</v>
      </c>
      <c r="Q4" s="47">
        <v>2025</v>
      </c>
      <c r="R4" s="320" t="s">
        <v>1011</v>
      </c>
    </row>
    <row r="5" spans="2:32" ht="27" customHeight="1" thickTop="1">
      <c r="B5" s="248" t="s">
        <v>451</v>
      </c>
      <c r="C5" s="427">
        <f>COUNTIFS('Data (Per Faktur)'!$A:$A,'REKAP (Faktur)'!C$4,'Data (Per Faktur)'!$K:$K,'REKAP (Faktur)'!$B5)</f>
        <v>2</v>
      </c>
      <c r="D5" s="427">
        <f>COUNTIFS('Data (Per Faktur)'!$A:$A,'REKAP (Faktur)'!D$4,'Data (Per Faktur)'!$K:$K,'REKAP (Faktur)'!$B5)</f>
        <v>4</v>
      </c>
      <c r="E5" s="427">
        <f>COUNTIFS('Data (Per Faktur)'!$A:$A,'REKAP (Faktur)'!E$4,'Data (Per Faktur)'!$K:$K,'REKAP (Faktur)'!$B5)</f>
        <v>3</v>
      </c>
      <c r="F5" s="427">
        <f>COUNTIFS('Data (Per Faktur)'!$A:$A,'REKAP (Faktur)'!F$4,'Data (Per Faktur)'!$K:$K,'REKAP (Faktur)'!$B5)</f>
        <v>5</v>
      </c>
      <c r="G5" s="427">
        <f>COUNTIFS('Data (Per Faktur)'!$A:$A,'REKAP (Faktur)'!G$4,'Data (Per Faktur)'!$K:$K,'REKAP (Faktur)'!$B5)</f>
        <v>4</v>
      </c>
      <c r="H5" s="427">
        <f>COUNTIFS('Data (Per Faktur)'!$A:$A,'REKAP (Faktur)'!H$4,'Data (Per Faktur)'!$K:$K,'REKAP (Faktur)'!$B5)</f>
        <v>0</v>
      </c>
      <c r="I5" s="427">
        <f>COUNTIFS('Data (Per Faktur)'!$A:$A,'REKAP (Faktur)'!I$4,'Data (Per Faktur)'!$K:$K,'REKAP (Faktur)'!$B5)</f>
        <v>0</v>
      </c>
      <c r="J5" s="427">
        <f>COUNTIFS('Data (Per Faktur)'!$A:$A,'REKAP (Faktur)'!J$4,'Data (Per Faktur)'!$K:$K,'REKAP (Faktur)'!$B5)</f>
        <v>0</v>
      </c>
      <c r="K5" s="427">
        <f>COUNTIFS('Data (Per Faktur)'!$A:$A,'REKAP (Faktur)'!K$4,'Data (Per Faktur)'!$K:$K,'REKAP (Faktur)'!$B5)</f>
        <v>0</v>
      </c>
      <c r="L5" s="427">
        <f>COUNTIFS('Data (Per Faktur)'!$A:$A,'REKAP (Faktur)'!L$4,'Data (Per Faktur)'!$K:$K,'REKAP (Faktur)'!$B5)</f>
        <v>0</v>
      </c>
      <c r="M5" s="427">
        <f>COUNTIFS('Data (Per Faktur)'!$A:$A,'REKAP (Faktur)'!M$4,'Data (Per Faktur)'!$K:$K,'REKAP (Faktur)'!$B5)</f>
        <v>0</v>
      </c>
      <c r="N5" s="427">
        <f>COUNTIFS('Data (Per Faktur)'!$A:$A,'REKAP (Faktur)'!N$4,'Data (Per Faktur)'!$K:$K,'REKAP (Faktur)'!$B5)</f>
        <v>0</v>
      </c>
      <c r="O5" s="428">
        <f t="shared" ref="O5:O28" si="0">SUM(C5:N5)</f>
        <v>18</v>
      </c>
      <c r="P5" s="264"/>
      <c r="Q5" s="249">
        <v>53</v>
      </c>
      <c r="R5" s="249">
        <f t="shared" ref="R5:R28" si="1">+O5-Q5</f>
        <v>-35</v>
      </c>
    </row>
    <row r="6" spans="2:32">
      <c r="B6" s="265" t="s">
        <v>568</v>
      </c>
      <c r="C6" s="429">
        <f>COUNTIFS('Data (Per Faktur)'!$A:$A,'REKAP (Faktur)'!C$4,'Data (Per Faktur)'!$K:$K,'REKAP (Faktur)'!$B6)</f>
        <v>1</v>
      </c>
      <c r="D6" s="429">
        <f>COUNTIFS('Data (Per Faktur)'!$A:$A,'REKAP (Faktur)'!D$4,'Data (Per Faktur)'!$K:$K,'REKAP (Faktur)'!$B6)</f>
        <v>0</v>
      </c>
      <c r="E6" s="429">
        <f>COUNTIFS('Data (Per Faktur)'!$A:$A,'REKAP (Faktur)'!E$4,'Data (Per Faktur)'!$K:$K,'REKAP (Faktur)'!$B6)</f>
        <v>0</v>
      </c>
      <c r="F6" s="429">
        <f>COUNTIFS('Data (Per Faktur)'!$A:$A,'REKAP (Faktur)'!F$4,'Data (Per Faktur)'!$K:$K,'REKAP (Faktur)'!$B6)</f>
        <v>0</v>
      </c>
      <c r="G6" s="429">
        <f>COUNTIFS('Data (Per Faktur)'!$A:$A,'REKAP (Faktur)'!G$4,'Data (Per Faktur)'!$K:$K,'REKAP (Faktur)'!$B6)</f>
        <v>0</v>
      </c>
      <c r="H6" s="429">
        <f>COUNTIFS('Data (Per Faktur)'!$A:$A,'REKAP (Faktur)'!H$4,'Data (Per Faktur)'!$K:$K,'REKAP (Faktur)'!$B6)</f>
        <v>0</v>
      </c>
      <c r="I6" s="429">
        <f>COUNTIFS('Data (Per Faktur)'!$A:$A,'REKAP (Faktur)'!I$4,'Data (Per Faktur)'!$K:$K,'REKAP (Faktur)'!$B6)</f>
        <v>0</v>
      </c>
      <c r="J6" s="429">
        <f>COUNTIFS('Data (Per Faktur)'!$A:$A,'REKAP (Faktur)'!J$4,'Data (Per Faktur)'!$K:$K,'REKAP (Faktur)'!$B6)</f>
        <v>0</v>
      </c>
      <c r="K6" s="429">
        <f>COUNTIFS('Data (Per Faktur)'!$A:$A,'REKAP (Faktur)'!K$4,'Data (Per Faktur)'!$K:$K,'REKAP (Faktur)'!$B6)</f>
        <v>0</v>
      </c>
      <c r="L6" s="429">
        <f>COUNTIFS('Data (Per Faktur)'!$A:$A,'REKAP (Faktur)'!L$4,'Data (Per Faktur)'!$K:$K,'REKAP (Faktur)'!$B6)</f>
        <v>0</v>
      </c>
      <c r="M6" s="429">
        <f>COUNTIFS('Data (Per Faktur)'!$A:$A,'REKAP (Faktur)'!M$4,'Data (Per Faktur)'!$K:$K,'REKAP (Faktur)'!$B6)</f>
        <v>0</v>
      </c>
      <c r="N6" s="429">
        <f>COUNTIFS('Data (Per Faktur)'!$A:$A,'REKAP (Faktur)'!N$4,'Data (Per Faktur)'!$K:$K,'REKAP (Faktur)'!$B6)</f>
        <v>0</v>
      </c>
      <c r="O6" s="430">
        <f t="shared" si="0"/>
        <v>1</v>
      </c>
      <c r="P6" s="263"/>
      <c r="Q6" s="237">
        <v>10</v>
      </c>
      <c r="R6" s="237">
        <f t="shared" si="1"/>
        <v>-9</v>
      </c>
    </row>
    <row r="7" spans="2:32">
      <c r="B7" s="48" t="s">
        <v>15</v>
      </c>
      <c r="C7" s="429">
        <f>COUNTIFS('Data (Per Faktur)'!$A:$A,'REKAP (Faktur)'!C$4,'Data (Per Faktur)'!$K:$K,'REKAP (Faktur)'!$B7)</f>
        <v>2</v>
      </c>
      <c r="D7" s="429">
        <f>COUNTIFS('Data (Per Faktur)'!$A:$A,'REKAP (Faktur)'!D$4,'Data (Per Faktur)'!$K:$K,'REKAP (Faktur)'!$B7)</f>
        <v>3</v>
      </c>
      <c r="E7" s="429">
        <f>COUNTIFS('Data (Per Faktur)'!$A:$A,'REKAP (Faktur)'!E$4,'Data (Per Faktur)'!$K:$K,'REKAP (Faktur)'!$B7)</f>
        <v>0</v>
      </c>
      <c r="F7" s="429">
        <f>COUNTIFS('Data (Per Faktur)'!$A:$A,'REKAP (Faktur)'!F$4,'Data (Per Faktur)'!$K:$K,'REKAP (Faktur)'!$B7)</f>
        <v>2</v>
      </c>
      <c r="G7" s="429">
        <f>COUNTIFS('Data (Per Faktur)'!$A:$A,'REKAP (Faktur)'!G$4,'Data (Per Faktur)'!$K:$K,'REKAP (Faktur)'!$B7)</f>
        <v>3</v>
      </c>
      <c r="H7" s="429">
        <f>COUNTIFS('Data (Per Faktur)'!$A:$A,'REKAP (Faktur)'!H$4,'Data (Per Faktur)'!$K:$K,'REKAP (Faktur)'!$B7)</f>
        <v>0</v>
      </c>
      <c r="I7" s="429">
        <f>COUNTIFS('Data (Per Faktur)'!$A:$A,'REKAP (Faktur)'!I$4,'Data (Per Faktur)'!$K:$K,'REKAP (Faktur)'!$B7)</f>
        <v>0</v>
      </c>
      <c r="J7" s="429">
        <f>COUNTIFS('Data (Per Faktur)'!$A:$A,'REKAP (Faktur)'!J$4,'Data (Per Faktur)'!$K:$K,'REKAP (Faktur)'!$B7)</f>
        <v>0</v>
      </c>
      <c r="K7" s="429">
        <f>COUNTIFS('Data (Per Faktur)'!$A:$A,'REKAP (Faktur)'!K$4,'Data (Per Faktur)'!$K:$K,'REKAP (Faktur)'!$B7)</f>
        <v>0</v>
      </c>
      <c r="L7" s="429">
        <f>COUNTIFS('Data (Per Faktur)'!$A:$A,'REKAP (Faktur)'!L$4,'Data (Per Faktur)'!$K:$K,'REKAP (Faktur)'!$B7)</f>
        <v>0</v>
      </c>
      <c r="M7" s="429">
        <f>COUNTIFS('Data (Per Faktur)'!$A:$A,'REKAP (Faktur)'!M$4,'Data (Per Faktur)'!$K:$K,'REKAP (Faktur)'!$B7)</f>
        <v>0</v>
      </c>
      <c r="N7" s="429">
        <f>COUNTIFS('Data (Per Faktur)'!$A:$A,'REKAP (Faktur)'!N$4,'Data (Per Faktur)'!$K:$K,'REKAP (Faktur)'!$B7)</f>
        <v>0</v>
      </c>
      <c r="O7" s="430">
        <f t="shared" si="0"/>
        <v>10</v>
      </c>
      <c r="P7" s="264"/>
      <c r="Q7" s="50">
        <v>4</v>
      </c>
      <c r="R7" s="50">
        <f t="shared" si="1"/>
        <v>6</v>
      </c>
    </row>
    <row r="8" spans="2:32">
      <c r="B8" s="48" t="s">
        <v>1</v>
      </c>
      <c r="C8" s="429">
        <f>COUNTIFS('Data (Per Faktur)'!$A:$A,'REKAP (Faktur)'!C$4,'Data (Per Faktur)'!$K:$K,'REKAP (Faktur)'!$B8)</f>
        <v>6</v>
      </c>
      <c r="D8" s="429">
        <f>COUNTIFS('Data (Per Faktur)'!$A:$A,'REKAP (Faktur)'!D$4,'Data (Per Faktur)'!$K:$K,'REKAP (Faktur)'!$B8)</f>
        <v>4</v>
      </c>
      <c r="E8" s="429">
        <f>COUNTIFS('Data (Per Faktur)'!$A:$A,'REKAP (Faktur)'!E$4,'Data (Per Faktur)'!$K:$K,'REKAP (Faktur)'!$B8)</f>
        <v>3</v>
      </c>
      <c r="F8" s="429">
        <f>COUNTIFS('Data (Per Faktur)'!$A:$A,'REKAP (Faktur)'!F$4,'Data (Per Faktur)'!$K:$K,'REKAP (Faktur)'!$B8)</f>
        <v>5</v>
      </c>
      <c r="G8" s="429">
        <f>COUNTIFS('Data (Per Faktur)'!$A:$A,'REKAP (Faktur)'!G$4,'Data (Per Faktur)'!$K:$K,'REKAP (Faktur)'!$B8)</f>
        <v>7</v>
      </c>
      <c r="H8" s="429">
        <f>COUNTIFS('Data (Per Faktur)'!$A:$A,'REKAP (Faktur)'!H$4,'Data (Per Faktur)'!$K:$K,'REKAP (Faktur)'!$B8)</f>
        <v>0</v>
      </c>
      <c r="I8" s="429">
        <f>COUNTIFS('Data (Per Faktur)'!$A:$A,'REKAP (Faktur)'!I$4,'Data (Per Faktur)'!$K:$K,'REKAP (Faktur)'!$B8)</f>
        <v>0</v>
      </c>
      <c r="J8" s="429">
        <f>COUNTIFS('Data (Per Faktur)'!$A:$A,'REKAP (Faktur)'!J$4,'Data (Per Faktur)'!$K:$K,'REKAP (Faktur)'!$B8)</f>
        <v>0</v>
      </c>
      <c r="K8" s="429">
        <f>COUNTIFS('Data (Per Faktur)'!$A:$A,'REKAP (Faktur)'!K$4,'Data (Per Faktur)'!$K:$K,'REKAP (Faktur)'!$B8)</f>
        <v>0</v>
      </c>
      <c r="L8" s="429">
        <f>COUNTIFS('Data (Per Faktur)'!$A:$A,'REKAP (Faktur)'!L$4,'Data (Per Faktur)'!$K:$K,'REKAP (Faktur)'!$B8)</f>
        <v>0</v>
      </c>
      <c r="M8" s="429">
        <f>COUNTIFS('Data (Per Faktur)'!$A:$A,'REKAP (Faktur)'!M$4,'Data (Per Faktur)'!$K:$K,'REKAP (Faktur)'!$B8)</f>
        <v>0</v>
      </c>
      <c r="N8" s="429">
        <f>COUNTIFS('Data (Per Faktur)'!$A:$A,'REKAP (Faktur)'!N$4,'Data (Per Faktur)'!$K:$K,'REKAP (Faktur)'!$B8)</f>
        <v>0</v>
      </c>
      <c r="O8" s="430">
        <f t="shared" si="0"/>
        <v>25</v>
      </c>
      <c r="Q8" s="50">
        <v>16</v>
      </c>
      <c r="R8" s="50">
        <f t="shared" si="1"/>
        <v>9</v>
      </c>
    </row>
    <row r="9" spans="2:32">
      <c r="B9" s="238" t="s">
        <v>661</v>
      </c>
      <c r="C9" s="429">
        <f>COUNTIFS('Data (Per Faktur)'!$A:$A,'REKAP (Faktur)'!C$4,'Data (Per Faktur)'!$K:$K,'REKAP (Faktur)'!$B9)</f>
        <v>2</v>
      </c>
      <c r="D9" s="429">
        <f>COUNTIFS('Data (Per Faktur)'!$A:$A,'REKAP (Faktur)'!D$4,'Data (Per Faktur)'!$K:$K,'REKAP (Faktur)'!$B9)</f>
        <v>1</v>
      </c>
      <c r="E9" s="429">
        <f>COUNTIFS('Data (Per Faktur)'!$A:$A,'REKAP (Faktur)'!E$4,'Data (Per Faktur)'!$K:$K,'REKAP (Faktur)'!$B9)</f>
        <v>0</v>
      </c>
      <c r="F9" s="429">
        <f>COUNTIFS('Data (Per Faktur)'!$A:$A,'REKAP (Faktur)'!F$4,'Data (Per Faktur)'!$K:$K,'REKAP (Faktur)'!$B9)</f>
        <v>1</v>
      </c>
      <c r="G9" s="429">
        <f>COUNTIFS('Data (Per Faktur)'!$A:$A,'REKAP (Faktur)'!G$4,'Data (Per Faktur)'!$K:$K,'REKAP (Faktur)'!$B9)</f>
        <v>1</v>
      </c>
      <c r="H9" s="429">
        <f>COUNTIFS('Data (Per Faktur)'!$A:$A,'REKAP (Faktur)'!H$4,'Data (Per Faktur)'!$K:$K,'REKAP (Faktur)'!$B9)</f>
        <v>0</v>
      </c>
      <c r="I9" s="429">
        <f>COUNTIFS('Data (Per Faktur)'!$A:$A,'REKAP (Faktur)'!I$4,'Data (Per Faktur)'!$K:$K,'REKAP (Faktur)'!$B9)</f>
        <v>0</v>
      </c>
      <c r="J9" s="429">
        <f>COUNTIFS('Data (Per Faktur)'!$A:$A,'REKAP (Faktur)'!J$4,'Data (Per Faktur)'!$K:$K,'REKAP (Faktur)'!$B9)</f>
        <v>0</v>
      </c>
      <c r="K9" s="429">
        <f>COUNTIFS('Data (Per Faktur)'!$A:$A,'REKAP (Faktur)'!K$4,'Data (Per Faktur)'!$K:$K,'REKAP (Faktur)'!$B9)</f>
        <v>0</v>
      </c>
      <c r="L9" s="429">
        <f>COUNTIFS('Data (Per Faktur)'!$A:$A,'REKAP (Faktur)'!L$4,'Data (Per Faktur)'!$K:$K,'REKAP (Faktur)'!$B9)</f>
        <v>0</v>
      </c>
      <c r="M9" s="429">
        <f>COUNTIFS('Data (Per Faktur)'!$A:$A,'REKAP (Faktur)'!M$4,'Data (Per Faktur)'!$K:$K,'REKAP (Faktur)'!$B9)</f>
        <v>0</v>
      </c>
      <c r="N9" s="429">
        <f>COUNTIFS('Data (Per Faktur)'!$A:$A,'REKAP (Faktur)'!N$4,'Data (Per Faktur)'!$K:$K,'REKAP (Faktur)'!$B9)</f>
        <v>0</v>
      </c>
      <c r="O9" s="430">
        <f t="shared" si="0"/>
        <v>5</v>
      </c>
      <c r="Q9" s="237">
        <v>0</v>
      </c>
      <c r="R9" s="237">
        <f t="shared" si="1"/>
        <v>5</v>
      </c>
    </row>
    <row r="10" spans="2:32">
      <c r="B10" s="48" t="s">
        <v>16</v>
      </c>
      <c r="C10" s="429">
        <f>COUNTIFS('Data (Per Faktur)'!$A:$A,'REKAP (Faktur)'!C$4,'Data (Per Faktur)'!$K:$K,'REKAP (Faktur)'!$B10)</f>
        <v>0</v>
      </c>
      <c r="D10" s="429">
        <f>COUNTIFS('Data (Per Faktur)'!$A:$A,'REKAP (Faktur)'!D$4,'Data (Per Faktur)'!$K:$K,'REKAP (Faktur)'!$B10)</f>
        <v>0</v>
      </c>
      <c r="E10" s="429">
        <f>COUNTIFS('Data (Per Faktur)'!$A:$A,'REKAP (Faktur)'!E$4,'Data (Per Faktur)'!$K:$K,'REKAP (Faktur)'!$B10)</f>
        <v>4</v>
      </c>
      <c r="F10" s="429">
        <f>COUNTIFS('Data (Per Faktur)'!$A:$A,'REKAP (Faktur)'!F$4,'Data (Per Faktur)'!$K:$K,'REKAP (Faktur)'!$B10)</f>
        <v>1</v>
      </c>
      <c r="G10" s="429">
        <f>COUNTIFS('Data (Per Faktur)'!$A:$A,'REKAP (Faktur)'!G$4,'Data (Per Faktur)'!$K:$K,'REKAP (Faktur)'!$B10)</f>
        <v>0</v>
      </c>
      <c r="H10" s="429">
        <f>COUNTIFS('Data (Per Faktur)'!$A:$A,'REKAP (Faktur)'!H$4,'Data (Per Faktur)'!$K:$K,'REKAP (Faktur)'!$B10)</f>
        <v>0</v>
      </c>
      <c r="I10" s="429">
        <f>COUNTIFS('Data (Per Faktur)'!$A:$A,'REKAP (Faktur)'!I$4,'Data (Per Faktur)'!$K:$K,'REKAP (Faktur)'!$B10)</f>
        <v>0</v>
      </c>
      <c r="J10" s="429">
        <f>COUNTIFS('Data (Per Faktur)'!$A:$A,'REKAP (Faktur)'!J$4,'Data (Per Faktur)'!$K:$K,'REKAP (Faktur)'!$B10)</f>
        <v>0</v>
      </c>
      <c r="K10" s="429">
        <f>COUNTIFS('Data (Per Faktur)'!$A:$A,'REKAP (Faktur)'!K$4,'Data (Per Faktur)'!$K:$K,'REKAP (Faktur)'!$B10)</f>
        <v>0</v>
      </c>
      <c r="L10" s="429">
        <f>COUNTIFS('Data (Per Faktur)'!$A:$A,'REKAP (Faktur)'!L$4,'Data (Per Faktur)'!$K:$K,'REKAP (Faktur)'!$B10)</f>
        <v>0</v>
      </c>
      <c r="M10" s="429">
        <f>COUNTIFS('Data (Per Faktur)'!$A:$A,'REKAP (Faktur)'!M$4,'Data (Per Faktur)'!$K:$K,'REKAP (Faktur)'!$B10)</f>
        <v>0</v>
      </c>
      <c r="N10" s="429">
        <f>COUNTIFS('Data (Per Faktur)'!$A:$A,'REKAP (Faktur)'!N$4,'Data (Per Faktur)'!$K:$K,'REKAP (Faktur)'!$B10)</f>
        <v>0</v>
      </c>
      <c r="O10" s="430">
        <f t="shared" si="0"/>
        <v>5</v>
      </c>
      <c r="Q10" s="50">
        <v>9</v>
      </c>
      <c r="R10" s="50">
        <f t="shared" si="1"/>
        <v>-4</v>
      </c>
      <c r="AF10" s="449"/>
    </row>
    <row r="11" spans="2:32">
      <c r="B11" s="48" t="s">
        <v>73</v>
      </c>
      <c r="C11" s="429">
        <f>COUNTIFS('Data (Per Faktur)'!$A:$A,'REKAP (Faktur)'!C$4,'Data (Per Faktur)'!$K:$K,'REKAP (Faktur)'!$B11)</f>
        <v>1</v>
      </c>
      <c r="D11" s="429">
        <f>COUNTIFS('Data (Per Faktur)'!$A:$A,'REKAP (Faktur)'!D$4,'Data (Per Faktur)'!$K:$K,'REKAP (Faktur)'!$B11)</f>
        <v>0</v>
      </c>
      <c r="E11" s="429">
        <f>COUNTIFS('Data (Per Faktur)'!$A:$A,'REKAP (Faktur)'!E$4,'Data (Per Faktur)'!$K:$K,'REKAP (Faktur)'!$B11)</f>
        <v>0</v>
      </c>
      <c r="F11" s="429">
        <f>COUNTIFS('Data (Per Faktur)'!$A:$A,'REKAP (Faktur)'!F$4,'Data (Per Faktur)'!$K:$K,'REKAP (Faktur)'!$B11)</f>
        <v>1</v>
      </c>
      <c r="G11" s="429">
        <f>COUNTIFS('Data (Per Faktur)'!$A:$A,'REKAP (Faktur)'!G$4,'Data (Per Faktur)'!$K:$K,'REKAP (Faktur)'!$B11)</f>
        <v>0</v>
      </c>
      <c r="H11" s="429">
        <f>COUNTIFS('Data (Per Faktur)'!$A:$A,'REKAP (Faktur)'!H$4,'Data (Per Faktur)'!$K:$K,'REKAP (Faktur)'!$B11)</f>
        <v>0</v>
      </c>
      <c r="I11" s="429">
        <f>COUNTIFS('Data (Per Faktur)'!$A:$A,'REKAP (Faktur)'!I$4,'Data (Per Faktur)'!$K:$K,'REKAP (Faktur)'!$B11)</f>
        <v>0</v>
      </c>
      <c r="J11" s="429">
        <f>COUNTIFS('Data (Per Faktur)'!$A:$A,'REKAP (Faktur)'!J$4,'Data (Per Faktur)'!$K:$K,'REKAP (Faktur)'!$B11)</f>
        <v>0</v>
      </c>
      <c r="K11" s="429">
        <f>COUNTIFS('Data (Per Faktur)'!$A:$A,'REKAP (Faktur)'!K$4,'Data (Per Faktur)'!$K:$K,'REKAP (Faktur)'!$B11)</f>
        <v>0</v>
      </c>
      <c r="L11" s="429">
        <f>COUNTIFS('Data (Per Faktur)'!$A:$A,'REKAP (Faktur)'!L$4,'Data (Per Faktur)'!$K:$K,'REKAP (Faktur)'!$B11)</f>
        <v>0</v>
      </c>
      <c r="M11" s="429">
        <f>COUNTIFS('Data (Per Faktur)'!$A:$A,'REKAP (Faktur)'!M$4,'Data (Per Faktur)'!$K:$K,'REKAP (Faktur)'!$B11)</f>
        <v>0</v>
      </c>
      <c r="N11" s="429">
        <f>COUNTIFS('Data (Per Faktur)'!$A:$A,'REKAP (Faktur)'!N$4,'Data (Per Faktur)'!$K:$K,'REKAP (Faktur)'!$B11)</f>
        <v>0</v>
      </c>
      <c r="O11" s="430">
        <f t="shared" si="0"/>
        <v>2</v>
      </c>
      <c r="Q11" s="50">
        <v>7</v>
      </c>
      <c r="R11" s="50">
        <f t="shared" si="1"/>
        <v>-5</v>
      </c>
    </row>
    <row r="12" spans="2:32" hidden="1">
      <c r="B12" s="48" t="s">
        <v>2</v>
      </c>
      <c r="C12" s="429">
        <f>COUNTIFS('Data (Per Faktur)'!$A:$A,'REKAP (Faktur)'!C$4,'Data (Per Faktur)'!$K:$K,'REKAP (Faktur)'!$B12)</f>
        <v>0</v>
      </c>
      <c r="D12" s="429">
        <f>COUNTIFS('Data (Per Faktur)'!$A:$A,'REKAP (Faktur)'!D$4,'Data (Per Faktur)'!$K:$K,'REKAP (Faktur)'!$B12)</f>
        <v>0</v>
      </c>
      <c r="E12" s="429">
        <f>COUNTIFS('Data (Per Faktur)'!$A:$A,'REKAP (Faktur)'!E$4,'Data (Per Faktur)'!$K:$K,'REKAP (Faktur)'!$B12)</f>
        <v>0</v>
      </c>
      <c r="F12" s="429">
        <f>COUNTIFS('Data (Per Faktur)'!$A:$A,'REKAP (Faktur)'!F$4,'Data (Per Faktur)'!$K:$K,'REKAP (Faktur)'!$B12)</f>
        <v>0</v>
      </c>
      <c r="G12" s="429">
        <f>COUNTIFS('Data (Per Faktur)'!$A:$A,'REKAP (Faktur)'!G$4,'Data (Per Faktur)'!$K:$K,'REKAP (Faktur)'!$B12)</f>
        <v>0</v>
      </c>
      <c r="H12" s="429">
        <f>COUNTIFS('Data (Per Faktur)'!$A:$A,'REKAP (Faktur)'!H$4,'Data (Per Faktur)'!$K:$K,'REKAP (Faktur)'!$B12)</f>
        <v>0</v>
      </c>
      <c r="I12" s="429">
        <f>COUNTIFS('Data (Per Faktur)'!$A:$A,'REKAP (Faktur)'!I$4,'Data (Per Faktur)'!$K:$K,'REKAP (Faktur)'!$B12)</f>
        <v>0</v>
      </c>
      <c r="J12" s="429">
        <f>COUNTIFS('Data (Per Faktur)'!$A:$A,'REKAP (Faktur)'!J$4,'Data (Per Faktur)'!$K:$K,'REKAP (Faktur)'!$B12)</f>
        <v>0</v>
      </c>
      <c r="K12" s="429">
        <f>COUNTIFS('Data (Per Faktur)'!$A:$A,'REKAP (Faktur)'!K$4,'Data (Per Faktur)'!$K:$K,'REKAP (Faktur)'!$B12)</f>
        <v>0</v>
      </c>
      <c r="L12" s="429">
        <f>COUNTIFS('Data (Per Faktur)'!$A:$A,'REKAP (Faktur)'!L$4,'Data (Per Faktur)'!$K:$K,'REKAP (Faktur)'!$B12)</f>
        <v>0</v>
      </c>
      <c r="M12" s="429">
        <f>COUNTIFS('Data (Per Faktur)'!$A:$A,'REKAP (Faktur)'!M$4,'Data (Per Faktur)'!$K:$K,'REKAP (Faktur)'!$B12)</f>
        <v>0</v>
      </c>
      <c r="N12" s="429">
        <f>COUNTIFS('Data (Per Faktur)'!$A:$A,'REKAP (Faktur)'!N$4,'Data (Per Faktur)'!$K:$K,'REKAP (Faktur)'!$B12)</f>
        <v>0</v>
      </c>
      <c r="O12" s="430">
        <f t="shared" si="0"/>
        <v>0</v>
      </c>
      <c r="Q12" s="50">
        <v>0</v>
      </c>
      <c r="R12" s="50">
        <f t="shared" si="1"/>
        <v>0</v>
      </c>
    </row>
    <row r="13" spans="2:32">
      <c r="B13" s="48" t="s">
        <v>72</v>
      </c>
      <c r="C13" s="429">
        <f>COUNTIFS('Data (Per Faktur)'!$A:$A,'REKAP (Faktur)'!C$4,'Data (Per Faktur)'!$K:$K,'REKAP (Faktur)'!$B13)</f>
        <v>2</v>
      </c>
      <c r="D13" s="429">
        <f>COUNTIFS('Data (Per Faktur)'!$A:$A,'REKAP (Faktur)'!D$4,'Data (Per Faktur)'!$K:$K,'REKAP (Faktur)'!$B13)</f>
        <v>0</v>
      </c>
      <c r="E13" s="429">
        <f>COUNTIFS('Data (Per Faktur)'!$A:$A,'REKAP (Faktur)'!E$4,'Data (Per Faktur)'!$K:$K,'REKAP (Faktur)'!$B13)</f>
        <v>0</v>
      </c>
      <c r="F13" s="429">
        <f>COUNTIFS('Data (Per Faktur)'!$A:$A,'REKAP (Faktur)'!F$4,'Data (Per Faktur)'!$K:$K,'REKAP (Faktur)'!$B13)</f>
        <v>0</v>
      </c>
      <c r="G13" s="429">
        <f>COUNTIFS('Data (Per Faktur)'!$A:$A,'REKAP (Faktur)'!G$4,'Data (Per Faktur)'!$K:$K,'REKAP (Faktur)'!$B13)</f>
        <v>0</v>
      </c>
      <c r="H13" s="429">
        <f>COUNTIFS('Data (Per Faktur)'!$A:$A,'REKAP (Faktur)'!H$4,'Data (Per Faktur)'!$K:$K,'REKAP (Faktur)'!$B13)</f>
        <v>0</v>
      </c>
      <c r="I13" s="429">
        <f>COUNTIFS('Data (Per Faktur)'!$A:$A,'REKAP (Faktur)'!I$4,'Data (Per Faktur)'!$K:$K,'REKAP (Faktur)'!$B13)</f>
        <v>0</v>
      </c>
      <c r="J13" s="429">
        <f>COUNTIFS('Data (Per Faktur)'!$A:$A,'REKAP (Faktur)'!J$4,'Data (Per Faktur)'!$K:$K,'REKAP (Faktur)'!$B13)</f>
        <v>0</v>
      </c>
      <c r="K13" s="429">
        <f>COUNTIFS('Data (Per Faktur)'!$A:$A,'REKAP (Faktur)'!K$4,'Data (Per Faktur)'!$K:$K,'REKAP (Faktur)'!$B13)</f>
        <v>0</v>
      </c>
      <c r="L13" s="429">
        <f>COUNTIFS('Data (Per Faktur)'!$A:$A,'REKAP (Faktur)'!L$4,'Data (Per Faktur)'!$K:$K,'REKAP (Faktur)'!$B13)</f>
        <v>0</v>
      </c>
      <c r="M13" s="429">
        <f>COUNTIFS('Data (Per Faktur)'!$A:$A,'REKAP (Faktur)'!M$4,'Data (Per Faktur)'!$K:$K,'REKAP (Faktur)'!$B13)</f>
        <v>0</v>
      </c>
      <c r="N13" s="429">
        <f>COUNTIFS('Data (Per Faktur)'!$A:$A,'REKAP (Faktur)'!N$4,'Data (Per Faktur)'!$K:$K,'REKAP (Faktur)'!$B13)</f>
        <v>0</v>
      </c>
      <c r="O13" s="430">
        <f t="shared" si="0"/>
        <v>2</v>
      </c>
      <c r="Q13" s="50">
        <v>9</v>
      </c>
      <c r="R13" s="50">
        <f t="shared" si="1"/>
        <v>-7</v>
      </c>
    </row>
    <row r="14" spans="2:32">
      <c r="B14" s="48" t="s">
        <v>17</v>
      </c>
      <c r="C14" s="429">
        <f>COUNTIFS('Data (Per Faktur)'!$A:$A,'REKAP (Faktur)'!C$4,'Data (Per Faktur)'!$K:$K,'REKAP (Faktur)'!$B14)</f>
        <v>0</v>
      </c>
      <c r="D14" s="429">
        <f>COUNTIFS('Data (Per Faktur)'!$A:$A,'REKAP (Faktur)'!D$4,'Data (Per Faktur)'!$K:$K,'REKAP (Faktur)'!$B14)</f>
        <v>0</v>
      </c>
      <c r="E14" s="429">
        <f>COUNTIFS('Data (Per Faktur)'!$A:$A,'REKAP (Faktur)'!E$4,'Data (Per Faktur)'!$K:$K,'REKAP (Faktur)'!$B14)</f>
        <v>0</v>
      </c>
      <c r="F14" s="429">
        <f>COUNTIFS('Data (Per Faktur)'!$A:$A,'REKAP (Faktur)'!F$4,'Data (Per Faktur)'!$K:$K,'REKAP (Faktur)'!$B14)</f>
        <v>1</v>
      </c>
      <c r="G14" s="429">
        <f>COUNTIFS('Data (Per Faktur)'!$A:$A,'REKAP (Faktur)'!G$4,'Data (Per Faktur)'!$K:$K,'REKAP (Faktur)'!$B14)</f>
        <v>0</v>
      </c>
      <c r="H14" s="429">
        <f>COUNTIFS('Data (Per Faktur)'!$A:$A,'REKAP (Faktur)'!H$4,'Data (Per Faktur)'!$K:$K,'REKAP (Faktur)'!$B14)</f>
        <v>0</v>
      </c>
      <c r="I14" s="429">
        <f>COUNTIFS('Data (Per Faktur)'!$A:$A,'REKAP (Faktur)'!I$4,'Data (Per Faktur)'!$K:$K,'REKAP (Faktur)'!$B14)</f>
        <v>0</v>
      </c>
      <c r="J14" s="429">
        <f>COUNTIFS('Data (Per Faktur)'!$A:$A,'REKAP (Faktur)'!J$4,'Data (Per Faktur)'!$K:$K,'REKAP (Faktur)'!$B14)</f>
        <v>0</v>
      </c>
      <c r="K14" s="429">
        <f>COUNTIFS('Data (Per Faktur)'!$A:$A,'REKAP (Faktur)'!K$4,'Data (Per Faktur)'!$K:$K,'REKAP (Faktur)'!$B14)</f>
        <v>0</v>
      </c>
      <c r="L14" s="429">
        <f>COUNTIFS('Data (Per Faktur)'!$A:$A,'REKAP (Faktur)'!L$4,'Data (Per Faktur)'!$K:$K,'REKAP (Faktur)'!$B14)</f>
        <v>0</v>
      </c>
      <c r="M14" s="429">
        <f>COUNTIFS('Data (Per Faktur)'!$A:$A,'REKAP (Faktur)'!M$4,'Data (Per Faktur)'!$K:$K,'REKAP (Faktur)'!$B14)</f>
        <v>0</v>
      </c>
      <c r="N14" s="429">
        <f>COUNTIFS('Data (Per Faktur)'!$A:$A,'REKAP (Faktur)'!N$4,'Data (Per Faktur)'!$K:$K,'REKAP (Faktur)'!$B14)</f>
        <v>0</v>
      </c>
      <c r="O14" s="430">
        <f t="shared" si="0"/>
        <v>1</v>
      </c>
      <c r="Q14" s="50">
        <v>1</v>
      </c>
      <c r="R14" s="50">
        <f t="shared" si="1"/>
        <v>0</v>
      </c>
    </row>
    <row r="15" spans="2:32" hidden="1">
      <c r="B15" s="48" t="s">
        <v>1416</v>
      </c>
      <c r="C15" s="429">
        <f>COUNTIFS('Data (Per Faktur)'!$A:$A,'REKAP (Faktur)'!C$4,'Data (Per Faktur)'!$K:$K,'REKAP (Faktur)'!$B15)</f>
        <v>0</v>
      </c>
      <c r="D15" s="429">
        <f>COUNTIFS('Data (Per Faktur)'!$A:$A,'REKAP (Faktur)'!D$4,'Data (Per Faktur)'!$K:$K,'REKAP (Faktur)'!$B15)</f>
        <v>0</v>
      </c>
      <c r="E15" s="429">
        <f>COUNTIFS('Data (Per Faktur)'!$A:$A,'REKAP (Faktur)'!E$4,'Data (Per Faktur)'!$K:$K,'REKAP (Faktur)'!$B15)</f>
        <v>0</v>
      </c>
      <c r="F15" s="429">
        <f>COUNTIFS('Data (Per Faktur)'!$A:$A,'REKAP (Faktur)'!F$4,'Data (Per Faktur)'!$K:$K,'REKAP (Faktur)'!$B15)</f>
        <v>0</v>
      </c>
      <c r="G15" s="429">
        <f>COUNTIFS('Data (Per Faktur)'!$A:$A,'REKAP (Faktur)'!G$4,'Data (Per Faktur)'!$K:$K,'REKAP (Faktur)'!$B15)</f>
        <v>0</v>
      </c>
      <c r="H15" s="429">
        <f>COUNTIFS('Data (Per Faktur)'!$A:$A,'REKAP (Faktur)'!H$4,'Data (Per Faktur)'!$K:$K,'REKAP (Faktur)'!$B15)</f>
        <v>0</v>
      </c>
      <c r="I15" s="429">
        <f>COUNTIFS('Data (Per Faktur)'!$A:$A,'REKAP (Faktur)'!I$4,'Data (Per Faktur)'!$K:$K,'REKAP (Faktur)'!$B15)</f>
        <v>0</v>
      </c>
      <c r="J15" s="429">
        <f>COUNTIFS('Data (Per Faktur)'!$A:$A,'REKAP (Faktur)'!J$4,'Data (Per Faktur)'!$K:$K,'REKAP (Faktur)'!$B15)</f>
        <v>0</v>
      </c>
      <c r="K15" s="429">
        <f>COUNTIFS('Data (Per Faktur)'!$A:$A,'REKAP (Faktur)'!K$4,'Data (Per Faktur)'!$K:$K,'REKAP (Faktur)'!$B15)</f>
        <v>0</v>
      </c>
      <c r="L15" s="429">
        <f>COUNTIFS('Data (Per Faktur)'!$A:$A,'REKAP (Faktur)'!L$4,'Data (Per Faktur)'!$K:$K,'REKAP (Faktur)'!$B15)</f>
        <v>0</v>
      </c>
      <c r="M15" s="429">
        <f>COUNTIFS('Data (Per Faktur)'!$A:$A,'REKAP (Faktur)'!M$4,'Data (Per Faktur)'!$K:$K,'REKAP (Faktur)'!$B15)</f>
        <v>0</v>
      </c>
      <c r="N15" s="429">
        <f>COUNTIFS('Data (Per Faktur)'!$A:$A,'REKAP (Faktur)'!N$4,'Data (Per Faktur)'!$K:$K,'REKAP (Faktur)'!$B15)</f>
        <v>0</v>
      </c>
      <c r="O15" s="430">
        <f t="shared" si="0"/>
        <v>0</v>
      </c>
      <c r="Q15" s="50">
        <v>1</v>
      </c>
      <c r="R15" s="50">
        <f t="shared" si="1"/>
        <v>-1</v>
      </c>
    </row>
    <row r="16" spans="2:32" hidden="1">
      <c r="B16" s="48" t="s">
        <v>53</v>
      </c>
      <c r="C16" s="429">
        <f>COUNTIFS('Data (Per Faktur)'!$A:$A,'REKAP (Faktur)'!C$4,'Data (Per Faktur)'!$K:$K,'REKAP (Faktur)'!$B16)</f>
        <v>0</v>
      </c>
      <c r="D16" s="429">
        <f>COUNTIFS('Data (Per Faktur)'!$A:$A,'REKAP (Faktur)'!D$4,'Data (Per Faktur)'!$K:$K,'REKAP (Faktur)'!$B16)</f>
        <v>0</v>
      </c>
      <c r="E16" s="429">
        <f>COUNTIFS('Data (Per Faktur)'!$A:$A,'REKAP (Faktur)'!E$4,'Data (Per Faktur)'!$K:$K,'REKAP (Faktur)'!$B16)</f>
        <v>0</v>
      </c>
      <c r="F16" s="429">
        <f>COUNTIFS('Data (Per Faktur)'!$A:$A,'REKAP (Faktur)'!F$4,'Data (Per Faktur)'!$K:$K,'REKAP (Faktur)'!$B16)</f>
        <v>0</v>
      </c>
      <c r="G16" s="429">
        <f>COUNTIFS('Data (Per Faktur)'!$A:$A,'REKAP (Faktur)'!G$4,'Data (Per Faktur)'!$K:$K,'REKAP (Faktur)'!$B16)</f>
        <v>0</v>
      </c>
      <c r="H16" s="429">
        <f>COUNTIFS('Data (Per Faktur)'!$A:$A,'REKAP (Faktur)'!H$4,'Data (Per Faktur)'!$K:$K,'REKAP (Faktur)'!$B16)</f>
        <v>0</v>
      </c>
      <c r="I16" s="429">
        <f>COUNTIFS('Data (Per Faktur)'!$A:$A,'REKAP (Faktur)'!I$4,'Data (Per Faktur)'!$K:$K,'REKAP (Faktur)'!$B16)</f>
        <v>0</v>
      </c>
      <c r="J16" s="429">
        <f>COUNTIFS('Data (Per Faktur)'!$A:$A,'REKAP (Faktur)'!J$4,'Data (Per Faktur)'!$K:$K,'REKAP (Faktur)'!$B16)</f>
        <v>0</v>
      </c>
      <c r="K16" s="429">
        <f>COUNTIFS('Data (Per Faktur)'!$A:$A,'REKAP (Faktur)'!K$4,'Data (Per Faktur)'!$K:$K,'REKAP (Faktur)'!$B16)</f>
        <v>0</v>
      </c>
      <c r="L16" s="429">
        <f>COUNTIFS('Data (Per Faktur)'!$A:$A,'REKAP (Faktur)'!L$4,'Data (Per Faktur)'!$K:$K,'REKAP (Faktur)'!$B16)</f>
        <v>0</v>
      </c>
      <c r="M16" s="429">
        <f>COUNTIFS('Data (Per Faktur)'!$A:$A,'REKAP (Faktur)'!M$4,'Data (Per Faktur)'!$K:$K,'REKAP (Faktur)'!$B16)</f>
        <v>0</v>
      </c>
      <c r="N16" s="429">
        <f>COUNTIFS('Data (Per Faktur)'!$A:$A,'REKAP (Faktur)'!N$4,'Data (Per Faktur)'!$K:$K,'REKAP (Faktur)'!$B16)</f>
        <v>0</v>
      </c>
      <c r="O16" s="430">
        <f t="shared" si="0"/>
        <v>0</v>
      </c>
      <c r="Q16" s="50">
        <v>0</v>
      </c>
      <c r="R16" s="50">
        <f t="shared" si="1"/>
        <v>0</v>
      </c>
    </row>
    <row r="17" spans="2:18" hidden="1">
      <c r="B17" s="48" t="s">
        <v>54</v>
      </c>
      <c r="C17" s="429">
        <f>COUNTIFS('Data (Per Faktur)'!$A:$A,'REKAP (Faktur)'!C$4,'Data (Per Faktur)'!$K:$K,'REKAP (Faktur)'!$B17)</f>
        <v>0</v>
      </c>
      <c r="D17" s="429">
        <f>COUNTIFS('Data (Per Faktur)'!$A:$A,'REKAP (Faktur)'!D$4,'Data (Per Faktur)'!$K:$K,'REKAP (Faktur)'!$B17)</f>
        <v>0</v>
      </c>
      <c r="E17" s="429">
        <f>COUNTIFS('Data (Per Faktur)'!$A:$A,'REKAP (Faktur)'!E$4,'Data (Per Faktur)'!$K:$K,'REKAP (Faktur)'!$B17)</f>
        <v>0</v>
      </c>
      <c r="F17" s="429">
        <f>COUNTIFS('Data (Per Faktur)'!$A:$A,'REKAP (Faktur)'!F$4,'Data (Per Faktur)'!$K:$K,'REKAP (Faktur)'!$B17)</f>
        <v>0</v>
      </c>
      <c r="G17" s="429">
        <f>COUNTIFS('Data (Per Faktur)'!$A:$A,'REKAP (Faktur)'!G$4,'Data (Per Faktur)'!$K:$K,'REKAP (Faktur)'!$B17)</f>
        <v>0</v>
      </c>
      <c r="H17" s="429">
        <f>COUNTIFS('Data (Per Faktur)'!$A:$A,'REKAP (Faktur)'!H$4,'Data (Per Faktur)'!$K:$K,'REKAP (Faktur)'!$B17)</f>
        <v>0</v>
      </c>
      <c r="I17" s="429">
        <f>COUNTIFS('Data (Per Faktur)'!$A:$A,'REKAP (Faktur)'!I$4,'Data (Per Faktur)'!$K:$K,'REKAP (Faktur)'!$B17)</f>
        <v>0</v>
      </c>
      <c r="J17" s="429">
        <f>COUNTIFS('Data (Per Faktur)'!$A:$A,'REKAP (Faktur)'!J$4,'Data (Per Faktur)'!$K:$K,'REKAP (Faktur)'!$B17)</f>
        <v>0</v>
      </c>
      <c r="K17" s="429">
        <f>COUNTIFS('Data (Per Faktur)'!$A:$A,'REKAP (Faktur)'!K$4,'Data (Per Faktur)'!$K:$K,'REKAP (Faktur)'!$B17)</f>
        <v>0</v>
      </c>
      <c r="L17" s="429">
        <f>COUNTIFS('Data (Per Faktur)'!$A:$A,'REKAP (Faktur)'!L$4,'Data (Per Faktur)'!$K:$K,'REKAP (Faktur)'!$B17)</f>
        <v>0</v>
      </c>
      <c r="M17" s="429">
        <f>COUNTIFS('Data (Per Faktur)'!$A:$A,'REKAP (Faktur)'!M$4,'Data (Per Faktur)'!$K:$K,'REKAP (Faktur)'!$B17)</f>
        <v>0</v>
      </c>
      <c r="N17" s="429">
        <f>COUNTIFS('Data (Per Faktur)'!$A:$A,'REKAP (Faktur)'!N$4,'Data (Per Faktur)'!$K:$K,'REKAP (Faktur)'!$B17)</f>
        <v>0</v>
      </c>
      <c r="O17" s="430">
        <f t="shared" si="0"/>
        <v>0</v>
      </c>
      <c r="Q17" s="50">
        <v>0</v>
      </c>
      <c r="R17" s="50">
        <f t="shared" si="1"/>
        <v>0</v>
      </c>
    </row>
    <row r="18" spans="2:18" hidden="1">
      <c r="B18" s="48" t="s">
        <v>50</v>
      </c>
      <c r="C18" s="429">
        <f>COUNTIFS('Data (Per Faktur)'!$A:$A,'REKAP (Faktur)'!C$4,'Data (Per Faktur)'!$K:$K,'REKAP (Faktur)'!$B18)</f>
        <v>0</v>
      </c>
      <c r="D18" s="429">
        <f>COUNTIFS('Data (Per Faktur)'!$A:$A,'REKAP (Faktur)'!D$4,'Data (Per Faktur)'!$K:$K,'REKAP (Faktur)'!$B18)</f>
        <v>0</v>
      </c>
      <c r="E18" s="429">
        <f>COUNTIFS('Data (Per Faktur)'!$A:$A,'REKAP (Faktur)'!E$4,'Data (Per Faktur)'!$K:$K,'REKAP (Faktur)'!$B18)</f>
        <v>0</v>
      </c>
      <c r="F18" s="429">
        <f>COUNTIFS('Data (Per Faktur)'!$A:$A,'REKAP (Faktur)'!F$4,'Data (Per Faktur)'!$K:$K,'REKAP (Faktur)'!$B18)</f>
        <v>0</v>
      </c>
      <c r="G18" s="429">
        <f>COUNTIFS('Data (Per Faktur)'!$A:$A,'REKAP (Faktur)'!G$4,'Data (Per Faktur)'!$K:$K,'REKAP (Faktur)'!$B18)</f>
        <v>0</v>
      </c>
      <c r="H18" s="429">
        <f>COUNTIFS('Data (Per Faktur)'!$A:$A,'REKAP (Faktur)'!H$4,'Data (Per Faktur)'!$K:$K,'REKAP (Faktur)'!$B18)</f>
        <v>0</v>
      </c>
      <c r="I18" s="429">
        <f>COUNTIFS('Data (Per Faktur)'!$A:$A,'REKAP (Faktur)'!I$4,'Data (Per Faktur)'!$K:$K,'REKAP (Faktur)'!$B18)</f>
        <v>0</v>
      </c>
      <c r="J18" s="429">
        <f>COUNTIFS('Data (Per Faktur)'!$A:$A,'REKAP (Faktur)'!J$4,'Data (Per Faktur)'!$K:$K,'REKAP (Faktur)'!$B18)</f>
        <v>0</v>
      </c>
      <c r="K18" s="429">
        <f>COUNTIFS('Data (Per Faktur)'!$A:$A,'REKAP (Faktur)'!K$4,'Data (Per Faktur)'!$K:$K,'REKAP (Faktur)'!$B18)</f>
        <v>0</v>
      </c>
      <c r="L18" s="429">
        <f>COUNTIFS('Data (Per Faktur)'!$A:$A,'REKAP (Faktur)'!L$4,'Data (Per Faktur)'!$K:$K,'REKAP (Faktur)'!$B18)</f>
        <v>0</v>
      </c>
      <c r="M18" s="429">
        <f>COUNTIFS('Data (Per Faktur)'!$A:$A,'REKAP (Faktur)'!M$4,'Data (Per Faktur)'!$K:$K,'REKAP (Faktur)'!$B18)</f>
        <v>0</v>
      </c>
      <c r="N18" s="429">
        <f>COUNTIFS('Data (Per Faktur)'!$A:$A,'REKAP (Faktur)'!N$4,'Data (Per Faktur)'!$K:$K,'REKAP (Faktur)'!$B18)</f>
        <v>0</v>
      </c>
      <c r="O18" s="430">
        <f t="shared" si="0"/>
        <v>0</v>
      </c>
      <c r="Q18" s="50">
        <v>0</v>
      </c>
      <c r="R18" s="50">
        <f t="shared" si="1"/>
        <v>0</v>
      </c>
    </row>
    <row r="19" spans="2:18">
      <c r="B19" s="48" t="s">
        <v>59</v>
      </c>
      <c r="C19" s="429">
        <f>COUNTIFS('Data (Per Faktur)'!$A:$A,'REKAP (Faktur)'!C$4,'Data (Per Faktur)'!$K:$K,'REKAP (Faktur)'!$B19)</f>
        <v>0</v>
      </c>
      <c r="D19" s="429">
        <f>COUNTIFS('Data (Per Faktur)'!$A:$A,'REKAP (Faktur)'!D$4,'Data (Per Faktur)'!$K:$K,'REKAP (Faktur)'!$B19)</f>
        <v>0</v>
      </c>
      <c r="E19" s="429">
        <f>COUNTIFS('Data (Per Faktur)'!$A:$A,'REKAP (Faktur)'!E$4,'Data (Per Faktur)'!$K:$K,'REKAP (Faktur)'!$B19)</f>
        <v>1</v>
      </c>
      <c r="F19" s="429">
        <f>COUNTIFS('Data (Per Faktur)'!$A:$A,'REKAP (Faktur)'!F$4,'Data (Per Faktur)'!$K:$K,'REKAP (Faktur)'!$B19)</f>
        <v>0</v>
      </c>
      <c r="G19" s="429">
        <f>COUNTIFS('Data (Per Faktur)'!$A:$A,'REKAP (Faktur)'!G$4,'Data (Per Faktur)'!$K:$K,'REKAP (Faktur)'!$B19)</f>
        <v>0</v>
      </c>
      <c r="H19" s="429">
        <f>COUNTIFS('Data (Per Faktur)'!$A:$A,'REKAP (Faktur)'!H$4,'Data (Per Faktur)'!$K:$K,'REKAP (Faktur)'!$B19)</f>
        <v>0</v>
      </c>
      <c r="I19" s="429">
        <f>COUNTIFS('Data (Per Faktur)'!$A:$A,'REKAP (Faktur)'!I$4,'Data (Per Faktur)'!$K:$K,'REKAP (Faktur)'!$B19)</f>
        <v>0</v>
      </c>
      <c r="J19" s="429">
        <f>COUNTIFS('Data (Per Faktur)'!$A:$A,'REKAP (Faktur)'!J$4,'Data (Per Faktur)'!$K:$K,'REKAP (Faktur)'!$B19)</f>
        <v>0</v>
      </c>
      <c r="K19" s="429">
        <f>COUNTIFS('Data (Per Faktur)'!$A:$A,'REKAP (Faktur)'!K$4,'Data (Per Faktur)'!$K:$K,'REKAP (Faktur)'!$B19)</f>
        <v>0</v>
      </c>
      <c r="L19" s="429">
        <f>COUNTIFS('Data (Per Faktur)'!$A:$A,'REKAP (Faktur)'!L$4,'Data (Per Faktur)'!$K:$K,'REKAP (Faktur)'!$B19)</f>
        <v>0</v>
      </c>
      <c r="M19" s="429">
        <f>COUNTIFS('Data (Per Faktur)'!$A:$A,'REKAP (Faktur)'!M$4,'Data (Per Faktur)'!$K:$K,'REKAP (Faktur)'!$B19)</f>
        <v>0</v>
      </c>
      <c r="N19" s="429">
        <f>COUNTIFS('Data (Per Faktur)'!$A:$A,'REKAP (Faktur)'!N$4,'Data (Per Faktur)'!$K:$K,'REKAP (Faktur)'!$B19)</f>
        <v>0</v>
      </c>
      <c r="O19" s="430">
        <f t="shared" si="0"/>
        <v>1</v>
      </c>
      <c r="Q19" s="50">
        <v>0</v>
      </c>
      <c r="R19" s="50">
        <f t="shared" si="1"/>
        <v>1</v>
      </c>
    </row>
    <row r="20" spans="2:18" hidden="1">
      <c r="B20" s="48" t="s">
        <v>1181</v>
      </c>
      <c r="C20" s="429">
        <f>COUNTIFS('Data (Per Faktur)'!$A:$A,'REKAP (Faktur)'!C$4,'Data (Per Faktur)'!$K:$K,'REKAP (Faktur)'!$B20)</f>
        <v>0</v>
      </c>
      <c r="D20" s="429">
        <f>COUNTIFS('Data (Per Faktur)'!$A:$A,'REKAP (Faktur)'!D$4,'Data (Per Faktur)'!$K:$K,'REKAP (Faktur)'!$B20)</f>
        <v>0</v>
      </c>
      <c r="E20" s="429">
        <f>COUNTIFS('Data (Per Faktur)'!$A:$A,'REKAP (Faktur)'!E$4,'Data (Per Faktur)'!$K:$K,'REKAP (Faktur)'!$B20)</f>
        <v>0</v>
      </c>
      <c r="F20" s="429">
        <f>COUNTIFS('Data (Per Faktur)'!$A:$A,'REKAP (Faktur)'!F$4,'Data (Per Faktur)'!$K:$K,'REKAP (Faktur)'!$B20)</f>
        <v>0</v>
      </c>
      <c r="G20" s="429">
        <f>COUNTIFS('Data (Per Faktur)'!$A:$A,'REKAP (Faktur)'!G$4,'Data (Per Faktur)'!$K:$K,'REKAP (Faktur)'!$B20)</f>
        <v>0</v>
      </c>
      <c r="H20" s="429">
        <f>COUNTIFS('Data (Per Faktur)'!$A:$A,'REKAP (Faktur)'!H$4,'Data (Per Faktur)'!$K:$K,'REKAP (Faktur)'!$B20)</f>
        <v>0</v>
      </c>
      <c r="I20" s="429">
        <f>COUNTIFS('Data (Per Faktur)'!$A:$A,'REKAP (Faktur)'!I$4,'Data (Per Faktur)'!$K:$K,'REKAP (Faktur)'!$B20)</f>
        <v>0</v>
      </c>
      <c r="J20" s="429">
        <f>COUNTIFS('Data (Per Faktur)'!$A:$A,'REKAP (Faktur)'!J$4,'Data (Per Faktur)'!$K:$K,'REKAP (Faktur)'!$B20)</f>
        <v>0</v>
      </c>
      <c r="K20" s="429">
        <f>COUNTIFS('Data (Per Faktur)'!$A:$A,'REKAP (Faktur)'!K$4,'Data (Per Faktur)'!$K:$K,'REKAP (Faktur)'!$B20)</f>
        <v>0</v>
      </c>
      <c r="L20" s="429">
        <f>COUNTIFS('Data (Per Faktur)'!$A:$A,'REKAP (Faktur)'!L$4,'Data (Per Faktur)'!$K:$K,'REKAP (Faktur)'!$B20)</f>
        <v>0</v>
      </c>
      <c r="M20" s="429">
        <f>COUNTIFS('Data (Per Faktur)'!$A:$A,'REKAP (Faktur)'!M$4,'Data (Per Faktur)'!$K:$K,'REKAP (Faktur)'!$B20)</f>
        <v>0</v>
      </c>
      <c r="N20" s="429">
        <f>COUNTIFS('Data (Per Faktur)'!$A:$A,'REKAP (Faktur)'!N$4,'Data (Per Faktur)'!$K:$K,'REKAP (Faktur)'!$B20)</f>
        <v>0</v>
      </c>
      <c r="O20" s="430">
        <f t="shared" si="0"/>
        <v>0</v>
      </c>
      <c r="Q20" s="50">
        <v>0</v>
      </c>
      <c r="R20" s="50">
        <f t="shared" si="1"/>
        <v>0</v>
      </c>
    </row>
    <row r="21" spans="2:18">
      <c r="B21" s="48" t="s">
        <v>56</v>
      </c>
      <c r="C21" s="429">
        <f>COUNTIFS('Data (Per Faktur)'!$A:$A,'REKAP (Faktur)'!C$4,'Data (Per Faktur)'!$K:$K,'REKAP (Faktur)'!$B21)</f>
        <v>0</v>
      </c>
      <c r="D21" s="429">
        <f>COUNTIFS('Data (Per Faktur)'!$A:$A,'REKAP (Faktur)'!D$4,'Data (Per Faktur)'!$K:$K,'REKAP (Faktur)'!$B21)</f>
        <v>0</v>
      </c>
      <c r="E21" s="429">
        <f>COUNTIFS('Data (Per Faktur)'!$A:$A,'REKAP (Faktur)'!E$4,'Data (Per Faktur)'!$K:$K,'REKAP (Faktur)'!$B21)</f>
        <v>2</v>
      </c>
      <c r="F21" s="429">
        <f>COUNTIFS('Data (Per Faktur)'!$A:$A,'REKAP (Faktur)'!F$4,'Data (Per Faktur)'!$K:$K,'REKAP (Faktur)'!$B21)</f>
        <v>0</v>
      </c>
      <c r="G21" s="429">
        <f>COUNTIFS('Data (Per Faktur)'!$A:$A,'REKAP (Faktur)'!G$4,'Data (Per Faktur)'!$K:$K,'REKAP (Faktur)'!$B21)</f>
        <v>0</v>
      </c>
      <c r="H21" s="429">
        <f>COUNTIFS('Data (Per Faktur)'!$A:$A,'REKAP (Faktur)'!H$4,'Data (Per Faktur)'!$K:$K,'REKAP (Faktur)'!$B21)</f>
        <v>0</v>
      </c>
      <c r="I21" s="429">
        <f>COUNTIFS('Data (Per Faktur)'!$A:$A,'REKAP (Faktur)'!I$4,'Data (Per Faktur)'!$K:$K,'REKAP (Faktur)'!$B21)</f>
        <v>0</v>
      </c>
      <c r="J21" s="429">
        <f>COUNTIFS('Data (Per Faktur)'!$A:$A,'REKAP (Faktur)'!J$4,'Data (Per Faktur)'!$K:$K,'REKAP (Faktur)'!$B21)</f>
        <v>0</v>
      </c>
      <c r="K21" s="429">
        <f>COUNTIFS('Data (Per Faktur)'!$A:$A,'REKAP (Faktur)'!K$4,'Data (Per Faktur)'!$K:$K,'REKAP (Faktur)'!$B21)</f>
        <v>0</v>
      </c>
      <c r="L21" s="429">
        <f>COUNTIFS('Data (Per Faktur)'!$A:$A,'REKAP (Faktur)'!L$4,'Data (Per Faktur)'!$K:$K,'REKAP (Faktur)'!$B21)</f>
        <v>0</v>
      </c>
      <c r="M21" s="429">
        <f>COUNTIFS('Data (Per Faktur)'!$A:$A,'REKAP (Faktur)'!M$4,'Data (Per Faktur)'!$K:$K,'REKAP (Faktur)'!$B21)</f>
        <v>0</v>
      </c>
      <c r="N21" s="429">
        <f>COUNTIFS('Data (Per Faktur)'!$A:$A,'REKAP (Faktur)'!N$4,'Data (Per Faktur)'!$K:$K,'REKAP (Faktur)'!$B21)</f>
        <v>0</v>
      </c>
      <c r="O21" s="430">
        <f t="shared" si="0"/>
        <v>2</v>
      </c>
      <c r="Q21" s="50">
        <v>1</v>
      </c>
      <c r="R21" s="50">
        <f t="shared" si="1"/>
        <v>1</v>
      </c>
    </row>
    <row r="22" spans="2:18" hidden="1">
      <c r="B22" s="48" t="s">
        <v>1413</v>
      </c>
      <c r="C22" s="429">
        <f>COUNTIFS('Data (Per Faktur)'!$A:$A,'REKAP (Faktur)'!C$4,'Data (Per Faktur)'!$K:$K,'REKAP (Faktur)'!$B22)</f>
        <v>0</v>
      </c>
      <c r="D22" s="429">
        <f>COUNTIFS('Data (Per Faktur)'!$A:$A,'REKAP (Faktur)'!D$4,'Data (Per Faktur)'!$K:$K,'REKAP (Faktur)'!$B22)</f>
        <v>0</v>
      </c>
      <c r="E22" s="429">
        <f>COUNTIFS('Data (Per Faktur)'!$A:$A,'REKAP (Faktur)'!E$4,'Data (Per Faktur)'!$K:$K,'REKAP (Faktur)'!$B22)</f>
        <v>0</v>
      </c>
      <c r="F22" s="429">
        <f>COUNTIFS('Data (Per Faktur)'!$A:$A,'REKAP (Faktur)'!F$4,'Data (Per Faktur)'!$K:$K,'REKAP (Faktur)'!$B22)</f>
        <v>0</v>
      </c>
      <c r="G22" s="429">
        <f>COUNTIFS('Data (Per Faktur)'!$A:$A,'REKAP (Faktur)'!G$4,'Data (Per Faktur)'!$K:$K,'REKAP (Faktur)'!$B22)</f>
        <v>0</v>
      </c>
      <c r="H22" s="429">
        <f>COUNTIFS('Data (Per Faktur)'!$A:$A,'REKAP (Faktur)'!H$4,'Data (Per Faktur)'!$K:$K,'REKAP (Faktur)'!$B22)</f>
        <v>0</v>
      </c>
      <c r="I22" s="429">
        <f>COUNTIFS('Data (Per Faktur)'!$A:$A,'REKAP (Faktur)'!I$4,'Data (Per Faktur)'!$K:$K,'REKAP (Faktur)'!$B22)</f>
        <v>0</v>
      </c>
      <c r="J22" s="429">
        <f>COUNTIFS('Data (Per Faktur)'!$A:$A,'REKAP (Faktur)'!J$4,'Data (Per Faktur)'!$K:$K,'REKAP (Faktur)'!$B22)</f>
        <v>0</v>
      </c>
      <c r="K22" s="429">
        <f>COUNTIFS('Data (Per Faktur)'!$A:$A,'REKAP (Faktur)'!K$4,'Data (Per Faktur)'!$K:$K,'REKAP (Faktur)'!$B22)</f>
        <v>0</v>
      </c>
      <c r="L22" s="429">
        <f>COUNTIFS('Data (Per Faktur)'!$A:$A,'REKAP (Faktur)'!L$4,'Data (Per Faktur)'!$K:$K,'REKAP (Faktur)'!$B22)</f>
        <v>0</v>
      </c>
      <c r="M22" s="429">
        <f>COUNTIFS('Data (Per Faktur)'!$A:$A,'REKAP (Faktur)'!M$4,'Data (Per Faktur)'!$K:$K,'REKAP (Faktur)'!$B22)</f>
        <v>0</v>
      </c>
      <c r="N22" s="429">
        <f>COUNTIFS('Data (Per Faktur)'!$A:$A,'REKAP (Faktur)'!N$4,'Data (Per Faktur)'!$K:$K,'REKAP (Faktur)'!$B22)</f>
        <v>0</v>
      </c>
      <c r="O22" s="430">
        <f t="shared" si="0"/>
        <v>0</v>
      </c>
      <c r="Q22" s="50">
        <v>0</v>
      </c>
      <c r="R22" s="50">
        <f t="shared" si="1"/>
        <v>0</v>
      </c>
    </row>
    <row r="23" spans="2:18" hidden="1">
      <c r="B23" s="48" t="s">
        <v>62</v>
      </c>
      <c r="C23" s="429">
        <f>COUNTIFS('Data (Per Faktur)'!$A:$A,'REKAP (Faktur)'!C$4,'Data (Per Faktur)'!$K:$K,'REKAP (Faktur)'!$B23)</f>
        <v>0</v>
      </c>
      <c r="D23" s="429">
        <f>COUNTIFS('Data (Per Faktur)'!$A:$A,'REKAP (Faktur)'!D$4,'Data (Per Faktur)'!$K:$K,'REKAP (Faktur)'!$B23)</f>
        <v>0</v>
      </c>
      <c r="E23" s="429">
        <f>COUNTIFS('Data (Per Faktur)'!$A:$A,'REKAP (Faktur)'!E$4,'Data (Per Faktur)'!$K:$K,'REKAP (Faktur)'!$B23)</f>
        <v>0</v>
      </c>
      <c r="F23" s="429">
        <f>COUNTIFS('Data (Per Faktur)'!$A:$A,'REKAP (Faktur)'!F$4,'Data (Per Faktur)'!$K:$K,'REKAP (Faktur)'!$B23)</f>
        <v>0</v>
      </c>
      <c r="G23" s="429">
        <f>COUNTIFS('Data (Per Faktur)'!$A:$A,'REKAP (Faktur)'!G$4,'Data (Per Faktur)'!$K:$K,'REKAP (Faktur)'!$B23)</f>
        <v>0</v>
      </c>
      <c r="H23" s="429">
        <f>COUNTIFS('Data (Per Faktur)'!$A:$A,'REKAP (Faktur)'!H$4,'Data (Per Faktur)'!$K:$K,'REKAP (Faktur)'!$B23)</f>
        <v>0</v>
      </c>
      <c r="I23" s="429">
        <f>COUNTIFS('Data (Per Faktur)'!$A:$A,'REKAP (Faktur)'!I$4,'Data (Per Faktur)'!$K:$K,'REKAP (Faktur)'!$B23)</f>
        <v>0</v>
      </c>
      <c r="J23" s="429">
        <f>COUNTIFS('Data (Per Faktur)'!$A:$A,'REKAP (Faktur)'!J$4,'Data (Per Faktur)'!$K:$K,'REKAP (Faktur)'!$B23)</f>
        <v>0</v>
      </c>
      <c r="K23" s="429">
        <f>COUNTIFS('Data (Per Faktur)'!$A:$A,'REKAP (Faktur)'!K$4,'Data (Per Faktur)'!$K:$K,'REKAP (Faktur)'!$B23)</f>
        <v>0</v>
      </c>
      <c r="L23" s="429">
        <f>COUNTIFS('Data (Per Faktur)'!$A:$A,'REKAP (Faktur)'!L$4,'Data (Per Faktur)'!$K:$K,'REKAP (Faktur)'!$B23)</f>
        <v>0</v>
      </c>
      <c r="M23" s="429">
        <f>COUNTIFS('Data (Per Faktur)'!$A:$A,'REKAP (Faktur)'!M$4,'Data (Per Faktur)'!$K:$K,'REKAP (Faktur)'!$B23)</f>
        <v>0</v>
      </c>
      <c r="N23" s="429">
        <f>COUNTIFS('Data (Per Faktur)'!$A:$A,'REKAP (Faktur)'!N$4,'Data (Per Faktur)'!$K:$K,'REKAP (Faktur)'!$B23)</f>
        <v>0</v>
      </c>
      <c r="O23" s="430">
        <f t="shared" si="0"/>
        <v>0</v>
      </c>
      <c r="Q23" s="50">
        <v>0</v>
      </c>
      <c r="R23" s="50">
        <f t="shared" si="1"/>
        <v>0</v>
      </c>
    </row>
    <row r="24" spans="2:18">
      <c r="B24" s="48" t="s">
        <v>77</v>
      </c>
      <c r="C24" s="429">
        <f>COUNTIFS('Data (Per Faktur)'!$A:$A,'REKAP (Faktur)'!C$4,'Data (Per Faktur)'!$K:$K,'REKAP (Faktur)'!$B24)</f>
        <v>0</v>
      </c>
      <c r="D24" s="429">
        <f>COUNTIFS('Data (Per Faktur)'!$A:$A,'REKAP (Faktur)'!D$4,'Data (Per Faktur)'!$K:$K,'REKAP (Faktur)'!$B24)</f>
        <v>0</v>
      </c>
      <c r="E24" s="429">
        <f>COUNTIFS('Data (Per Faktur)'!$A:$A,'REKAP (Faktur)'!E$4,'Data (Per Faktur)'!$K:$K,'REKAP (Faktur)'!$B24)</f>
        <v>0</v>
      </c>
      <c r="F24" s="429">
        <f>COUNTIFS('Data (Per Faktur)'!$A:$A,'REKAP (Faktur)'!F$4,'Data (Per Faktur)'!$K:$K,'REKAP (Faktur)'!$B24)</f>
        <v>0</v>
      </c>
      <c r="G24" s="429">
        <f>COUNTIFS('Data (Per Faktur)'!$A:$A,'REKAP (Faktur)'!G$4,'Data (Per Faktur)'!$K:$K,'REKAP (Faktur)'!$B24)</f>
        <v>3</v>
      </c>
      <c r="H24" s="429">
        <f>COUNTIFS('Data (Per Faktur)'!$A:$A,'REKAP (Faktur)'!H$4,'Data (Per Faktur)'!$K:$K,'REKAP (Faktur)'!$B24)</f>
        <v>0</v>
      </c>
      <c r="I24" s="429">
        <f>COUNTIFS('Data (Per Faktur)'!$A:$A,'REKAP (Faktur)'!I$4,'Data (Per Faktur)'!$K:$K,'REKAP (Faktur)'!$B24)</f>
        <v>0</v>
      </c>
      <c r="J24" s="429">
        <f>COUNTIFS('Data (Per Faktur)'!$A:$A,'REKAP (Faktur)'!J$4,'Data (Per Faktur)'!$K:$K,'REKAP (Faktur)'!$B24)</f>
        <v>0</v>
      </c>
      <c r="K24" s="429">
        <f>COUNTIFS('Data (Per Faktur)'!$A:$A,'REKAP (Faktur)'!K$4,'Data (Per Faktur)'!$K:$K,'REKAP (Faktur)'!$B24)</f>
        <v>0</v>
      </c>
      <c r="L24" s="429">
        <f>COUNTIFS('Data (Per Faktur)'!$A:$A,'REKAP (Faktur)'!L$4,'Data (Per Faktur)'!$K:$K,'REKAP (Faktur)'!$B24)</f>
        <v>0</v>
      </c>
      <c r="M24" s="429">
        <f>COUNTIFS('Data (Per Faktur)'!$A:$A,'REKAP (Faktur)'!M$4,'Data (Per Faktur)'!$K:$K,'REKAP (Faktur)'!$B24)</f>
        <v>0</v>
      </c>
      <c r="N24" s="429">
        <f>COUNTIFS('Data (Per Faktur)'!$A:$A,'REKAP (Faktur)'!N$4,'Data (Per Faktur)'!$K:$K,'REKAP (Faktur)'!$B24)</f>
        <v>0</v>
      </c>
      <c r="O24" s="430">
        <f t="shared" si="0"/>
        <v>3</v>
      </c>
      <c r="Q24" s="50">
        <v>1</v>
      </c>
      <c r="R24" s="50">
        <f t="shared" si="1"/>
        <v>2</v>
      </c>
    </row>
    <row r="25" spans="2:18" hidden="1">
      <c r="B25" s="48" t="s">
        <v>90</v>
      </c>
      <c r="C25" s="429">
        <f>COUNTIFS('Data (Per Faktur)'!$A:$A,'REKAP (Faktur)'!C$4,'Data (Per Faktur)'!$K:$K,'REKAP (Faktur)'!$B25)</f>
        <v>0</v>
      </c>
      <c r="D25" s="429">
        <f>COUNTIFS('Data (Per Faktur)'!$A:$A,'REKAP (Faktur)'!D$4,'Data (Per Faktur)'!$K:$K,'REKAP (Faktur)'!$B25)</f>
        <v>0</v>
      </c>
      <c r="E25" s="429">
        <f>COUNTIFS('Data (Per Faktur)'!$A:$A,'REKAP (Faktur)'!E$4,'Data (Per Faktur)'!$K:$K,'REKAP (Faktur)'!$B25)</f>
        <v>0</v>
      </c>
      <c r="F25" s="429">
        <f>COUNTIFS('Data (Per Faktur)'!$A:$A,'REKAP (Faktur)'!F$4,'Data (Per Faktur)'!$K:$K,'REKAP (Faktur)'!$B25)</f>
        <v>0</v>
      </c>
      <c r="G25" s="429">
        <f>COUNTIFS('Data (Per Faktur)'!$A:$A,'REKAP (Faktur)'!G$4,'Data (Per Faktur)'!$K:$K,'REKAP (Faktur)'!$B25)</f>
        <v>0</v>
      </c>
      <c r="H25" s="429">
        <f>COUNTIFS('Data (Per Faktur)'!$A:$A,'REKAP (Faktur)'!H$4,'Data (Per Faktur)'!$K:$K,'REKAP (Faktur)'!$B25)</f>
        <v>0</v>
      </c>
      <c r="I25" s="429">
        <f>COUNTIFS('Data (Per Faktur)'!$A:$A,'REKAP (Faktur)'!I$4,'Data (Per Faktur)'!$K:$K,'REKAP (Faktur)'!$B25)</f>
        <v>0</v>
      </c>
      <c r="J25" s="429">
        <f>COUNTIFS('Data (Per Faktur)'!$A:$A,'REKAP (Faktur)'!J$4,'Data (Per Faktur)'!$K:$K,'REKAP (Faktur)'!$B25)</f>
        <v>0</v>
      </c>
      <c r="K25" s="429">
        <f>COUNTIFS('Data (Per Faktur)'!$A:$A,'REKAP (Faktur)'!K$4,'Data (Per Faktur)'!$K:$K,'REKAP (Faktur)'!$B25)</f>
        <v>0</v>
      </c>
      <c r="L25" s="429">
        <f>COUNTIFS('Data (Per Faktur)'!$A:$A,'REKAP (Faktur)'!L$4,'Data (Per Faktur)'!$K:$K,'REKAP (Faktur)'!$B25)</f>
        <v>0</v>
      </c>
      <c r="M25" s="429">
        <f>COUNTIFS('Data (Per Faktur)'!$A:$A,'REKAP (Faktur)'!M$4,'Data (Per Faktur)'!$K:$K,'REKAP (Faktur)'!$B25)</f>
        <v>0</v>
      </c>
      <c r="N25" s="429">
        <f>COUNTIFS('Data (Per Faktur)'!$A:$A,'REKAP (Faktur)'!N$4,'Data (Per Faktur)'!$K:$K,'REKAP (Faktur)'!$B25)</f>
        <v>0</v>
      </c>
      <c r="O25" s="430">
        <f t="shared" si="0"/>
        <v>0</v>
      </c>
      <c r="Q25" s="50">
        <v>0</v>
      </c>
      <c r="R25" s="50">
        <f t="shared" si="1"/>
        <v>0</v>
      </c>
    </row>
    <row r="26" spans="2:18" hidden="1">
      <c r="B26" s="48" t="s">
        <v>82</v>
      </c>
      <c r="C26" s="429">
        <f>COUNTIFS('Data (Per Faktur)'!$A:$A,'REKAP (Faktur)'!C$4,'Data (Per Faktur)'!$K:$K,'REKAP (Faktur)'!$B26)</f>
        <v>0</v>
      </c>
      <c r="D26" s="429">
        <f>COUNTIFS('Data (Per Faktur)'!$A:$A,'REKAP (Faktur)'!D$4,'Data (Per Faktur)'!$K:$K,'REKAP (Faktur)'!$B26)</f>
        <v>0</v>
      </c>
      <c r="E26" s="429">
        <f>COUNTIFS('Data (Per Faktur)'!$A:$A,'REKAP (Faktur)'!E$4,'Data (Per Faktur)'!$K:$K,'REKAP (Faktur)'!$B26)</f>
        <v>0</v>
      </c>
      <c r="F26" s="429">
        <f>COUNTIFS('Data (Per Faktur)'!$A:$A,'REKAP (Faktur)'!F$4,'Data (Per Faktur)'!$K:$K,'REKAP (Faktur)'!$B26)</f>
        <v>0</v>
      </c>
      <c r="G26" s="429">
        <f>COUNTIFS('Data (Per Faktur)'!$A:$A,'REKAP (Faktur)'!G$4,'Data (Per Faktur)'!$K:$K,'REKAP (Faktur)'!$B26)</f>
        <v>0</v>
      </c>
      <c r="H26" s="429">
        <f>COUNTIFS('Data (Per Faktur)'!$A:$A,'REKAP (Faktur)'!H$4,'Data (Per Faktur)'!$K:$K,'REKAP (Faktur)'!$B26)</f>
        <v>0</v>
      </c>
      <c r="I26" s="429">
        <f>COUNTIFS('Data (Per Faktur)'!$A:$A,'REKAP (Faktur)'!I$4,'Data (Per Faktur)'!$K:$K,'REKAP (Faktur)'!$B26)</f>
        <v>0</v>
      </c>
      <c r="J26" s="429">
        <f>COUNTIFS('Data (Per Faktur)'!$A:$A,'REKAP (Faktur)'!J$4,'Data (Per Faktur)'!$K:$K,'REKAP (Faktur)'!$B26)</f>
        <v>0</v>
      </c>
      <c r="K26" s="429">
        <f>COUNTIFS('Data (Per Faktur)'!$A:$A,'REKAP (Faktur)'!K$4,'Data (Per Faktur)'!$K:$K,'REKAP (Faktur)'!$B26)</f>
        <v>0</v>
      </c>
      <c r="L26" s="429">
        <f>COUNTIFS('Data (Per Faktur)'!$A:$A,'REKAP (Faktur)'!L$4,'Data (Per Faktur)'!$K:$K,'REKAP (Faktur)'!$B26)</f>
        <v>0</v>
      </c>
      <c r="M26" s="429">
        <f>COUNTIFS('Data (Per Faktur)'!$A:$A,'REKAP (Faktur)'!M$4,'Data (Per Faktur)'!$K:$K,'REKAP (Faktur)'!$B26)</f>
        <v>0</v>
      </c>
      <c r="N26" s="429">
        <f>COUNTIFS('Data (Per Faktur)'!$A:$A,'REKAP (Faktur)'!N$4,'Data (Per Faktur)'!$K:$K,'REKAP (Faktur)'!$B26)</f>
        <v>0</v>
      </c>
      <c r="O26" s="430">
        <f t="shared" si="0"/>
        <v>0</v>
      </c>
      <c r="Q26" s="50">
        <v>0</v>
      </c>
      <c r="R26" s="50">
        <f t="shared" si="1"/>
        <v>0</v>
      </c>
    </row>
    <row r="27" spans="2:18" hidden="1">
      <c r="B27" s="48" t="s">
        <v>1423</v>
      </c>
      <c r="C27" s="429">
        <f>COUNTIFS('Data (Per Faktur)'!$A:$A,'REKAP (Faktur)'!C$4,'Data (Per Faktur)'!$K:$K,'REKAP (Faktur)'!$B27)</f>
        <v>0</v>
      </c>
      <c r="D27" s="429">
        <f>COUNTIFS('Data (Per Faktur)'!$A:$A,'REKAP (Faktur)'!D$4,'Data (Per Faktur)'!$K:$K,'REKAP (Faktur)'!$B27)</f>
        <v>0</v>
      </c>
      <c r="E27" s="429">
        <f>COUNTIFS('Data (Per Faktur)'!$A:$A,'REKAP (Faktur)'!E$4,'Data (Per Faktur)'!$K:$K,'REKAP (Faktur)'!$B27)</f>
        <v>0</v>
      </c>
      <c r="F27" s="429">
        <f>COUNTIFS('Data (Per Faktur)'!$A:$A,'REKAP (Faktur)'!F$4,'Data (Per Faktur)'!$K:$K,'REKAP (Faktur)'!$B27)</f>
        <v>0</v>
      </c>
      <c r="G27" s="429">
        <f>COUNTIFS('Data (Per Faktur)'!$A:$A,'REKAP (Faktur)'!G$4,'Data (Per Faktur)'!$K:$K,'REKAP (Faktur)'!$B27)</f>
        <v>0</v>
      </c>
      <c r="H27" s="429">
        <f>COUNTIFS('Data (Per Faktur)'!$A:$A,'REKAP (Faktur)'!H$4,'Data (Per Faktur)'!$K:$K,'REKAP (Faktur)'!$B27)</f>
        <v>0</v>
      </c>
      <c r="I27" s="429">
        <f>COUNTIFS('Data (Per Faktur)'!$A:$A,'REKAP (Faktur)'!I$4,'Data (Per Faktur)'!$K:$K,'REKAP (Faktur)'!$B27)</f>
        <v>0</v>
      </c>
      <c r="J27" s="429">
        <f>COUNTIFS('Data (Per Faktur)'!$A:$A,'REKAP (Faktur)'!J$4,'Data (Per Faktur)'!$K:$K,'REKAP (Faktur)'!$B27)</f>
        <v>0</v>
      </c>
      <c r="K27" s="429">
        <f>COUNTIFS('Data (Per Faktur)'!$A:$A,'REKAP (Faktur)'!K$4,'Data (Per Faktur)'!$K:$K,'REKAP (Faktur)'!$B27)</f>
        <v>0</v>
      </c>
      <c r="L27" s="429">
        <f>COUNTIFS('Data (Per Faktur)'!$A:$A,'REKAP (Faktur)'!L$4,'Data (Per Faktur)'!$K:$K,'REKAP (Faktur)'!$B27)</f>
        <v>0</v>
      </c>
      <c r="M27" s="429">
        <f>COUNTIFS('Data (Per Faktur)'!$A:$A,'REKAP (Faktur)'!M$4,'Data (Per Faktur)'!$K:$K,'REKAP (Faktur)'!$B27)</f>
        <v>0</v>
      </c>
      <c r="N27" s="429">
        <f>COUNTIFS('Data (Per Faktur)'!$A:$A,'REKAP (Faktur)'!N$4,'Data (Per Faktur)'!$K:$K,'REKAP (Faktur)'!$B27)</f>
        <v>0</v>
      </c>
      <c r="O27" s="430">
        <f t="shared" si="0"/>
        <v>0</v>
      </c>
      <c r="Q27" s="50">
        <v>0</v>
      </c>
      <c r="R27" s="50">
        <f t="shared" si="1"/>
        <v>0</v>
      </c>
    </row>
    <row r="28" spans="2:18" hidden="1">
      <c r="B28" s="48" t="s">
        <v>63</v>
      </c>
      <c r="C28" s="429">
        <f>COUNTIFS('Data (Per Faktur)'!$A:$A,'REKAP (Faktur)'!C$4,'Data (Per Faktur)'!$K:$K,'REKAP (Faktur)'!$B28)</f>
        <v>0</v>
      </c>
      <c r="D28" s="429">
        <f>COUNTIFS('Data (Per Faktur)'!$A:$A,'REKAP (Faktur)'!D$4,'Data (Per Faktur)'!$K:$K,'REKAP (Faktur)'!$B28)</f>
        <v>0</v>
      </c>
      <c r="E28" s="429">
        <f>COUNTIFS('Data (Per Faktur)'!$A:$A,'REKAP (Faktur)'!E$4,'Data (Per Faktur)'!$K:$K,'REKAP (Faktur)'!$B28)</f>
        <v>0</v>
      </c>
      <c r="F28" s="429">
        <f>COUNTIFS('Data (Per Faktur)'!$A:$A,'REKAP (Faktur)'!F$4,'Data (Per Faktur)'!$K:$K,'REKAP (Faktur)'!$B28)</f>
        <v>0</v>
      </c>
      <c r="G28" s="429">
        <f>COUNTIFS('Data (Per Faktur)'!$A:$A,'REKAP (Faktur)'!G$4,'Data (Per Faktur)'!$K:$K,'REKAP (Faktur)'!$B28)</f>
        <v>0</v>
      </c>
      <c r="H28" s="429">
        <f>COUNTIFS('Data (Per Faktur)'!$A:$A,'REKAP (Faktur)'!H$4,'Data (Per Faktur)'!$K:$K,'REKAP (Faktur)'!$B28)</f>
        <v>0</v>
      </c>
      <c r="I28" s="429">
        <f>COUNTIFS('Data (Per Faktur)'!$A:$A,'REKAP (Faktur)'!I$4,'Data (Per Faktur)'!$K:$K,'REKAP (Faktur)'!$B28)</f>
        <v>0</v>
      </c>
      <c r="J28" s="429">
        <f>COUNTIFS('Data (Per Faktur)'!$A:$A,'REKAP (Faktur)'!J$4,'Data (Per Faktur)'!$K:$K,'REKAP (Faktur)'!$B28)</f>
        <v>0</v>
      </c>
      <c r="K28" s="429">
        <f>COUNTIFS('Data (Per Faktur)'!$A:$A,'REKAP (Faktur)'!K$4,'Data (Per Faktur)'!$K:$K,'REKAP (Faktur)'!$B28)</f>
        <v>0</v>
      </c>
      <c r="L28" s="429">
        <f>COUNTIFS('Data (Per Faktur)'!$A:$A,'REKAP (Faktur)'!L$4,'Data (Per Faktur)'!$K:$K,'REKAP (Faktur)'!$B28)</f>
        <v>0</v>
      </c>
      <c r="M28" s="429">
        <f>COUNTIFS('Data (Per Faktur)'!$A:$A,'REKAP (Faktur)'!M$4,'Data (Per Faktur)'!$K:$K,'REKAP (Faktur)'!$B28)</f>
        <v>0</v>
      </c>
      <c r="N28" s="429">
        <f>COUNTIFS('Data (Per Faktur)'!$A:$A,'REKAP (Faktur)'!N$4,'Data (Per Faktur)'!$K:$K,'REKAP (Faktur)'!$B28)</f>
        <v>0</v>
      </c>
      <c r="O28" s="430">
        <f t="shared" si="0"/>
        <v>0</v>
      </c>
      <c r="Q28" s="50">
        <v>0</v>
      </c>
      <c r="R28" s="50">
        <f t="shared" si="1"/>
        <v>0</v>
      </c>
    </row>
    <row r="29" spans="2:18" hidden="1">
      <c r="B29" s="48" t="s">
        <v>137</v>
      </c>
      <c r="C29" s="429">
        <f>COUNTIFS('Data (Per Faktur)'!$A:$A,'REKAP (Faktur)'!C$4,'Data (Per Faktur)'!$K:$K,'REKAP (Faktur)'!$B29)</f>
        <v>0</v>
      </c>
      <c r="D29" s="429">
        <f>COUNTIFS('Data (Per Faktur)'!$A:$A,'REKAP (Faktur)'!D$4,'Data (Per Faktur)'!$K:$K,'REKAP (Faktur)'!$B29)</f>
        <v>0</v>
      </c>
      <c r="E29" s="429">
        <f>COUNTIFS('Data (Per Faktur)'!$A:$A,'REKAP (Faktur)'!E$4,'Data (Per Faktur)'!$K:$K,'REKAP (Faktur)'!$B29)</f>
        <v>0</v>
      </c>
      <c r="F29" s="429"/>
      <c r="G29" s="429"/>
      <c r="H29" s="429"/>
      <c r="I29" s="429"/>
      <c r="J29" s="429"/>
      <c r="K29" s="429"/>
      <c r="L29" s="429"/>
      <c r="M29" s="429"/>
      <c r="N29" s="429"/>
      <c r="O29" s="430">
        <f>SUM(C29:N29)</f>
        <v>0</v>
      </c>
      <c r="Q29" s="50">
        <v>0</v>
      </c>
      <c r="R29" s="50">
        <f>+O29-Q29</f>
        <v>0</v>
      </c>
    </row>
    <row r="30" spans="2:18" ht="15.75" thickBot="1">
      <c r="B30" s="51" t="s">
        <v>18</v>
      </c>
      <c r="C30" s="438">
        <f>SUM(C5:C28)</f>
        <v>16</v>
      </c>
      <c r="D30" s="433">
        <f t="shared" ref="D30:O30" si="2">SUM(D5:D29)</f>
        <v>12</v>
      </c>
      <c r="E30" s="433">
        <f t="shared" si="2"/>
        <v>13</v>
      </c>
      <c r="F30" s="433">
        <f t="shared" si="2"/>
        <v>16</v>
      </c>
      <c r="G30" s="433">
        <f t="shared" si="2"/>
        <v>18</v>
      </c>
      <c r="H30" s="438">
        <f>SUM(H5:H29)</f>
        <v>0</v>
      </c>
      <c r="I30" s="438">
        <f>SUM(I5:I29)</f>
        <v>0</v>
      </c>
      <c r="J30" s="438">
        <f>SUM(J5:J29)</f>
        <v>0</v>
      </c>
      <c r="K30" s="438">
        <f>SUM(K5:K29)</f>
        <v>0</v>
      </c>
      <c r="L30" s="438">
        <f>SUM(L5:L29)</f>
        <v>0</v>
      </c>
      <c r="M30" s="433">
        <f t="shared" si="2"/>
        <v>0</v>
      </c>
      <c r="N30" s="433">
        <f t="shared" si="2"/>
        <v>0</v>
      </c>
      <c r="O30" s="433">
        <f t="shared" si="2"/>
        <v>75</v>
      </c>
      <c r="Q30" s="52">
        <f>SUM(Q5:Q29)</f>
        <v>112</v>
      </c>
      <c r="R30" s="52">
        <f>+O30-Q30</f>
        <v>-37</v>
      </c>
    </row>
    <row r="31" spans="2:18" ht="30" customHeight="1" thickTop="1">
      <c r="B31" s="526" t="s">
        <v>1448</v>
      </c>
      <c r="C31" s="526"/>
      <c r="D31" s="526"/>
      <c r="E31" s="526"/>
      <c r="F31" s="526"/>
      <c r="G31" s="526"/>
      <c r="H31" s="526"/>
      <c r="I31" s="526"/>
      <c r="J31" s="526"/>
      <c r="K31" s="526"/>
      <c r="L31" s="526"/>
      <c r="M31" s="526"/>
      <c r="N31" s="526"/>
      <c r="O31" s="527"/>
    </row>
    <row r="34" spans="1:31" hidden="1">
      <c r="A34" s="410" t="s">
        <v>73</v>
      </c>
      <c r="B34" s="22" t="s">
        <v>74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410" t="s">
        <v>72</v>
      </c>
      <c r="Q34" s="22" t="s">
        <v>75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hidden="1">
      <c r="B35" s="24" t="s">
        <v>1419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Q35" s="24" t="s">
        <v>1419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spans="1:31" hidden="1">
      <c r="B36" s="16" t="s">
        <v>13</v>
      </c>
      <c r="C36" s="17" t="s">
        <v>1404</v>
      </c>
      <c r="D36" s="17" t="s">
        <v>1406</v>
      </c>
      <c r="E36" s="17" t="s">
        <v>1407</v>
      </c>
      <c r="F36" s="17" t="s">
        <v>1408</v>
      </c>
      <c r="G36" s="17" t="s">
        <v>23</v>
      </c>
      <c r="H36" s="17" t="s">
        <v>1405</v>
      </c>
      <c r="I36" s="17" t="s">
        <v>1409</v>
      </c>
      <c r="J36" s="17" t="s">
        <v>1410</v>
      </c>
      <c r="K36" s="17" t="s">
        <v>1087</v>
      </c>
      <c r="L36" s="17" t="s">
        <v>1179</v>
      </c>
      <c r="M36" s="17" t="s">
        <v>1311</v>
      </c>
      <c r="N36" s="17" t="s">
        <v>1403</v>
      </c>
      <c r="O36" s="17" t="s">
        <v>0</v>
      </c>
      <c r="Q36" s="16" t="s">
        <v>13</v>
      </c>
      <c r="R36" s="17" t="s">
        <v>1404</v>
      </c>
      <c r="S36" s="17" t="s">
        <v>1406</v>
      </c>
      <c r="T36" s="17" t="s">
        <v>1407</v>
      </c>
      <c r="U36" s="17" t="s">
        <v>1408</v>
      </c>
      <c r="V36" s="17" t="s">
        <v>23</v>
      </c>
      <c r="W36" s="17" t="s">
        <v>1405</v>
      </c>
      <c r="X36" s="17" t="s">
        <v>1409</v>
      </c>
      <c r="Y36" s="17" t="s">
        <v>1410</v>
      </c>
      <c r="Z36" s="17" t="s">
        <v>1087</v>
      </c>
      <c r="AA36" s="17" t="s">
        <v>1179</v>
      </c>
      <c r="AB36" s="17" t="s">
        <v>1311</v>
      </c>
      <c r="AC36" s="17" t="s">
        <v>1403</v>
      </c>
      <c r="AD36" s="17" t="s">
        <v>0</v>
      </c>
      <c r="AE36" s="17" t="s">
        <v>37</v>
      </c>
    </row>
    <row r="37" spans="1:31" hidden="1">
      <c r="B37" s="20" t="s">
        <v>1414</v>
      </c>
      <c r="C37" s="432"/>
      <c r="D37" s="432"/>
      <c r="E37" s="432"/>
      <c r="F37" s="432"/>
      <c r="G37" s="432"/>
      <c r="H37" s="432"/>
      <c r="I37" s="18"/>
      <c r="J37" s="18"/>
      <c r="K37" s="18"/>
      <c r="L37" s="432"/>
      <c r="M37" s="432"/>
      <c r="N37" s="432"/>
      <c r="O37" s="431">
        <f t="shared" ref="O37:O46" si="3">SUM(C37:N37)</f>
        <v>0</v>
      </c>
      <c r="Q37" s="20" t="s">
        <v>1414</v>
      </c>
      <c r="R37" s="432">
        <f>COUNTIFS('Data (Per Faktur)'!$A:$A,'REKAP (Faktur)'!R$36,'Data (Per Faktur)'!$E:$E,'REKAP (Faktur)'!$Q37,'Data (Per Faktur)'!$K:$K,'REKAP (Faktur)'!$P$34)</f>
        <v>0</v>
      </c>
      <c r="S37" s="432">
        <f>COUNTIFS('Data (Per Faktur)'!$A:$A,'REKAP (Faktur)'!S$36,'Data (Per Faktur)'!$E:$E,'REKAP (Faktur)'!$Q37,'Data (Per Faktur)'!$K:$K,'REKAP (Faktur)'!$P$34)</f>
        <v>0</v>
      </c>
      <c r="T37" s="432">
        <f>COUNTIFS('Data (Per Faktur)'!$A:$A,'REKAP (Faktur)'!T$36,'Data (Per Faktur)'!$E:$E,'REKAP (Faktur)'!$Q37,'Data (Per Faktur)'!$K:$K,'REKAP (Faktur)'!$P$34)</f>
        <v>0</v>
      </c>
      <c r="U37" s="432">
        <f>COUNTIFS('Data (Per Faktur)'!$A:$A,'REKAP (Faktur)'!U$36,'Data (Per Faktur)'!$E:$E,'REKAP (Faktur)'!$Q37,'Data (Per Faktur)'!$K:$K,'REKAP (Faktur)'!$P$34)</f>
        <v>0</v>
      </c>
      <c r="V37" s="432">
        <f>COUNTIFS('Data (Per Faktur)'!$A:$A,'REKAP (Faktur)'!V$36,'Data (Per Faktur)'!$E:$E,'REKAP (Faktur)'!$Q37,'Data (Per Faktur)'!$K:$K,'REKAP (Faktur)'!$P$34)</f>
        <v>0</v>
      </c>
      <c r="W37" s="432">
        <f>COUNTIFS('Data (Per Faktur)'!$A:$A,'REKAP (Faktur)'!W$36,'Data (Per Faktur)'!$E:$E,'REKAP (Faktur)'!$Q37,'Data (Per Faktur)'!$K:$K,'REKAP (Faktur)'!$P$34)</f>
        <v>0</v>
      </c>
      <c r="X37" s="432">
        <f>COUNTIFS('Data (Per Faktur)'!$A:$A,'REKAP (Faktur)'!X$36,'Data (Per Faktur)'!$E:$E,'REKAP (Faktur)'!$Q37,'Data (Per Faktur)'!$K:$K,'REKAP (Faktur)'!$P$34)</f>
        <v>0</v>
      </c>
      <c r="Y37" s="432">
        <f>COUNTIFS('Data (Per Faktur)'!$A:$A,'REKAP (Faktur)'!Y$36,'Data (Per Faktur)'!$E:$E,'REKAP (Faktur)'!$Q37,'Data (Per Faktur)'!$K:$K,'REKAP (Faktur)'!$P$34)</f>
        <v>0</v>
      </c>
      <c r="Z37" s="432">
        <f>COUNTIFS('Data (Per Faktur)'!$A:$A,'REKAP (Faktur)'!Z$36,'Data (Per Faktur)'!$E:$E,'REKAP (Faktur)'!$Q37,'Data (Per Faktur)'!$K:$K,'REKAP (Faktur)'!$P$34)</f>
        <v>0</v>
      </c>
      <c r="AA37" s="432">
        <f>COUNTIFS('Data (Per Faktur)'!$A:$A,'REKAP (Faktur)'!AA$36,'Data (Per Faktur)'!$E:$E,'REKAP (Faktur)'!$Q37,'Data (Per Faktur)'!$K:$K,'REKAP (Faktur)'!$P$34)</f>
        <v>0</v>
      </c>
      <c r="AB37" s="432">
        <f>COUNTIFS('Data (Per Faktur)'!$A:$A,'REKAP (Faktur)'!AB$36,'Data (Per Faktur)'!$E:$E,'REKAP (Faktur)'!$Q37,'Data (Per Faktur)'!$K:$K,'REKAP (Faktur)'!$P$34)</f>
        <v>0</v>
      </c>
      <c r="AC37" s="432">
        <f>COUNTIFS('Data (Per Faktur)'!$A:$A,'REKAP (Faktur)'!AC$36,'Data (Per Faktur)'!$E:$E,'REKAP (Faktur)'!$Q37,'Data (Per Faktur)'!$K:$K,'REKAP (Faktur)'!$P$34)</f>
        <v>0</v>
      </c>
      <c r="AD37" s="431">
        <f t="shared" ref="AD37:AD46" si="4">SUM(R37:AC37)</f>
        <v>0</v>
      </c>
      <c r="AE37" s="40" t="e">
        <f>AD37/$AD$47</f>
        <v>#DIV/0!</v>
      </c>
    </row>
    <row r="38" spans="1:31" hidden="1">
      <c r="B38" s="20" t="s">
        <v>11</v>
      </c>
      <c r="C38" s="420"/>
      <c r="D38" s="432"/>
      <c r="E38" s="432"/>
      <c r="F38" s="432"/>
      <c r="G38" s="432"/>
      <c r="H38" s="432"/>
      <c r="I38" s="18"/>
      <c r="J38" s="18"/>
      <c r="K38" s="18"/>
      <c r="L38" s="432"/>
      <c r="M38" s="432"/>
      <c r="N38" s="432"/>
      <c r="O38" s="431">
        <f t="shared" si="3"/>
        <v>0</v>
      </c>
      <c r="Q38" s="20" t="s">
        <v>11</v>
      </c>
      <c r="R38" s="432">
        <f>COUNTIFS('Data (Per Faktur)'!$A:$A,'REKAP (Faktur)'!R$36,'Data (Per Faktur)'!$E:$E,'REKAP (Faktur)'!$Q38,'Data (Per Faktur)'!$K:$K,'REKAP (Faktur)'!$P$34)</f>
        <v>0</v>
      </c>
      <c r="S38" s="432">
        <f>COUNTIFS('Data (Per Faktur)'!$A:$A,'REKAP (Faktur)'!S$36,'Data (Per Faktur)'!$E:$E,'REKAP (Faktur)'!$Q38,'Data (Per Faktur)'!$K:$K,'REKAP (Faktur)'!$P$34)</f>
        <v>0</v>
      </c>
      <c r="T38" s="432">
        <f>COUNTIFS('Data (Per Faktur)'!$A:$A,'REKAP (Faktur)'!T$36,'Data (Per Faktur)'!$E:$E,'REKAP (Faktur)'!$Q38,'Data (Per Faktur)'!$K:$K,'REKAP (Faktur)'!$P$34)</f>
        <v>0</v>
      </c>
      <c r="U38" s="432">
        <f>COUNTIFS('Data (Per Faktur)'!$A:$A,'REKAP (Faktur)'!U$36,'Data (Per Faktur)'!$E:$E,'REKAP (Faktur)'!$Q38,'Data (Per Faktur)'!$K:$K,'REKAP (Faktur)'!$P$34)</f>
        <v>0</v>
      </c>
      <c r="V38" s="432">
        <f>COUNTIFS('Data (Per Faktur)'!$A:$A,'REKAP (Faktur)'!V$36,'Data (Per Faktur)'!$E:$E,'REKAP (Faktur)'!$Q38,'Data (Per Faktur)'!$K:$K,'REKAP (Faktur)'!$P$34)</f>
        <v>0</v>
      </c>
      <c r="W38" s="432">
        <f>COUNTIFS('Data (Per Faktur)'!$A:$A,'REKAP (Faktur)'!W$36,'Data (Per Faktur)'!$E:$E,'REKAP (Faktur)'!$Q38,'Data (Per Faktur)'!$K:$K,'REKAP (Faktur)'!$P$34)</f>
        <v>0</v>
      </c>
      <c r="X38" s="432">
        <f>COUNTIFS('Data (Per Faktur)'!$A:$A,'REKAP (Faktur)'!X$36,'Data (Per Faktur)'!$E:$E,'REKAP (Faktur)'!$Q38,'Data (Per Faktur)'!$K:$K,'REKAP (Faktur)'!$P$34)</f>
        <v>0</v>
      </c>
      <c r="Y38" s="432">
        <f>COUNTIFS('Data (Per Faktur)'!$A:$A,'REKAP (Faktur)'!Y$36,'Data (Per Faktur)'!$E:$E,'REKAP (Faktur)'!$Q38,'Data (Per Faktur)'!$K:$K,'REKAP (Faktur)'!$P$34)</f>
        <v>0</v>
      </c>
      <c r="Z38" s="432">
        <f>COUNTIFS('Data (Per Faktur)'!$A:$A,'REKAP (Faktur)'!Z$36,'Data (Per Faktur)'!$E:$E,'REKAP (Faktur)'!$Q38,'Data (Per Faktur)'!$K:$K,'REKAP (Faktur)'!$P$34)</f>
        <v>0</v>
      </c>
      <c r="AA38" s="432">
        <f>COUNTIFS('Data (Per Faktur)'!$A:$A,'REKAP (Faktur)'!AA$36,'Data (Per Faktur)'!$E:$E,'REKAP (Faktur)'!$Q38,'Data (Per Faktur)'!$K:$K,'REKAP (Faktur)'!$P$34)</f>
        <v>0</v>
      </c>
      <c r="AB38" s="432">
        <f>COUNTIFS('Data (Per Faktur)'!$A:$A,'REKAP (Faktur)'!AB$36,'Data (Per Faktur)'!$E:$E,'REKAP (Faktur)'!$Q38,'Data (Per Faktur)'!$K:$K,'REKAP (Faktur)'!$P$34)</f>
        <v>0</v>
      </c>
      <c r="AC38" s="432">
        <f>COUNTIFS('Data (Per Faktur)'!$A:$A,'REKAP (Faktur)'!AC$36,'Data (Per Faktur)'!$E:$E,'REKAP (Faktur)'!$Q38,'Data (Per Faktur)'!$K:$K,'REKAP (Faktur)'!$P$34)</f>
        <v>0</v>
      </c>
      <c r="AD38" s="431">
        <f t="shared" si="4"/>
        <v>0</v>
      </c>
      <c r="AE38" s="40" t="e">
        <f>AD38/$AD$47</f>
        <v>#DIV/0!</v>
      </c>
    </row>
    <row r="39" spans="1:31" hidden="1">
      <c r="B39" s="20" t="s">
        <v>83</v>
      </c>
      <c r="C39" s="421"/>
      <c r="D39" s="432"/>
      <c r="E39" s="432"/>
      <c r="F39" s="432"/>
      <c r="G39" s="432"/>
      <c r="H39" s="432"/>
      <c r="I39" s="18"/>
      <c r="J39" s="18"/>
      <c r="K39" s="18"/>
      <c r="L39" s="432"/>
      <c r="M39" s="432"/>
      <c r="N39" s="432"/>
      <c r="O39" s="431">
        <f t="shared" si="3"/>
        <v>0</v>
      </c>
      <c r="Q39" s="20" t="s">
        <v>83</v>
      </c>
      <c r="R39" s="432">
        <f>COUNTIFS('Data (Per Faktur)'!$A:$A,'REKAP (Faktur)'!R$36,'Data (Per Faktur)'!$E:$E,'REKAP (Faktur)'!$Q39,'Data (Per Faktur)'!$K:$K,'REKAP (Faktur)'!$P$34)</f>
        <v>0</v>
      </c>
      <c r="S39" s="432">
        <f>COUNTIFS('Data (Per Faktur)'!$A:$A,'REKAP (Faktur)'!S$36,'Data (Per Faktur)'!$E:$E,'REKAP (Faktur)'!$Q39,'Data (Per Faktur)'!$K:$K,'REKAP (Faktur)'!$P$34)</f>
        <v>0</v>
      </c>
      <c r="T39" s="432">
        <f>COUNTIFS('Data (Per Faktur)'!$A:$A,'REKAP (Faktur)'!T$36,'Data (Per Faktur)'!$E:$E,'REKAP (Faktur)'!$Q39,'Data (Per Faktur)'!$K:$K,'REKAP (Faktur)'!$P$34)</f>
        <v>0</v>
      </c>
      <c r="U39" s="432">
        <f>COUNTIFS('Data (Per Faktur)'!$A:$A,'REKAP (Faktur)'!U$36,'Data (Per Faktur)'!$E:$E,'REKAP (Faktur)'!$Q39,'Data (Per Faktur)'!$K:$K,'REKAP (Faktur)'!$P$34)</f>
        <v>0</v>
      </c>
      <c r="V39" s="432">
        <f>COUNTIFS('Data (Per Faktur)'!$A:$A,'REKAP (Faktur)'!V$36,'Data (Per Faktur)'!$E:$E,'REKAP (Faktur)'!$Q39,'Data (Per Faktur)'!$K:$K,'REKAP (Faktur)'!$P$34)</f>
        <v>0</v>
      </c>
      <c r="W39" s="432">
        <f>COUNTIFS('Data (Per Faktur)'!$A:$A,'REKAP (Faktur)'!W$36,'Data (Per Faktur)'!$E:$E,'REKAP (Faktur)'!$Q39,'Data (Per Faktur)'!$K:$K,'REKAP (Faktur)'!$P$34)</f>
        <v>0</v>
      </c>
      <c r="X39" s="432">
        <f>COUNTIFS('Data (Per Faktur)'!$A:$A,'REKAP (Faktur)'!X$36,'Data (Per Faktur)'!$E:$E,'REKAP (Faktur)'!$Q39,'Data (Per Faktur)'!$K:$K,'REKAP (Faktur)'!$P$34)</f>
        <v>0</v>
      </c>
      <c r="Y39" s="432">
        <f>COUNTIFS('Data (Per Faktur)'!$A:$A,'REKAP (Faktur)'!Y$36,'Data (Per Faktur)'!$E:$E,'REKAP (Faktur)'!$Q39,'Data (Per Faktur)'!$K:$K,'REKAP (Faktur)'!$P$34)</f>
        <v>0</v>
      </c>
      <c r="Z39" s="432">
        <f>COUNTIFS('Data (Per Faktur)'!$A:$A,'REKAP (Faktur)'!Z$36,'Data (Per Faktur)'!$E:$E,'REKAP (Faktur)'!$Q39,'Data (Per Faktur)'!$K:$K,'REKAP (Faktur)'!$P$34)</f>
        <v>0</v>
      </c>
      <c r="AA39" s="432">
        <f>COUNTIFS('Data (Per Faktur)'!$A:$A,'REKAP (Faktur)'!AA$36,'Data (Per Faktur)'!$E:$E,'REKAP (Faktur)'!$Q39,'Data (Per Faktur)'!$K:$K,'REKAP (Faktur)'!$P$34)</f>
        <v>0</v>
      </c>
      <c r="AB39" s="432">
        <f>COUNTIFS('Data (Per Faktur)'!$A:$A,'REKAP (Faktur)'!AB$36,'Data (Per Faktur)'!$E:$E,'REKAP (Faktur)'!$Q39,'Data (Per Faktur)'!$K:$K,'REKAP (Faktur)'!$P$34)</f>
        <v>0</v>
      </c>
      <c r="AC39" s="432">
        <f>COUNTIFS('Data (Per Faktur)'!$A:$A,'REKAP (Faktur)'!AC$36,'Data (Per Faktur)'!$E:$E,'REKAP (Faktur)'!$Q39,'Data (Per Faktur)'!$K:$K,'REKAP (Faktur)'!$P$34)</f>
        <v>0</v>
      </c>
      <c r="AD39" s="431">
        <f>SUM(R39:AC39)</f>
        <v>0</v>
      </c>
      <c r="AE39" s="40" t="e">
        <f>AD39/$AD$47</f>
        <v>#DIV/0!</v>
      </c>
    </row>
    <row r="40" spans="1:31" hidden="1">
      <c r="B40" s="20" t="s">
        <v>1418</v>
      </c>
      <c r="C40" s="421"/>
      <c r="D40" s="432"/>
      <c r="E40" s="432"/>
      <c r="F40" s="432"/>
      <c r="G40" s="432"/>
      <c r="H40" s="432"/>
      <c r="I40" s="18"/>
      <c r="J40" s="18"/>
      <c r="K40" s="18"/>
      <c r="L40" s="432"/>
      <c r="M40" s="432"/>
      <c r="N40" s="432"/>
      <c r="O40" s="431">
        <f t="shared" si="3"/>
        <v>0</v>
      </c>
      <c r="Q40" s="20" t="s">
        <v>1418</v>
      </c>
      <c r="R40" s="432">
        <f>COUNTIFS('Data (Per Faktur)'!$A:$A,'REKAP (Faktur)'!R$36,'Data (Per Faktur)'!$E:$E,'REKAP (Faktur)'!$Q40,'Data (Per Faktur)'!$K:$K,'REKAP (Faktur)'!$P$34)</f>
        <v>0</v>
      </c>
      <c r="S40" s="432">
        <f>COUNTIFS('Data (Per Faktur)'!$A:$A,'REKAP (Faktur)'!S$36,'Data (Per Faktur)'!$E:$E,'REKAP (Faktur)'!$Q40,'Data (Per Faktur)'!$K:$K,'REKAP (Faktur)'!$P$34)</f>
        <v>0</v>
      </c>
      <c r="T40" s="432">
        <f>COUNTIFS('Data (Per Faktur)'!$A:$A,'REKAP (Faktur)'!T$36,'Data (Per Faktur)'!$E:$E,'REKAP (Faktur)'!$Q40,'Data (Per Faktur)'!$K:$K,'REKAP (Faktur)'!$P$34)</f>
        <v>0</v>
      </c>
      <c r="U40" s="432">
        <f>COUNTIFS('Data (Per Faktur)'!$A:$A,'REKAP (Faktur)'!U$36,'Data (Per Faktur)'!$E:$E,'REKAP (Faktur)'!$Q40,'Data (Per Faktur)'!$K:$K,'REKAP (Faktur)'!$P$34)</f>
        <v>0</v>
      </c>
      <c r="V40" s="432">
        <f>COUNTIFS('Data (Per Faktur)'!$A:$A,'REKAP (Faktur)'!V$36,'Data (Per Faktur)'!$E:$E,'REKAP (Faktur)'!$Q40,'Data (Per Faktur)'!$K:$K,'REKAP (Faktur)'!$P$34)</f>
        <v>0</v>
      </c>
      <c r="W40" s="432">
        <f>COUNTIFS('Data (Per Faktur)'!$A:$A,'REKAP (Faktur)'!W$36,'Data (Per Faktur)'!$E:$E,'REKAP (Faktur)'!$Q40,'Data (Per Faktur)'!$K:$K,'REKAP (Faktur)'!$P$34)</f>
        <v>0</v>
      </c>
      <c r="X40" s="432">
        <f>COUNTIFS('Data (Per Faktur)'!$A:$A,'REKAP (Faktur)'!X$36,'Data (Per Faktur)'!$E:$E,'REKAP (Faktur)'!$Q40,'Data (Per Faktur)'!$K:$K,'REKAP (Faktur)'!$P$34)</f>
        <v>0</v>
      </c>
      <c r="Y40" s="432">
        <f>COUNTIFS('Data (Per Faktur)'!$A:$A,'REKAP (Faktur)'!Y$36,'Data (Per Faktur)'!$E:$E,'REKAP (Faktur)'!$Q40,'Data (Per Faktur)'!$K:$K,'REKAP (Faktur)'!$P$34)</f>
        <v>0</v>
      </c>
      <c r="Z40" s="432">
        <f>COUNTIFS('Data (Per Faktur)'!$A:$A,'REKAP (Faktur)'!Z$36,'Data (Per Faktur)'!$E:$E,'REKAP (Faktur)'!$Q40,'Data (Per Faktur)'!$K:$K,'REKAP (Faktur)'!$P$34)</f>
        <v>0</v>
      </c>
      <c r="AA40" s="432">
        <f>COUNTIFS('Data (Per Faktur)'!$A:$A,'REKAP (Faktur)'!AA$36,'Data (Per Faktur)'!$E:$E,'REKAP (Faktur)'!$Q40,'Data (Per Faktur)'!$K:$K,'REKAP (Faktur)'!$P$34)</f>
        <v>0</v>
      </c>
      <c r="AB40" s="432">
        <f>COUNTIFS('Data (Per Faktur)'!$A:$A,'REKAP (Faktur)'!AB$36,'Data (Per Faktur)'!$E:$E,'REKAP (Faktur)'!$Q40,'Data (Per Faktur)'!$K:$K,'REKAP (Faktur)'!$P$34)</f>
        <v>0</v>
      </c>
      <c r="AC40" s="432">
        <f>COUNTIFS('Data (Per Faktur)'!$A:$A,'REKAP (Faktur)'!AC$36,'Data (Per Faktur)'!$E:$E,'REKAP (Faktur)'!$Q40,'Data (Per Faktur)'!$K:$K,'REKAP (Faktur)'!$P$34)</f>
        <v>0</v>
      </c>
      <c r="AD40" s="431">
        <f t="shared" ref="AD40:AD43" si="5">SUM(R40:AC40)</f>
        <v>0</v>
      </c>
      <c r="AE40" s="40"/>
    </row>
    <row r="41" spans="1:31" hidden="1">
      <c r="B41" s="20" t="s">
        <v>1149</v>
      </c>
      <c r="C41" s="421"/>
      <c r="D41" s="432"/>
      <c r="E41" s="432"/>
      <c r="F41" s="432"/>
      <c r="G41" s="432"/>
      <c r="H41" s="432"/>
      <c r="I41" s="18"/>
      <c r="J41" s="18"/>
      <c r="K41" s="18"/>
      <c r="L41" s="432"/>
      <c r="M41" s="432"/>
      <c r="N41" s="432"/>
      <c r="O41" s="431">
        <f t="shared" si="3"/>
        <v>0</v>
      </c>
      <c r="Q41" s="20" t="s">
        <v>1149</v>
      </c>
      <c r="R41" s="432">
        <f>COUNTIFS('Data (Per Faktur)'!$A:$A,'REKAP (Faktur)'!R$36,'Data (Per Faktur)'!$E:$E,'REKAP (Faktur)'!$Q41,'Data (Per Faktur)'!$K:$K,'REKAP (Faktur)'!$P$34)</f>
        <v>0</v>
      </c>
      <c r="S41" s="432">
        <f>COUNTIFS('Data (Per Faktur)'!$A:$A,'REKAP (Faktur)'!S$36,'Data (Per Faktur)'!$E:$E,'REKAP (Faktur)'!$Q41,'Data (Per Faktur)'!$K:$K,'REKAP (Faktur)'!$P$34)</f>
        <v>0</v>
      </c>
      <c r="T41" s="432">
        <f>COUNTIFS('Data (Per Faktur)'!$A:$A,'REKAP (Faktur)'!T$36,'Data (Per Faktur)'!$E:$E,'REKAP (Faktur)'!$Q41,'Data (Per Faktur)'!$K:$K,'REKAP (Faktur)'!$P$34)</f>
        <v>0</v>
      </c>
      <c r="U41" s="432">
        <f>COUNTIFS('Data (Per Faktur)'!$A:$A,'REKAP (Faktur)'!U$36,'Data (Per Faktur)'!$E:$E,'REKAP (Faktur)'!$Q41,'Data (Per Faktur)'!$K:$K,'REKAP (Faktur)'!$P$34)</f>
        <v>0</v>
      </c>
      <c r="V41" s="432">
        <f>COUNTIFS('Data (Per Faktur)'!$A:$A,'REKAP (Faktur)'!V$36,'Data (Per Faktur)'!$E:$E,'REKAP (Faktur)'!$Q41,'Data (Per Faktur)'!$K:$K,'REKAP (Faktur)'!$P$34)</f>
        <v>0</v>
      </c>
      <c r="W41" s="432">
        <f>COUNTIFS('Data (Per Faktur)'!$A:$A,'REKAP (Faktur)'!W$36,'Data (Per Faktur)'!$E:$E,'REKAP (Faktur)'!$Q41,'Data (Per Faktur)'!$K:$K,'REKAP (Faktur)'!$P$34)</f>
        <v>0</v>
      </c>
      <c r="X41" s="432">
        <f>COUNTIFS('Data (Per Faktur)'!$A:$A,'REKAP (Faktur)'!X$36,'Data (Per Faktur)'!$E:$E,'REKAP (Faktur)'!$Q41,'Data (Per Faktur)'!$K:$K,'REKAP (Faktur)'!$P$34)</f>
        <v>0</v>
      </c>
      <c r="Y41" s="432">
        <f>COUNTIFS('Data (Per Faktur)'!$A:$A,'REKAP (Faktur)'!Y$36,'Data (Per Faktur)'!$E:$E,'REKAP (Faktur)'!$Q41,'Data (Per Faktur)'!$K:$K,'REKAP (Faktur)'!$P$34)</f>
        <v>0</v>
      </c>
      <c r="Z41" s="432">
        <f>COUNTIFS('Data (Per Faktur)'!$A:$A,'REKAP (Faktur)'!Z$36,'Data (Per Faktur)'!$E:$E,'REKAP (Faktur)'!$Q41,'Data (Per Faktur)'!$K:$K,'REKAP (Faktur)'!$P$34)</f>
        <v>0</v>
      </c>
      <c r="AA41" s="432">
        <f>COUNTIFS('Data (Per Faktur)'!$A:$A,'REKAP (Faktur)'!AA$36,'Data (Per Faktur)'!$E:$E,'REKAP (Faktur)'!$Q41,'Data (Per Faktur)'!$K:$K,'REKAP (Faktur)'!$P$34)</f>
        <v>0</v>
      </c>
      <c r="AB41" s="432">
        <f>COUNTIFS('Data (Per Faktur)'!$A:$A,'REKAP (Faktur)'!AB$36,'Data (Per Faktur)'!$E:$E,'REKAP (Faktur)'!$Q41,'Data (Per Faktur)'!$K:$K,'REKAP (Faktur)'!$P$34)</f>
        <v>0</v>
      </c>
      <c r="AC41" s="432">
        <f>COUNTIFS('Data (Per Faktur)'!$A:$A,'REKAP (Faktur)'!AC$36,'Data (Per Faktur)'!$E:$E,'REKAP (Faktur)'!$Q41,'Data (Per Faktur)'!$K:$K,'REKAP (Faktur)'!$P$34)</f>
        <v>0</v>
      </c>
      <c r="AD41" s="431">
        <f t="shared" si="5"/>
        <v>0</v>
      </c>
      <c r="AE41" s="40"/>
    </row>
    <row r="42" spans="1:31" hidden="1">
      <c r="B42" s="20" t="s">
        <v>1420</v>
      </c>
      <c r="C42" s="421"/>
      <c r="D42" s="432"/>
      <c r="E42" s="432"/>
      <c r="F42" s="432"/>
      <c r="G42" s="432"/>
      <c r="H42" s="432"/>
      <c r="I42" s="18"/>
      <c r="J42" s="18"/>
      <c r="K42" s="18"/>
      <c r="L42" s="432"/>
      <c r="M42" s="432"/>
      <c r="N42" s="432"/>
      <c r="O42" s="431">
        <f t="shared" si="3"/>
        <v>0</v>
      </c>
      <c r="Q42" s="20" t="s">
        <v>1420</v>
      </c>
      <c r="R42" s="432"/>
      <c r="S42" s="432"/>
      <c r="T42" s="432"/>
      <c r="U42" s="432"/>
      <c r="V42" s="432"/>
      <c r="W42" s="432"/>
      <c r="X42" s="432"/>
      <c r="Y42" s="432"/>
      <c r="Z42" s="432"/>
      <c r="AA42" s="432"/>
      <c r="AB42" s="432"/>
      <c r="AC42" s="432"/>
      <c r="AD42" s="431">
        <f t="shared" si="5"/>
        <v>0</v>
      </c>
      <c r="AE42" s="40"/>
    </row>
    <row r="43" spans="1:31" hidden="1">
      <c r="B43" s="20" t="s">
        <v>51</v>
      </c>
      <c r="C43" s="421"/>
      <c r="D43" s="432"/>
      <c r="E43" s="432"/>
      <c r="F43" s="432"/>
      <c r="G43" s="18"/>
      <c r="H43" s="432"/>
      <c r="I43" s="18"/>
      <c r="J43" s="18"/>
      <c r="K43" s="18"/>
      <c r="L43" s="432"/>
      <c r="M43" s="432"/>
      <c r="N43" s="432"/>
      <c r="O43" s="431">
        <f t="shared" si="3"/>
        <v>0</v>
      </c>
      <c r="Q43" s="20" t="s">
        <v>51</v>
      </c>
      <c r="R43" s="432">
        <f>COUNTIFS('Data (Per Faktur)'!$A:$A,'REKAP (Faktur)'!R$36,'Data (Per Faktur)'!$E:$E,'REKAP (Faktur)'!$Q43,'Data (Per Faktur)'!$K:$K,'REKAP (Faktur)'!$P$34)</f>
        <v>0</v>
      </c>
      <c r="S43" s="432">
        <f>COUNTIFS('Data (Per Faktur)'!$A:$A,'REKAP (Faktur)'!S$36,'Data (Per Faktur)'!$E:$E,'REKAP (Faktur)'!$Q43,'Data (Per Faktur)'!$K:$K,'REKAP (Faktur)'!$P$34)</f>
        <v>0</v>
      </c>
      <c r="T43" s="432">
        <f>COUNTIFS('Data (Per Faktur)'!$A:$A,'REKAP (Faktur)'!T$36,'Data (Per Faktur)'!$E:$E,'REKAP (Faktur)'!$Q43,'Data (Per Faktur)'!$K:$K,'REKAP (Faktur)'!$P$34)</f>
        <v>0</v>
      </c>
      <c r="U43" s="432">
        <f>COUNTIFS('Data (Per Faktur)'!$A:$A,'REKAP (Faktur)'!U$36,'Data (Per Faktur)'!$E:$E,'REKAP (Faktur)'!$Q43,'Data (Per Faktur)'!$K:$K,'REKAP (Faktur)'!$P$34)</f>
        <v>0</v>
      </c>
      <c r="V43" s="432">
        <f>COUNTIFS('Data (Per Faktur)'!$A:$A,'REKAP (Faktur)'!V$36,'Data (Per Faktur)'!$E:$E,'REKAP (Faktur)'!$Q43,'Data (Per Faktur)'!$K:$K,'REKAP (Faktur)'!$P$34)</f>
        <v>0</v>
      </c>
      <c r="W43" s="432">
        <f>COUNTIFS('Data (Per Faktur)'!$A:$A,'REKAP (Faktur)'!W$36,'Data (Per Faktur)'!$E:$E,'REKAP (Faktur)'!$Q43,'Data (Per Faktur)'!$K:$K,'REKAP (Faktur)'!$P$34)</f>
        <v>0</v>
      </c>
      <c r="X43" s="432">
        <f>COUNTIFS('Data (Per Faktur)'!$A:$A,'REKAP (Faktur)'!X$36,'Data (Per Faktur)'!$E:$E,'REKAP (Faktur)'!$Q43,'Data (Per Faktur)'!$K:$K,'REKAP (Faktur)'!$P$34)</f>
        <v>0</v>
      </c>
      <c r="Y43" s="432">
        <f>COUNTIFS('Data (Per Faktur)'!$A:$A,'REKAP (Faktur)'!Y$36,'Data (Per Faktur)'!$E:$E,'REKAP (Faktur)'!$Q43,'Data (Per Faktur)'!$K:$K,'REKAP (Faktur)'!$P$34)</f>
        <v>0</v>
      </c>
      <c r="Z43" s="432">
        <f>COUNTIFS('Data (Per Faktur)'!$A:$A,'REKAP (Faktur)'!Z$36,'Data (Per Faktur)'!$E:$E,'REKAP (Faktur)'!$Q43,'Data (Per Faktur)'!$K:$K,'REKAP (Faktur)'!$P$34)</f>
        <v>0</v>
      </c>
      <c r="AA43" s="432">
        <f>COUNTIFS('Data (Per Faktur)'!$A:$A,'REKAP (Faktur)'!AA$36,'Data (Per Faktur)'!$E:$E,'REKAP (Faktur)'!$Q43,'Data (Per Faktur)'!$K:$K,'REKAP (Faktur)'!$P$34)</f>
        <v>0</v>
      </c>
      <c r="AB43" s="432">
        <f>COUNTIFS('Data (Per Faktur)'!$A:$A,'REKAP (Faktur)'!AB$36,'Data (Per Faktur)'!$E:$E,'REKAP (Faktur)'!$Q43,'Data (Per Faktur)'!$K:$K,'REKAP (Faktur)'!$P$34)</f>
        <v>0</v>
      </c>
      <c r="AC43" s="432">
        <f>COUNTIFS('Data (Per Faktur)'!$A:$A,'REKAP (Faktur)'!AC$36,'Data (Per Faktur)'!$E:$E,'REKAP (Faktur)'!$Q43,'Data (Per Faktur)'!$K:$K,'REKAP (Faktur)'!$P$34)</f>
        <v>0</v>
      </c>
      <c r="AD43" s="431">
        <f t="shared" si="5"/>
        <v>0</v>
      </c>
      <c r="AE43" s="40" t="e">
        <f>AD43/$AD$47</f>
        <v>#DIV/0!</v>
      </c>
    </row>
    <row r="44" spans="1:31" hidden="1">
      <c r="B44" s="20" t="s">
        <v>7</v>
      </c>
      <c r="C44" s="421"/>
      <c r="D44" s="432"/>
      <c r="E44" s="432"/>
      <c r="F44" s="432"/>
      <c r="G44" s="18"/>
      <c r="H44" s="432"/>
      <c r="I44" s="18"/>
      <c r="J44" s="18"/>
      <c r="K44" s="18"/>
      <c r="L44" s="432"/>
      <c r="M44" s="432"/>
      <c r="N44" s="432"/>
      <c r="O44" s="431">
        <f t="shared" si="3"/>
        <v>0</v>
      </c>
      <c r="Q44" s="20" t="s">
        <v>7</v>
      </c>
      <c r="R44" s="432">
        <f>COUNTIFS('Data (Per Faktur)'!$A:$A,'REKAP (Faktur)'!R$36,'Data (Per Faktur)'!$E:$E,'REKAP (Faktur)'!$Q44,'Data (Per Faktur)'!$K:$K,'REKAP (Faktur)'!$P$34)</f>
        <v>0</v>
      </c>
      <c r="S44" s="432">
        <f>COUNTIFS('Data (Per Faktur)'!$A:$A,'REKAP (Faktur)'!S$36,'Data (Per Faktur)'!$E:$E,'REKAP (Faktur)'!$Q44,'Data (Per Faktur)'!$K:$K,'REKAP (Faktur)'!$P$34)</f>
        <v>0</v>
      </c>
      <c r="T44" s="432">
        <f>COUNTIFS('Data (Per Faktur)'!$A:$A,'REKAP (Faktur)'!T$36,'Data (Per Faktur)'!$E:$E,'REKAP (Faktur)'!$Q44,'Data (Per Faktur)'!$K:$K,'REKAP (Faktur)'!$P$34)</f>
        <v>0</v>
      </c>
      <c r="U44" s="432">
        <f>COUNTIFS('Data (Per Faktur)'!$A:$A,'REKAP (Faktur)'!U$36,'Data (Per Faktur)'!$E:$E,'REKAP (Faktur)'!$Q44,'Data (Per Faktur)'!$K:$K,'REKAP (Faktur)'!$P$34)</f>
        <v>0</v>
      </c>
      <c r="V44" s="432">
        <f>COUNTIFS('Data (Per Faktur)'!$A:$A,'REKAP (Faktur)'!V$36,'Data (Per Faktur)'!$E:$E,'REKAP (Faktur)'!$Q44,'Data (Per Faktur)'!$K:$K,'REKAP (Faktur)'!$P$34)</f>
        <v>0</v>
      </c>
      <c r="W44" s="432">
        <f>COUNTIFS('Data (Per Faktur)'!$A:$A,'REKAP (Faktur)'!W$36,'Data (Per Faktur)'!$E:$E,'REKAP (Faktur)'!$Q44,'Data (Per Faktur)'!$K:$K,'REKAP (Faktur)'!$P$34)</f>
        <v>0</v>
      </c>
      <c r="X44" s="432">
        <f>COUNTIFS('Data (Per Faktur)'!$A:$A,'REKAP (Faktur)'!X$36,'Data (Per Faktur)'!$E:$E,'REKAP (Faktur)'!$Q44,'Data (Per Faktur)'!$K:$K,'REKAP (Faktur)'!$P$34)</f>
        <v>0</v>
      </c>
      <c r="Y44" s="432">
        <f>COUNTIFS('Data (Per Faktur)'!$A:$A,'REKAP (Faktur)'!Y$36,'Data (Per Faktur)'!$E:$E,'REKAP (Faktur)'!$Q44,'Data (Per Faktur)'!$K:$K,'REKAP (Faktur)'!$P$34)</f>
        <v>0</v>
      </c>
      <c r="Z44" s="432">
        <f>COUNTIFS('Data (Per Faktur)'!$A:$A,'REKAP (Faktur)'!Z$36,'Data (Per Faktur)'!$E:$E,'REKAP (Faktur)'!$Q44,'Data (Per Faktur)'!$K:$K,'REKAP (Faktur)'!$P$34)</f>
        <v>0</v>
      </c>
      <c r="AA44" s="432">
        <f>COUNTIFS('Data (Per Faktur)'!$A:$A,'REKAP (Faktur)'!AA$36,'Data (Per Faktur)'!$E:$E,'REKAP (Faktur)'!$Q44,'Data (Per Faktur)'!$K:$K,'REKAP (Faktur)'!$P$34)</f>
        <v>0</v>
      </c>
      <c r="AB44" s="432">
        <f>COUNTIFS('Data (Per Faktur)'!$A:$A,'REKAP (Faktur)'!AB$36,'Data (Per Faktur)'!$E:$E,'REKAP (Faktur)'!$Q44,'Data (Per Faktur)'!$K:$K,'REKAP (Faktur)'!$P$34)</f>
        <v>0</v>
      </c>
      <c r="AC44" s="432">
        <f>COUNTIFS('Data (Per Faktur)'!$A:$A,'REKAP (Faktur)'!AC$36,'Data (Per Faktur)'!$E:$E,'REKAP (Faktur)'!$Q44,'Data (Per Faktur)'!$K:$K,'REKAP (Faktur)'!$P$34)</f>
        <v>0</v>
      </c>
      <c r="AD44" s="431">
        <f t="shared" si="4"/>
        <v>0</v>
      </c>
      <c r="AE44" s="40" t="e">
        <f>AD44/$AD$47</f>
        <v>#DIV/0!</v>
      </c>
    </row>
    <row r="45" spans="1:31" hidden="1">
      <c r="B45" s="20" t="s">
        <v>8</v>
      </c>
      <c r="C45" s="421"/>
      <c r="D45" s="432"/>
      <c r="E45" s="432"/>
      <c r="F45" s="432"/>
      <c r="G45" s="18"/>
      <c r="H45" s="432"/>
      <c r="I45" s="18"/>
      <c r="J45" s="18"/>
      <c r="K45" s="18"/>
      <c r="L45" s="432"/>
      <c r="M45" s="432"/>
      <c r="N45" s="432"/>
      <c r="O45" s="431">
        <f t="shared" si="3"/>
        <v>0</v>
      </c>
      <c r="Q45" s="20" t="s">
        <v>8</v>
      </c>
      <c r="R45" s="432">
        <f>COUNTIFS('Data (Per Faktur)'!$A:$A,'REKAP (Faktur)'!R$36,'Data (Per Faktur)'!$E:$E,'REKAP (Faktur)'!$Q45,'Data (Per Faktur)'!$K:$K,'REKAP (Faktur)'!$P$34)</f>
        <v>0</v>
      </c>
      <c r="S45" s="432">
        <f>COUNTIFS('Data (Per Faktur)'!$A:$A,'REKAP (Faktur)'!S$36,'Data (Per Faktur)'!$E:$E,'REKAP (Faktur)'!$Q45,'Data (Per Faktur)'!$K:$K,'REKAP (Faktur)'!$P$34)</f>
        <v>0</v>
      </c>
      <c r="T45" s="432">
        <f>COUNTIFS('Data (Per Faktur)'!$A:$A,'REKAP (Faktur)'!T$36,'Data (Per Faktur)'!$E:$E,'REKAP (Faktur)'!$Q45,'Data (Per Faktur)'!$K:$K,'REKAP (Faktur)'!$P$34)</f>
        <v>0</v>
      </c>
      <c r="U45" s="432">
        <f>COUNTIFS('Data (Per Faktur)'!$A:$A,'REKAP (Faktur)'!U$36,'Data (Per Faktur)'!$E:$E,'REKAP (Faktur)'!$Q45,'Data (Per Faktur)'!$K:$K,'REKAP (Faktur)'!$P$34)</f>
        <v>0</v>
      </c>
      <c r="V45" s="432">
        <f>COUNTIFS('Data (Per Faktur)'!$A:$A,'REKAP (Faktur)'!V$36,'Data (Per Faktur)'!$E:$E,'REKAP (Faktur)'!$Q45,'Data (Per Faktur)'!$K:$K,'REKAP (Faktur)'!$P$34)</f>
        <v>0</v>
      </c>
      <c r="W45" s="432">
        <f>COUNTIFS('Data (Per Faktur)'!$A:$A,'REKAP (Faktur)'!W$36,'Data (Per Faktur)'!$E:$E,'REKAP (Faktur)'!$Q45,'Data (Per Faktur)'!$K:$K,'REKAP (Faktur)'!$P$34)</f>
        <v>0</v>
      </c>
      <c r="X45" s="432">
        <f>COUNTIFS('Data (Per Faktur)'!$A:$A,'REKAP (Faktur)'!X$36,'Data (Per Faktur)'!$E:$E,'REKAP (Faktur)'!$Q45,'Data (Per Faktur)'!$K:$K,'REKAP (Faktur)'!$P$34)</f>
        <v>0</v>
      </c>
      <c r="Y45" s="432">
        <f>COUNTIFS('Data (Per Faktur)'!$A:$A,'REKAP (Faktur)'!Y$36,'Data (Per Faktur)'!$E:$E,'REKAP (Faktur)'!$Q45,'Data (Per Faktur)'!$K:$K,'REKAP (Faktur)'!$P$34)</f>
        <v>0</v>
      </c>
      <c r="Z45" s="432">
        <f>COUNTIFS('Data (Per Faktur)'!$A:$A,'REKAP (Faktur)'!Z$36,'Data (Per Faktur)'!$E:$E,'REKAP (Faktur)'!$Q45,'Data (Per Faktur)'!$K:$K,'REKAP (Faktur)'!$P$34)</f>
        <v>0</v>
      </c>
      <c r="AA45" s="432">
        <f>COUNTIFS('Data (Per Faktur)'!$A:$A,'REKAP (Faktur)'!AA$36,'Data (Per Faktur)'!$E:$E,'REKAP (Faktur)'!$Q45,'Data (Per Faktur)'!$K:$K,'REKAP (Faktur)'!$P$34)</f>
        <v>0</v>
      </c>
      <c r="AB45" s="432">
        <f>COUNTIFS('Data (Per Faktur)'!$A:$A,'REKAP (Faktur)'!AB$36,'Data (Per Faktur)'!$E:$E,'REKAP (Faktur)'!$Q45,'Data (Per Faktur)'!$K:$K,'REKAP (Faktur)'!$P$34)</f>
        <v>0</v>
      </c>
      <c r="AC45" s="432">
        <f>COUNTIFS('Data (Per Faktur)'!$A:$A,'REKAP (Faktur)'!AC$36,'Data (Per Faktur)'!$E:$E,'REKAP (Faktur)'!$Q45,'Data (Per Faktur)'!$K:$K,'REKAP (Faktur)'!$P$34)</f>
        <v>0</v>
      </c>
      <c r="AD45" s="431">
        <f t="shared" si="4"/>
        <v>0</v>
      </c>
      <c r="AE45" s="40" t="e">
        <f>AD45/$AD$47</f>
        <v>#DIV/0!</v>
      </c>
    </row>
    <row r="46" spans="1:31" hidden="1">
      <c r="B46" s="20" t="s">
        <v>9</v>
      </c>
      <c r="C46" s="432"/>
      <c r="D46" s="432"/>
      <c r="E46" s="432"/>
      <c r="F46" s="432"/>
      <c r="G46" s="432"/>
      <c r="H46" s="432"/>
      <c r="I46" s="18"/>
      <c r="J46" s="18"/>
      <c r="K46" s="18"/>
      <c r="L46" s="432"/>
      <c r="M46" s="432"/>
      <c r="N46" s="432"/>
      <c r="O46" s="431">
        <f t="shared" si="3"/>
        <v>0</v>
      </c>
      <c r="Q46" s="20" t="s">
        <v>9</v>
      </c>
      <c r="R46" s="432">
        <f>COUNTIFS('Data (Per Faktur)'!$A:$A,'REKAP (Faktur)'!R$36,'Data (Per Faktur)'!$E:$E,'REKAP (Faktur)'!$Q46,'Data (Per Faktur)'!$K:$K,'REKAP (Faktur)'!$P$34)</f>
        <v>0</v>
      </c>
      <c r="S46" s="432">
        <f>COUNTIFS('Data (Per Faktur)'!$A:$A,'REKAP (Faktur)'!S$36,'Data (Per Faktur)'!$E:$E,'REKAP (Faktur)'!$Q46,'Data (Per Faktur)'!$K:$K,'REKAP (Faktur)'!$P$34)</f>
        <v>0</v>
      </c>
      <c r="T46" s="432">
        <f>COUNTIFS('Data (Per Faktur)'!$A:$A,'REKAP (Faktur)'!T$36,'Data (Per Faktur)'!$E:$E,'REKAP (Faktur)'!$Q46,'Data (Per Faktur)'!$K:$K,'REKAP (Faktur)'!$P$34)</f>
        <v>0</v>
      </c>
      <c r="U46" s="432">
        <f>COUNTIFS('Data (Per Faktur)'!$A:$A,'REKAP (Faktur)'!U$36,'Data (Per Faktur)'!$E:$E,'REKAP (Faktur)'!$Q46,'Data (Per Faktur)'!$K:$K,'REKAP (Faktur)'!$P$34)</f>
        <v>0</v>
      </c>
      <c r="V46" s="432">
        <f>COUNTIFS('Data (Per Faktur)'!$A:$A,'REKAP (Faktur)'!V$36,'Data (Per Faktur)'!$E:$E,'REKAP (Faktur)'!$Q46,'Data (Per Faktur)'!$K:$K,'REKAP (Faktur)'!$P$34)</f>
        <v>0</v>
      </c>
      <c r="W46" s="432">
        <f>COUNTIFS('Data (Per Faktur)'!$A:$A,'REKAP (Faktur)'!W$36,'Data (Per Faktur)'!$E:$E,'REKAP (Faktur)'!$Q46,'Data (Per Faktur)'!$K:$K,'REKAP (Faktur)'!$P$34)</f>
        <v>0</v>
      </c>
      <c r="X46" s="432">
        <f>COUNTIFS('Data (Per Faktur)'!$A:$A,'REKAP (Faktur)'!X$36,'Data (Per Faktur)'!$E:$E,'REKAP (Faktur)'!$Q46,'Data (Per Faktur)'!$K:$K,'REKAP (Faktur)'!$P$34)</f>
        <v>0</v>
      </c>
      <c r="Y46" s="432">
        <f>COUNTIFS('Data (Per Faktur)'!$A:$A,'REKAP (Faktur)'!Y$36,'Data (Per Faktur)'!$E:$E,'REKAP (Faktur)'!$Q46,'Data (Per Faktur)'!$K:$K,'REKAP (Faktur)'!$P$34)</f>
        <v>0</v>
      </c>
      <c r="Z46" s="432">
        <f>COUNTIFS('Data (Per Faktur)'!$A:$A,'REKAP (Faktur)'!Z$36,'Data (Per Faktur)'!$E:$E,'REKAP (Faktur)'!$Q46,'Data (Per Faktur)'!$K:$K,'REKAP (Faktur)'!$P$34)</f>
        <v>0</v>
      </c>
      <c r="AA46" s="432">
        <f>COUNTIFS('Data (Per Faktur)'!$A:$A,'REKAP (Faktur)'!AA$36,'Data (Per Faktur)'!$E:$E,'REKAP (Faktur)'!$Q46,'Data (Per Faktur)'!$K:$K,'REKAP (Faktur)'!$P$34)</f>
        <v>0</v>
      </c>
      <c r="AB46" s="432">
        <f>COUNTIFS('Data (Per Faktur)'!$A:$A,'REKAP (Faktur)'!AB$36,'Data (Per Faktur)'!$E:$E,'REKAP (Faktur)'!$Q46,'Data (Per Faktur)'!$K:$K,'REKAP (Faktur)'!$P$34)</f>
        <v>0</v>
      </c>
      <c r="AC46" s="432">
        <f>COUNTIFS('Data (Per Faktur)'!$A:$A,'REKAP (Faktur)'!AC$36,'Data (Per Faktur)'!$E:$E,'REKAP (Faktur)'!$Q46,'Data (Per Faktur)'!$K:$K,'REKAP (Faktur)'!$P$34)</f>
        <v>0</v>
      </c>
      <c r="AD46" s="431">
        <f t="shared" si="4"/>
        <v>0</v>
      </c>
      <c r="AE46" s="40" t="e">
        <f>AD46/$AD$47</f>
        <v>#DIV/0!</v>
      </c>
    </row>
    <row r="47" spans="1:31" ht="24.95" hidden="1" customHeight="1">
      <c r="B47" s="21" t="s">
        <v>271</v>
      </c>
      <c r="C47" s="408">
        <f t="shared" ref="C47:O47" si="6">SUM(C37:C46)</f>
        <v>0</v>
      </c>
      <c r="D47" s="408">
        <f t="shared" si="6"/>
        <v>0</v>
      </c>
      <c r="E47" s="408">
        <f t="shared" si="6"/>
        <v>0</v>
      </c>
      <c r="F47" s="408">
        <f t="shared" si="6"/>
        <v>0</v>
      </c>
      <c r="G47" s="408">
        <f t="shared" si="6"/>
        <v>0</v>
      </c>
      <c r="H47" s="408">
        <f t="shared" si="6"/>
        <v>0</v>
      </c>
      <c r="I47" s="408">
        <f t="shared" si="6"/>
        <v>0</v>
      </c>
      <c r="J47" s="408">
        <f t="shared" si="6"/>
        <v>0</v>
      </c>
      <c r="K47" s="408">
        <f t="shared" si="6"/>
        <v>0</v>
      </c>
      <c r="L47" s="408">
        <f t="shared" si="6"/>
        <v>0</v>
      </c>
      <c r="M47" s="408">
        <f t="shared" si="6"/>
        <v>0</v>
      </c>
      <c r="N47" s="408">
        <f t="shared" si="6"/>
        <v>0</v>
      </c>
      <c r="O47" s="409">
        <f t="shared" si="6"/>
        <v>0</v>
      </c>
      <c r="Q47" s="21" t="s">
        <v>271</v>
      </c>
      <c r="R47" s="408">
        <f t="shared" ref="R47:AE47" si="7">SUM(R37:R46)</f>
        <v>0</v>
      </c>
      <c r="S47" s="408">
        <f t="shared" si="7"/>
        <v>0</v>
      </c>
      <c r="T47" s="408">
        <f t="shared" si="7"/>
        <v>0</v>
      </c>
      <c r="U47" s="408">
        <f t="shared" si="7"/>
        <v>0</v>
      </c>
      <c r="V47" s="408">
        <f t="shared" si="7"/>
        <v>0</v>
      </c>
      <c r="W47" s="408">
        <f t="shared" si="7"/>
        <v>0</v>
      </c>
      <c r="X47" s="408">
        <f t="shared" si="7"/>
        <v>0</v>
      </c>
      <c r="Y47" s="408">
        <f t="shared" si="7"/>
        <v>0</v>
      </c>
      <c r="Z47" s="408">
        <f t="shared" si="7"/>
        <v>0</v>
      </c>
      <c r="AA47" s="408">
        <f t="shared" si="7"/>
        <v>0</v>
      </c>
      <c r="AB47" s="408">
        <f t="shared" si="7"/>
        <v>0</v>
      </c>
      <c r="AC47" s="408">
        <f t="shared" si="7"/>
        <v>0</v>
      </c>
      <c r="AD47" s="409">
        <f t="shared" si="7"/>
        <v>0</v>
      </c>
      <c r="AE47" s="42" t="e">
        <f t="shared" si="7"/>
        <v>#DIV/0!</v>
      </c>
    </row>
    <row r="48" spans="1:31" hidden="1"/>
    <row r="49" spans="1:33" hidden="1">
      <c r="B49" t="s">
        <v>71</v>
      </c>
      <c r="Q49" t="s">
        <v>71</v>
      </c>
    </row>
    <row r="50" spans="1:33" hidden="1">
      <c r="A50" s="415"/>
      <c r="B50" s="16" t="s">
        <v>13</v>
      </c>
      <c r="C50" s="17" t="s">
        <v>19</v>
      </c>
      <c r="D50" s="17" t="s">
        <v>20</v>
      </c>
      <c r="E50" s="17" t="s">
        <v>21</v>
      </c>
      <c r="F50" s="17" t="s">
        <v>22</v>
      </c>
      <c r="G50" s="17" t="s">
        <v>23</v>
      </c>
      <c r="H50" s="17" t="s">
        <v>24</v>
      </c>
      <c r="I50" s="17" t="s">
        <v>25</v>
      </c>
      <c r="J50" s="17" t="s">
        <v>26</v>
      </c>
      <c r="K50" s="17" t="s">
        <v>27</v>
      </c>
      <c r="L50" s="17" t="s">
        <v>28</v>
      </c>
      <c r="M50" s="17" t="s">
        <v>35</v>
      </c>
      <c r="N50" s="17" t="s">
        <v>36</v>
      </c>
      <c r="O50" s="17" t="s">
        <v>0</v>
      </c>
      <c r="Q50" s="16" t="s">
        <v>13</v>
      </c>
      <c r="R50" s="17" t="s">
        <v>19</v>
      </c>
      <c r="S50" s="17" t="s">
        <v>20</v>
      </c>
      <c r="T50" s="17" t="s">
        <v>21</v>
      </c>
      <c r="U50" s="17" t="s">
        <v>22</v>
      </c>
      <c r="V50" s="17" t="s">
        <v>23</v>
      </c>
      <c r="W50" s="17" t="s">
        <v>24</v>
      </c>
      <c r="X50" s="17" t="s">
        <v>25</v>
      </c>
      <c r="Y50" s="17" t="s">
        <v>26</v>
      </c>
      <c r="Z50" s="17" t="s">
        <v>27</v>
      </c>
      <c r="AA50" s="17" t="s">
        <v>28</v>
      </c>
      <c r="AB50" s="17" t="s">
        <v>35</v>
      </c>
      <c r="AC50" s="17" t="s">
        <v>36</v>
      </c>
      <c r="AD50" s="17" t="s">
        <v>0</v>
      </c>
    </row>
    <row r="51" spans="1:33" hidden="1">
      <c r="B51" s="20" t="s">
        <v>1414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>
        <f t="shared" ref="O51:O67" si="8">SUM(C51:N51)</f>
        <v>0</v>
      </c>
      <c r="Q51" s="20" t="s">
        <v>1414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>
        <f t="shared" ref="AD51:AD65" si="9">SUM(R51:AC51)</f>
        <v>0</v>
      </c>
      <c r="AG51" s="81"/>
    </row>
    <row r="52" spans="1:33" hidden="1">
      <c r="B52" s="20" t="s">
        <v>11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>
        <f t="shared" si="8"/>
        <v>0</v>
      </c>
      <c r="Q52" s="20" t="s">
        <v>11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>
        <f t="shared" si="9"/>
        <v>0</v>
      </c>
      <c r="AG52" s="81"/>
    </row>
    <row r="53" spans="1:33" hidden="1">
      <c r="B53" s="20" t="s">
        <v>83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>
        <f t="shared" si="8"/>
        <v>0</v>
      </c>
      <c r="Q53" s="20" t="s">
        <v>83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>
        <f t="shared" si="9"/>
        <v>0</v>
      </c>
      <c r="AG53" s="81"/>
    </row>
    <row r="54" spans="1:33" hidden="1">
      <c r="B54" s="20" t="s">
        <v>1418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>
        <f t="shared" si="8"/>
        <v>0</v>
      </c>
      <c r="Q54" s="20" t="s">
        <v>1418</v>
      </c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>
        <f t="shared" si="9"/>
        <v>0</v>
      </c>
      <c r="AG54" s="81"/>
    </row>
    <row r="55" spans="1:33" hidden="1">
      <c r="B55" s="20" t="s">
        <v>1149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>
        <f t="shared" si="8"/>
        <v>0</v>
      </c>
      <c r="Q55" s="20" t="s">
        <v>1149</v>
      </c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>
        <f t="shared" si="9"/>
        <v>0</v>
      </c>
      <c r="AG55" s="81"/>
    </row>
    <row r="56" spans="1:33" hidden="1">
      <c r="B56" s="20" t="s">
        <v>1420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>
        <f t="shared" si="8"/>
        <v>0</v>
      </c>
      <c r="Q56" s="20" t="s">
        <v>1420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>
        <f t="shared" si="9"/>
        <v>0</v>
      </c>
      <c r="AG56" s="81"/>
    </row>
    <row r="57" spans="1:33" hidden="1">
      <c r="B57" s="20" t="s">
        <v>51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>
        <f t="shared" si="8"/>
        <v>0</v>
      </c>
      <c r="Q57" s="20" t="s">
        <v>51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>
        <f t="shared" si="9"/>
        <v>0</v>
      </c>
      <c r="AG57" s="81"/>
    </row>
    <row r="58" spans="1:33" hidden="1">
      <c r="B58" s="20" t="s">
        <v>7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>
        <f t="shared" si="8"/>
        <v>0</v>
      </c>
      <c r="Q58" s="20" t="s">
        <v>7</v>
      </c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>
        <f t="shared" si="9"/>
        <v>0</v>
      </c>
      <c r="AG58" s="81"/>
    </row>
    <row r="59" spans="1:33" hidden="1">
      <c r="B59" s="20" t="s">
        <v>8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>
        <f t="shared" si="8"/>
        <v>0</v>
      </c>
      <c r="Q59" s="20" t="s">
        <v>8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>
        <f t="shared" si="9"/>
        <v>0</v>
      </c>
      <c r="AG59" s="81"/>
    </row>
    <row r="60" spans="1:33" hidden="1">
      <c r="B60" s="20" t="s">
        <v>9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>
        <f t="shared" si="8"/>
        <v>0</v>
      </c>
      <c r="Q60" s="20" t="s">
        <v>9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>
        <f t="shared" si="9"/>
        <v>0</v>
      </c>
      <c r="AG60" s="81"/>
    </row>
    <row r="61" spans="1:33" hidden="1">
      <c r="B61" s="20" t="s">
        <v>76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>
        <f t="shared" si="8"/>
        <v>0</v>
      </c>
      <c r="Q61" s="20" t="s">
        <v>76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>
        <f t="shared" si="9"/>
        <v>0</v>
      </c>
      <c r="AG61" s="81"/>
    </row>
    <row r="62" spans="1:33" hidden="1">
      <c r="B62" s="20" t="s">
        <v>139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>
        <f t="shared" si="8"/>
        <v>0</v>
      </c>
      <c r="Q62" s="20" t="s">
        <v>139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>
        <f t="shared" si="9"/>
        <v>0</v>
      </c>
      <c r="AG62" s="81"/>
    </row>
    <row r="63" spans="1:33" hidden="1">
      <c r="B63" s="20" t="s">
        <v>1417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>
        <f t="shared" si="8"/>
        <v>0</v>
      </c>
      <c r="Q63" s="20" t="s">
        <v>1417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>
        <f t="shared" si="9"/>
        <v>0</v>
      </c>
      <c r="AG63" s="81"/>
    </row>
    <row r="64" spans="1:33" hidden="1">
      <c r="B64" s="20" t="s">
        <v>64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>
        <f t="shared" si="8"/>
        <v>0</v>
      </c>
      <c r="Q64" s="20" t="s">
        <v>64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>
        <f t="shared" si="9"/>
        <v>0</v>
      </c>
    </row>
    <row r="65" spans="2:30" hidden="1">
      <c r="B65" s="20" t="s">
        <v>1412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>
        <f t="shared" si="8"/>
        <v>0</v>
      </c>
      <c r="Q65" s="20" t="s">
        <v>1412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>
        <f t="shared" si="9"/>
        <v>0</v>
      </c>
    </row>
    <row r="66" spans="2:30" hidden="1">
      <c r="B66" s="20" t="s">
        <v>81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Q66" s="20" t="s">
        <v>81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2:30" hidden="1">
      <c r="B67" s="20" t="s">
        <v>67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>
        <f t="shared" si="8"/>
        <v>0</v>
      </c>
      <c r="Q67" s="20" t="s">
        <v>67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>
        <f>SUM(R67:AC67)</f>
        <v>0</v>
      </c>
    </row>
    <row r="68" spans="2:30" hidden="1">
      <c r="B68" s="21" t="s">
        <v>271</v>
      </c>
      <c r="C68" s="19">
        <f t="shared" ref="C68:O68" si="10">SUM(C51:C67)</f>
        <v>0</v>
      </c>
      <c r="D68" s="19">
        <f t="shared" si="10"/>
        <v>0</v>
      </c>
      <c r="E68" s="19">
        <f t="shared" si="10"/>
        <v>0</v>
      </c>
      <c r="F68" s="19">
        <f t="shared" si="10"/>
        <v>0</v>
      </c>
      <c r="G68" s="19">
        <f t="shared" si="10"/>
        <v>0</v>
      </c>
      <c r="H68" s="19">
        <f t="shared" si="10"/>
        <v>0</v>
      </c>
      <c r="I68" s="19">
        <f t="shared" si="10"/>
        <v>0</v>
      </c>
      <c r="J68" s="19">
        <f t="shared" si="10"/>
        <v>0</v>
      </c>
      <c r="K68" s="19">
        <f t="shared" si="10"/>
        <v>0</v>
      </c>
      <c r="L68" s="19">
        <f t="shared" si="10"/>
        <v>0</v>
      </c>
      <c r="M68" s="19">
        <f t="shared" si="10"/>
        <v>0</v>
      </c>
      <c r="N68" s="19">
        <f t="shared" si="10"/>
        <v>0</v>
      </c>
      <c r="O68" s="19">
        <f t="shared" si="10"/>
        <v>0</v>
      </c>
      <c r="Q68" s="21" t="s">
        <v>271</v>
      </c>
      <c r="R68" s="19">
        <f t="shared" ref="R68:AD68" si="11">SUM(R51:R67)</f>
        <v>0</v>
      </c>
      <c r="S68" s="19">
        <f t="shared" si="11"/>
        <v>0</v>
      </c>
      <c r="T68" s="19">
        <f t="shared" si="11"/>
        <v>0</v>
      </c>
      <c r="U68" s="19">
        <f t="shared" si="11"/>
        <v>0</v>
      </c>
      <c r="V68" s="19">
        <f t="shared" si="11"/>
        <v>0</v>
      </c>
      <c r="W68" s="19">
        <f t="shared" si="11"/>
        <v>0</v>
      </c>
      <c r="X68" s="19">
        <f t="shared" si="11"/>
        <v>0</v>
      </c>
      <c r="Y68" s="19">
        <f t="shared" si="11"/>
        <v>0</v>
      </c>
      <c r="Z68" s="19">
        <f t="shared" si="11"/>
        <v>0</v>
      </c>
      <c r="AA68" s="19">
        <f t="shared" si="11"/>
        <v>0</v>
      </c>
      <c r="AB68" s="19">
        <f t="shared" si="11"/>
        <v>0</v>
      </c>
      <c r="AC68" s="19">
        <f t="shared" si="11"/>
        <v>0</v>
      </c>
      <c r="AD68" s="19">
        <f t="shared" si="11"/>
        <v>0</v>
      </c>
    </row>
    <row r="69" spans="2:30" hidden="1"/>
    <row r="70" spans="2:30" hidden="1">
      <c r="B70" s="36" t="s">
        <v>39</v>
      </c>
      <c r="Q70" s="36" t="s">
        <v>39</v>
      </c>
    </row>
    <row r="71" spans="2:30" hidden="1">
      <c r="B71" s="57" t="s">
        <v>13</v>
      </c>
      <c r="C71" s="58" t="s">
        <v>19</v>
      </c>
      <c r="D71" s="58" t="s">
        <v>20</v>
      </c>
      <c r="E71" s="58" t="s">
        <v>21</v>
      </c>
      <c r="F71" s="58" t="s">
        <v>22</v>
      </c>
      <c r="G71" s="58" t="s">
        <v>23</v>
      </c>
      <c r="H71" s="58" t="s">
        <v>24</v>
      </c>
      <c r="I71" s="58" t="s">
        <v>25</v>
      </c>
      <c r="J71" s="58" t="s">
        <v>26</v>
      </c>
      <c r="K71" s="58" t="s">
        <v>27</v>
      </c>
      <c r="L71" s="58" t="s">
        <v>28</v>
      </c>
      <c r="M71" s="58" t="s">
        <v>35</v>
      </c>
      <c r="N71" s="58" t="s">
        <v>36</v>
      </c>
      <c r="O71" s="58" t="s">
        <v>0</v>
      </c>
      <c r="Q71" s="57" t="s">
        <v>13</v>
      </c>
      <c r="R71" s="58" t="s">
        <v>19</v>
      </c>
      <c r="S71" s="58" t="s">
        <v>20</v>
      </c>
      <c r="T71" s="58" t="s">
        <v>21</v>
      </c>
      <c r="U71" s="58" t="s">
        <v>22</v>
      </c>
      <c r="V71" s="58" t="s">
        <v>23</v>
      </c>
      <c r="W71" s="58" t="s">
        <v>24</v>
      </c>
      <c r="X71" s="58" t="s">
        <v>25</v>
      </c>
      <c r="Y71" s="58" t="s">
        <v>26</v>
      </c>
      <c r="Z71" s="58" t="s">
        <v>27</v>
      </c>
      <c r="AA71" s="58" t="s">
        <v>28</v>
      </c>
      <c r="AB71" s="58" t="s">
        <v>35</v>
      </c>
      <c r="AC71" s="58" t="s">
        <v>36</v>
      </c>
      <c r="AD71" s="58" t="s">
        <v>0</v>
      </c>
    </row>
    <row r="72" spans="2:30" hidden="1">
      <c r="B72" s="65" t="s">
        <v>1414</v>
      </c>
      <c r="C72" s="419" t="e">
        <f t="shared" ref="C72:H72" si="12">C37/C51</f>
        <v>#DIV/0!</v>
      </c>
      <c r="D72" s="419" t="e">
        <f t="shared" si="12"/>
        <v>#DIV/0!</v>
      </c>
      <c r="E72" s="419" t="e">
        <f t="shared" si="12"/>
        <v>#DIV/0!</v>
      </c>
      <c r="F72" s="419" t="e">
        <f t="shared" si="12"/>
        <v>#DIV/0!</v>
      </c>
      <c r="G72" s="419" t="e">
        <f t="shared" si="12"/>
        <v>#DIV/0!</v>
      </c>
      <c r="H72" s="419" t="e">
        <f t="shared" si="12"/>
        <v>#DIV/0!</v>
      </c>
      <c r="I72" s="419" t="e">
        <f t="shared" ref="I72:K72" si="13">I37/I51</f>
        <v>#DIV/0!</v>
      </c>
      <c r="J72" s="419" t="e">
        <f t="shared" si="13"/>
        <v>#DIV/0!</v>
      </c>
      <c r="K72" s="419" t="e">
        <f t="shared" si="13"/>
        <v>#DIV/0!</v>
      </c>
      <c r="L72" s="66"/>
      <c r="M72" s="66"/>
      <c r="N72" s="66"/>
      <c r="O72" s="66" t="e">
        <f>O37/O51</f>
        <v>#DIV/0!</v>
      </c>
      <c r="Q72" s="65" t="s">
        <v>1414</v>
      </c>
      <c r="R72" s="66" t="e">
        <f>R37/R51</f>
        <v>#DIV/0!</v>
      </c>
      <c r="S72" s="66" t="e">
        <f>S37/S51</f>
        <v>#DIV/0!</v>
      </c>
      <c r="T72" s="66" t="e">
        <f>T37/T51</f>
        <v>#DIV/0!</v>
      </c>
      <c r="U72" s="66" t="e">
        <f>U37/U51</f>
        <v>#DIV/0!</v>
      </c>
      <c r="V72" s="66" t="e">
        <f>V37/V51</f>
        <v>#DIV/0!</v>
      </c>
      <c r="W72" s="66" t="e">
        <f t="shared" ref="W72:Z72" si="14">W37/W51</f>
        <v>#DIV/0!</v>
      </c>
      <c r="X72" s="66" t="e">
        <f t="shared" si="14"/>
        <v>#DIV/0!</v>
      </c>
      <c r="Y72" s="66" t="e">
        <f t="shared" si="14"/>
        <v>#DIV/0!</v>
      </c>
      <c r="Z72" s="66" t="e">
        <f t="shared" si="14"/>
        <v>#DIV/0!</v>
      </c>
      <c r="AA72" s="66"/>
      <c r="AB72" s="66"/>
      <c r="AC72" s="66"/>
      <c r="AD72" s="66" t="e">
        <f>AD37/AD51</f>
        <v>#DIV/0!</v>
      </c>
    </row>
    <row r="73" spans="2:30" hidden="1">
      <c r="B73" s="65" t="s">
        <v>11</v>
      </c>
      <c r="C73" s="419" t="e">
        <f t="shared" ref="C73:H73" si="15">C38/C52</f>
        <v>#DIV/0!</v>
      </c>
      <c r="D73" s="419" t="e">
        <f t="shared" si="15"/>
        <v>#DIV/0!</v>
      </c>
      <c r="E73" s="419" t="e">
        <f t="shared" si="15"/>
        <v>#DIV/0!</v>
      </c>
      <c r="F73" s="419" t="e">
        <f t="shared" si="15"/>
        <v>#DIV/0!</v>
      </c>
      <c r="G73" s="419" t="e">
        <f t="shared" si="15"/>
        <v>#DIV/0!</v>
      </c>
      <c r="H73" s="419" t="e">
        <f t="shared" si="15"/>
        <v>#DIV/0!</v>
      </c>
      <c r="I73" s="419" t="e">
        <f t="shared" ref="I73:K73" si="16">I38/I52</f>
        <v>#DIV/0!</v>
      </c>
      <c r="J73" s="419" t="e">
        <f t="shared" si="16"/>
        <v>#DIV/0!</v>
      </c>
      <c r="K73" s="419" t="e">
        <f t="shared" si="16"/>
        <v>#DIV/0!</v>
      </c>
      <c r="L73" s="66"/>
      <c r="M73" s="66"/>
      <c r="N73" s="66"/>
      <c r="O73" s="66" t="e">
        <f>O38/O52</f>
        <v>#DIV/0!</v>
      </c>
      <c r="Q73" s="65" t="s">
        <v>11</v>
      </c>
      <c r="R73" s="66" t="e">
        <f>R38/R52</f>
        <v>#DIV/0!</v>
      </c>
      <c r="S73" s="66" t="e">
        <f t="shared" ref="S73:AC73" si="17">S38/S51</f>
        <v>#DIV/0!</v>
      </c>
      <c r="T73" s="66" t="e">
        <f t="shared" si="17"/>
        <v>#DIV/0!</v>
      </c>
      <c r="U73" s="66" t="e">
        <f t="shared" si="17"/>
        <v>#DIV/0!</v>
      </c>
      <c r="V73" s="66" t="e">
        <f t="shared" si="17"/>
        <v>#DIV/0!</v>
      </c>
      <c r="W73" s="66" t="e">
        <f t="shared" ref="W73:X73" si="18">W38/W51</f>
        <v>#DIV/0!</v>
      </c>
      <c r="X73" s="66" t="e">
        <f t="shared" si="18"/>
        <v>#DIV/0!</v>
      </c>
      <c r="Y73" s="66" t="e">
        <f t="shared" si="17"/>
        <v>#DIV/0!</v>
      </c>
      <c r="Z73" s="66" t="e">
        <f t="shared" si="17"/>
        <v>#DIV/0!</v>
      </c>
      <c r="AA73" s="66" t="e">
        <f t="shared" si="17"/>
        <v>#DIV/0!</v>
      </c>
      <c r="AB73" s="66" t="e">
        <f t="shared" si="17"/>
        <v>#DIV/0!</v>
      </c>
      <c r="AC73" s="66" t="e">
        <f t="shared" si="17"/>
        <v>#DIV/0!</v>
      </c>
      <c r="AD73" s="66" t="e">
        <f>AD38/AD52</f>
        <v>#DIV/0!</v>
      </c>
    </row>
    <row r="74" spans="2:30" hidden="1">
      <c r="B74" s="65" t="s">
        <v>83</v>
      </c>
      <c r="C74" s="419" t="e">
        <f t="shared" ref="C74:H74" si="19">C39/C53</f>
        <v>#DIV/0!</v>
      </c>
      <c r="D74" s="419" t="e">
        <f t="shared" si="19"/>
        <v>#DIV/0!</v>
      </c>
      <c r="E74" s="419" t="e">
        <f t="shared" si="19"/>
        <v>#DIV/0!</v>
      </c>
      <c r="F74" s="419" t="e">
        <f t="shared" si="19"/>
        <v>#DIV/0!</v>
      </c>
      <c r="G74" s="419" t="e">
        <f t="shared" si="19"/>
        <v>#DIV/0!</v>
      </c>
      <c r="H74" s="419" t="e">
        <f t="shared" si="19"/>
        <v>#DIV/0!</v>
      </c>
      <c r="I74" s="419" t="e">
        <f>I39/I53</f>
        <v>#DIV/0!</v>
      </c>
      <c r="J74" s="419" t="e">
        <f t="shared" ref="J74:K74" si="20">J39/J53</f>
        <v>#DIV/0!</v>
      </c>
      <c r="K74" s="419" t="e">
        <f t="shared" si="20"/>
        <v>#DIV/0!</v>
      </c>
      <c r="L74" s="66"/>
      <c r="M74" s="66"/>
      <c r="N74" s="66"/>
      <c r="O74" s="66" t="e">
        <f>O39/O53</f>
        <v>#DIV/0!</v>
      </c>
      <c r="Q74" s="65" t="s">
        <v>83</v>
      </c>
      <c r="R74" s="66" t="e">
        <f>R39/R53</f>
        <v>#DIV/0!</v>
      </c>
      <c r="S74" s="66">
        <v>0</v>
      </c>
      <c r="T74" s="66" t="e">
        <f>T39/T52</f>
        <v>#DIV/0!</v>
      </c>
      <c r="U74" s="66" t="e">
        <f>U39/U52</f>
        <v>#DIV/0!</v>
      </c>
      <c r="V74" s="66" t="e">
        <f>V39/V52</f>
        <v>#DIV/0!</v>
      </c>
      <c r="W74" s="66" t="e">
        <f t="shared" ref="W74:X74" si="21">W39/W52</f>
        <v>#DIV/0!</v>
      </c>
      <c r="X74" s="66" t="e">
        <f t="shared" si="21"/>
        <v>#DIV/0!</v>
      </c>
      <c r="Y74" s="66">
        <v>0</v>
      </c>
      <c r="Z74" s="66" t="e">
        <f>Z39/Z52</f>
        <v>#DIV/0!</v>
      </c>
      <c r="AA74" s="66" t="e">
        <f>AA39/AA52</f>
        <v>#DIV/0!</v>
      </c>
      <c r="AB74" s="66" t="e">
        <f>AB39/AB52</f>
        <v>#DIV/0!</v>
      </c>
      <c r="AC74" s="66" t="e">
        <f>AC39/AC52</f>
        <v>#DIV/0!</v>
      </c>
      <c r="AD74" s="66" t="e">
        <f>AD39/AD53</f>
        <v>#DIV/0!</v>
      </c>
    </row>
    <row r="75" spans="2:30" hidden="1">
      <c r="B75" s="65" t="s">
        <v>1418</v>
      </c>
      <c r="C75" s="419" t="e">
        <f t="shared" ref="C75:H75" si="22">C40/C54</f>
        <v>#DIV/0!</v>
      </c>
      <c r="D75" s="419" t="e">
        <f t="shared" si="22"/>
        <v>#DIV/0!</v>
      </c>
      <c r="E75" s="419" t="e">
        <f t="shared" si="22"/>
        <v>#DIV/0!</v>
      </c>
      <c r="F75" s="419" t="e">
        <f t="shared" si="22"/>
        <v>#DIV/0!</v>
      </c>
      <c r="G75" s="419" t="e">
        <f t="shared" si="22"/>
        <v>#DIV/0!</v>
      </c>
      <c r="H75" s="419" t="e">
        <f t="shared" si="22"/>
        <v>#DIV/0!</v>
      </c>
      <c r="I75" s="419" t="e">
        <f>I40/I54</f>
        <v>#DIV/0!</v>
      </c>
      <c r="J75" s="419" t="e">
        <f>J40/J54</f>
        <v>#DIV/0!</v>
      </c>
      <c r="K75" s="419" t="e">
        <f>K40/K54</f>
        <v>#DIV/0!</v>
      </c>
      <c r="L75" s="66"/>
      <c r="M75" s="66"/>
      <c r="N75" s="66"/>
      <c r="O75" s="66" t="e">
        <f>O40/O54</f>
        <v>#DIV/0!</v>
      </c>
      <c r="Q75" s="65" t="s">
        <v>1418</v>
      </c>
      <c r="R75" s="66" t="e">
        <f t="shared" ref="R75" si="23">R40/R54</f>
        <v>#DIV/0!</v>
      </c>
      <c r="S75" s="66">
        <v>0</v>
      </c>
      <c r="T75" s="66" t="e">
        <f t="shared" ref="T75:X75" si="24">T40/T53</f>
        <v>#DIV/0!</v>
      </c>
      <c r="U75" s="66" t="e">
        <f t="shared" si="24"/>
        <v>#DIV/0!</v>
      </c>
      <c r="V75" s="66" t="e">
        <f t="shared" si="24"/>
        <v>#DIV/0!</v>
      </c>
      <c r="W75" s="66" t="e">
        <f t="shared" si="24"/>
        <v>#DIV/0!</v>
      </c>
      <c r="X75" s="66" t="e">
        <f t="shared" si="24"/>
        <v>#DIV/0!</v>
      </c>
      <c r="Y75" s="66">
        <v>0</v>
      </c>
      <c r="Z75" s="66" t="e">
        <f t="shared" ref="Z75:AC75" si="25">Z40/Z53</f>
        <v>#DIV/0!</v>
      </c>
      <c r="AA75" s="66" t="e">
        <f t="shared" si="25"/>
        <v>#DIV/0!</v>
      </c>
      <c r="AB75" s="66" t="e">
        <f t="shared" si="25"/>
        <v>#DIV/0!</v>
      </c>
      <c r="AC75" s="66" t="e">
        <f t="shared" si="25"/>
        <v>#DIV/0!</v>
      </c>
      <c r="AD75" s="66" t="e">
        <f t="shared" ref="AD75" si="26">AD40/AD54</f>
        <v>#DIV/0!</v>
      </c>
    </row>
    <row r="76" spans="2:30" hidden="1">
      <c r="B76" s="65" t="s">
        <v>1149</v>
      </c>
      <c r="C76" s="419" t="e">
        <f t="shared" ref="C76:H76" si="27">C41/C55</f>
        <v>#DIV/0!</v>
      </c>
      <c r="D76" s="419" t="e">
        <f t="shared" si="27"/>
        <v>#DIV/0!</v>
      </c>
      <c r="E76" s="419" t="e">
        <f t="shared" si="27"/>
        <v>#DIV/0!</v>
      </c>
      <c r="F76" s="419" t="e">
        <f t="shared" si="27"/>
        <v>#DIV/0!</v>
      </c>
      <c r="G76" s="419" t="e">
        <f t="shared" si="27"/>
        <v>#DIV/0!</v>
      </c>
      <c r="H76" s="419" t="e">
        <f t="shared" si="27"/>
        <v>#DIV/0!</v>
      </c>
      <c r="I76" s="419" t="e">
        <f>I41/I55</f>
        <v>#DIV/0!</v>
      </c>
      <c r="J76" s="419" t="e">
        <f>J41/J55</f>
        <v>#DIV/0!</v>
      </c>
      <c r="K76" s="419" t="e">
        <f>K41/K55</f>
        <v>#DIV/0!</v>
      </c>
      <c r="L76" s="66"/>
      <c r="M76" s="66"/>
      <c r="N76" s="66"/>
      <c r="O76" s="66" t="e">
        <f>O41/O55</f>
        <v>#DIV/0!</v>
      </c>
      <c r="Q76" s="65" t="s">
        <v>1149</v>
      </c>
      <c r="R76" s="66" t="e">
        <f>R41/R55</f>
        <v>#DIV/0!</v>
      </c>
      <c r="S76" s="66">
        <v>0</v>
      </c>
      <c r="T76" s="66">
        <v>0</v>
      </c>
      <c r="U76" s="66">
        <v>0</v>
      </c>
      <c r="V76" s="66">
        <v>0</v>
      </c>
      <c r="W76" s="66">
        <v>0</v>
      </c>
      <c r="X76" s="66">
        <v>0</v>
      </c>
      <c r="Y76" s="66">
        <v>0</v>
      </c>
      <c r="Z76" s="66">
        <v>0</v>
      </c>
      <c r="AA76" s="66" t="e">
        <f>AA41/AA53</f>
        <v>#DIV/0!</v>
      </c>
      <c r="AB76" s="66" t="e">
        <f>AB41/AB53</f>
        <v>#DIV/0!</v>
      </c>
      <c r="AC76" s="66"/>
      <c r="AD76" s="66" t="e">
        <f>AD41/AD55</f>
        <v>#DIV/0!</v>
      </c>
    </row>
    <row r="77" spans="2:30" hidden="1">
      <c r="B77" s="65" t="s">
        <v>51</v>
      </c>
      <c r="C77" s="419" t="e">
        <f t="shared" ref="C77:H77" si="28">C43/C57</f>
        <v>#DIV/0!</v>
      </c>
      <c r="D77" s="419" t="e">
        <f t="shared" si="28"/>
        <v>#DIV/0!</v>
      </c>
      <c r="E77" s="419" t="e">
        <f t="shared" si="28"/>
        <v>#DIV/0!</v>
      </c>
      <c r="F77" s="419" t="e">
        <f t="shared" si="28"/>
        <v>#DIV/0!</v>
      </c>
      <c r="G77" s="419" t="e">
        <f t="shared" si="28"/>
        <v>#DIV/0!</v>
      </c>
      <c r="H77" s="419" t="e">
        <f t="shared" si="28"/>
        <v>#DIV/0!</v>
      </c>
      <c r="I77" s="419" t="e">
        <f t="shared" ref="I77:K77" si="29">I43/I57</f>
        <v>#DIV/0!</v>
      </c>
      <c r="J77" s="419" t="e">
        <f t="shared" si="29"/>
        <v>#DIV/0!</v>
      </c>
      <c r="K77" s="419" t="e">
        <f t="shared" si="29"/>
        <v>#DIV/0!</v>
      </c>
      <c r="L77" s="66"/>
      <c r="M77" s="66"/>
      <c r="N77" s="66"/>
      <c r="O77" s="60" t="e">
        <f>O43/O57</f>
        <v>#DIV/0!</v>
      </c>
      <c r="Q77" s="65" t="s">
        <v>51</v>
      </c>
      <c r="R77" s="66" t="e">
        <f>R43/R57</f>
        <v>#DIV/0!</v>
      </c>
      <c r="S77" s="66" t="e">
        <f>S43/S55</f>
        <v>#DIV/0!</v>
      </c>
      <c r="T77" s="66" t="e">
        <f>T43/T55</f>
        <v>#DIV/0!</v>
      </c>
      <c r="U77" s="66" t="e">
        <f>U43/U55</f>
        <v>#DIV/0!</v>
      </c>
      <c r="V77" s="66" t="e">
        <f>V43/V55</f>
        <v>#DIV/0!</v>
      </c>
      <c r="W77" s="66" t="e">
        <f t="shared" ref="W77:X77" si="30">W43/W55</f>
        <v>#DIV/0!</v>
      </c>
      <c r="X77" s="66" t="e">
        <f t="shared" si="30"/>
        <v>#DIV/0!</v>
      </c>
      <c r="Y77" s="66" t="e">
        <f>Y43/Y55</f>
        <v>#DIV/0!</v>
      </c>
      <c r="Z77" s="66" t="e">
        <f>Z43/Z55</f>
        <v>#DIV/0!</v>
      </c>
      <c r="AA77" s="66" t="e">
        <f>AA43/AA55</f>
        <v>#DIV/0!</v>
      </c>
      <c r="AB77" s="66" t="e">
        <f>AB43/AB55</f>
        <v>#DIV/0!</v>
      </c>
      <c r="AC77" s="66" t="e">
        <f>AC43/AC55</f>
        <v>#DIV/0!</v>
      </c>
      <c r="AD77" s="60" t="e">
        <f>AD43/AD57</f>
        <v>#DIV/0!</v>
      </c>
    </row>
    <row r="78" spans="2:30" hidden="1">
      <c r="B78" s="65" t="s">
        <v>7</v>
      </c>
      <c r="C78" s="419" t="e">
        <f t="shared" ref="C78:H78" si="31">C44/C58</f>
        <v>#DIV/0!</v>
      </c>
      <c r="D78" s="419" t="e">
        <f t="shared" si="31"/>
        <v>#DIV/0!</v>
      </c>
      <c r="E78" s="419" t="e">
        <f t="shared" si="31"/>
        <v>#DIV/0!</v>
      </c>
      <c r="F78" s="419" t="e">
        <f t="shared" si="31"/>
        <v>#DIV/0!</v>
      </c>
      <c r="G78" s="419" t="e">
        <f t="shared" si="31"/>
        <v>#DIV/0!</v>
      </c>
      <c r="H78" s="419" t="e">
        <f t="shared" si="31"/>
        <v>#DIV/0!</v>
      </c>
      <c r="I78" s="419" t="e">
        <f t="shared" ref="I78:K78" si="32">I44/I58</f>
        <v>#DIV/0!</v>
      </c>
      <c r="J78" s="419" t="e">
        <f t="shared" si="32"/>
        <v>#DIV/0!</v>
      </c>
      <c r="K78" s="419" t="e">
        <f t="shared" si="32"/>
        <v>#DIV/0!</v>
      </c>
      <c r="L78" s="66"/>
      <c r="M78" s="66"/>
      <c r="N78" s="66"/>
      <c r="O78" s="66" t="e">
        <f>O44/O58</f>
        <v>#DIV/0!</v>
      </c>
      <c r="Q78" s="65" t="s">
        <v>7</v>
      </c>
      <c r="R78" s="66" t="e">
        <f>R44/R58</f>
        <v>#DIV/0!</v>
      </c>
      <c r="S78" s="66" t="e">
        <f t="shared" ref="S78:V80" si="33">S44/S57</f>
        <v>#DIV/0!</v>
      </c>
      <c r="T78" s="66" t="e">
        <f t="shared" si="33"/>
        <v>#DIV/0!</v>
      </c>
      <c r="U78" s="66" t="e">
        <f t="shared" si="33"/>
        <v>#DIV/0!</v>
      </c>
      <c r="V78" s="66" t="e">
        <f t="shared" si="33"/>
        <v>#DIV/0!</v>
      </c>
      <c r="W78" s="66" t="e">
        <f t="shared" ref="W78:X78" si="34">W44/W57</f>
        <v>#DIV/0!</v>
      </c>
      <c r="X78" s="66" t="e">
        <f t="shared" si="34"/>
        <v>#DIV/0!</v>
      </c>
      <c r="Y78" s="66" t="e">
        <f t="shared" ref="Y78:AC80" si="35">Y44/Y57</f>
        <v>#DIV/0!</v>
      </c>
      <c r="Z78" s="66" t="e">
        <f t="shared" si="35"/>
        <v>#DIV/0!</v>
      </c>
      <c r="AA78" s="66" t="e">
        <f t="shared" si="35"/>
        <v>#DIV/0!</v>
      </c>
      <c r="AB78" s="66" t="e">
        <f t="shared" si="35"/>
        <v>#DIV/0!</v>
      </c>
      <c r="AC78" s="66" t="e">
        <f t="shared" si="35"/>
        <v>#DIV/0!</v>
      </c>
      <c r="AD78" s="66" t="e">
        <f>AD44/AD58</f>
        <v>#DIV/0!</v>
      </c>
    </row>
    <row r="79" spans="2:30" hidden="1">
      <c r="B79" s="65" t="s">
        <v>8</v>
      </c>
      <c r="C79" s="419" t="e">
        <f t="shared" ref="C79:H79" si="36">C45/C59</f>
        <v>#DIV/0!</v>
      </c>
      <c r="D79" s="419" t="e">
        <f t="shared" si="36"/>
        <v>#DIV/0!</v>
      </c>
      <c r="E79" s="419" t="e">
        <f t="shared" si="36"/>
        <v>#DIV/0!</v>
      </c>
      <c r="F79" s="419" t="e">
        <f t="shared" si="36"/>
        <v>#DIV/0!</v>
      </c>
      <c r="G79" s="419" t="e">
        <f t="shared" si="36"/>
        <v>#DIV/0!</v>
      </c>
      <c r="H79" s="419" t="e">
        <f t="shared" si="36"/>
        <v>#DIV/0!</v>
      </c>
      <c r="I79" s="419" t="e">
        <f t="shared" ref="I79:K79" si="37">I45/I59</f>
        <v>#DIV/0!</v>
      </c>
      <c r="J79" s="419" t="e">
        <f t="shared" si="37"/>
        <v>#DIV/0!</v>
      </c>
      <c r="K79" s="419" t="e">
        <f t="shared" si="37"/>
        <v>#DIV/0!</v>
      </c>
      <c r="L79" s="66"/>
      <c r="M79" s="66"/>
      <c r="N79" s="66"/>
      <c r="O79" s="66" t="e">
        <f>O45/O59</f>
        <v>#DIV/0!</v>
      </c>
      <c r="Q79" s="65" t="s">
        <v>8</v>
      </c>
      <c r="R79" s="66" t="e">
        <f>R45/R59</f>
        <v>#DIV/0!</v>
      </c>
      <c r="S79" s="66" t="e">
        <f t="shared" si="33"/>
        <v>#DIV/0!</v>
      </c>
      <c r="T79" s="66" t="e">
        <f t="shared" si="33"/>
        <v>#DIV/0!</v>
      </c>
      <c r="U79" s="66" t="e">
        <f t="shared" si="33"/>
        <v>#DIV/0!</v>
      </c>
      <c r="V79" s="66" t="e">
        <f t="shared" si="33"/>
        <v>#DIV/0!</v>
      </c>
      <c r="W79" s="66" t="e">
        <f t="shared" ref="W79:X79" si="38">W45/W58</f>
        <v>#DIV/0!</v>
      </c>
      <c r="X79" s="66" t="e">
        <f t="shared" si="38"/>
        <v>#DIV/0!</v>
      </c>
      <c r="Y79" s="66" t="e">
        <f t="shared" si="35"/>
        <v>#DIV/0!</v>
      </c>
      <c r="Z79" s="66" t="e">
        <f t="shared" si="35"/>
        <v>#DIV/0!</v>
      </c>
      <c r="AA79" s="66" t="e">
        <f t="shared" si="35"/>
        <v>#DIV/0!</v>
      </c>
      <c r="AB79" s="66" t="e">
        <f t="shared" si="35"/>
        <v>#DIV/0!</v>
      </c>
      <c r="AC79" s="66" t="e">
        <f t="shared" si="35"/>
        <v>#DIV/0!</v>
      </c>
      <c r="AD79" s="66" t="e">
        <f>AD45/AD59</f>
        <v>#DIV/0!</v>
      </c>
    </row>
    <row r="80" spans="2:30" hidden="1">
      <c r="B80" s="65" t="s">
        <v>9</v>
      </c>
      <c r="C80" s="419" t="e">
        <f t="shared" ref="C80:H80" si="39">C46/C60</f>
        <v>#DIV/0!</v>
      </c>
      <c r="D80" s="419" t="e">
        <f t="shared" si="39"/>
        <v>#DIV/0!</v>
      </c>
      <c r="E80" s="419" t="e">
        <f t="shared" si="39"/>
        <v>#DIV/0!</v>
      </c>
      <c r="F80" s="419" t="e">
        <f t="shared" si="39"/>
        <v>#DIV/0!</v>
      </c>
      <c r="G80" s="419" t="e">
        <f t="shared" si="39"/>
        <v>#DIV/0!</v>
      </c>
      <c r="H80" s="419" t="e">
        <f t="shared" si="39"/>
        <v>#DIV/0!</v>
      </c>
      <c r="I80" s="419" t="e">
        <f t="shared" ref="I80:K80" si="40">I46/I60</f>
        <v>#DIV/0!</v>
      </c>
      <c r="J80" s="419" t="e">
        <f t="shared" si="40"/>
        <v>#DIV/0!</v>
      </c>
      <c r="K80" s="419" t="e">
        <f t="shared" si="40"/>
        <v>#DIV/0!</v>
      </c>
      <c r="L80" s="66"/>
      <c r="M80" s="66"/>
      <c r="N80" s="66"/>
      <c r="O80" s="66" t="e">
        <f>O46/O60</f>
        <v>#DIV/0!</v>
      </c>
      <c r="Q80" s="65" t="s">
        <v>9</v>
      </c>
      <c r="R80" s="66" t="e">
        <f>R46/R60</f>
        <v>#DIV/0!</v>
      </c>
      <c r="S80" s="66" t="e">
        <f t="shared" si="33"/>
        <v>#DIV/0!</v>
      </c>
      <c r="T80" s="66" t="e">
        <f t="shared" si="33"/>
        <v>#DIV/0!</v>
      </c>
      <c r="U80" s="66" t="e">
        <f t="shared" si="33"/>
        <v>#DIV/0!</v>
      </c>
      <c r="V80" s="66" t="e">
        <f t="shared" si="33"/>
        <v>#DIV/0!</v>
      </c>
      <c r="W80" s="66" t="e">
        <f t="shared" ref="W80:X80" si="41">W46/W59</f>
        <v>#DIV/0!</v>
      </c>
      <c r="X80" s="66" t="e">
        <f t="shared" si="41"/>
        <v>#DIV/0!</v>
      </c>
      <c r="Y80" s="66" t="e">
        <f t="shared" si="35"/>
        <v>#DIV/0!</v>
      </c>
      <c r="Z80" s="66" t="e">
        <f t="shared" si="35"/>
        <v>#DIV/0!</v>
      </c>
      <c r="AA80" s="66" t="e">
        <f t="shared" si="35"/>
        <v>#DIV/0!</v>
      </c>
      <c r="AB80" s="66" t="e">
        <f t="shared" si="35"/>
        <v>#DIV/0!</v>
      </c>
      <c r="AC80" s="66" t="e">
        <f t="shared" si="35"/>
        <v>#DIV/0!</v>
      </c>
      <c r="AD80" s="66" t="e">
        <f>AD46/AD60</f>
        <v>#DIV/0!</v>
      </c>
    </row>
    <row r="81" spans="1:30" hidden="1">
      <c r="B81" s="61" t="s">
        <v>271</v>
      </c>
      <c r="C81" s="201" t="e">
        <f t="shared" ref="C81:M81" si="42">C47/C68</f>
        <v>#DIV/0!</v>
      </c>
      <c r="D81" s="201" t="e">
        <f t="shared" si="42"/>
        <v>#DIV/0!</v>
      </c>
      <c r="E81" s="201" t="e">
        <f t="shared" si="42"/>
        <v>#DIV/0!</v>
      </c>
      <c r="F81" s="201" t="e">
        <f t="shared" si="42"/>
        <v>#DIV/0!</v>
      </c>
      <c r="G81" s="201" t="e">
        <f t="shared" si="42"/>
        <v>#DIV/0!</v>
      </c>
      <c r="H81" s="201" t="e">
        <f t="shared" si="42"/>
        <v>#DIV/0!</v>
      </c>
      <c r="I81" s="201" t="e">
        <f t="shared" si="42"/>
        <v>#DIV/0!</v>
      </c>
      <c r="J81" s="201" t="e">
        <f t="shared" si="42"/>
        <v>#DIV/0!</v>
      </c>
      <c r="K81" s="201" t="e">
        <f t="shared" si="42"/>
        <v>#DIV/0!</v>
      </c>
      <c r="L81" s="201" t="e">
        <f t="shared" si="42"/>
        <v>#DIV/0!</v>
      </c>
      <c r="M81" s="201" t="e">
        <f t="shared" si="42"/>
        <v>#DIV/0!</v>
      </c>
      <c r="N81" s="201">
        <f>SUM(N73:N80)</f>
        <v>0</v>
      </c>
      <c r="O81" s="201" t="e">
        <f>O47/O68</f>
        <v>#DIV/0!</v>
      </c>
      <c r="Q81" s="61" t="s">
        <v>271</v>
      </c>
      <c r="R81" s="201" t="e">
        <f t="shared" ref="R81:AB81" si="43">R47/R68</f>
        <v>#DIV/0!</v>
      </c>
      <c r="S81" s="201" t="e">
        <f t="shared" si="43"/>
        <v>#DIV/0!</v>
      </c>
      <c r="T81" s="201" t="e">
        <f t="shared" si="43"/>
        <v>#DIV/0!</v>
      </c>
      <c r="U81" s="201" t="e">
        <f t="shared" si="43"/>
        <v>#DIV/0!</v>
      </c>
      <c r="V81" s="201" t="e">
        <f t="shared" si="43"/>
        <v>#DIV/0!</v>
      </c>
      <c r="W81" s="201" t="e">
        <f t="shared" si="43"/>
        <v>#DIV/0!</v>
      </c>
      <c r="X81" s="201" t="e">
        <f t="shared" si="43"/>
        <v>#DIV/0!</v>
      </c>
      <c r="Y81" s="201" t="e">
        <f t="shared" si="43"/>
        <v>#DIV/0!</v>
      </c>
      <c r="Z81" s="201" t="e">
        <f t="shared" si="43"/>
        <v>#DIV/0!</v>
      </c>
      <c r="AA81" s="201" t="e">
        <f t="shared" si="43"/>
        <v>#DIV/0!</v>
      </c>
      <c r="AB81" s="201" t="e">
        <f t="shared" si="43"/>
        <v>#DIV/0!</v>
      </c>
      <c r="AC81" s="201" t="e">
        <f>SUM(AC73:AC80)</f>
        <v>#DIV/0!</v>
      </c>
      <c r="AD81" s="201" t="e">
        <f>AD47/AD68</f>
        <v>#DIV/0!</v>
      </c>
    </row>
    <row r="82" spans="1:30" hidden="1"/>
    <row r="83" spans="1:30" hidden="1"/>
    <row r="84" spans="1:30" hidden="1"/>
    <row r="85" spans="1:30" hidden="1">
      <c r="B85" s="36" t="s">
        <v>32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</row>
    <row r="86" spans="1:30" ht="15.75" hidden="1" thickBot="1">
      <c r="B86" s="38" t="s">
        <v>1419</v>
      </c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</row>
    <row r="87" spans="1:30" hidden="1">
      <c r="B87" s="1" t="s">
        <v>33</v>
      </c>
      <c r="C87" s="2" t="s">
        <v>1404</v>
      </c>
      <c r="D87" s="2" t="s">
        <v>1406</v>
      </c>
      <c r="E87" s="2" t="s">
        <v>1407</v>
      </c>
      <c r="F87" s="2" t="s">
        <v>1408</v>
      </c>
      <c r="G87" s="2" t="s">
        <v>23</v>
      </c>
      <c r="H87" s="2" t="s">
        <v>1405</v>
      </c>
      <c r="I87" s="2" t="s">
        <v>1409</v>
      </c>
      <c r="J87" s="2" t="s">
        <v>1410</v>
      </c>
      <c r="K87" s="2" t="s">
        <v>1087</v>
      </c>
      <c r="L87" s="43" t="s">
        <v>1179</v>
      </c>
      <c r="M87" s="43" t="s">
        <v>1311</v>
      </c>
      <c r="N87" s="44" t="s">
        <v>1403</v>
      </c>
      <c r="O87" s="44" t="s">
        <v>0</v>
      </c>
    </row>
    <row r="88" spans="1:30" hidden="1">
      <c r="B88" s="25" t="s">
        <v>4</v>
      </c>
      <c r="C88" s="422"/>
      <c r="D88" s="29"/>
      <c r="E88" s="411"/>
      <c r="F88" s="411"/>
      <c r="G88" s="411"/>
      <c r="H88" s="411"/>
      <c r="I88" s="29"/>
      <c r="J88" s="29"/>
      <c r="K88" s="411"/>
      <c r="L88" s="411"/>
      <c r="M88" s="411"/>
      <c r="N88" s="412"/>
      <c r="O88" s="413">
        <f>SUM(C88:N88)</f>
        <v>0</v>
      </c>
    </row>
    <row r="89" spans="1:30" hidden="1">
      <c r="B89" s="28" t="s">
        <v>6</v>
      </c>
      <c r="C89" s="422"/>
      <c r="D89" s="29"/>
      <c r="E89" s="411"/>
      <c r="F89" s="411"/>
      <c r="G89" s="411"/>
      <c r="H89" s="29"/>
      <c r="I89" s="29"/>
      <c r="J89" s="29"/>
      <c r="K89" s="411"/>
      <c r="L89" s="411"/>
      <c r="M89" s="411"/>
      <c r="N89" s="412"/>
      <c r="O89" s="413">
        <f>SUM(C89:N89)</f>
        <v>0</v>
      </c>
    </row>
    <row r="90" spans="1:30" hidden="1">
      <c r="B90" s="28" t="s">
        <v>5</v>
      </c>
      <c r="C90" s="422"/>
      <c r="D90" s="29"/>
      <c r="E90" s="411"/>
      <c r="F90" s="411"/>
      <c r="G90" s="411"/>
      <c r="H90" s="29"/>
      <c r="I90" s="29"/>
      <c r="J90" s="29"/>
      <c r="K90" s="411"/>
      <c r="L90" s="411"/>
      <c r="M90" s="411"/>
      <c r="N90" s="412"/>
      <c r="O90" s="413">
        <f>SUM(C90:N90)</f>
        <v>0</v>
      </c>
    </row>
    <row r="91" spans="1:30" ht="15.75" hidden="1" thickBot="1">
      <c r="B91" s="3" t="s">
        <v>18</v>
      </c>
      <c r="C91" s="414">
        <f t="shared" ref="C91:O91" si="44">SUM(C88:C90)</f>
        <v>0</v>
      </c>
      <c r="D91" s="414">
        <f t="shared" si="44"/>
        <v>0</v>
      </c>
      <c r="E91" s="414">
        <f t="shared" si="44"/>
        <v>0</v>
      </c>
      <c r="F91" s="414">
        <f t="shared" si="44"/>
        <v>0</v>
      </c>
      <c r="G91" s="414">
        <f t="shared" si="44"/>
        <v>0</v>
      </c>
      <c r="H91" s="414">
        <f t="shared" si="44"/>
        <v>0</v>
      </c>
      <c r="I91" s="414">
        <f t="shared" si="44"/>
        <v>0</v>
      </c>
      <c r="J91" s="414">
        <f t="shared" si="44"/>
        <v>0</v>
      </c>
      <c r="K91" s="414">
        <f t="shared" si="44"/>
        <v>0</v>
      </c>
      <c r="L91" s="414">
        <f t="shared" si="44"/>
        <v>0</v>
      </c>
      <c r="M91" s="414">
        <f t="shared" si="44"/>
        <v>0</v>
      </c>
      <c r="N91" s="414">
        <f t="shared" si="44"/>
        <v>0</v>
      </c>
      <c r="O91" s="414">
        <f t="shared" si="44"/>
        <v>0</v>
      </c>
    </row>
    <row r="92" spans="1:30" ht="16.5" hidden="1" thickTop="1" thickBot="1">
      <c r="B92" s="36" t="s">
        <v>38</v>
      </c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</row>
    <row r="93" spans="1:30" hidden="1">
      <c r="A93" s="415"/>
      <c r="B93" s="5" t="s">
        <v>33</v>
      </c>
      <c r="C93" s="6" t="s">
        <v>19</v>
      </c>
      <c r="D93" s="6" t="s">
        <v>20</v>
      </c>
      <c r="E93" s="6" t="s">
        <v>21</v>
      </c>
      <c r="F93" s="6" t="s">
        <v>22</v>
      </c>
      <c r="G93" s="6" t="s">
        <v>23</v>
      </c>
      <c r="H93" s="6" t="s">
        <v>24</v>
      </c>
      <c r="I93" s="6" t="s">
        <v>25</v>
      </c>
      <c r="J93" s="6" t="s">
        <v>26</v>
      </c>
      <c r="K93" s="6" t="s">
        <v>27</v>
      </c>
      <c r="L93" s="14" t="s">
        <v>28</v>
      </c>
      <c r="M93" s="14" t="s">
        <v>35</v>
      </c>
      <c r="N93" s="14" t="s">
        <v>36</v>
      </c>
      <c r="O93" s="15" t="s">
        <v>0</v>
      </c>
      <c r="R93" s="81"/>
    </row>
    <row r="94" spans="1:30" hidden="1">
      <c r="B94" s="25" t="s">
        <v>4</v>
      </c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7"/>
      <c r="O94" s="31">
        <f>SUM(C94:N94)</f>
        <v>0</v>
      </c>
      <c r="P94" s="56"/>
      <c r="R94" s="81"/>
    </row>
    <row r="95" spans="1:30" hidden="1">
      <c r="B95" s="28" t="s">
        <v>6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7"/>
      <c r="O95" s="31">
        <f>SUM(C95:N95)</f>
        <v>0</v>
      </c>
      <c r="P95" s="56"/>
      <c r="R95" s="81"/>
    </row>
    <row r="96" spans="1:30" hidden="1">
      <c r="B96" s="25" t="s">
        <v>5</v>
      </c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7"/>
      <c r="O96" s="31">
        <f>SUM(C96:N96)</f>
        <v>0</v>
      </c>
      <c r="P96" s="56"/>
      <c r="R96" s="81"/>
    </row>
    <row r="97" spans="2:18" hidden="1">
      <c r="B97" s="25" t="s">
        <v>1415</v>
      </c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7"/>
      <c r="O97" s="31">
        <f>SUM(C97:N97)</f>
        <v>0</v>
      </c>
      <c r="P97" s="56"/>
      <c r="R97" s="81"/>
    </row>
    <row r="98" spans="2:18" ht="15.75" hidden="1" thickBot="1">
      <c r="B98" s="7" t="s">
        <v>30</v>
      </c>
      <c r="C98" s="8">
        <f t="shared" ref="C98:O98" si="45">SUM(C94:C97)</f>
        <v>0</v>
      </c>
      <c r="D98" s="8">
        <f t="shared" si="45"/>
        <v>0</v>
      </c>
      <c r="E98" s="8">
        <f t="shared" si="45"/>
        <v>0</v>
      </c>
      <c r="F98" s="8">
        <f t="shared" si="45"/>
        <v>0</v>
      </c>
      <c r="G98" s="8">
        <f t="shared" si="45"/>
        <v>0</v>
      </c>
      <c r="H98" s="8">
        <f t="shared" si="45"/>
        <v>0</v>
      </c>
      <c r="I98" s="8">
        <f t="shared" si="45"/>
        <v>0</v>
      </c>
      <c r="J98" s="8">
        <f t="shared" si="45"/>
        <v>0</v>
      </c>
      <c r="K98" s="8">
        <f t="shared" si="45"/>
        <v>0</v>
      </c>
      <c r="L98" s="8">
        <f t="shared" si="45"/>
        <v>0</v>
      </c>
      <c r="M98" s="8">
        <f t="shared" si="45"/>
        <v>0</v>
      </c>
      <c r="N98" s="8">
        <f t="shared" si="45"/>
        <v>0</v>
      </c>
      <c r="O98" s="8">
        <f t="shared" si="45"/>
        <v>0</v>
      </c>
      <c r="P98" s="56"/>
      <c r="R98" s="81"/>
    </row>
    <row r="99" spans="2:18" ht="16.5" hidden="1" thickTop="1" thickBot="1">
      <c r="B99" s="36" t="s">
        <v>39</v>
      </c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56"/>
      <c r="R99" s="81"/>
    </row>
    <row r="100" spans="2:18" hidden="1">
      <c r="B100" s="9" t="s">
        <v>34</v>
      </c>
      <c r="C100" s="10" t="s">
        <v>19</v>
      </c>
      <c r="D100" s="10" t="s">
        <v>20</v>
      </c>
      <c r="E100" s="10" t="s">
        <v>21</v>
      </c>
      <c r="F100" s="10" t="s">
        <v>22</v>
      </c>
      <c r="G100" s="10" t="s">
        <v>23</v>
      </c>
      <c r="H100" s="10" t="s">
        <v>24</v>
      </c>
      <c r="I100" s="10" t="s">
        <v>25</v>
      </c>
      <c r="J100" s="10" t="s">
        <v>26</v>
      </c>
      <c r="K100" s="10" t="s">
        <v>27</v>
      </c>
      <c r="L100" s="10" t="s">
        <v>28</v>
      </c>
      <c r="M100" s="10" t="s">
        <v>35</v>
      </c>
      <c r="N100" s="10" t="s">
        <v>36</v>
      </c>
      <c r="O100" s="11" t="s">
        <v>0</v>
      </c>
      <c r="R100" s="81"/>
    </row>
    <row r="101" spans="2:18" s="264" customFormat="1" hidden="1">
      <c r="B101" s="423" t="s">
        <v>4</v>
      </c>
      <c r="C101" s="424" t="e">
        <f>C88/C94</f>
        <v>#DIV/0!</v>
      </c>
      <c r="D101" s="424" t="e">
        <f t="shared" ref="D101:N101" si="46">+D88/D94</f>
        <v>#DIV/0!</v>
      </c>
      <c r="E101" s="411" t="e">
        <f>+E88/E94</f>
        <v>#DIV/0!</v>
      </c>
      <c r="F101" s="424" t="e">
        <f t="shared" si="46"/>
        <v>#DIV/0!</v>
      </c>
      <c r="G101" s="424" t="e">
        <f t="shared" si="46"/>
        <v>#DIV/0!</v>
      </c>
      <c r="H101" s="424" t="e">
        <f t="shared" si="46"/>
        <v>#DIV/0!</v>
      </c>
      <c r="I101" s="424" t="e">
        <f t="shared" si="46"/>
        <v>#DIV/0!</v>
      </c>
      <c r="J101" s="424" t="e">
        <f t="shared" si="46"/>
        <v>#DIV/0!</v>
      </c>
      <c r="K101" s="424" t="e">
        <f t="shared" si="46"/>
        <v>#DIV/0!</v>
      </c>
      <c r="L101" s="424" t="e">
        <f t="shared" si="46"/>
        <v>#DIV/0!</v>
      </c>
      <c r="M101" s="424" t="e">
        <f t="shared" si="46"/>
        <v>#DIV/0!</v>
      </c>
      <c r="N101" s="424" t="e">
        <f t="shared" si="46"/>
        <v>#DIV/0!</v>
      </c>
      <c r="O101" s="425" t="e">
        <f>O88/O94</f>
        <v>#DIV/0!</v>
      </c>
    </row>
    <row r="102" spans="2:18" s="264" customFormat="1" ht="20.100000000000001" hidden="1" customHeight="1">
      <c r="B102" s="426" t="s">
        <v>6</v>
      </c>
      <c r="C102" s="424" t="e">
        <f>C89/C95</f>
        <v>#DIV/0!</v>
      </c>
      <c r="D102" s="424" t="e">
        <f t="shared" ref="D102:N102" si="47">+D89/D95</f>
        <v>#DIV/0!</v>
      </c>
      <c r="E102" s="424" t="e">
        <f t="shared" si="47"/>
        <v>#DIV/0!</v>
      </c>
      <c r="F102" s="424" t="e">
        <f t="shared" si="47"/>
        <v>#DIV/0!</v>
      </c>
      <c r="G102" s="424" t="e">
        <f t="shared" si="47"/>
        <v>#DIV/0!</v>
      </c>
      <c r="H102" s="424" t="e">
        <f t="shared" si="47"/>
        <v>#DIV/0!</v>
      </c>
      <c r="I102" s="424" t="e">
        <f t="shared" si="47"/>
        <v>#DIV/0!</v>
      </c>
      <c r="J102" s="424" t="e">
        <f t="shared" si="47"/>
        <v>#DIV/0!</v>
      </c>
      <c r="K102" s="424" t="e">
        <f t="shared" si="47"/>
        <v>#DIV/0!</v>
      </c>
      <c r="L102" s="424" t="e">
        <f t="shared" si="47"/>
        <v>#DIV/0!</v>
      </c>
      <c r="M102" s="424" t="e">
        <f t="shared" si="47"/>
        <v>#DIV/0!</v>
      </c>
      <c r="N102" s="424" t="e">
        <f t="shared" si="47"/>
        <v>#DIV/0!</v>
      </c>
      <c r="O102" s="425" t="e">
        <f>O89/O95</f>
        <v>#DIV/0!</v>
      </c>
    </row>
    <row r="103" spans="2:18" s="264" customFormat="1" ht="20.100000000000001" hidden="1" customHeight="1">
      <c r="B103" s="423" t="s">
        <v>5</v>
      </c>
      <c r="C103" s="424" t="e">
        <f>C90/C96</f>
        <v>#DIV/0!</v>
      </c>
      <c r="D103" s="424" t="e">
        <f>+D90/D96</f>
        <v>#DIV/0!</v>
      </c>
      <c r="E103" s="424" t="e">
        <f>+E90/E96</f>
        <v>#DIV/0!</v>
      </c>
      <c r="F103" s="424">
        <v>0</v>
      </c>
      <c r="G103" s="424" t="e">
        <f t="shared" ref="G103:N103" si="48">+G90/G96</f>
        <v>#DIV/0!</v>
      </c>
      <c r="H103" s="424" t="e">
        <f t="shared" si="48"/>
        <v>#DIV/0!</v>
      </c>
      <c r="I103" s="424" t="e">
        <f t="shared" si="48"/>
        <v>#DIV/0!</v>
      </c>
      <c r="J103" s="424" t="e">
        <f t="shared" si="48"/>
        <v>#DIV/0!</v>
      </c>
      <c r="K103" s="424" t="e">
        <f t="shared" si="48"/>
        <v>#DIV/0!</v>
      </c>
      <c r="L103" s="424" t="e">
        <f t="shared" si="48"/>
        <v>#DIV/0!</v>
      </c>
      <c r="M103" s="424" t="e">
        <f t="shared" si="48"/>
        <v>#DIV/0!</v>
      </c>
      <c r="N103" s="424" t="e">
        <f t="shared" si="48"/>
        <v>#DIV/0!</v>
      </c>
      <c r="O103" s="425" t="e">
        <f>O90/O96</f>
        <v>#DIV/0!</v>
      </c>
    </row>
    <row r="104" spans="2:18" ht="20.100000000000001" hidden="1" customHeight="1" thickBot="1">
      <c r="B104" s="12" t="s">
        <v>18</v>
      </c>
      <c r="C104" s="221" t="e">
        <f t="shared" ref="C104:O104" si="49">+C91/C98</f>
        <v>#DIV/0!</v>
      </c>
      <c r="D104" s="221" t="e">
        <f t="shared" si="49"/>
        <v>#DIV/0!</v>
      </c>
      <c r="E104" s="221" t="e">
        <f t="shared" si="49"/>
        <v>#DIV/0!</v>
      </c>
      <c r="F104" s="221" t="e">
        <f t="shared" si="49"/>
        <v>#DIV/0!</v>
      </c>
      <c r="G104" s="221" t="e">
        <f t="shared" si="49"/>
        <v>#DIV/0!</v>
      </c>
      <c r="H104" s="221" t="e">
        <f t="shared" si="49"/>
        <v>#DIV/0!</v>
      </c>
      <c r="I104" s="221" t="e">
        <f t="shared" si="49"/>
        <v>#DIV/0!</v>
      </c>
      <c r="J104" s="221" t="e">
        <f t="shared" si="49"/>
        <v>#DIV/0!</v>
      </c>
      <c r="K104" s="221" t="e">
        <f t="shared" si="49"/>
        <v>#DIV/0!</v>
      </c>
      <c r="L104" s="221" t="e">
        <f t="shared" si="49"/>
        <v>#DIV/0!</v>
      </c>
      <c r="M104" s="221" t="e">
        <f t="shared" si="49"/>
        <v>#DIV/0!</v>
      </c>
      <c r="N104" s="221" t="e">
        <f t="shared" si="49"/>
        <v>#DIV/0!</v>
      </c>
      <c r="O104" s="221" t="e">
        <f t="shared" si="49"/>
        <v>#DIV/0!</v>
      </c>
    </row>
    <row r="105" spans="2:18" ht="15.75" hidden="1" thickTop="1"/>
    <row r="106" spans="2:18" hidden="1"/>
    <row r="107" spans="2:18" hidden="1"/>
    <row r="108" spans="2:18" hidden="1"/>
    <row r="109" spans="2:18" hidden="1"/>
    <row r="110" spans="2:18" hidden="1"/>
    <row r="111" spans="2:18" hidden="1"/>
    <row r="112" spans="2:18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</sheetData>
  <sortState ref="B5:AE28">
    <sortCondition descending="1" ref="O5:O28"/>
  </sortState>
  <mergeCells count="1">
    <mergeCell ref="B31:O31"/>
  </mergeCells>
  <conditionalFormatting sqref="C73">
    <cfRule type="cellIs" dxfId="0" priority="1" operator="greaterThan">
      <formula>0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280"/>
  <sheetViews>
    <sheetView workbookViewId="0">
      <pane xSplit="4" ySplit="1" topLeftCell="E62" activePane="bottomRight" state="frozen"/>
      <selection activeCell="J1" sqref="A1:XFD1"/>
      <selection pane="topRight" activeCell="J1" sqref="A1:XFD1"/>
      <selection pane="bottomLeft" activeCell="J1" sqref="A1:XFD1"/>
      <selection pane="bottomRight" activeCell="D79" sqref="D79"/>
    </sheetView>
  </sheetViews>
  <sheetFormatPr defaultColWidth="9.140625" defaultRowHeight="18" customHeight="1"/>
  <cols>
    <col min="1" max="1" width="7.42578125" style="354" bestFit="1" customWidth="1"/>
    <col min="2" max="2" width="9" style="354" bestFit="1" customWidth="1"/>
    <col min="3" max="3" width="9.28515625" style="354" bestFit="1" customWidth="1"/>
    <col min="4" max="4" width="10.28515625" style="354" bestFit="1" customWidth="1"/>
    <col min="5" max="5" width="9" style="354" customWidth="1"/>
    <col min="6" max="6" width="16" style="354" customWidth="1"/>
    <col min="7" max="7" width="11.140625" style="354" customWidth="1"/>
    <col min="8" max="8" width="22.7109375" style="354" customWidth="1"/>
    <col min="9" max="9" width="16" style="418" bestFit="1" customWidth="1"/>
    <col min="10" max="10" width="35.7109375" style="354" customWidth="1"/>
    <col min="11" max="11" width="58.7109375" style="354" bestFit="1" customWidth="1"/>
    <col min="12" max="16384" width="9.140625" style="354"/>
  </cols>
  <sheetData>
    <row r="1" spans="1:11" customFormat="1" ht="22.5">
      <c r="A1" s="416" t="s">
        <v>1411</v>
      </c>
      <c r="B1" s="416" t="s">
        <v>40</v>
      </c>
      <c r="C1" s="416" t="s">
        <v>41</v>
      </c>
      <c r="D1" s="416" t="s">
        <v>42</v>
      </c>
      <c r="E1" s="416" t="s">
        <v>13</v>
      </c>
      <c r="F1" s="416" t="s">
        <v>48</v>
      </c>
      <c r="G1" s="417" t="s">
        <v>43</v>
      </c>
      <c r="H1" s="417" t="s">
        <v>44</v>
      </c>
      <c r="I1" s="437" t="s">
        <v>0</v>
      </c>
      <c r="J1" s="417" t="s">
        <v>46</v>
      </c>
      <c r="K1" s="288" t="s">
        <v>14</v>
      </c>
    </row>
    <row r="2" spans="1:11" ht="18" customHeight="1">
      <c r="A2" s="500" t="s">
        <v>1404</v>
      </c>
      <c r="B2" s="501">
        <v>46027</v>
      </c>
      <c r="C2" s="501">
        <v>46007</v>
      </c>
      <c r="D2" s="500" t="s">
        <v>1449</v>
      </c>
      <c r="E2" s="500" t="s">
        <v>1421</v>
      </c>
      <c r="F2" s="500" t="s">
        <v>1459</v>
      </c>
      <c r="G2" s="500" t="s">
        <v>1460</v>
      </c>
      <c r="H2" s="500" t="s">
        <v>118</v>
      </c>
      <c r="I2" s="502">
        <v>2225000</v>
      </c>
      <c r="J2" s="500" t="s">
        <v>1469</v>
      </c>
      <c r="K2" s="500" t="s">
        <v>661</v>
      </c>
    </row>
    <row r="3" spans="1:11" ht="18" customHeight="1">
      <c r="A3" s="500" t="s">
        <v>1404</v>
      </c>
      <c r="B3" s="501">
        <v>46027</v>
      </c>
      <c r="C3" s="501">
        <v>46007</v>
      </c>
      <c r="D3" s="500" t="s">
        <v>1450</v>
      </c>
      <c r="E3" s="500" t="s">
        <v>1421</v>
      </c>
      <c r="F3" s="500" t="s">
        <v>1459</v>
      </c>
      <c r="G3" s="500" t="s">
        <v>1460</v>
      </c>
      <c r="H3" s="500" t="s">
        <v>118</v>
      </c>
      <c r="I3" s="502">
        <v>1407500</v>
      </c>
      <c r="J3" s="500" t="s">
        <v>1469</v>
      </c>
      <c r="K3" s="500" t="s">
        <v>661</v>
      </c>
    </row>
    <row r="4" spans="1:11" ht="18" customHeight="1">
      <c r="A4" s="500" t="s">
        <v>1404</v>
      </c>
      <c r="B4" s="501">
        <v>46028</v>
      </c>
      <c r="C4" s="501">
        <v>46013</v>
      </c>
      <c r="D4" s="500" t="s">
        <v>1452</v>
      </c>
      <c r="E4" s="500" t="s">
        <v>1421</v>
      </c>
      <c r="F4" s="500" t="s">
        <v>1459</v>
      </c>
      <c r="G4" s="500" t="s">
        <v>1463</v>
      </c>
      <c r="H4" s="500" t="s">
        <v>118</v>
      </c>
      <c r="I4" s="502">
        <v>944120</v>
      </c>
      <c r="J4" s="500" t="s">
        <v>1471</v>
      </c>
      <c r="K4" s="500" t="s">
        <v>1</v>
      </c>
    </row>
    <row r="5" spans="1:11" ht="18" customHeight="1">
      <c r="A5" s="500" t="s">
        <v>1404</v>
      </c>
      <c r="B5" s="501">
        <v>46028</v>
      </c>
      <c r="C5" s="501">
        <v>46025</v>
      </c>
      <c r="D5" s="500" t="s">
        <v>1451</v>
      </c>
      <c r="E5" s="500" t="s">
        <v>6</v>
      </c>
      <c r="F5" s="500" t="s">
        <v>1418</v>
      </c>
      <c r="G5" s="500" t="s">
        <v>1461</v>
      </c>
      <c r="H5" s="500" t="s">
        <v>1462</v>
      </c>
      <c r="I5" s="502">
        <v>10419000</v>
      </c>
      <c r="J5" s="500" t="s">
        <v>1470</v>
      </c>
      <c r="K5" s="500" t="s">
        <v>1</v>
      </c>
    </row>
    <row r="6" spans="1:11" ht="18" customHeight="1">
      <c r="A6" s="500" t="s">
        <v>1404</v>
      </c>
      <c r="B6" s="501">
        <v>46030</v>
      </c>
      <c r="C6" s="501">
        <v>46030</v>
      </c>
      <c r="D6" s="500" t="s">
        <v>1453</v>
      </c>
      <c r="E6" s="500" t="s">
        <v>6</v>
      </c>
      <c r="F6" s="500" t="s">
        <v>9</v>
      </c>
      <c r="G6" s="500" t="s">
        <v>1464</v>
      </c>
      <c r="H6" s="500" t="s">
        <v>1465</v>
      </c>
      <c r="I6" s="502">
        <v>33387500</v>
      </c>
      <c r="J6" s="500" t="s">
        <v>1472</v>
      </c>
      <c r="K6" s="500" t="s">
        <v>73</v>
      </c>
    </row>
    <row r="7" spans="1:11" ht="18" customHeight="1">
      <c r="A7" s="500" t="s">
        <v>1404</v>
      </c>
      <c r="B7" s="501">
        <v>46031</v>
      </c>
      <c r="C7" s="501">
        <v>46024</v>
      </c>
      <c r="D7" s="500" t="s">
        <v>1454</v>
      </c>
      <c r="E7" s="500" t="s">
        <v>1421</v>
      </c>
      <c r="F7" s="500" t="s">
        <v>1459</v>
      </c>
      <c r="G7" s="500" t="s">
        <v>1463</v>
      </c>
      <c r="H7" s="500" t="s">
        <v>118</v>
      </c>
      <c r="I7" s="502">
        <v>57147</v>
      </c>
      <c r="J7" s="500" t="s">
        <v>1473</v>
      </c>
      <c r="K7" s="500" t="s">
        <v>568</v>
      </c>
    </row>
    <row r="8" spans="1:11" ht="18" customHeight="1">
      <c r="A8" s="500" t="s">
        <v>1404</v>
      </c>
      <c r="B8" s="501">
        <v>46032</v>
      </c>
      <c r="C8" s="501">
        <v>46031</v>
      </c>
      <c r="D8" s="500" t="s">
        <v>1455</v>
      </c>
      <c r="E8" s="500" t="s">
        <v>6</v>
      </c>
      <c r="F8" s="500" t="s">
        <v>1420</v>
      </c>
      <c r="G8" s="500" t="s">
        <v>449</v>
      </c>
      <c r="H8" s="500" t="s">
        <v>1466</v>
      </c>
      <c r="I8" s="502">
        <v>133000000</v>
      </c>
      <c r="J8" s="500" t="s">
        <v>1474</v>
      </c>
      <c r="K8" s="500" t="s">
        <v>451</v>
      </c>
    </row>
    <row r="9" spans="1:11" ht="18" customHeight="1">
      <c r="A9" s="500" t="s">
        <v>1404</v>
      </c>
      <c r="B9" s="501">
        <v>46034</v>
      </c>
      <c r="C9" s="501">
        <v>46029</v>
      </c>
      <c r="D9" s="500" t="s">
        <v>1456</v>
      </c>
      <c r="E9" s="500" t="s">
        <v>1421</v>
      </c>
      <c r="F9" s="500" t="s">
        <v>1459</v>
      </c>
      <c r="G9" s="500" t="s">
        <v>1467</v>
      </c>
      <c r="H9" s="500" t="s">
        <v>118</v>
      </c>
      <c r="I9" s="502">
        <v>85250</v>
      </c>
      <c r="J9" s="500" t="s">
        <v>1475</v>
      </c>
      <c r="K9" s="500" t="s">
        <v>1</v>
      </c>
    </row>
    <row r="10" spans="1:11" ht="18" customHeight="1">
      <c r="A10" s="500" t="s">
        <v>1404</v>
      </c>
      <c r="B10" s="501">
        <v>46034</v>
      </c>
      <c r="C10" s="501">
        <v>46028</v>
      </c>
      <c r="D10" s="500" t="s">
        <v>1457</v>
      </c>
      <c r="E10" s="500" t="s">
        <v>1421</v>
      </c>
      <c r="F10" s="500" t="s">
        <v>1418</v>
      </c>
      <c r="G10" s="500" t="s">
        <v>1468</v>
      </c>
      <c r="H10" s="500" t="s">
        <v>118</v>
      </c>
      <c r="I10" s="502">
        <v>425000</v>
      </c>
      <c r="J10" s="500" t="s">
        <v>1476</v>
      </c>
      <c r="K10" s="500" t="s">
        <v>15</v>
      </c>
    </row>
    <row r="11" spans="1:11" ht="18" customHeight="1">
      <c r="A11" s="500" t="s">
        <v>1404</v>
      </c>
      <c r="B11" s="501">
        <v>46035</v>
      </c>
      <c r="C11" s="501">
        <v>46034</v>
      </c>
      <c r="D11" s="500" t="s">
        <v>1458</v>
      </c>
      <c r="E11" s="500" t="s">
        <v>1421</v>
      </c>
      <c r="F11" s="500" t="s">
        <v>1459</v>
      </c>
      <c r="G11" s="500" t="s">
        <v>1463</v>
      </c>
      <c r="H11" s="500" t="s">
        <v>118</v>
      </c>
      <c r="I11" s="502">
        <v>158020</v>
      </c>
      <c r="J11" s="500" t="s">
        <v>1477</v>
      </c>
      <c r="K11" s="500" t="s">
        <v>15</v>
      </c>
    </row>
    <row r="12" spans="1:11" ht="18" customHeight="1">
      <c r="A12" s="500" t="s">
        <v>1404</v>
      </c>
      <c r="B12" s="501">
        <v>46039</v>
      </c>
      <c r="C12" s="501">
        <v>46024</v>
      </c>
      <c r="D12" s="500" t="s">
        <v>1481</v>
      </c>
      <c r="E12" s="500" t="s">
        <v>1421</v>
      </c>
      <c r="F12" s="500" t="s">
        <v>1459</v>
      </c>
      <c r="G12" s="500" t="s">
        <v>1467</v>
      </c>
      <c r="H12" s="500" t="s">
        <v>118</v>
      </c>
      <c r="I12" s="502">
        <v>70250</v>
      </c>
      <c r="J12" s="500" t="s">
        <v>1475</v>
      </c>
      <c r="K12" s="500" t="s">
        <v>1</v>
      </c>
    </row>
    <row r="13" spans="1:11" ht="18" customHeight="1">
      <c r="A13" s="500" t="s">
        <v>1404</v>
      </c>
      <c r="B13" s="501">
        <v>46044</v>
      </c>
      <c r="C13" s="501">
        <v>46044</v>
      </c>
      <c r="D13" s="500" t="s">
        <v>1482</v>
      </c>
      <c r="E13" s="500" t="s">
        <v>6</v>
      </c>
      <c r="F13" s="500" t="s">
        <v>1422</v>
      </c>
      <c r="G13" s="500" t="s">
        <v>1483</v>
      </c>
      <c r="H13" s="500" t="s">
        <v>1484</v>
      </c>
      <c r="I13" s="502">
        <v>3500000</v>
      </c>
      <c r="J13" s="500" t="s">
        <v>1485</v>
      </c>
      <c r="K13" s="500" t="s">
        <v>451</v>
      </c>
    </row>
    <row r="14" spans="1:11" ht="18" customHeight="1">
      <c r="A14" s="500" t="s">
        <v>1404</v>
      </c>
      <c r="B14" s="501">
        <v>46044</v>
      </c>
      <c r="C14" s="501">
        <v>46042</v>
      </c>
      <c r="D14" s="500" t="s">
        <v>1495</v>
      </c>
      <c r="E14" s="500" t="s">
        <v>1421</v>
      </c>
      <c r="F14" s="500" t="s">
        <v>1420</v>
      </c>
      <c r="G14" s="500" t="s">
        <v>1496</v>
      </c>
      <c r="H14" s="500" t="s">
        <v>1497</v>
      </c>
      <c r="I14" s="502">
        <v>75850000</v>
      </c>
      <c r="J14" s="500" t="s">
        <v>1498</v>
      </c>
      <c r="K14" s="500" t="s">
        <v>1494</v>
      </c>
    </row>
    <row r="15" spans="1:11" ht="18" customHeight="1">
      <c r="A15" s="500" t="s">
        <v>1404</v>
      </c>
      <c r="B15" s="501">
        <v>46051</v>
      </c>
      <c r="C15" s="501">
        <v>46045</v>
      </c>
      <c r="D15" s="500" t="s">
        <v>1486</v>
      </c>
      <c r="E15" s="500" t="s">
        <v>1421</v>
      </c>
      <c r="F15" s="500" t="s">
        <v>1459</v>
      </c>
      <c r="G15" s="500" t="s">
        <v>1463</v>
      </c>
      <c r="H15" s="500" t="s">
        <v>118</v>
      </c>
      <c r="I15" s="502">
        <v>155450</v>
      </c>
      <c r="J15" s="500" t="s">
        <v>1491</v>
      </c>
      <c r="K15" s="500" t="s">
        <v>1</v>
      </c>
    </row>
    <row r="16" spans="1:11" ht="18" customHeight="1">
      <c r="A16" s="500" t="s">
        <v>1404</v>
      </c>
      <c r="B16" s="501">
        <v>46052</v>
      </c>
      <c r="C16" s="501">
        <v>46046</v>
      </c>
      <c r="D16" s="500" t="s">
        <v>1487</v>
      </c>
      <c r="E16" s="500" t="s">
        <v>1421</v>
      </c>
      <c r="F16" s="500" t="s">
        <v>1459</v>
      </c>
      <c r="G16" s="500" t="s">
        <v>1463</v>
      </c>
      <c r="H16" s="500" t="s">
        <v>118</v>
      </c>
      <c r="I16" s="502">
        <v>205250</v>
      </c>
      <c r="J16" s="500" t="s">
        <v>1492</v>
      </c>
      <c r="K16" s="500" t="s">
        <v>1</v>
      </c>
    </row>
    <row r="17" spans="1:11" ht="18" customHeight="1">
      <c r="A17" s="500" t="s">
        <v>1404</v>
      </c>
      <c r="B17" s="501">
        <v>46052</v>
      </c>
      <c r="C17" s="501">
        <v>46024</v>
      </c>
      <c r="D17" s="500" t="s">
        <v>1488</v>
      </c>
      <c r="E17" s="500" t="s">
        <v>1421</v>
      </c>
      <c r="F17" s="500" t="s">
        <v>9</v>
      </c>
      <c r="G17" s="500" t="s">
        <v>1489</v>
      </c>
      <c r="H17" s="500" t="s">
        <v>1490</v>
      </c>
      <c r="I17" s="502">
        <v>50400000</v>
      </c>
      <c r="J17" s="500" t="s">
        <v>1493</v>
      </c>
      <c r="K17" s="500" t="s">
        <v>1494</v>
      </c>
    </row>
    <row r="18" spans="1:11" s="500" customFormat="1" ht="18" customHeight="1">
      <c r="A18" s="500" t="s">
        <v>1406</v>
      </c>
      <c r="B18" s="501">
        <v>46058</v>
      </c>
      <c r="C18" s="501">
        <v>46049</v>
      </c>
      <c r="D18" s="500" t="s">
        <v>1499</v>
      </c>
      <c r="E18" s="500" t="s">
        <v>1421</v>
      </c>
      <c r="F18" s="500" t="s">
        <v>1459</v>
      </c>
      <c r="G18" s="500" t="s">
        <v>1463</v>
      </c>
      <c r="H18" s="500" t="s">
        <v>118</v>
      </c>
      <c r="I18" s="502">
        <v>155450</v>
      </c>
      <c r="J18" s="500" t="s">
        <v>1513</v>
      </c>
      <c r="K18" s="500" t="s">
        <v>1</v>
      </c>
    </row>
    <row r="19" spans="1:11" s="500" customFormat="1" ht="18" customHeight="1">
      <c r="A19" s="500" t="s">
        <v>1406</v>
      </c>
      <c r="B19" s="501">
        <v>46058</v>
      </c>
      <c r="C19" s="501">
        <v>46058</v>
      </c>
      <c r="D19" s="500" t="s">
        <v>1500</v>
      </c>
      <c r="E19" s="500" t="s">
        <v>1421</v>
      </c>
      <c r="F19" s="500" t="s">
        <v>1420</v>
      </c>
      <c r="G19" s="500" t="s">
        <v>1506</v>
      </c>
      <c r="H19" s="500" t="s">
        <v>1507</v>
      </c>
      <c r="I19" s="502">
        <v>29415000</v>
      </c>
      <c r="J19" s="500" t="s">
        <v>1514</v>
      </c>
      <c r="K19" s="500" t="s">
        <v>451</v>
      </c>
    </row>
    <row r="20" spans="1:11" s="500" customFormat="1" ht="18" customHeight="1">
      <c r="A20" s="500" t="s">
        <v>1406</v>
      </c>
      <c r="B20" s="501">
        <v>46063</v>
      </c>
      <c r="C20" s="501">
        <v>46063</v>
      </c>
      <c r="D20" s="500" t="s">
        <v>1501</v>
      </c>
      <c r="E20" s="500" t="s">
        <v>1421</v>
      </c>
      <c r="F20" s="500" t="s">
        <v>8</v>
      </c>
      <c r="G20" s="500" t="s">
        <v>1509</v>
      </c>
      <c r="H20" s="500" t="s">
        <v>1510</v>
      </c>
      <c r="I20" s="502">
        <v>19200000</v>
      </c>
      <c r="J20" s="500" t="s">
        <v>1515</v>
      </c>
      <c r="K20" s="500" t="s">
        <v>451</v>
      </c>
    </row>
    <row r="21" spans="1:11" s="500" customFormat="1" ht="18" customHeight="1">
      <c r="A21" s="500" t="s">
        <v>1406</v>
      </c>
      <c r="B21" s="501">
        <v>46064</v>
      </c>
      <c r="C21" s="501">
        <v>46063</v>
      </c>
      <c r="D21" s="500" t="s">
        <v>1502</v>
      </c>
      <c r="E21" s="500" t="s">
        <v>1421</v>
      </c>
      <c r="F21" s="500" t="s">
        <v>1418</v>
      </c>
      <c r="G21" s="500" t="s">
        <v>718</v>
      </c>
      <c r="H21" s="500" t="s">
        <v>118</v>
      </c>
      <c r="I21" s="502">
        <v>19500000</v>
      </c>
      <c r="J21" s="500" t="s">
        <v>1516</v>
      </c>
      <c r="K21" s="500" t="s">
        <v>15</v>
      </c>
    </row>
    <row r="22" spans="1:11" s="500" customFormat="1" ht="18" customHeight="1">
      <c r="A22" s="500" t="s">
        <v>1406</v>
      </c>
      <c r="B22" s="501">
        <v>46064</v>
      </c>
      <c r="C22" s="501">
        <v>46064</v>
      </c>
      <c r="D22" s="500" t="s">
        <v>1503</v>
      </c>
      <c r="E22" s="500" t="s">
        <v>6</v>
      </c>
      <c r="F22" s="500" t="s">
        <v>1505</v>
      </c>
      <c r="G22" s="500" t="s">
        <v>1511</v>
      </c>
      <c r="H22" s="500" t="s">
        <v>1512</v>
      </c>
      <c r="I22" s="502">
        <v>27000000</v>
      </c>
      <c r="J22" s="500" t="s">
        <v>1517</v>
      </c>
      <c r="K22" s="500" t="s">
        <v>451</v>
      </c>
    </row>
    <row r="23" spans="1:11" s="500" customFormat="1" ht="18" customHeight="1">
      <c r="A23" s="500" t="s">
        <v>1406</v>
      </c>
      <c r="B23" s="501">
        <v>46066</v>
      </c>
      <c r="C23" s="501">
        <v>46066</v>
      </c>
      <c r="D23" s="500" t="s">
        <v>1504</v>
      </c>
      <c r="E23" s="500" t="s">
        <v>1421</v>
      </c>
      <c r="F23" s="500" t="s">
        <v>1459</v>
      </c>
      <c r="G23" s="500" t="s">
        <v>1463</v>
      </c>
      <c r="H23" s="500" t="s">
        <v>118</v>
      </c>
      <c r="I23" s="502">
        <v>37873</v>
      </c>
      <c r="J23" s="500" t="s">
        <v>1518</v>
      </c>
      <c r="K23" s="500" t="s">
        <v>15</v>
      </c>
    </row>
    <row r="24" spans="1:11" s="500" customFormat="1" ht="18" customHeight="1">
      <c r="A24" s="500" t="s">
        <v>1406</v>
      </c>
      <c r="B24" s="501">
        <v>46071</v>
      </c>
      <c r="C24" s="501">
        <v>46052</v>
      </c>
      <c r="D24" s="500" t="s">
        <v>1519</v>
      </c>
      <c r="E24" s="500" t="s">
        <v>1421</v>
      </c>
      <c r="F24" s="500" t="s">
        <v>1459</v>
      </c>
      <c r="G24" s="500" t="s">
        <v>1467</v>
      </c>
      <c r="H24" s="500" t="s">
        <v>118</v>
      </c>
      <c r="I24" s="502">
        <v>357750</v>
      </c>
      <c r="J24" s="500" t="s">
        <v>1521</v>
      </c>
      <c r="K24" s="500" t="s">
        <v>1</v>
      </c>
    </row>
    <row r="25" spans="1:11" s="500" customFormat="1" ht="18" customHeight="1">
      <c r="A25" s="500" t="s">
        <v>1406</v>
      </c>
      <c r="B25" s="501">
        <v>46071</v>
      </c>
      <c r="C25" s="501">
        <v>46055</v>
      </c>
      <c r="D25" s="500" t="s">
        <v>1520</v>
      </c>
      <c r="E25" s="500" t="s">
        <v>1421</v>
      </c>
      <c r="F25" s="500" t="s">
        <v>1459</v>
      </c>
      <c r="G25" s="500" t="s">
        <v>1467</v>
      </c>
      <c r="H25" s="500" t="s">
        <v>118</v>
      </c>
      <c r="I25" s="502">
        <v>94500</v>
      </c>
      <c r="J25" s="500" t="s">
        <v>1521</v>
      </c>
      <c r="K25" s="500" t="s">
        <v>1</v>
      </c>
    </row>
    <row r="26" spans="1:11" s="500" customFormat="1" ht="18" customHeight="1">
      <c r="A26" s="500" t="s">
        <v>1406</v>
      </c>
      <c r="B26" s="501">
        <v>46076</v>
      </c>
      <c r="C26" s="501">
        <v>46074</v>
      </c>
      <c r="D26" s="500" t="s">
        <v>1522</v>
      </c>
      <c r="E26" s="500" t="s">
        <v>6</v>
      </c>
      <c r="F26" s="500" t="s">
        <v>1526</v>
      </c>
      <c r="G26" s="500" t="s">
        <v>361</v>
      </c>
      <c r="H26" s="500" t="s">
        <v>1527</v>
      </c>
      <c r="I26" s="502">
        <v>234000000</v>
      </c>
      <c r="J26" s="500" t="s">
        <v>1529</v>
      </c>
      <c r="K26" s="500" t="s">
        <v>451</v>
      </c>
    </row>
    <row r="27" spans="1:11" s="500" customFormat="1" ht="18" customHeight="1">
      <c r="A27" s="500" t="s">
        <v>1406</v>
      </c>
      <c r="B27" s="501">
        <v>46080</v>
      </c>
      <c r="C27" s="501">
        <v>46071</v>
      </c>
      <c r="D27" s="500" t="s">
        <v>1523</v>
      </c>
      <c r="E27" s="500" t="s">
        <v>1421</v>
      </c>
      <c r="F27" s="500" t="s">
        <v>1459</v>
      </c>
      <c r="G27" s="500" t="s">
        <v>1463</v>
      </c>
      <c r="H27" s="500" t="s">
        <v>118</v>
      </c>
      <c r="I27" s="502">
        <v>169550</v>
      </c>
      <c r="J27" s="500" t="s">
        <v>1530</v>
      </c>
      <c r="K27" s="500" t="s">
        <v>1</v>
      </c>
    </row>
    <row r="28" spans="1:11" s="500" customFormat="1" ht="18" customHeight="1">
      <c r="A28" s="500" t="s">
        <v>1406</v>
      </c>
      <c r="B28" s="501">
        <v>46081</v>
      </c>
      <c r="C28" s="501">
        <v>46035</v>
      </c>
      <c r="D28" s="500" t="s">
        <v>1524</v>
      </c>
      <c r="E28" s="500" t="s">
        <v>6</v>
      </c>
      <c r="F28" s="500" t="s">
        <v>1420</v>
      </c>
      <c r="G28" s="500" t="s">
        <v>1528</v>
      </c>
      <c r="H28" s="500" t="s">
        <v>118</v>
      </c>
      <c r="I28" s="502">
        <v>7750000</v>
      </c>
      <c r="J28" s="500" t="s">
        <v>1469</v>
      </c>
      <c r="K28" s="500" t="s">
        <v>661</v>
      </c>
    </row>
    <row r="29" spans="1:11" s="500" customFormat="1" ht="18" customHeight="1">
      <c r="A29" s="500" t="s">
        <v>1406</v>
      </c>
      <c r="B29" s="501">
        <v>46081</v>
      </c>
      <c r="C29" s="501">
        <v>46066</v>
      </c>
      <c r="D29" s="500" t="s">
        <v>1525</v>
      </c>
      <c r="E29" s="500" t="s">
        <v>6</v>
      </c>
      <c r="F29" s="500" t="s">
        <v>1420</v>
      </c>
      <c r="G29" s="500" t="s">
        <v>760</v>
      </c>
      <c r="H29" s="500" t="s">
        <v>118</v>
      </c>
      <c r="I29" s="502">
        <v>546000000</v>
      </c>
      <c r="J29" s="500" t="s">
        <v>1531</v>
      </c>
      <c r="K29" s="500" t="s">
        <v>15</v>
      </c>
    </row>
    <row r="30" spans="1:11" s="500" customFormat="1" ht="18" customHeight="1">
      <c r="A30" s="500" t="s">
        <v>1407</v>
      </c>
      <c r="B30" s="501">
        <v>46085</v>
      </c>
      <c r="C30" s="501">
        <v>46078</v>
      </c>
      <c r="D30" s="500" t="s">
        <v>1533</v>
      </c>
      <c r="E30" s="500" t="s">
        <v>1421</v>
      </c>
      <c r="F30" s="500" t="s">
        <v>1418</v>
      </c>
      <c r="G30" s="500" t="s">
        <v>1535</v>
      </c>
      <c r="H30" s="500" t="s">
        <v>1536</v>
      </c>
      <c r="I30" s="502">
        <v>7938000</v>
      </c>
      <c r="J30" s="500" t="s">
        <v>1539</v>
      </c>
      <c r="K30" s="500" t="s">
        <v>1</v>
      </c>
    </row>
    <row r="31" spans="1:11" s="500" customFormat="1" ht="18" customHeight="1">
      <c r="A31" s="500" t="s">
        <v>1407</v>
      </c>
      <c r="B31" s="501">
        <v>46085</v>
      </c>
      <c r="C31" s="501">
        <v>46080</v>
      </c>
      <c r="D31" s="500" t="s">
        <v>1534</v>
      </c>
      <c r="E31" s="500" t="s">
        <v>1421</v>
      </c>
      <c r="F31" s="500" t="s">
        <v>8</v>
      </c>
      <c r="G31" s="500" t="s">
        <v>1537</v>
      </c>
      <c r="H31" s="500" t="s">
        <v>1538</v>
      </c>
      <c r="I31" s="502">
        <v>20500000</v>
      </c>
      <c r="J31" s="500" t="s">
        <v>1540</v>
      </c>
      <c r="K31" s="500" t="s">
        <v>1</v>
      </c>
    </row>
    <row r="32" spans="1:11" s="505" customFormat="1" ht="18" customHeight="1">
      <c r="A32" s="505" t="s">
        <v>1407</v>
      </c>
      <c r="B32" s="506">
        <v>46088</v>
      </c>
      <c r="C32" s="506">
        <v>46084</v>
      </c>
      <c r="D32" s="505" t="s">
        <v>1541</v>
      </c>
      <c r="E32" s="505" t="s">
        <v>1542</v>
      </c>
      <c r="F32" s="505" t="s">
        <v>1418</v>
      </c>
      <c r="G32" s="505" t="s">
        <v>1367</v>
      </c>
      <c r="H32" s="505" t="s">
        <v>118</v>
      </c>
      <c r="I32" s="507">
        <v>5670000</v>
      </c>
      <c r="J32" s="505" t="s">
        <v>1543</v>
      </c>
      <c r="K32" s="505" t="s">
        <v>1544</v>
      </c>
    </row>
    <row r="33" spans="1:11" s="500" customFormat="1" ht="18" customHeight="1">
      <c r="A33" s="500" t="s">
        <v>1407</v>
      </c>
      <c r="B33" s="501">
        <v>46088</v>
      </c>
      <c r="C33" s="501">
        <v>46088</v>
      </c>
      <c r="D33" s="500" t="s">
        <v>1545</v>
      </c>
      <c r="E33" s="500" t="s">
        <v>1542</v>
      </c>
      <c r="F33" s="500" t="s">
        <v>1422</v>
      </c>
      <c r="G33" s="500" t="s">
        <v>1551</v>
      </c>
      <c r="H33" s="500" t="s">
        <v>1552</v>
      </c>
      <c r="I33" s="502">
        <v>225500000</v>
      </c>
      <c r="J33" s="500" t="s">
        <v>1562</v>
      </c>
      <c r="K33" s="500" t="s">
        <v>59</v>
      </c>
    </row>
    <row r="34" spans="1:11" s="505" customFormat="1" ht="18" customHeight="1">
      <c r="A34" s="505" t="s">
        <v>1407</v>
      </c>
      <c r="B34" s="506">
        <v>46091</v>
      </c>
      <c r="C34" s="506">
        <v>46087</v>
      </c>
      <c r="D34" s="505" t="s">
        <v>1546</v>
      </c>
      <c r="E34" s="505" t="s">
        <v>1542</v>
      </c>
      <c r="F34" s="505" t="s">
        <v>1422</v>
      </c>
      <c r="G34" s="505" t="s">
        <v>1553</v>
      </c>
      <c r="H34" s="505" t="s">
        <v>1554</v>
      </c>
      <c r="I34" s="507">
        <v>107500</v>
      </c>
      <c r="J34" s="505" t="s">
        <v>1563</v>
      </c>
      <c r="K34" s="505" t="s">
        <v>1544</v>
      </c>
    </row>
    <row r="35" spans="1:11" s="505" customFormat="1" ht="18" customHeight="1">
      <c r="A35" s="505" t="s">
        <v>1407</v>
      </c>
      <c r="B35" s="506">
        <v>46091</v>
      </c>
      <c r="C35" s="506">
        <v>46087</v>
      </c>
      <c r="D35" s="505" t="s">
        <v>1547</v>
      </c>
      <c r="E35" s="505" t="s">
        <v>1542</v>
      </c>
      <c r="F35" s="505" t="s">
        <v>9</v>
      </c>
      <c r="G35" s="505" t="s">
        <v>1555</v>
      </c>
      <c r="H35" s="505" t="s">
        <v>1556</v>
      </c>
      <c r="I35" s="507">
        <v>24000000</v>
      </c>
      <c r="J35" s="505" t="s">
        <v>1564</v>
      </c>
      <c r="K35" s="505" t="s">
        <v>1544</v>
      </c>
    </row>
    <row r="36" spans="1:11" s="500" customFormat="1" ht="18" customHeight="1">
      <c r="A36" s="500" t="s">
        <v>1407</v>
      </c>
      <c r="B36" s="501">
        <v>46091</v>
      </c>
      <c r="C36" s="501">
        <v>46091</v>
      </c>
      <c r="D36" s="500" t="s">
        <v>1548</v>
      </c>
      <c r="E36" s="500" t="s">
        <v>6</v>
      </c>
      <c r="F36" s="500" t="s">
        <v>1418</v>
      </c>
      <c r="G36" s="500" t="s">
        <v>1557</v>
      </c>
      <c r="H36" s="500" t="s">
        <v>1558</v>
      </c>
      <c r="I36" s="502">
        <v>71800000</v>
      </c>
      <c r="J36" s="500" t="s">
        <v>1517</v>
      </c>
      <c r="K36" s="500" t="s">
        <v>451</v>
      </c>
    </row>
    <row r="37" spans="1:11" s="505" customFormat="1" ht="18" customHeight="1">
      <c r="A37" s="505" t="s">
        <v>1407</v>
      </c>
      <c r="B37" s="506">
        <v>46092</v>
      </c>
      <c r="C37" s="506">
        <v>46087</v>
      </c>
      <c r="D37" s="505" t="s">
        <v>1549</v>
      </c>
      <c r="E37" s="505" t="s">
        <v>1542</v>
      </c>
      <c r="F37" s="505" t="s">
        <v>8</v>
      </c>
      <c r="G37" s="505" t="s">
        <v>1355</v>
      </c>
      <c r="H37" s="505" t="s">
        <v>1559</v>
      </c>
      <c r="I37" s="507">
        <v>2462500</v>
      </c>
      <c r="J37" s="505" t="s">
        <v>1565</v>
      </c>
      <c r="K37" s="505" t="s">
        <v>1544</v>
      </c>
    </row>
    <row r="38" spans="1:11" s="500" customFormat="1" ht="18" customHeight="1">
      <c r="A38" s="500" t="s">
        <v>1407</v>
      </c>
      <c r="B38" s="501">
        <v>46092</v>
      </c>
      <c r="C38" s="501">
        <v>46071</v>
      </c>
      <c r="D38" s="500" t="s">
        <v>1550</v>
      </c>
      <c r="E38" s="500" t="s">
        <v>6</v>
      </c>
      <c r="F38" s="500" t="s">
        <v>1532</v>
      </c>
      <c r="G38" s="500" t="s">
        <v>1560</v>
      </c>
      <c r="H38" s="500" t="s">
        <v>1561</v>
      </c>
      <c r="I38" s="502">
        <v>12000000</v>
      </c>
      <c r="J38" s="500" t="s">
        <v>1566</v>
      </c>
      <c r="K38" s="500" t="s">
        <v>1</v>
      </c>
    </row>
    <row r="39" spans="1:11" s="500" customFormat="1" ht="18" customHeight="1">
      <c r="A39" s="500" t="s">
        <v>1407</v>
      </c>
      <c r="B39" s="501">
        <v>46108</v>
      </c>
      <c r="C39" s="501">
        <v>46087</v>
      </c>
      <c r="D39" s="500" t="s">
        <v>1567</v>
      </c>
      <c r="E39" s="500" t="s">
        <v>1421</v>
      </c>
      <c r="F39" s="500" t="s">
        <v>1459</v>
      </c>
      <c r="G39" s="500" t="s">
        <v>1467</v>
      </c>
      <c r="H39" s="500" t="s">
        <v>118</v>
      </c>
      <c r="I39" s="502">
        <v>1482000</v>
      </c>
      <c r="J39" s="500" t="s">
        <v>1572</v>
      </c>
      <c r="K39" s="500" t="s">
        <v>56</v>
      </c>
    </row>
    <row r="40" spans="1:11" s="500" customFormat="1" ht="18" customHeight="1">
      <c r="A40" s="500" t="s">
        <v>1407</v>
      </c>
      <c r="B40" s="501">
        <v>46108</v>
      </c>
      <c r="C40" s="501">
        <v>46087</v>
      </c>
      <c r="D40" s="500" t="s">
        <v>1568</v>
      </c>
      <c r="E40" s="500" t="s">
        <v>1421</v>
      </c>
      <c r="F40" s="500" t="s">
        <v>1459</v>
      </c>
      <c r="G40" s="500" t="s">
        <v>1463</v>
      </c>
      <c r="H40" s="500" t="s">
        <v>118</v>
      </c>
      <c r="I40" s="502">
        <v>956970</v>
      </c>
      <c r="J40" s="500" t="s">
        <v>1572</v>
      </c>
      <c r="K40" s="500" t="s">
        <v>56</v>
      </c>
    </row>
    <row r="41" spans="1:11" s="500" customFormat="1" ht="18" customHeight="1">
      <c r="A41" s="500" t="s">
        <v>1407</v>
      </c>
      <c r="B41" s="501">
        <v>46112</v>
      </c>
      <c r="C41" s="501">
        <v>46111</v>
      </c>
      <c r="D41" s="500" t="s">
        <v>1569</v>
      </c>
      <c r="E41" s="500" t="s">
        <v>6</v>
      </c>
      <c r="F41" s="500" t="s">
        <v>9</v>
      </c>
      <c r="G41" s="500" t="s">
        <v>265</v>
      </c>
      <c r="H41" s="500" t="s">
        <v>1570</v>
      </c>
      <c r="I41" s="502">
        <v>273891000</v>
      </c>
      <c r="J41" s="500" t="s">
        <v>1573</v>
      </c>
      <c r="K41" s="500" t="s">
        <v>451</v>
      </c>
    </row>
    <row r="42" spans="1:11" s="500" customFormat="1" ht="18" customHeight="1">
      <c r="A42" s="500" t="s">
        <v>1407</v>
      </c>
      <c r="B42" s="501">
        <v>46112</v>
      </c>
      <c r="C42" s="501">
        <v>46111</v>
      </c>
      <c r="D42" s="500" t="s">
        <v>1569</v>
      </c>
      <c r="E42" s="500" t="s">
        <v>6</v>
      </c>
      <c r="F42" s="500" t="s">
        <v>9</v>
      </c>
      <c r="G42" s="500" t="s">
        <v>265</v>
      </c>
      <c r="H42" s="500" t="s">
        <v>1571</v>
      </c>
      <c r="I42" s="502">
        <v>112782000</v>
      </c>
      <c r="J42" s="500" t="s">
        <v>1573</v>
      </c>
      <c r="K42" s="500" t="s">
        <v>451</v>
      </c>
    </row>
    <row r="43" spans="1:11" s="500" customFormat="1" ht="18" customHeight="1">
      <c r="A43" s="500" t="s">
        <v>1408</v>
      </c>
      <c r="B43" s="501">
        <v>46114</v>
      </c>
      <c r="C43" s="501">
        <v>46109</v>
      </c>
      <c r="D43" s="500" t="s">
        <v>1574</v>
      </c>
      <c r="E43" s="500" t="s">
        <v>1421</v>
      </c>
      <c r="F43" s="500" t="s">
        <v>8</v>
      </c>
      <c r="G43" s="500" t="s">
        <v>1537</v>
      </c>
      <c r="H43" s="500" t="s">
        <v>1576</v>
      </c>
      <c r="I43" s="502">
        <v>11675000</v>
      </c>
      <c r="J43" s="500" t="s">
        <v>1578</v>
      </c>
      <c r="K43" s="500" t="s">
        <v>1</v>
      </c>
    </row>
    <row r="44" spans="1:11" s="500" customFormat="1" ht="18" customHeight="1">
      <c r="A44" s="500" t="s">
        <v>1408</v>
      </c>
      <c r="B44" s="501">
        <v>46114</v>
      </c>
      <c r="C44" s="501">
        <v>46091</v>
      </c>
      <c r="D44" s="500" t="s">
        <v>1575</v>
      </c>
      <c r="E44" s="500" t="s">
        <v>6</v>
      </c>
      <c r="F44" s="500" t="s">
        <v>8</v>
      </c>
      <c r="G44" s="500" t="s">
        <v>268</v>
      </c>
      <c r="H44" s="500" t="s">
        <v>1577</v>
      </c>
      <c r="I44" s="502">
        <v>474520500</v>
      </c>
      <c r="J44" s="500" t="s">
        <v>1579</v>
      </c>
      <c r="K44" s="500" t="s">
        <v>1</v>
      </c>
    </row>
    <row r="45" spans="1:11" s="500" customFormat="1" ht="18" customHeight="1">
      <c r="A45" s="500" t="s">
        <v>1408</v>
      </c>
      <c r="B45" s="501">
        <v>46119</v>
      </c>
      <c r="C45" s="501">
        <v>46088</v>
      </c>
      <c r="D45" s="500" t="s">
        <v>1581</v>
      </c>
      <c r="E45" s="500" t="s">
        <v>1421</v>
      </c>
      <c r="F45" s="500" t="s">
        <v>1459</v>
      </c>
      <c r="G45" s="500" t="s">
        <v>1463</v>
      </c>
      <c r="H45" s="500" t="s">
        <v>118</v>
      </c>
      <c r="I45" s="502">
        <v>102765</v>
      </c>
      <c r="J45" s="500" t="s">
        <v>1586</v>
      </c>
      <c r="K45" s="500" t="s">
        <v>1</v>
      </c>
    </row>
    <row r="46" spans="1:11" s="500" customFormat="1" ht="18" customHeight="1">
      <c r="A46" s="500" t="s">
        <v>1408</v>
      </c>
      <c r="B46" s="501">
        <v>46121</v>
      </c>
      <c r="C46" s="501">
        <v>46119</v>
      </c>
      <c r="D46" s="500" t="s">
        <v>1582</v>
      </c>
      <c r="E46" s="500" t="s">
        <v>6</v>
      </c>
      <c r="F46" s="500" t="s">
        <v>1532</v>
      </c>
      <c r="G46" s="500" t="s">
        <v>1584</v>
      </c>
      <c r="H46" s="500" t="s">
        <v>118</v>
      </c>
      <c r="I46" s="502">
        <v>1800000</v>
      </c>
      <c r="J46" s="500" t="s">
        <v>1587</v>
      </c>
      <c r="K46" s="500" t="s">
        <v>15</v>
      </c>
    </row>
    <row r="47" spans="1:11" s="500" customFormat="1" ht="18" customHeight="1">
      <c r="A47" s="500" t="s">
        <v>1408</v>
      </c>
      <c r="B47" s="501">
        <v>46122</v>
      </c>
      <c r="C47" s="501">
        <v>46122</v>
      </c>
      <c r="D47" s="500" t="s">
        <v>1583</v>
      </c>
      <c r="E47" s="500" t="s">
        <v>6</v>
      </c>
      <c r="F47" s="500" t="s">
        <v>8</v>
      </c>
      <c r="G47" s="500" t="s">
        <v>510</v>
      </c>
      <c r="H47" s="500" t="s">
        <v>1585</v>
      </c>
      <c r="I47" s="502">
        <v>1884500</v>
      </c>
      <c r="J47" s="500" t="s">
        <v>1588</v>
      </c>
      <c r="K47" s="500" t="s">
        <v>73</v>
      </c>
    </row>
    <row r="48" spans="1:11" s="500" customFormat="1" ht="18" customHeight="1">
      <c r="A48" s="500" t="s">
        <v>1408</v>
      </c>
      <c r="B48" s="501">
        <v>46123</v>
      </c>
      <c r="C48" s="501">
        <v>46113</v>
      </c>
      <c r="D48" s="500" t="s">
        <v>1589</v>
      </c>
      <c r="E48" s="500" t="s">
        <v>1421</v>
      </c>
      <c r="F48" s="500" t="s">
        <v>1459</v>
      </c>
      <c r="G48" s="500" t="s">
        <v>1463</v>
      </c>
      <c r="H48" s="500" t="s">
        <v>118</v>
      </c>
      <c r="I48" s="502">
        <v>168300</v>
      </c>
      <c r="J48" s="500" t="s">
        <v>1612</v>
      </c>
      <c r="K48" s="500" t="s">
        <v>1</v>
      </c>
    </row>
    <row r="49" spans="1:11" s="500" customFormat="1" ht="18" customHeight="1">
      <c r="A49" s="500" t="s">
        <v>1408</v>
      </c>
      <c r="B49" s="501">
        <v>46126</v>
      </c>
      <c r="C49" s="501">
        <v>46126</v>
      </c>
      <c r="D49" s="500" t="s">
        <v>1590</v>
      </c>
      <c r="E49" s="500" t="s">
        <v>6</v>
      </c>
      <c r="F49" s="500" t="s">
        <v>1532</v>
      </c>
      <c r="G49" s="500" t="s">
        <v>1599</v>
      </c>
      <c r="H49" s="500" t="s">
        <v>1600</v>
      </c>
      <c r="I49" s="502">
        <v>23200000</v>
      </c>
      <c r="J49" s="500" t="s">
        <v>1613</v>
      </c>
      <c r="K49" s="500" t="s">
        <v>17</v>
      </c>
    </row>
    <row r="50" spans="1:11" s="500" customFormat="1" ht="18" customHeight="1">
      <c r="A50" s="500" t="s">
        <v>1408</v>
      </c>
      <c r="B50" s="501">
        <v>46128</v>
      </c>
      <c r="C50" s="501">
        <v>46127</v>
      </c>
      <c r="D50" s="500" t="s">
        <v>1591</v>
      </c>
      <c r="E50" s="500" t="s">
        <v>1580</v>
      </c>
      <c r="F50" s="500" t="s">
        <v>1418</v>
      </c>
      <c r="G50" s="500" t="s">
        <v>1601</v>
      </c>
      <c r="H50" s="500" t="s">
        <v>1602</v>
      </c>
      <c r="I50" s="502">
        <v>230000000</v>
      </c>
      <c r="J50" s="500" t="s">
        <v>1614</v>
      </c>
      <c r="K50" s="500" t="s">
        <v>451</v>
      </c>
    </row>
    <row r="51" spans="1:11" s="500" customFormat="1" ht="18" customHeight="1">
      <c r="A51" s="500" t="s">
        <v>1408</v>
      </c>
      <c r="B51" s="501">
        <v>46129</v>
      </c>
      <c r="C51" s="501">
        <v>46128</v>
      </c>
      <c r="D51" s="500" t="s">
        <v>1592</v>
      </c>
      <c r="E51" s="500" t="s">
        <v>1421</v>
      </c>
      <c r="F51" s="500" t="s">
        <v>1420</v>
      </c>
      <c r="G51" s="500" t="s">
        <v>1603</v>
      </c>
      <c r="H51" s="500" t="s">
        <v>118</v>
      </c>
      <c r="I51" s="502">
        <v>33580000</v>
      </c>
      <c r="J51" s="500" t="s">
        <v>1615</v>
      </c>
      <c r="K51" s="500" t="s">
        <v>15</v>
      </c>
    </row>
    <row r="52" spans="1:11" s="500" customFormat="1" ht="18" customHeight="1">
      <c r="A52" s="500" t="s">
        <v>1408</v>
      </c>
      <c r="B52" s="501">
        <v>46129</v>
      </c>
      <c r="C52" s="501">
        <v>46128</v>
      </c>
      <c r="D52" s="500" t="s">
        <v>1593</v>
      </c>
      <c r="E52" s="500" t="s">
        <v>6</v>
      </c>
      <c r="F52" s="500" t="s">
        <v>1422</v>
      </c>
      <c r="G52" s="500" t="s">
        <v>446</v>
      </c>
      <c r="H52" s="500" t="s">
        <v>1604</v>
      </c>
      <c r="I52" s="502">
        <v>84630000</v>
      </c>
      <c r="J52" s="500" t="s">
        <v>1616</v>
      </c>
      <c r="K52" s="500" t="s">
        <v>451</v>
      </c>
    </row>
    <row r="53" spans="1:11" s="500" customFormat="1" ht="18" customHeight="1">
      <c r="A53" s="500" t="s">
        <v>1408</v>
      </c>
      <c r="B53" s="501">
        <v>46130</v>
      </c>
      <c r="C53" s="501">
        <v>46127</v>
      </c>
      <c r="D53" s="500" t="s">
        <v>1594</v>
      </c>
      <c r="E53" s="500" t="s">
        <v>6</v>
      </c>
      <c r="F53" s="500" t="s">
        <v>1420</v>
      </c>
      <c r="G53" s="500" t="s">
        <v>997</v>
      </c>
      <c r="H53" s="500" t="s">
        <v>1605</v>
      </c>
      <c r="I53" s="502">
        <v>9530000</v>
      </c>
      <c r="J53" s="500" t="s">
        <v>1617</v>
      </c>
      <c r="K53" s="500" t="s">
        <v>451</v>
      </c>
    </row>
    <row r="54" spans="1:11" s="500" customFormat="1" ht="18" customHeight="1">
      <c r="A54" s="500" t="s">
        <v>1408</v>
      </c>
      <c r="B54" s="501">
        <v>46130</v>
      </c>
      <c r="C54" s="501">
        <v>46127</v>
      </c>
      <c r="D54" s="500" t="s">
        <v>1595</v>
      </c>
      <c r="E54" s="500" t="s">
        <v>6</v>
      </c>
      <c r="F54" s="500" t="s">
        <v>9</v>
      </c>
      <c r="G54" s="500" t="s">
        <v>1606</v>
      </c>
      <c r="H54" s="500" t="s">
        <v>1607</v>
      </c>
      <c r="I54" s="502">
        <v>24600000</v>
      </c>
      <c r="J54" s="500" t="s">
        <v>1618</v>
      </c>
      <c r="K54" s="500" t="s">
        <v>1544</v>
      </c>
    </row>
    <row r="55" spans="1:11" s="500" customFormat="1" ht="18" customHeight="1">
      <c r="A55" s="500" t="s">
        <v>1408</v>
      </c>
      <c r="B55" s="501">
        <v>46130</v>
      </c>
      <c r="C55" s="501">
        <v>46130</v>
      </c>
      <c r="D55" s="500" t="s">
        <v>1596</v>
      </c>
      <c r="E55" s="500" t="s">
        <v>6</v>
      </c>
      <c r="F55" s="500" t="s">
        <v>8</v>
      </c>
      <c r="G55" s="500" t="s">
        <v>1608</v>
      </c>
      <c r="H55" s="500" t="s">
        <v>1609</v>
      </c>
      <c r="I55" s="502">
        <v>3057500</v>
      </c>
      <c r="J55" s="500" t="s">
        <v>1619</v>
      </c>
      <c r="K55" s="500" t="s">
        <v>451</v>
      </c>
    </row>
    <row r="56" spans="1:11" s="500" customFormat="1" ht="18" customHeight="1">
      <c r="A56" s="500" t="s">
        <v>1408</v>
      </c>
      <c r="B56" s="501">
        <v>46132</v>
      </c>
      <c r="C56" s="501">
        <v>46132</v>
      </c>
      <c r="D56" s="500" t="s">
        <v>1597</v>
      </c>
      <c r="E56" s="500" t="s">
        <v>6</v>
      </c>
      <c r="F56" s="500" t="s">
        <v>1418</v>
      </c>
      <c r="G56" s="500" t="s">
        <v>1610</v>
      </c>
      <c r="H56" s="500" t="s">
        <v>1611</v>
      </c>
      <c r="I56" s="502">
        <v>15600000</v>
      </c>
      <c r="J56" s="500" t="s">
        <v>1620</v>
      </c>
      <c r="K56" s="500" t="s">
        <v>451</v>
      </c>
    </row>
    <row r="57" spans="1:11" s="500" customFormat="1" ht="18" customHeight="1">
      <c r="A57" s="500" t="s">
        <v>1408</v>
      </c>
      <c r="B57" s="501">
        <v>46134</v>
      </c>
      <c r="C57" s="501">
        <v>46120</v>
      </c>
      <c r="D57" s="500" t="s">
        <v>1598</v>
      </c>
      <c r="E57" s="500" t="s">
        <v>1580</v>
      </c>
      <c r="F57" s="500" t="s">
        <v>1459</v>
      </c>
      <c r="G57" s="500" t="s">
        <v>1463</v>
      </c>
      <c r="H57" s="500" t="s">
        <v>118</v>
      </c>
      <c r="I57" s="502">
        <v>139388</v>
      </c>
      <c r="J57" s="500" t="s">
        <v>1621</v>
      </c>
      <c r="K57" s="500" t="s">
        <v>1</v>
      </c>
    </row>
    <row r="58" spans="1:11" s="500" customFormat="1" ht="18" customHeight="1">
      <c r="A58" s="500" t="s">
        <v>1408</v>
      </c>
      <c r="B58" s="501">
        <v>46140</v>
      </c>
      <c r="C58" s="501">
        <v>46130</v>
      </c>
      <c r="D58" s="500" t="s">
        <v>1596</v>
      </c>
      <c r="E58" s="500" t="s">
        <v>6</v>
      </c>
      <c r="F58" s="500" t="s">
        <v>8</v>
      </c>
      <c r="G58" s="500" t="s">
        <v>1608</v>
      </c>
      <c r="H58" s="500" t="s">
        <v>118</v>
      </c>
      <c r="I58" s="502">
        <v>3057500</v>
      </c>
      <c r="J58" s="500" t="s">
        <v>1622</v>
      </c>
      <c r="K58" s="500" t="s">
        <v>661</v>
      </c>
    </row>
    <row r="59" spans="1:11" s="500" customFormat="1" ht="18" customHeight="1">
      <c r="A59" s="500" t="s">
        <v>23</v>
      </c>
      <c r="B59" s="501">
        <v>46144</v>
      </c>
      <c r="C59" s="501">
        <v>46128</v>
      </c>
      <c r="D59" s="500" t="s">
        <v>1623</v>
      </c>
      <c r="E59" s="500" t="s">
        <v>1580</v>
      </c>
      <c r="F59" s="500" t="s">
        <v>1459</v>
      </c>
      <c r="G59" s="500" t="s">
        <v>1467</v>
      </c>
      <c r="H59" s="500" t="s">
        <v>118</v>
      </c>
      <c r="I59" s="502">
        <v>157500</v>
      </c>
      <c r="J59" s="500" t="s">
        <v>1630</v>
      </c>
      <c r="K59" s="500" t="s">
        <v>1</v>
      </c>
    </row>
    <row r="60" spans="1:11" s="500" customFormat="1" ht="18" customHeight="1">
      <c r="A60" s="500" t="s">
        <v>23</v>
      </c>
      <c r="B60" s="501">
        <v>46146</v>
      </c>
      <c r="C60" s="501">
        <v>46144</v>
      </c>
      <c r="D60" s="500" t="s">
        <v>1624</v>
      </c>
      <c r="E60" s="500" t="s">
        <v>6</v>
      </c>
      <c r="F60" s="500" t="s">
        <v>1420</v>
      </c>
      <c r="G60" s="500" t="s">
        <v>546</v>
      </c>
      <c r="H60" s="500" t="s">
        <v>1628</v>
      </c>
      <c r="I60" s="502">
        <v>192600000</v>
      </c>
      <c r="J60" s="500" t="s">
        <v>1619</v>
      </c>
      <c r="K60" s="500" t="s">
        <v>451</v>
      </c>
    </row>
    <row r="61" spans="1:11" s="500" customFormat="1" ht="18" customHeight="1">
      <c r="A61" s="500" t="s">
        <v>23</v>
      </c>
      <c r="B61" s="501">
        <v>46146</v>
      </c>
      <c r="C61" s="501">
        <v>46144</v>
      </c>
      <c r="D61" s="500" t="s">
        <v>1625</v>
      </c>
      <c r="E61" s="500" t="s">
        <v>6</v>
      </c>
      <c r="F61" s="500" t="s">
        <v>1532</v>
      </c>
      <c r="G61" s="500" t="s">
        <v>1629</v>
      </c>
      <c r="H61" s="500" t="s">
        <v>1339</v>
      </c>
      <c r="I61" s="502">
        <v>17350000</v>
      </c>
      <c r="J61" s="500" t="s">
        <v>1631</v>
      </c>
      <c r="K61" s="500" t="s">
        <v>451</v>
      </c>
    </row>
    <row r="62" spans="1:11" s="500" customFormat="1" ht="18" customHeight="1">
      <c r="A62" s="500" t="s">
        <v>23</v>
      </c>
      <c r="B62" s="501">
        <v>46146</v>
      </c>
      <c r="C62" s="501">
        <v>46134</v>
      </c>
      <c r="D62" s="500" t="s">
        <v>1626</v>
      </c>
      <c r="E62" s="500" t="s">
        <v>6</v>
      </c>
      <c r="F62" s="500" t="s">
        <v>1459</v>
      </c>
      <c r="G62" s="500" t="s">
        <v>1467</v>
      </c>
      <c r="H62" s="500" t="s">
        <v>118</v>
      </c>
      <c r="I62" s="502">
        <v>124000</v>
      </c>
      <c r="J62" s="500" t="s">
        <v>1632</v>
      </c>
      <c r="K62" s="500" t="s">
        <v>1</v>
      </c>
    </row>
    <row r="63" spans="1:11" s="500" customFormat="1" ht="18" customHeight="1">
      <c r="A63" s="500" t="s">
        <v>23</v>
      </c>
      <c r="B63" s="501">
        <v>46148</v>
      </c>
      <c r="C63" s="501">
        <v>46141</v>
      </c>
      <c r="D63" s="500" t="s">
        <v>1627</v>
      </c>
      <c r="E63" s="500" t="s">
        <v>1580</v>
      </c>
      <c r="F63" s="500" t="s">
        <v>1459</v>
      </c>
      <c r="G63" s="500" t="s">
        <v>1463</v>
      </c>
      <c r="H63" s="500" t="s">
        <v>118</v>
      </c>
      <c r="I63" s="502">
        <v>102765</v>
      </c>
      <c r="J63" s="500" t="s">
        <v>1633</v>
      </c>
      <c r="K63" s="500" t="s">
        <v>1</v>
      </c>
    </row>
    <row r="64" spans="1:11" s="500" customFormat="1" ht="18" customHeight="1">
      <c r="A64" s="500" t="s">
        <v>23</v>
      </c>
      <c r="B64" s="501">
        <v>46151</v>
      </c>
      <c r="C64" s="501">
        <v>46150</v>
      </c>
      <c r="D64" s="500" t="s">
        <v>1634</v>
      </c>
      <c r="E64" s="500" t="s">
        <v>1580</v>
      </c>
      <c r="F64" s="500" t="s">
        <v>1418</v>
      </c>
      <c r="G64" s="500" t="s">
        <v>1637</v>
      </c>
      <c r="H64" s="500" t="s">
        <v>118</v>
      </c>
      <c r="I64" s="502">
        <v>2300000</v>
      </c>
      <c r="J64" s="500" t="s">
        <v>1642</v>
      </c>
      <c r="K64" s="500" t="s">
        <v>15</v>
      </c>
    </row>
    <row r="65" spans="1:11" s="500" customFormat="1" ht="18" customHeight="1">
      <c r="A65" s="500" t="s">
        <v>23</v>
      </c>
      <c r="B65" s="501">
        <v>46151</v>
      </c>
      <c r="C65" s="501">
        <v>46129</v>
      </c>
      <c r="D65" s="500" t="s">
        <v>1635</v>
      </c>
      <c r="E65" s="500" t="s">
        <v>1580</v>
      </c>
      <c r="F65" s="500" t="s">
        <v>8</v>
      </c>
      <c r="G65" s="500" t="s">
        <v>1638</v>
      </c>
      <c r="H65" s="500" t="s">
        <v>1639</v>
      </c>
      <c r="I65" s="502">
        <v>665000</v>
      </c>
      <c r="J65" s="500" t="s">
        <v>1643</v>
      </c>
      <c r="K65" s="500" t="s">
        <v>1</v>
      </c>
    </row>
    <row r="66" spans="1:11" s="500" customFormat="1" ht="18" customHeight="1">
      <c r="A66" s="500" t="s">
        <v>23</v>
      </c>
      <c r="B66" s="501">
        <v>46157</v>
      </c>
      <c r="C66" s="501">
        <v>46150</v>
      </c>
      <c r="D66" s="500" t="s">
        <v>1636</v>
      </c>
      <c r="E66" s="500" t="s">
        <v>1580</v>
      </c>
      <c r="F66" s="500" t="s">
        <v>1532</v>
      </c>
      <c r="G66" s="500" t="s">
        <v>1640</v>
      </c>
      <c r="H66" s="500" t="s">
        <v>1641</v>
      </c>
      <c r="I66" s="502">
        <v>1237500</v>
      </c>
      <c r="J66" s="500" t="s">
        <v>1644</v>
      </c>
      <c r="K66" s="500" t="s">
        <v>451</v>
      </c>
    </row>
    <row r="67" spans="1:11" ht="18" customHeight="1">
      <c r="A67" s="500" t="s">
        <v>23</v>
      </c>
      <c r="B67" s="436">
        <v>46160</v>
      </c>
      <c r="C67" s="436">
        <v>46158</v>
      </c>
      <c r="D67" s="354" t="s">
        <v>1645</v>
      </c>
      <c r="E67" s="354" t="s">
        <v>6</v>
      </c>
      <c r="F67" s="354" t="s">
        <v>8</v>
      </c>
      <c r="G67" s="354" t="s">
        <v>837</v>
      </c>
      <c r="H67" s="354" t="s">
        <v>118</v>
      </c>
      <c r="I67" s="418">
        <v>9650000</v>
      </c>
      <c r="J67" s="354" t="s">
        <v>390</v>
      </c>
      <c r="K67" s="354" t="s">
        <v>451</v>
      </c>
    </row>
    <row r="68" spans="1:11" ht="18" customHeight="1">
      <c r="A68" s="500" t="s">
        <v>23</v>
      </c>
      <c r="B68" s="436">
        <v>46160</v>
      </c>
      <c r="C68" s="436">
        <v>46155</v>
      </c>
      <c r="D68" s="354" t="s">
        <v>1646</v>
      </c>
      <c r="E68" s="354" t="s">
        <v>6</v>
      </c>
      <c r="F68" s="354" t="s">
        <v>1418</v>
      </c>
      <c r="G68" s="354" t="s">
        <v>1655</v>
      </c>
      <c r="H68" s="354" t="s">
        <v>1656</v>
      </c>
      <c r="I68" s="418">
        <v>13000000</v>
      </c>
      <c r="J68" s="354" t="s">
        <v>1662</v>
      </c>
      <c r="K68" s="354" t="s">
        <v>77</v>
      </c>
    </row>
    <row r="69" spans="1:11" ht="18" customHeight="1">
      <c r="A69" s="500" t="s">
        <v>23</v>
      </c>
      <c r="B69" s="436">
        <v>46161</v>
      </c>
      <c r="C69" s="436">
        <v>46153</v>
      </c>
      <c r="D69" s="354" t="s">
        <v>1647</v>
      </c>
      <c r="E69" s="354" t="s">
        <v>6</v>
      </c>
      <c r="F69" s="354" t="s">
        <v>1418</v>
      </c>
      <c r="G69" s="354" t="s">
        <v>473</v>
      </c>
      <c r="H69" s="354" t="s">
        <v>1657</v>
      </c>
      <c r="I69" s="418">
        <v>5040000</v>
      </c>
      <c r="J69" s="354" t="s">
        <v>1663</v>
      </c>
      <c r="K69" s="354" t="s">
        <v>77</v>
      </c>
    </row>
    <row r="70" spans="1:11" ht="18" customHeight="1">
      <c r="A70" s="500" t="s">
        <v>23</v>
      </c>
      <c r="B70" s="436">
        <v>46161</v>
      </c>
      <c r="C70" s="436">
        <v>46149</v>
      </c>
      <c r="D70" s="354" t="s">
        <v>1648</v>
      </c>
      <c r="E70" s="354" t="s">
        <v>1580</v>
      </c>
      <c r="F70" s="354" t="s">
        <v>1459</v>
      </c>
      <c r="G70" s="354" t="s">
        <v>1467</v>
      </c>
      <c r="H70" s="354" t="s">
        <v>118</v>
      </c>
      <c r="I70" s="418">
        <v>59213</v>
      </c>
      <c r="J70" s="354" t="s">
        <v>1664</v>
      </c>
      <c r="K70" s="354" t="s">
        <v>1</v>
      </c>
    </row>
    <row r="71" spans="1:11" ht="18" customHeight="1">
      <c r="A71" s="500" t="s">
        <v>23</v>
      </c>
      <c r="B71" s="436">
        <v>46164</v>
      </c>
      <c r="C71" s="436">
        <v>46157</v>
      </c>
      <c r="D71" s="354" t="s">
        <v>1649</v>
      </c>
      <c r="E71" s="354" t="s">
        <v>1580</v>
      </c>
      <c r="F71" s="354" t="s">
        <v>1459</v>
      </c>
      <c r="G71" s="354" t="s">
        <v>1463</v>
      </c>
      <c r="H71" s="354" t="s">
        <v>118</v>
      </c>
      <c r="I71" s="418">
        <v>91808</v>
      </c>
      <c r="J71" s="354" t="s">
        <v>1665</v>
      </c>
      <c r="K71" s="354" t="s">
        <v>1</v>
      </c>
    </row>
    <row r="72" spans="1:11" ht="18" customHeight="1">
      <c r="A72" s="500" t="s">
        <v>23</v>
      </c>
      <c r="B72" s="436">
        <v>46164</v>
      </c>
      <c r="C72" s="436">
        <v>46160</v>
      </c>
      <c r="D72" s="354" t="s">
        <v>1650</v>
      </c>
      <c r="E72" s="354" t="s">
        <v>6</v>
      </c>
      <c r="F72" s="354" t="s">
        <v>1422</v>
      </c>
      <c r="G72" s="354" t="s">
        <v>793</v>
      </c>
      <c r="H72" s="354" t="s">
        <v>118</v>
      </c>
      <c r="I72" s="418">
        <v>1800000</v>
      </c>
      <c r="J72" s="354" t="s">
        <v>1666</v>
      </c>
      <c r="K72" s="354" t="s">
        <v>15</v>
      </c>
    </row>
    <row r="73" spans="1:11" ht="18" customHeight="1">
      <c r="A73" s="500" t="s">
        <v>23</v>
      </c>
      <c r="B73" s="436">
        <v>46165</v>
      </c>
      <c r="C73" s="436">
        <v>46157</v>
      </c>
      <c r="D73" s="354" t="s">
        <v>1651</v>
      </c>
      <c r="E73" s="354" t="s">
        <v>6</v>
      </c>
      <c r="F73" s="354" t="s">
        <v>1532</v>
      </c>
      <c r="G73" s="354" t="s">
        <v>1658</v>
      </c>
      <c r="H73" s="354" t="s">
        <v>1659</v>
      </c>
      <c r="I73" s="418">
        <v>9600000</v>
      </c>
      <c r="J73" s="354" t="s">
        <v>1667</v>
      </c>
      <c r="K73" s="354" t="s">
        <v>1</v>
      </c>
    </row>
    <row r="74" spans="1:11" ht="18" customHeight="1">
      <c r="A74" s="500" t="s">
        <v>23</v>
      </c>
      <c r="B74" s="436">
        <v>46165</v>
      </c>
      <c r="C74" s="436">
        <v>46153</v>
      </c>
      <c r="D74" s="354" t="s">
        <v>1652</v>
      </c>
      <c r="E74" s="354" t="s">
        <v>1580</v>
      </c>
      <c r="F74" s="354" t="s">
        <v>1418</v>
      </c>
      <c r="G74" s="354" t="s">
        <v>981</v>
      </c>
      <c r="H74" s="354" t="s">
        <v>1657</v>
      </c>
      <c r="I74" s="418">
        <v>7600000</v>
      </c>
      <c r="J74" s="354" t="s">
        <v>1668</v>
      </c>
      <c r="K74" s="354" t="s">
        <v>77</v>
      </c>
    </row>
    <row r="75" spans="1:11" ht="18" customHeight="1">
      <c r="A75" s="500" t="s">
        <v>23</v>
      </c>
      <c r="B75" s="436">
        <v>46167</v>
      </c>
      <c r="C75" s="436">
        <v>46164</v>
      </c>
      <c r="D75" s="354" t="s">
        <v>1653</v>
      </c>
      <c r="E75" s="354" t="s">
        <v>6</v>
      </c>
      <c r="F75" s="354" t="s">
        <v>1532</v>
      </c>
      <c r="G75" s="354" t="s">
        <v>1660</v>
      </c>
      <c r="H75" s="354" t="s">
        <v>118</v>
      </c>
      <c r="I75" s="418">
        <v>20160000</v>
      </c>
      <c r="J75" s="354" t="s">
        <v>1669</v>
      </c>
      <c r="K75" s="354" t="s">
        <v>661</v>
      </c>
    </row>
    <row r="76" spans="1:11" ht="18" customHeight="1">
      <c r="A76" s="500" t="s">
        <v>23</v>
      </c>
      <c r="B76" s="436">
        <v>46168</v>
      </c>
      <c r="C76" s="436">
        <v>46165</v>
      </c>
      <c r="D76" s="354" t="s">
        <v>1654</v>
      </c>
      <c r="E76" s="354" t="s">
        <v>6</v>
      </c>
      <c r="F76" s="354" t="s">
        <v>1422</v>
      </c>
      <c r="G76" s="354" t="s">
        <v>1661</v>
      </c>
      <c r="H76" s="354" t="s">
        <v>118</v>
      </c>
      <c r="I76" s="418">
        <v>13200000</v>
      </c>
      <c r="J76" s="354" t="s">
        <v>1670</v>
      </c>
      <c r="K76" s="354" t="s">
        <v>15</v>
      </c>
    </row>
    <row r="77" spans="1:11" ht="18" customHeight="1">
      <c r="B77" s="436"/>
      <c r="C77" s="436"/>
    </row>
    <row r="78" spans="1:11" ht="18" customHeight="1">
      <c r="B78" s="436"/>
      <c r="C78" s="436"/>
    </row>
    <row r="79" spans="1:11" ht="18" customHeight="1">
      <c r="B79" s="436"/>
      <c r="C79" s="436"/>
    </row>
    <row r="80" spans="1:11" ht="18" customHeight="1">
      <c r="B80" s="436"/>
      <c r="C80" s="436"/>
    </row>
    <row r="81" spans="2:3" ht="18" customHeight="1">
      <c r="B81" s="436"/>
      <c r="C81" s="436"/>
    </row>
    <row r="82" spans="2:3" ht="18" customHeight="1">
      <c r="B82" s="436"/>
      <c r="C82" s="436"/>
    </row>
    <row r="83" spans="2:3" ht="18" customHeight="1">
      <c r="B83" s="436"/>
      <c r="C83" s="436"/>
    </row>
    <row r="84" spans="2:3" ht="18" customHeight="1">
      <c r="B84" s="436"/>
      <c r="C84" s="436"/>
    </row>
    <row r="85" spans="2:3" ht="18" customHeight="1">
      <c r="B85" s="436"/>
      <c r="C85" s="436"/>
    </row>
    <row r="86" spans="2:3" ht="18" customHeight="1">
      <c r="B86" s="436"/>
      <c r="C86" s="436"/>
    </row>
    <row r="87" spans="2:3" ht="18" customHeight="1">
      <c r="B87" s="436"/>
      <c r="C87" s="436"/>
    </row>
    <row r="88" spans="2:3" ht="18" customHeight="1">
      <c r="B88" s="436"/>
      <c r="C88" s="436"/>
    </row>
    <row r="89" spans="2:3" ht="18" customHeight="1">
      <c r="B89" s="436"/>
      <c r="C89" s="436"/>
    </row>
    <row r="90" spans="2:3" ht="18" customHeight="1">
      <c r="B90" s="436"/>
      <c r="C90" s="436"/>
    </row>
    <row r="91" spans="2:3" ht="18" customHeight="1">
      <c r="B91" s="436"/>
      <c r="C91" s="436"/>
    </row>
    <row r="92" spans="2:3" ht="18" customHeight="1">
      <c r="B92" s="436"/>
      <c r="C92" s="436"/>
    </row>
    <row r="93" spans="2:3" ht="18" customHeight="1">
      <c r="B93" s="436"/>
      <c r="C93" s="436"/>
    </row>
    <row r="94" spans="2:3" ht="18" customHeight="1">
      <c r="B94" s="436"/>
      <c r="C94" s="436"/>
    </row>
    <row r="95" spans="2:3" ht="18" customHeight="1">
      <c r="B95" s="436"/>
      <c r="C95" s="436"/>
    </row>
    <row r="96" spans="2:3" ht="18" customHeight="1">
      <c r="B96" s="436"/>
      <c r="C96" s="436"/>
    </row>
    <row r="97" spans="2:3" ht="18" customHeight="1">
      <c r="B97" s="436"/>
      <c r="C97" s="436"/>
    </row>
    <row r="98" spans="2:3" ht="18" customHeight="1">
      <c r="B98" s="436"/>
      <c r="C98" s="436"/>
    </row>
    <row r="99" spans="2:3" ht="18" customHeight="1">
      <c r="B99" s="436"/>
      <c r="C99" s="436"/>
    </row>
    <row r="100" spans="2:3" ht="18" customHeight="1">
      <c r="B100" s="436"/>
      <c r="C100" s="436"/>
    </row>
    <row r="101" spans="2:3" ht="18" customHeight="1">
      <c r="B101" s="436"/>
      <c r="C101" s="436"/>
    </row>
    <row r="102" spans="2:3" ht="18" customHeight="1">
      <c r="B102" s="436"/>
      <c r="C102" s="436"/>
    </row>
    <row r="103" spans="2:3" ht="18" customHeight="1">
      <c r="B103" s="436"/>
      <c r="C103" s="436"/>
    </row>
    <row r="104" spans="2:3" ht="18" customHeight="1">
      <c r="B104" s="436"/>
      <c r="C104" s="436"/>
    </row>
    <row r="105" spans="2:3" ht="18" customHeight="1">
      <c r="B105" s="436"/>
      <c r="C105" s="436"/>
    </row>
    <row r="106" spans="2:3" ht="18" customHeight="1">
      <c r="B106" s="436"/>
      <c r="C106" s="436"/>
    </row>
    <row r="107" spans="2:3" ht="18" customHeight="1">
      <c r="B107" s="436"/>
      <c r="C107" s="436"/>
    </row>
    <row r="108" spans="2:3" ht="18" customHeight="1">
      <c r="B108" s="436"/>
      <c r="C108" s="436"/>
    </row>
    <row r="109" spans="2:3" ht="18" customHeight="1">
      <c r="B109" s="436"/>
      <c r="C109" s="436"/>
    </row>
    <row r="110" spans="2:3" ht="18" customHeight="1">
      <c r="B110" s="436"/>
      <c r="C110" s="436"/>
    </row>
    <row r="111" spans="2:3" ht="18" customHeight="1">
      <c r="B111" s="436"/>
      <c r="C111" s="436"/>
    </row>
    <row r="112" spans="2:3" ht="18" customHeight="1">
      <c r="B112" s="436"/>
      <c r="C112" s="436"/>
    </row>
    <row r="113" spans="2:3" ht="18" customHeight="1">
      <c r="B113" s="436"/>
      <c r="C113" s="436"/>
    </row>
    <row r="114" spans="2:3" ht="18" customHeight="1">
      <c r="B114" s="436"/>
      <c r="C114" s="436"/>
    </row>
    <row r="115" spans="2:3" ht="18" customHeight="1">
      <c r="B115" s="436"/>
      <c r="C115" s="436"/>
    </row>
    <row r="116" spans="2:3" ht="18" customHeight="1">
      <c r="B116" s="436"/>
      <c r="C116" s="436"/>
    </row>
    <row r="117" spans="2:3" ht="18" customHeight="1">
      <c r="B117" s="436"/>
      <c r="C117" s="436"/>
    </row>
    <row r="118" spans="2:3" ht="18" customHeight="1">
      <c r="B118" s="436"/>
      <c r="C118" s="436"/>
    </row>
    <row r="119" spans="2:3" ht="18" customHeight="1">
      <c r="B119" s="436"/>
      <c r="C119" s="436"/>
    </row>
    <row r="120" spans="2:3" ht="18" customHeight="1">
      <c r="B120" s="436"/>
      <c r="C120" s="436"/>
    </row>
    <row r="121" spans="2:3" ht="18" customHeight="1">
      <c r="B121" s="436"/>
      <c r="C121" s="436"/>
    </row>
    <row r="122" spans="2:3" ht="18" customHeight="1">
      <c r="B122" s="436"/>
      <c r="C122" s="436"/>
    </row>
    <row r="123" spans="2:3" ht="18" customHeight="1">
      <c r="B123" s="436"/>
      <c r="C123" s="436"/>
    </row>
    <row r="124" spans="2:3" ht="18" customHeight="1">
      <c r="B124" s="436"/>
      <c r="C124" s="436"/>
    </row>
    <row r="125" spans="2:3" ht="18" customHeight="1">
      <c r="B125" s="436"/>
      <c r="C125" s="436"/>
    </row>
    <row r="126" spans="2:3" ht="18" customHeight="1">
      <c r="B126" s="436"/>
      <c r="C126" s="436"/>
    </row>
    <row r="127" spans="2:3" ht="18" customHeight="1">
      <c r="B127" s="436"/>
      <c r="C127" s="436"/>
    </row>
    <row r="128" spans="2:3" ht="18" customHeight="1">
      <c r="B128" s="436"/>
      <c r="C128" s="436"/>
    </row>
    <row r="129" spans="2:3" ht="18" customHeight="1">
      <c r="B129" s="436"/>
      <c r="C129" s="436"/>
    </row>
    <row r="130" spans="2:3" ht="18" customHeight="1">
      <c r="B130" s="436"/>
      <c r="C130" s="436"/>
    </row>
    <row r="131" spans="2:3" ht="18" customHeight="1">
      <c r="B131" s="436"/>
      <c r="C131" s="436"/>
    </row>
    <row r="132" spans="2:3" ht="18" customHeight="1">
      <c r="B132" s="436"/>
      <c r="C132" s="436"/>
    </row>
    <row r="133" spans="2:3" ht="18" customHeight="1">
      <c r="B133" s="436"/>
      <c r="C133" s="436"/>
    </row>
    <row r="134" spans="2:3" ht="18" customHeight="1">
      <c r="B134" s="436"/>
      <c r="C134" s="436"/>
    </row>
    <row r="135" spans="2:3" ht="18" customHeight="1">
      <c r="B135" s="436"/>
      <c r="C135" s="436"/>
    </row>
    <row r="136" spans="2:3" ht="18" customHeight="1">
      <c r="B136" s="436"/>
      <c r="C136" s="436"/>
    </row>
    <row r="137" spans="2:3" ht="18" customHeight="1">
      <c r="B137" s="436"/>
      <c r="C137" s="436"/>
    </row>
    <row r="138" spans="2:3" ht="18" customHeight="1">
      <c r="B138" s="436"/>
      <c r="C138" s="436"/>
    </row>
    <row r="139" spans="2:3" ht="18" customHeight="1">
      <c r="B139" s="436"/>
      <c r="C139" s="436"/>
    </row>
    <row r="140" spans="2:3" ht="18" customHeight="1">
      <c r="B140" s="436"/>
      <c r="C140" s="436"/>
    </row>
    <row r="141" spans="2:3" ht="18" customHeight="1">
      <c r="B141" s="436"/>
      <c r="C141" s="436"/>
    </row>
    <row r="142" spans="2:3" ht="18" customHeight="1">
      <c r="B142" s="436"/>
      <c r="C142" s="436"/>
    </row>
    <row r="143" spans="2:3" ht="18" customHeight="1">
      <c r="B143" s="436"/>
      <c r="C143" s="436"/>
    </row>
    <row r="144" spans="2:3" ht="18" customHeight="1">
      <c r="B144" s="436"/>
      <c r="C144" s="436"/>
    </row>
    <row r="145" spans="2:3" ht="18" customHeight="1">
      <c r="B145" s="436"/>
      <c r="C145" s="436"/>
    </row>
    <row r="146" spans="2:3" ht="18" customHeight="1">
      <c r="B146" s="436"/>
      <c r="C146" s="436"/>
    </row>
    <row r="147" spans="2:3" ht="18" customHeight="1">
      <c r="B147" s="436"/>
      <c r="C147" s="436"/>
    </row>
    <row r="148" spans="2:3" ht="18" customHeight="1">
      <c r="B148" s="436"/>
      <c r="C148" s="436"/>
    </row>
    <row r="149" spans="2:3" ht="18" customHeight="1">
      <c r="B149" s="436"/>
      <c r="C149" s="436"/>
    </row>
    <row r="150" spans="2:3" ht="18" customHeight="1">
      <c r="B150" s="436"/>
      <c r="C150" s="436"/>
    </row>
    <row r="151" spans="2:3" ht="18" customHeight="1">
      <c r="B151" s="436"/>
      <c r="C151" s="436"/>
    </row>
    <row r="152" spans="2:3" ht="18" customHeight="1">
      <c r="B152" s="436"/>
      <c r="C152" s="436"/>
    </row>
    <row r="153" spans="2:3" ht="18" customHeight="1">
      <c r="B153" s="436"/>
      <c r="C153" s="436"/>
    </row>
    <row r="154" spans="2:3" ht="18" customHeight="1">
      <c r="B154" s="436"/>
      <c r="C154" s="436"/>
    </row>
    <row r="155" spans="2:3" ht="18" customHeight="1">
      <c r="B155" s="436"/>
      <c r="C155" s="436"/>
    </row>
    <row r="156" spans="2:3" ht="18" customHeight="1">
      <c r="B156" s="436"/>
      <c r="C156" s="436"/>
    </row>
    <row r="157" spans="2:3" ht="18" customHeight="1">
      <c r="B157" s="436"/>
      <c r="C157" s="436"/>
    </row>
    <row r="158" spans="2:3" ht="18" customHeight="1">
      <c r="B158" s="436"/>
      <c r="C158" s="436"/>
    </row>
    <row r="159" spans="2:3" ht="18" customHeight="1">
      <c r="B159" s="436"/>
      <c r="C159" s="436"/>
    </row>
    <row r="160" spans="2:3" ht="18" customHeight="1">
      <c r="B160" s="436"/>
      <c r="C160" s="436"/>
    </row>
    <row r="161" spans="2:3" ht="18" customHeight="1">
      <c r="B161" s="436"/>
      <c r="C161" s="436"/>
    </row>
    <row r="162" spans="2:3" ht="18" customHeight="1">
      <c r="B162" s="436"/>
      <c r="C162" s="436"/>
    </row>
    <row r="163" spans="2:3" ht="18" customHeight="1">
      <c r="B163" s="436"/>
      <c r="C163" s="436"/>
    </row>
    <row r="164" spans="2:3" ht="18" customHeight="1">
      <c r="B164" s="436"/>
      <c r="C164" s="436"/>
    </row>
    <row r="165" spans="2:3" ht="18" customHeight="1">
      <c r="B165" s="436"/>
      <c r="C165" s="436"/>
    </row>
    <row r="166" spans="2:3" ht="18" customHeight="1">
      <c r="B166" s="436"/>
      <c r="C166" s="436"/>
    </row>
    <row r="167" spans="2:3" ht="18" customHeight="1">
      <c r="B167" s="436"/>
      <c r="C167" s="436"/>
    </row>
    <row r="168" spans="2:3" ht="18" customHeight="1">
      <c r="B168" s="436"/>
      <c r="C168" s="436"/>
    </row>
    <row r="169" spans="2:3" ht="18" customHeight="1">
      <c r="B169" s="436"/>
      <c r="C169" s="436"/>
    </row>
    <row r="170" spans="2:3" ht="18" customHeight="1">
      <c r="B170" s="436"/>
      <c r="C170" s="436"/>
    </row>
    <row r="171" spans="2:3" ht="18" customHeight="1">
      <c r="B171" s="436"/>
      <c r="C171" s="436"/>
    </row>
    <row r="172" spans="2:3" ht="18" customHeight="1">
      <c r="B172" s="436"/>
      <c r="C172" s="436"/>
    </row>
    <row r="173" spans="2:3" ht="18" customHeight="1">
      <c r="B173" s="436"/>
      <c r="C173" s="436"/>
    </row>
    <row r="174" spans="2:3" ht="18" customHeight="1">
      <c r="B174" s="436"/>
      <c r="C174" s="436"/>
    </row>
    <row r="175" spans="2:3" ht="18" customHeight="1">
      <c r="B175" s="436"/>
      <c r="C175" s="436"/>
    </row>
    <row r="176" spans="2:3" ht="18" customHeight="1">
      <c r="B176" s="436"/>
      <c r="C176" s="436"/>
    </row>
    <row r="177" spans="2:3" ht="18" customHeight="1">
      <c r="B177" s="436"/>
      <c r="C177" s="436"/>
    </row>
    <row r="178" spans="2:3" ht="18" customHeight="1">
      <c r="B178" s="436"/>
      <c r="C178" s="436"/>
    </row>
    <row r="179" spans="2:3" ht="18" customHeight="1">
      <c r="B179" s="436"/>
      <c r="C179" s="436"/>
    </row>
    <row r="180" spans="2:3" ht="18" customHeight="1">
      <c r="B180" s="436"/>
      <c r="C180" s="436"/>
    </row>
    <row r="181" spans="2:3" ht="18" customHeight="1">
      <c r="B181" s="436"/>
      <c r="C181" s="436"/>
    </row>
    <row r="182" spans="2:3" ht="18" customHeight="1">
      <c r="B182" s="355"/>
      <c r="C182" s="355"/>
    </row>
    <row r="183" spans="2:3" ht="18" customHeight="1">
      <c r="B183" s="355"/>
      <c r="C183" s="355"/>
    </row>
    <row r="184" spans="2:3" ht="18" customHeight="1">
      <c r="B184" s="355"/>
      <c r="C184" s="355"/>
    </row>
    <row r="185" spans="2:3" ht="18" customHeight="1">
      <c r="B185" s="355"/>
      <c r="C185" s="355"/>
    </row>
    <row r="186" spans="2:3" ht="18" customHeight="1">
      <c r="B186" s="355"/>
      <c r="C186" s="355"/>
    </row>
    <row r="187" spans="2:3" ht="18" customHeight="1">
      <c r="B187" s="355"/>
      <c r="C187" s="355"/>
    </row>
    <row r="188" spans="2:3" ht="18" customHeight="1">
      <c r="B188" s="355"/>
      <c r="C188" s="355"/>
    </row>
    <row r="189" spans="2:3" ht="18" customHeight="1">
      <c r="B189" s="355"/>
      <c r="C189" s="355"/>
    </row>
    <row r="190" spans="2:3" ht="18" customHeight="1">
      <c r="B190" s="355"/>
      <c r="C190" s="355"/>
    </row>
    <row r="191" spans="2:3" ht="18" customHeight="1">
      <c r="B191" s="355"/>
      <c r="C191" s="355"/>
    </row>
    <row r="192" spans="2:3" ht="18" customHeight="1">
      <c r="B192" s="355"/>
      <c r="C192" s="355"/>
    </row>
    <row r="193" spans="2:3" ht="18" customHeight="1">
      <c r="B193" s="355"/>
      <c r="C193" s="355"/>
    </row>
    <row r="194" spans="2:3" ht="18" customHeight="1">
      <c r="B194" s="355"/>
      <c r="C194" s="355"/>
    </row>
    <row r="195" spans="2:3" ht="18" customHeight="1">
      <c r="B195" s="355"/>
      <c r="C195" s="355"/>
    </row>
    <row r="196" spans="2:3" ht="18" customHeight="1">
      <c r="B196" s="355"/>
      <c r="C196" s="355"/>
    </row>
    <row r="197" spans="2:3" ht="18" customHeight="1">
      <c r="B197" s="355"/>
      <c r="C197" s="355"/>
    </row>
    <row r="198" spans="2:3" ht="18" customHeight="1">
      <c r="B198" s="355"/>
      <c r="C198" s="355"/>
    </row>
    <row r="199" spans="2:3" ht="18" customHeight="1">
      <c r="B199" s="355"/>
      <c r="C199" s="355"/>
    </row>
    <row r="200" spans="2:3" ht="18" customHeight="1">
      <c r="B200" s="355"/>
      <c r="C200" s="355"/>
    </row>
    <row r="201" spans="2:3" ht="18" customHeight="1">
      <c r="B201" s="355"/>
      <c r="C201" s="355"/>
    </row>
    <row r="202" spans="2:3" ht="18" customHeight="1">
      <c r="B202" s="355"/>
      <c r="C202" s="355"/>
    </row>
    <row r="203" spans="2:3" ht="18" customHeight="1">
      <c r="B203" s="355"/>
      <c r="C203" s="355"/>
    </row>
    <row r="204" spans="2:3" ht="18" customHeight="1">
      <c r="B204" s="355"/>
      <c r="C204" s="355"/>
    </row>
    <row r="205" spans="2:3" ht="18" customHeight="1">
      <c r="B205" s="355"/>
      <c r="C205" s="355"/>
    </row>
    <row r="206" spans="2:3" ht="18" customHeight="1">
      <c r="B206" s="355"/>
      <c r="C206" s="355"/>
    </row>
    <row r="207" spans="2:3" ht="18" customHeight="1">
      <c r="B207" s="355"/>
      <c r="C207" s="355"/>
    </row>
    <row r="208" spans="2:3" ht="18" customHeight="1">
      <c r="B208" s="355"/>
      <c r="C208" s="355"/>
    </row>
    <row r="209" spans="2:3" ht="18" customHeight="1">
      <c r="B209" s="355"/>
      <c r="C209" s="355"/>
    </row>
    <row r="210" spans="2:3" ht="18" customHeight="1">
      <c r="B210" s="355"/>
      <c r="C210" s="355"/>
    </row>
    <row r="211" spans="2:3" ht="18" customHeight="1">
      <c r="B211" s="355"/>
      <c r="C211" s="355"/>
    </row>
    <row r="212" spans="2:3" ht="18" customHeight="1">
      <c r="B212" s="355"/>
      <c r="C212" s="355"/>
    </row>
    <row r="213" spans="2:3" ht="18" customHeight="1">
      <c r="B213" s="355"/>
      <c r="C213" s="355"/>
    </row>
    <row r="214" spans="2:3" ht="18" customHeight="1">
      <c r="B214" s="355"/>
      <c r="C214" s="355"/>
    </row>
    <row r="215" spans="2:3" ht="18" customHeight="1">
      <c r="B215" s="355"/>
      <c r="C215" s="355"/>
    </row>
    <row r="216" spans="2:3" ht="18" customHeight="1">
      <c r="B216" s="355"/>
      <c r="C216" s="355"/>
    </row>
    <row r="217" spans="2:3" ht="18" customHeight="1">
      <c r="B217" s="355"/>
      <c r="C217" s="355"/>
    </row>
    <row r="218" spans="2:3" ht="18" customHeight="1">
      <c r="B218" s="355"/>
      <c r="C218" s="355"/>
    </row>
    <row r="219" spans="2:3" ht="18" customHeight="1">
      <c r="B219" s="355"/>
      <c r="C219" s="355"/>
    </row>
    <row r="220" spans="2:3" ht="18" customHeight="1">
      <c r="B220" s="355"/>
      <c r="C220" s="355"/>
    </row>
    <row r="221" spans="2:3" ht="18" customHeight="1">
      <c r="B221" s="355"/>
      <c r="C221" s="355"/>
    </row>
    <row r="222" spans="2:3" ht="18" customHeight="1">
      <c r="B222" s="355"/>
      <c r="C222" s="355"/>
    </row>
    <row r="223" spans="2:3" ht="18" customHeight="1">
      <c r="B223" s="355"/>
      <c r="C223" s="355"/>
    </row>
    <row r="224" spans="2:3" ht="18" customHeight="1">
      <c r="B224" s="355"/>
      <c r="C224" s="355"/>
    </row>
    <row r="225" spans="2:3" ht="18" customHeight="1">
      <c r="B225" s="355"/>
      <c r="C225" s="355"/>
    </row>
    <row r="226" spans="2:3" ht="18" customHeight="1">
      <c r="B226" s="355"/>
      <c r="C226" s="355"/>
    </row>
    <row r="227" spans="2:3" ht="18" customHeight="1">
      <c r="B227" s="355"/>
      <c r="C227" s="355"/>
    </row>
    <row r="228" spans="2:3" ht="18" customHeight="1">
      <c r="B228" s="355"/>
      <c r="C228" s="355"/>
    </row>
    <row r="229" spans="2:3" ht="18" customHeight="1">
      <c r="B229" s="355"/>
      <c r="C229" s="355"/>
    </row>
    <row r="230" spans="2:3" ht="18" customHeight="1">
      <c r="B230" s="355"/>
      <c r="C230" s="355"/>
    </row>
    <row r="231" spans="2:3" ht="18" customHeight="1">
      <c r="B231" s="355"/>
      <c r="C231" s="355"/>
    </row>
    <row r="232" spans="2:3" ht="18" customHeight="1">
      <c r="B232" s="355"/>
      <c r="C232" s="355"/>
    </row>
    <row r="233" spans="2:3" ht="18" customHeight="1">
      <c r="B233" s="355"/>
      <c r="C233" s="355"/>
    </row>
    <row r="234" spans="2:3" ht="18" customHeight="1">
      <c r="B234" s="355"/>
      <c r="C234" s="355"/>
    </row>
    <row r="235" spans="2:3" ht="18" customHeight="1">
      <c r="B235" s="355"/>
      <c r="C235" s="355"/>
    </row>
    <row r="236" spans="2:3" ht="18" customHeight="1">
      <c r="B236" s="355"/>
      <c r="C236" s="355"/>
    </row>
    <row r="237" spans="2:3" ht="18" customHeight="1">
      <c r="B237" s="355"/>
      <c r="C237" s="355"/>
    </row>
    <row r="238" spans="2:3" ht="18" customHeight="1">
      <c r="B238" s="355"/>
      <c r="C238" s="355"/>
    </row>
    <row r="239" spans="2:3" ht="18" customHeight="1">
      <c r="B239" s="355"/>
      <c r="C239" s="355"/>
    </row>
    <row r="240" spans="2:3" ht="18" customHeight="1">
      <c r="B240" s="355"/>
      <c r="C240" s="355"/>
    </row>
    <row r="241" spans="2:3" ht="18" customHeight="1">
      <c r="B241" s="355"/>
      <c r="C241" s="355"/>
    </row>
    <row r="242" spans="2:3" ht="18" customHeight="1">
      <c r="B242" s="355"/>
      <c r="C242" s="355"/>
    </row>
    <row r="243" spans="2:3" ht="18" customHeight="1">
      <c r="B243" s="355"/>
      <c r="C243" s="355"/>
    </row>
    <row r="244" spans="2:3" ht="18" customHeight="1">
      <c r="B244" s="355"/>
      <c r="C244" s="355"/>
    </row>
    <row r="245" spans="2:3" ht="18" customHeight="1">
      <c r="B245" s="355"/>
      <c r="C245" s="355"/>
    </row>
    <row r="246" spans="2:3" ht="18" customHeight="1">
      <c r="B246" s="355"/>
      <c r="C246" s="355"/>
    </row>
    <row r="247" spans="2:3" ht="18" customHeight="1">
      <c r="B247" s="355"/>
      <c r="C247" s="355"/>
    </row>
    <row r="248" spans="2:3" ht="18" customHeight="1">
      <c r="B248" s="355"/>
      <c r="C248" s="355"/>
    </row>
    <row r="249" spans="2:3" ht="18" customHeight="1">
      <c r="B249" s="355"/>
      <c r="C249" s="355"/>
    </row>
    <row r="250" spans="2:3" ht="18" customHeight="1">
      <c r="B250" s="355"/>
      <c r="C250" s="355"/>
    </row>
    <row r="251" spans="2:3" ht="18" customHeight="1">
      <c r="B251" s="355"/>
      <c r="C251" s="355"/>
    </row>
    <row r="252" spans="2:3" ht="18" customHeight="1">
      <c r="B252" s="355"/>
      <c r="C252" s="355"/>
    </row>
    <row r="253" spans="2:3" ht="18" customHeight="1">
      <c r="B253" s="355"/>
      <c r="C253" s="355"/>
    </row>
    <row r="254" spans="2:3" ht="18" customHeight="1">
      <c r="B254" s="355"/>
      <c r="C254" s="355"/>
    </row>
    <row r="255" spans="2:3" ht="18" customHeight="1">
      <c r="B255" s="355"/>
      <c r="C255" s="355"/>
    </row>
    <row r="256" spans="2:3" ht="18" customHeight="1">
      <c r="B256" s="355"/>
      <c r="C256" s="355"/>
    </row>
    <row r="257" spans="2:3" ht="18" customHeight="1">
      <c r="B257" s="355"/>
      <c r="C257" s="355"/>
    </row>
    <row r="258" spans="2:3" ht="18" customHeight="1">
      <c r="B258" s="355"/>
      <c r="C258" s="355"/>
    </row>
    <row r="259" spans="2:3" ht="18" customHeight="1">
      <c r="B259" s="355"/>
      <c r="C259" s="355"/>
    </row>
    <row r="260" spans="2:3" ht="18" customHeight="1">
      <c r="B260" s="355"/>
      <c r="C260" s="355"/>
    </row>
    <row r="261" spans="2:3" ht="18" customHeight="1">
      <c r="B261" s="355"/>
      <c r="C261" s="355"/>
    </row>
    <row r="262" spans="2:3" ht="18" customHeight="1">
      <c r="B262" s="355"/>
      <c r="C262" s="355"/>
    </row>
    <row r="263" spans="2:3" ht="18" customHeight="1">
      <c r="B263" s="355"/>
      <c r="C263" s="355"/>
    </row>
    <row r="264" spans="2:3" ht="18" customHeight="1">
      <c r="B264" s="355"/>
      <c r="C264" s="355"/>
    </row>
    <row r="265" spans="2:3" ht="18" customHeight="1">
      <c r="B265" s="355"/>
      <c r="C265" s="355"/>
    </row>
    <row r="266" spans="2:3" ht="18" customHeight="1">
      <c r="B266" s="355"/>
      <c r="C266" s="355"/>
    </row>
    <row r="267" spans="2:3" ht="18" customHeight="1">
      <c r="B267" s="355"/>
      <c r="C267" s="355"/>
    </row>
    <row r="268" spans="2:3" ht="18" customHeight="1">
      <c r="B268" s="355"/>
      <c r="C268" s="355"/>
    </row>
    <row r="269" spans="2:3" ht="18" customHeight="1">
      <c r="B269" s="355"/>
      <c r="C269" s="355"/>
    </row>
    <row r="270" spans="2:3" ht="18" customHeight="1">
      <c r="B270" s="355"/>
      <c r="C270" s="355"/>
    </row>
    <row r="271" spans="2:3" ht="18" customHeight="1">
      <c r="B271" s="355"/>
      <c r="C271" s="355"/>
    </row>
    <row r="272" spans="2:3" ht="18" customHeight="1">
      <c r="B272" s="355"/>
      <c r="C272" s="355"/>
    </row>
    <row r="273" spans="2:3" ht="18" customHeight="1">
      <c r="B273" s="355"/>
      <c r="C273" s="355"/>
    </row>
    <row r="274" spans="2:3" ht="18" customHeight="1">
      <c r="B274" s="355"/>
      <c r="C274" s="355"/>
    </row>
    <row r="275" spans="2:3" ht="18" customHeight="1">
      <c r="B275" s="355"/>
      <c r="C275" s="355"/>
    </row>
    <row r="276" spans="2:3" ht="18" customHeight="1">
      <c r="B276" s="355"/>
      <c r="C276" s="355"/>
    </row>
    <row r="277" spans="2:3" ht="18" customHeight="1">
      <c r="B277" s="355"/>
      <c r="C277" s="355"/>
    </row>
    <row r="278" spans="2:3" ht="18" customHeight="1">
      <c r="B278" s="355"/>
      <c r="C278" s="355"/>
    </row>
    <row r="279" spans="2:3" ht="18" customHeight="1">
      <c r="B279" s="355"/>
      <c r="C279" s="355"/>
    </row>
    <row r="280" spans="2:3" ht="18" customHeight="1">
      <c r="B280" s="355"/>
      <c r="C280" s="355"/>
    </row>
  </sheetData>
  <sortState ref="A69:K80">
    <sortCondition ref="B2:B11"/>
  </sortState>
  <pageMargins left="0.2" right="0.2" top="0.25" bottom="0.25" header="0.3" footer="0.3"/>
  <pageSetup paperSize="10000" scale="8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8" tint="0.59999389629810485"/>
  </sheetPr>
  <dimension ref="B2:AD103"/>
  <sheetViews>
    <sheetView topLeftCell="A68" zoomScale="120" zoomScaleNormal="120" workbookViewId="0">
      <selection activeCell="G95" sqref="G95"/>
    </sheetView>
  </sheetViews>
  <sheetFormatPr defaultColWidth="8.85546875" defaultRowHeight="15"/>
  <cols>
    <col min="1" max="1" width="5.7109375" customWidth="1"/>
    <col min="2" max="2" width="9.140625" customWidth="1"/>
    <col min="3" max="7" width="6.7109375" customWidth="1"/>
    <col min="8" max="14" width="6.7109375" hidden="1" customWidth="1"/>
    <col min="15" max="15" width="6.7109375" customWidth="1"/>
    <col min="16" max="16" width="15" customWidth="1"/>
    <col min="18" max="22" width="6.7109375" customWidth="1"/>
    <col min="23" max="29" width="6.7109375" hidden="1" customWidth="1"/>
    <col min="30" max="30" width="6.7109375" customWidth="1"/>
  </cols>
  <sheetData>
    <row r="2" spans="2:18">
      <c r="B2" s="22" t="s">
        <v>31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2:18">
      <c r="B3" s="24" t="s">
        <v>1444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spans="2:18" ht="15.75" thickBot="1">
      <c r="B4" s="443" t="s">
        <v>14</v>
      </c>
      <c r="C4" s="443" t="s">
        <v>1404</v>
      </c>
      <c r="D4" s="443" t="s">
        <v>1406</v>
      </c>
      <c r="E4" s="443" t="s">
        <v>1407</v>
      </c>
      <c r="F4" s="443" t="s">
        <v>1408</v>
      </c>
      <c r="G4" s="443" t="s">
        <v>23</v>
      </c>
      <c r="H4" s="443" t="s">
        <v>1405</v>
      </c>
      <c r="I4" s="443" t="s">
        <v>1409</v>
      </c>
      <c r="J4" s="443" t="s">
        <v>1410</v>
      </c>
      <c r="K4" s="443" t="s">
        <v>1087</v>
      </c>
      <c r="L4" s="444" t="s">
        <v>1179</v>
      </c>
      <c r="M4" s="444" t="s">
        <v>1311</v>
      </c>
      <c r="N4" s="445" t="s">
        <v>1403</v>
      </c>
      <c r="O4" s="47" t="s">
        <v>0</v>
      </c>
    </row>
    <row r="5" spans="2:18" ht="27" customHeight="1" thickTop="1">
      <c r="B5" s="441" t="s">
        <v>451</v>
      </c>
      <c r="C5" s="442">
        <f>COUNTIFS('DATA (Per Barang)'!$A:$A,'REKAP (Per Barang)'!C$4,'DATA (Per Barang)'!$K:$K,'REKAP (Per Barang)'!$B5)</f>
        <v>2</v>
      </c>
      <c r="D5" s="442">
        <f>COUNTIFS('DATA (Per Barang)'!$A:$A,'REKAP (Per Barang)'!D$4,'DATA (Per Barang)'!$K:$K,'REKAP (Per Barang)'!$B5)</f>
        <v>5</v>
      </c>
      <c r="E5" s="442">
        <f>COUNTIFS('DATA (Per Barang)'!$A:$A,'REKAP (Per Barang)'!E$4,'DATA (Per Barang)'!$K:$K,'REKAP (Per Barang)'!$B5)</f>
        <v>3</v>
      </c>
      <c r="F5" s="442">
        <f>COUNTIFS('DATA (Per Barang)'!$A:$A,'REKAP (Per Barang)'!F$4,'DATA (Per Barang)'!$K:$K,'REKAP (Per Barang)'!$B5)</f>
        <v>5</v>
      </c>
      <c r="G5" s="442">
        <f>COUNTIFS('DATA (Per Barang)'!$A:$A,'REKAP (Per Barang)'!G$4,'DATA (Per Barang)'!$K:$K,'REKAP (Per Barang)'!$B5)</f>
        <v>4</v>
      </c>
      <c r="H5" s="442">
        <f>COUNTIFS('DATA (Per Barang)'!$A:$A,'REKAP (Per Barang)'!H$4,'DATA (Per Barang)'!$K:$K,'REKAP (Per Barang)'!$B5)</f>
        <v>0</v>
      </c>
      <c r="I5" s="442">
        <f>COUNTIFS('DATA (Per Barang)'!$A:$A,'REKAP (Per Barang)'!I$4,'DATA (Per Barang)'!$K:$K,'REKAP (Per Barang)'!$B5)</f>
        <v>0</v>
      </c>
      <c r="J5" s="442">
        <f>COUNTIFS('DATA (Per Barang)'!$A:$A,'REKAP (Per Barang)'!J$4,'DATA (Per Barang)'!$K:$K,'REKAP (Per Barang)'!$B5)</f>
        <v>0</v>
      </c>
      <c r="K5" s="442">
        <f>COUNTIFS('DATA (Per Barang)'!$A:$A,'REKAP (Per Barang)'!K$4,'DATA (Per Barang)'!$K:$K,'REKAP (Per Barang)'!$B5)</f>
        <v>0</v>
      </c>
      <c r="L5" s="442">
        <f>COUNTIFS('DATA (Per Barang)'!$A:$A,'REKAP (Per Barang)'!L$4,'DATA (Per Barang)'!$K:$K,'REKAP (Per Barang)'!$B5)</f>
        <v>0</v>
      </c>
      <c r="M5" s="442">
        <f>COUNTIFS('DATA (Per Barang)'!$A:$A,'REKAP (Per Barang)'!M$4,'DATA (Per Barang)'!$K:$K,'REKAP (Per Barang)'!$B5)</f>
        <v>0</v>
      </c>
      <c r="N5" s="442">
        <f>COUNTIFS('DATA (Per Barang)'!$A:$A,'REKAP (Per Barang)'!N$4,'DATA (Per Barang)'!$K:$K,'REKAP (Per Barang)'!$B5)</f>
        <v>0</v>
      </c>
      <c r="O5" s="249">
        <f t="shared" ref="O5:O29" si="0">SUM(C5:N5)</f>
        <v>19</v>
      </c>
      <c r="P5" s="67"/>
      <c r="Q5" s="53"/>
    </row>
    <row r="6" spans="2:18">
      <c r="B6" s="48" t="s">
        <v>568</v>
      </c>
      <c r="C6" s="236">
        <f>COUNTIFS('DATA (Per Barang)'!$A:$A,'REKAP (Per Barang)'!C$4,'DATA (Per Barang)'!$K:$K,'REKAP (Per Barang)'!$B6)</f>
        <v>1</v>
      </c>
      <c r="D6" s="236">
        <f>COUNTIFS('DATA (Per Barang)'!$A:$A,'REKAP (Per Barang)'!D$4,'DATA (Per Barang)'!$K:$K,'REKAP (Per Barang)'!$B6)</f>
        <v>0</v>
      </c>
      <c r="E6" s="236">
        <f>COUNTIFS('DATA (Per Barang)'!$A:$A,'REKAP (Per Barang)'!E$4,'DATA (Per Barang)'!$K:$K,'REKAP (Per Barang)'!$B6)</f>
        <v>0</v>
      </c>
      <c r="F6" s="236">
        <f>COUNTIFS('DATA (Per Barang)'!$A:$A,'REKAP (Per Barang)'!F$4,'DATA (Per Barang)'!$K:$K,'REKAP (Per Barang)'!$B6)</f>
        <v>0</v>
      </c>
      <c r="G6" s="236">
        <f>COUNTIFS('DATA (Per Barang)'!$A:$A,'REKAP (Per Barang)'!G$4,'DATA (Per Barang)'!$K:$K,'REKAP (Per Barang)'!$B6)</f>
        <v>0</v>
      </c>
      <c r="H6" s="236">
        <f>COUNTIFS('DATA (Per Barang)'!$A:$A,'REKAP (Per Barang)'!H$4,'DATA (Per Barang)'!$K:$K,'REKAP (Per Barang)'!$B6)</f>
        <v>0</v>
      </c>
      <c r="I6" s="236">
        <f>COUNTIFS('DATA (Per Barang)'!$A:$A,'REKAP (Per Barang)'!I$4,'DATA (Per Barang)'!$K:$K,'REKAP (Per Barang)'!$B6)</f>
        <v>0</v>
      </c>
      <c r="J6" s="236">
        <f>COUNTIFS('DATA (Per Barang)'!$A:$A,'REKAP (Per Barang)'!J$4,'DATA (Per Barang)'!$K:$K,'REKAP (Per Barang)'!$B6)</f>
        <v>0</v>
      </c>
      <c r="K6" s="236">
        <f>COUNTIFS('DATA (Per Barang)'!$A:$A,'REKAP (Per Barang)'!K$4,'DATA (Per Barang)'!$K:$K,'REKAP (Per Barang)'!$B6)</f>
        <v>0</v>
      </c>
      <c r="L6" s="236">
        <f>COUNTIFS('DATA (Per Barang)'!$A:$A,'REKAP (Per Barang)'!L$4,'DATA (Per Barang)'!$K:$K,'REKAP (Per Barang)'!$B6)</f>
        <v>0</v>
      </c>
      <c r="M6" s="236">
        <f>COUNTIFS('DATA (Per Barang)'!$A:$A,'REKAP (Per Barang)'!M$4,'DATA (Per Barang)'!$K:$K,'REKAP (Per Barang)'!$B6)</f>
        <v>0</v>
      </c>
      <c r="N6" s="236">
        <f>COUNTIFS('DATA (Per Barang)'!$A:$A,'REKAP (Per Barang)'!N$4,'DATA (Per Barang)'!$K:$K,'REKAP (Per Barang)'!$B6)</f>
        <v>0</v>
      </c>
      <c r="O6" s="50">
        <f t="shared" si="0"/>
        <v>1</v>
      </c>
      <c r="P6" s="67"/>
      <c r="Q6" s="233"/>
      <c r="R6" s="53"/>
    </row>
    <row r="7" spans="2:18">
      <c r="B7" s="48" t="s">
        <v>15</v>
      </c>
      <c r="C7" s="49">
        <f>COUNTIFS('DATA (Per Barang)'!$A:$A,'REKAP (Per Barang)'!C$4,'DATA (Per Barang)'!$K:$K,'REKAP (Per Barang)'!$B7)</f>
        <v>2</v>
      </c>
      <c r="D7" s="49">
        <f>COUNTIFS('DATA (Per Barang)'!$A:$A,'REKAP (Per Barang)'!D$4,'DATA (Per Barang)'!$K:$K,'REKAP (Per Barang)'!$B7)</f>
        <v>3</v>
      </c>
      <c r="E7" s="236">
        <f>COUNTIFS('DATA (Per Barang)'!$A:$A,'REKAP (Per Barang)'!E$4,'DATA (Per Barang)'!$K:$K,'REKAP (Per Barang)'!$B7)</f>
        <v>0</v>
      </c>
      <c r="F7" s="49">
        <f>COUNTIFS('Data (Per Faktur)'!$A:$A,'REKAP (Faktur)'!F$4,'Data (Per Faktur)'!$K:$K,'REKAP (Faktur)'!$B7)</f>
        <v>2</v>
      </c>
      <c r="G7" s="236">
        <f>COUNTIFS('DATA (Per Barang)'!$A:$A,'REKAP (Per Barang)'!G$4,'DATA (Per Barang)'!$K:$K,'REKAP (Per Barang)'!$B7)</f>
        <v>3</v>
      </c>
      <c r="H7" s="49">
        <f>COUNTIFS('Data (Per Faktur)'!$A:$A,'REKAP (Faktur)'!H$4,'Data (Per Faktur)'!$K:$K,'REKAP (Faktur)'!$B7)</f>
        <v>0</v>
      </c>
      <c r="I7" s="49">
        <f>COUNTIFS('Data (Per Faktur)'!$A:$A,'REKAP (Faktur)'!I$4,'Data (Per Faktur)'!$K:$K,'REKAP (Faktur)'!$B7)</f>
        <v>0</v>
      </c>
      <c r="J7" s="49">
        <f>COUNTIFS('Data (Per Faktur)'!$A:$A,'REKAP (Faktur)'!J$4,'Data (Per Faktur)'!$K:$K,'REKAP (Faktur)'!$B7)</f>
        <v>0</v>
      </c>
      <c r="K7" s="49">
        <f>COUNTIFS('Data (Per Faktur)'!$A:$A,'REKAP (Faktur)'!K$4,'Data (Per Faktur)'!$K:$K,'REKAP (Faktur)'!$B7)</f>
        <v>0</v>
      </c>
      <c r="L7" s="49">
        <f>COUNTIFS('Data (Per Faktur)'!$A:$A,'REKAP (Faktur)'!L$4,'Data (Per Faktur)'!$K:$K,'REKAP (Faktur)'!$B7)</f>
        <v>0</v>
      </c>
      <c r="M7" s="49">
        <f>COUNTIFS('Data (Per Faktur)'!$A:$A,'REKAP (Faktur)'!M$4,'Data (Per Faktur)'!$K:$K,'REKAP (Faktur)'!$B7)</f>
        <v>0</v>
      </c>
      <c r="N7" s="236">
        <f>COUNTIFS('DATA (Per Barang)'!$A:$A,'REKAP (Per Barang)'!N$4,'DATA (Per Barang)'!$K:$K,'REKAP (Per Barang)'!$B7)</f>
        <v>0</v>
      </c>
      <c r="O7" s="50">
        <f t="shared" si="0"/>
        <v>10</v>
      </c>
      <c r="P7" s="67"/>
      <c r="Q7" s="233"/>
      <c r="R7" s="53"/>
    </row>
    <row r="8" spans="2:18">
      <c r="B8" s="48" t="s">
        <v>1</v>
      </c>
      <c r="C8" s="49">
        <f>COUNTIFS('DATA (Per Barang)'!$A:$A,'REKAP (Per Barang)'!C$4,'DATA (Per Barang)'!$K:$K,'REKAP (Per Barang)'!$B8)</f>
        <v>6</v>
      </c>
      <c r="D8" s="49">
        <f>COUNTIFS('DATA (Per Barang)'!$A:$A,'REKAP (Per Barang)'!D$4,'DATA (Per Barang)'!$K:$K,'REKAP (Per Barang)'!$B8)</f>
        <v>4</v>
      </c>
      <c r="E8" s="236">
        <f>COUNTIFS('DATA (Per Barang)'!$A:$A,'REKAP (Per Barang)'!E$4,'DATA (Per Barang)'!$K:$K,'REKAP (Per Barang)'!$B8)</f>
        <v>3</v>
      </c>
      <c r="F8" s="49">
        <f>COUNTIFS('Data (Per Faktur)'!$A:$A,'REKAP (Faktur)'!F$4,'Data (Per Faktur)'!$K:$K,'REKAP (Faktur)'!$B8)</f>
        <v>5</v>
      </c>
      <c r="G8" s="236">
        <f>COUNTIFS('DATA (Per Barang)'!$A:$A,'REKAP (Per Barang)'!G$4,'DATA (Per Barang)'!$K:$K,'REKAP (Per Barang)'!$B8)</f>
        <v>7</v>
      </c>
      <c r="H8" s="49">
        <f>COUNTIFS('Data (Per Faktur)'!$A:$A,'REKAP (Faktur)'!H$4,'Data (Per Faktur)'!$K:$K,'REKAP (Faktur)'!$B8)</f>
        <v>0</v>
      </c>
      <c r="I8" s="49">
        <f>COUNTIFS('Data (Per Faktur)'!$A:$A,'REKAP (Faktur)'!I$4,'Data (Per Faktur)'!$K:$K,'REKAP (Faktur)'!$B8)</f>
        <v>0</v>
      </c>
      <c r="J8" s="49">
        <f>COUNTIFS('Data (Per Faktur)'!$A:$A,'REKAP (Faktur)'!J$4,'Data (Per Faktur)'!$K:$K,'REKAP (Faktur)'!$B8)</f>
        <v>0</v>
      </c>
      <c r="K8" s="49">
        <f>COUNTIFS('Data (Per Faktur)'!$A:$A,'REKAP (Faktur)'!K$4,'Data (Per Faktur)'!$K:$K,'REKAP (Faktur)'!$B8)</f>
        <v>0</v>
      </c>
      <c r="L8" s="49">
        <f>COUNTIFS('Data (Per Faktur)'!$A:$A,'REKAP (Faktur)'!L$4,'Data (Per Faktur)'!$K:$K,'REKAP (Faktur)'!$B8)</f>
        <v>0</v>
      </c>
      <c r="M8" s="49">
        <f>COUNTIFS('Data (Per Faktur)'!$A:$A,'REKAP (Faktur)'!M$4,'Data (Per Faktur)'!$K:$K,'REKAP (Faktur)'!$B8)</f>
        <v>0</v>
      </c>
      <c r="N8" s="236">
        <f>COUNTIFS('DATA (Per Barang)'!$A:$A,'REKAP (Per Barang)'!N$4,'DATA (Per Barang)'!$K:$K,'REKAP (Per Barang)'!$B8)</f>
        <v>0</v>
      </c>
      <c r="O8" s="50">
        <f t="shared" si="0"/>
        <v>25</v>
      </c>
      <c r="P8" s="67"/>
      <c r="Q8" s="233"/>
      <c r="R8" s="53"/>
    </row>
    <row r="9" spans="2:18" ht="26.25" customHeight="1">
      <c r="B9" s="235" t="s">
        <v>661</v>
      </c>
      <c r="C9" s="49">
        <f>COUNTIFS('DATA (Per Barang)'!$A:$A,'REKAP (Per Barang)'!C$4,'DATA (Per Barang)'!$K:$K,'REKAP (Per Barang)'!$B9)</f>
        <v>2</v>
      </c>
      <c r="D9" s="49">
        <f>COUNTIFS('DATA (Per Barang)'!$A:$A,'REKAP (Per Barang)'!D$4,'DATA (Per Barang)'!$K:$K,'REKAP (Per Barang)'!$B9)</f>
        <v>1</v>
      </c>
      <c r="E9" s="236">
        <f>COUNTIFS('DATA (Per Barang)'!$A:$A,'REKAP (Per Barang)'!E$4,'DATA (Per Barang)'!$K:$K,'REKAP (Per Barang)'!$B9)</f>
        <v>0</v>
      </c>
      <c r="F9" s="49">
        <f>COUNTIFS('Data (Per Faktur)'!$A:$A,'REKAP (Faktur)'!F$4,'Data (Per Faktur)'!$K:$K,'REKAP (Faktur)'!$B9)</f>
        <v>1</v>
      </c>
      <c r="G9" s="236">
        <f>COUNTIFS('DATA (Per Barang)'!$A:$A,'REKAP (Per Barang)'!G$4,'DATA (Per Barang)'!$K:$K,'REKAP (Per Barang)'!$B9)</f>
        <v>1</v>
      </c>
      <c r="H9" s="49">
        <f>COUNTIFS('Data (Per Faktur)'!$A:$A,'REKAP (Faktur)'!H$4,'Data (Per Faktur)'!$K:$K,'REKAP (Faktur)'!$B9)</f>
        <v>0</v>
      </c>
      <c r="I9" s="49">
        <f>COUNTIFS('Data (Per Faktur)'!$A:$A,'REKAP (Faktur)'!I$4,'Data (Per Faktur)'!$K:$K,'REKAP (Faktur)'!$B9)</f>
        <v>0</v>
      </c>
      <c r="J9" s="49">
        <f>COUNTIFS('Data (Per Faktur)'!$A:$A,'REKAP (Faktur)'!J$4,'Data (Per Faktur)'!$K:$K,'REKAP (Faktur)'!$B9)</f>
        <v>0</v>
      </c>
      <c r="K9" s="49">
        <f>COUNTIFS('Data (Per Faktur)'!$A:$A,'REKAP (Faktur)'!K$4,'Data (Per Faktur)'!$K:$K,'REKAP (Faktur)'!$B9)</f>
        <v>0</v>
      </c>
      <c r="L9" s="49">
        <f>COUNTIFS('Data (Per Faktur)'!$A:$A,'REKAP (Faktur)'!L$4,'Data (Per Faktur)'!$K:$K,'REKAP (Faktur)'!$B9)</f>
        <v>0</v>
      </c>
      <c r="M9" s="49">
        <f>COUNTIFS('Data (Per Faktur)'!$A:$A,'REKAP (Faktur)'!M$4,'Data (Per Faktur)'!$K:$K,'REKAP (Faktur)'!$B9)</f>
        <v>0</v>
      </c>
      <c r="N9" s="236">
        <f>COUNTIFS('DATA (Per Barang)'!$A:$A,'REKAP (Per Barang)'!N$4,'DATA (Per Barang)'!$K:$K,'REKAP (Per Barang)'!$B9)</f>
        <v>0</v>
      </c>
      <c r="O9" s="237">
        <f t="shared" si="0"/>
        <v>5</v>
      </c>
      <c r="P9" s="67"/>
      <c r="Q9" s="234"/>
      <c r="R9" s="55"/>
    </row>
    <row r="10" spans="2:18">
      <c r="B10" s="48" t="s">
        <v>16</v>
      </c>
      <c r="C10" s="49">
        <f>COUNTIFS('DATA (Per Barang)'!$A:$A,'REKAP (Per Barang)'!C$4,'DATA (Per Barang)'!$K:$K,'REKAP (Per Barang)'!$B10)</f>
        <v>0</v>
      </c>
      <c r="D10" s="49">
        <f>COUNTIFS('DATA (Per Barang)'!$A:$A,'REKAP (Per Barang)'!D$4,'DATA (Per Barang)'!$K:$K,'REKAP (Per Barang)'!$B10)</f>
        <v>0</v>
      </c>
      <c r="E10" s="236">
        <f>COUNTIFS('DATA (Per Barang)'!$A:$A,'REKAP (Per Barang)'!E$4,'DATA (Per Barang)'!$K:$K,'REKAP (Per Barang)'!$B10)</f>
        <v>4</v>
      </c>
      <c r="F10" s="49">
        <f>COUNTIFS('Data (Per Faktur)'!$A:$A,'REKAP (Faktur)'!F$4,'Data (Per Faktur)'!$K:$K,'REKAP (Faktur)'!$B10)</f>
        <v>1</v>
      </c>
      <c r="G10" s="236">
        <f>COUNTIFS('DATA (Per Barang)'!$A:$A,'REKAP (Per Barang)'!G$4,'DATA (Per Barang)'!$K:$K,'REKAP (Per Barang)'!$B10)</f>
        <v>0</v>
      </c>
      <c r="H10" s="49">
        <f>COUNTIFS('Data (Per Faktur)'!$A:$A,'REKAP (Faktur)'!H$4,'Data (Per Faktur)'!$K:$K,'REKAP (Faktur)'!$B10)</f>
        <v>0</v>
      </c>
      <c r="I10" s="49">
        <f>COUNTIFS('Data (Per Faktur)'!$A:$A,'REKAP (Faktur)'!I$4,'Data (Per Faktur)'!$K:$K,'REKAP (Faktur)'!$B10)</f>
        <v>0</v>
      </c>
      <c r="J10" s="49">
        <f>COUNTIFS('Data (Per Faktur)'!$A:$A,'REKAP (Faktur)'!J$4,'Data (Per Faktur)'!$K:$K,'REKAP (Faktur)'!$B10)</f>
        <v>0</v>
      </c>
      <c r="K10" s="49">
        <f>COUNTIFS('Data (Per Faktur)'!$A:$A,'REKAP (Faktur)'!K$4,'Data (Per Faktur)'!$K:$K,'REKAP (Faktur)'!$B10)</f>
        <v>0</v>
      </c>
      <c r="L10" s="49">
        <f>COUNTIFS('Data (Per Faktur)'!$A:$A,'REKAP (Faktur)'!L$4,'Data (Per Faktur)'!$K:$K,'REKAP (Faktur)'!$B10)</f>
        <v>0</v>
      </c>
      <c r="M10" s="49">
        <f>COUNTIFS('Data (Per Faktur)'!$A:$A,'REKAP (Faktur)'!M$4,'Data (Per Faktur)'!$K:$K,'REKAP (Faktur)'!$B10)</f>
        <v>0</v>
      </c>
      <c r="N10" s="236">
        <f>COUNTIFS('DATA (Per Barang)'!$A:$A,'REKAP (Per Barang)'!N$4,'DATA (Per Barang)'!$K:$K,'REKAP (Per Barang)'!$B10)</f>
        <v>0</v>
      </c>
      <c r="O10" s="50">
        <f t="shared" si="0"/>
        <v>5</v>
      </c>
      <c r="P10" s="67"/>
    </row>
    <row r="11" spans="2:18">
      <c r="B11" s="48" t="s">
        <v>73</v>
      </c>
      <c r="C11" s="49">
        <f>COUNTIFS('DATA (Per Barang)'!$A:$A,'REKAP (Per Barang)'!C$4,'DATA (Per Barang)'!$K:$K,'REKAP (Per Barang)'!$B11)</f>
        <v>1</v>
      </c>
      <c r="D11" s="49">
        <f>COUNTIFS('DATA (Per Barang)'!$A:$A,'REKAP (Per Barang)'!D$4,'DATA (Per Barang)'!$K:$K,'REKAP (Per Barang)'!$B11)</f>
        <v>0</v>
      </c>
      <c r="E11" s="236">
        <f>COUNTIFS('DATA (Per Barang)'!$A:$A,'REKAP (Per Barang)'!E$4,'DATA (Per Barang)'!$K:$K,'REKAP (Per Barang)'!$B11)</f>
        <v>0</v>
      </c>
      <c r="F11" s="49">
        <f>COUNTIFS('Data (Per Faktur)'!$A:$A,'REKAP (Faktur)'!F$4,'Data (Per Faktur)'!$K:$K,'REKAP (Faktur)'!$B11)</f>
        <v>1</v>
      </c>
      <c r="G11" s="236">
        <f>COUNTIFS('DATA (Per Barang)'!$A:$A,'REKAP (Per Barang)'!G$4,'DATA (Per Barang)'!$K:$K,'REKAP (Per Barang)'!$B11)</f>
        <v>0</v>
      </c>
      <c r="H11" s="49">
        <f>COUNTIFS('Data (Per Faktur)'!$A:$A,'REKAP (Faktur)'!H$4,'Data (Per Faktur)'!$K:$K,'REKAP (Faktur)'!$B11)</f>
        <v>0</v>
      </c>
      <c r="I11" s="49">
        <f>COUNTIFS('Data (Per Faktur)'!$A:$A,'REKAP (Faktur)'!I$4,'Data (Per Faktur)'!$K:$K,'REKAP (Faktur)'!$B11)</f>
        <v>0</v>
      </c>
      <c r="J11" s="49">
        <f>COUNTIFS('Data (Per Faktur)'!$A:$A,'REKAP (Faktur)'!J$4,'Data (Per Faktur)'!$K:$K,'REKAP (Faktur)'!$B11)</f>
        <v>0</v>
      </c>
      <c r="K11" s="49">
        <f>COUNTIFS('Data (Per Faktur)'!$A:$A,'REKAP (Faktur)'!K$4,'Data (Per Faktur)'!$K:$K,'REKAP (Faktur)'!$B11)</f>
        <v>0</v>
      </c>
      <c r="L11" s="49">
        <f>COUNTIFS('Data (Per Faktur)'!$A:$A,'REKAP (Faktur)'!L$4,'Data (Per Faktur)'!$K:$K,'REKAP (Faktur)'!$B11)</f>
        <v>0</v>
      </c>
      <c r="M11" s="49">
        <f>COUNTIFS('Data (Per Faktur)'!$A:$A,'REKAP (Faktur)'!M$4,'Data (Per Faktur)'!$K:$K,'REKAP (Faktur)'!$B11)</f>
        <v>0</v>
      </c>
      <c r="N11" s="236">
        <f>COUNTIFS('DATA (Per Barang)'!$A:$A,'REKAP (Per Barang)'!N$4,'DATA (Per Barang)'!$K:$K,'REKAP (Per Barang)'!$B11)</f>
        <v>0</v>
      </c>
      <c r="O11" s="50">
        <f t="shared" si="0"/>
        <v>2</v>
      </c>
      <c r="P11" s="67"/>
      <c r="Q11" s="233"/>
      <c r="R11" s="53"/>
    </row>
    <row r="12" spans="2:18">
      <c r="B12" s="48" t="s">
        <v>2</v>
      </c>
      <c r="C12" s="49">
        <f>COUNTIFS('DATA (Per Barang)'!$A:$A,'REKAP (Per Barang)'!C$4,'DATA (Per Barang)'!$K:$K,'REKAP (Per Barang)'!$B12)</f>
        <v>0</v>
      </c>
      <c r="D12" s="49">
        <f>COUNTIFS('DATA (Per Barang)'!$A:$A,'REKAP (Per Barang)'!D$4,'DATA (Per Barang)'!$K:$K,'REKAP (Per Barang)'!$B12)</f>
        <v>0</v>
      </c>
      <c r="E12" s="236">
        <f>COUNTIFS('DATA (Per Barang)'!$A:$A,'REKAP (Per Barang)'!E$4,'DATA (Per Barang)'!$K:$K,'REKAP (Per Barang)'!$B12)</f>
        <v>0</v>
      </c>
      <c r="F12" s="49">
        <f>COUNTIFS('Data (Per Faktur)'!$A:$A,'REKAP (Faktur)'!F$4,'Data (Per Faktur)'!$K:$K,'REKAP (Faktur)'!$B12)</f>
        <v>0</v>
      </c>
      <c r="G12" s="236">
        <f>COUNTIFS('DATA (Per Barang)'!$A:$A,'REKAP (Per Barang)'!G$4,'DATA (Per Barang)'!$K:$K,'REKAP (Per Barang)'!$B12)</f>
        <v>0</v>
      </c>
      <c r="H12" s="49">
        <f>COUNTIFS('Data (Per Faktur)'!$A:$A,'REKAP (Faktur)'!H$4,'Data (Per Faktur)'!$K:$K,'REKAP (Faktur)'!$B12)</f>
        <v>0</v>
      </c>
      <c r="I12" s="49">
        <f>COUNTIFS('Data (Per Faktur)'!$A:$A,'REKAP (Faktur)'!I$4,'Data (Per Faktur)'!$K:$K,'REKAP (Faktur)'!$B12)</f>
        <v>0</v>
      </c>
      <c r="J12" s="49">
        <f>COUNTIFS('Data (Per Faktur)'!$A:$A,'REKAP (Faktur)'!J$4,'Data (Per Faktur)'!$K:$K,'REKAP (Faktur)'!$B12)</f>
        <v>0</v>
      </c>
      <c r="K12" s="49">
        <f>COUNTIFS('Data (Per Faktur)'!$A:$A,'REKAP (Faktur)'!K$4,'Data (Per Faktur)'!$K:$K,'REKAP (Faktur)'!$B12)</f>
        <v>0</v>
      </c>
      <c r="L12" s="49">
        <f>COUNTIFS('Data (Per Faktur)'!$A:$A,'REKAP (Faktur)'!L$4,'Data (Per Faktur)'!$K:$K,'REKAP (Faktur)'!$B12)</f>
        <v>0</v>
      </c>
      <c r="M12" s="49">
        <f>COUNTIFS('Data (Per Faktur)'!$A:$A,'REKAP (Faktur)'!M$4,'Data (Per Faktur)'!$K:$K,'REKAP (Faktur)'!$B12)</f>
        <v>0</v>
      </c>
      <c r="N12" s="236">
        <f>COUNTIFS('DATA (Per Barang)'!$A:$A,'REKAP (Per Barang)'!N$4,'DATA (Per Barang)'!$K:$K,'REKAP (Per Barang)'!$B12)</f>
        <v>0</v>
      </c>
      <c r="O12" s="50">
        <f t="shared" si="0"/>
        <v>0</v>
      </c>
      <c r="P12" s="67"/>
      <c r="Q12" s="233"/>
      <c r="R12" s="53"/>
    </row>
    <row r="13" spans="2:18">
      <c r="B13" s="48" t="s">
        <v>72</v>
      </c>
      <c r="C13" s="49">
        <f>COUNTIFS('DATA (Per Barang)'!$A:$A,'REKAP (Per Barang)'!C$4,'DATA (Per Barang)'!$K:$K,'REKAP (Per Barang)'!$B13)</f>
        <v>2</v>
      </c>
      <c r="D13" s="49">
        <f>COUNTIFS('DATA (Per Barang)'!$A:$A,'REKAP (Per Barang)'!D$4,'DATA (Per Barang)'!$K:$K,'REKAP (Per Barang)'!$B13)</f>
        <v>0</v>
      </c>
      <c r="E13" s="236">
        <f>COUNTIFS('DATA (Per Barang)'!$A:$A,'REKAP (Per Barang)'!E$4,'DATA (Per Barang)'!$K:$K,'REKAP (Per Barang)'!$B13)</f>
        <v>0</v>
      </c>
      <c r="F13" s="49">
        <f>COUNTIFS('Data (Per Faktur)'!$A:$A,'REKAP (Faktur)'!F$4,'Data (Per Faktur)'!$K:$K,'REKAP (Faktur)'!$B13)</f>
        <v>0</v>
      </c>
      <c r="G13" s="236">
        <f>COUNTIFS('DATA (Per Barang)'!$A:$A,'REKAP (Per Barang)'!G$4,'DATA (Per Barang)'!$K:$K,'REKAP (Per Barang)'!$B13)</f>
        <v>0</v>
      </c>
      <c r="H13" s="49">
        <f>COUNTIFS('Data (Per Faktur)'!$A:$A,'REKAP (Faktur)'!H$4,'Data (Per Faktur)'!$K:$K,'REKAP (Faktur)'!$B13)</f>
        <v>0</v>
      </c>
      <c r="I13" s="49">
        <f>COUNTIFS('Data (Per Faktur)'!$A:$A,'REKAP (Faktur)'!I$4,'Data (Per Faktur)'!$K:$K,'REKAP (Faktur)'!$B13)</f>
        <v>0</v>
      </c>
      <c r="J13" s="49">
        <f>COUNTIFS('Data (Per Faktur)'!$A:$A,'REKAP (Faktur)'!J$4,'Data (Per Faktur)'!$K:$K,'REKAP (Faktur)'!$B13)</f>
        <v>0</v>
      </c>
      <c r="K13" s="49">
        <f>COUNTIFS('Data (Per Faktur)'!$A:$A,'REKAP (Faktur)'!K$4,'Data (Per Faktur)'!$K:$K,'REKAP (Faktur)'!$B13)</f>
        <v>0</v>
      </c>
      <c r="L13" s="49">
        <f>COUNTIFS('Data (Per Faktur)'!$A:$A,'REKAP (Faktur)'!L$4,'Data (Per Faktur)'!$K:$K,'REKAP (Faktur)'!$B13)</f>
        <v>0</v>
      </c>
      <c r="M13" s="49">
        <f>COUNTIFS('Data (Per Faktur)'!$A:$A,'REKAP (Faktur)'!M$4,'Data (Per Faktur)'!$K:$K,'REKAP (Faktur)'!$B13)</f>
        <v>0</v>
      </c>
      <c r="N13" s="236">
        <f>COUNTIFS('DATA (Per Barang)'!$A:$A,'REKAP (Per Barang)'!N$4,'DATA (Per Barang)'!$K:$K,'REKAP (Per Barang)'!$B13)</f>
        <v>0</v>
      </c>
      <c r="O13" s="50">
        <f t="shared" si="0"/>
        <v>2</v>
      </c>
      <c r="P13" s="67"/>
      <c r="Q13" s="234"/>
      <c r="R13" s="53"/>
    </row>
    <row r="14" spans="2:18">
      <c r="B14" s="48" t="s">
        <v>17</v>
      </c>
      <c r="C14" s="49">
        <f>COUNTIFS('DATA (Per Barang)'!$A:$A,'REKAP (Per Barang)'!C$4,'DATA (Per Barang)'!$K:$K,'REKAP (Per Barang)'!$B14)</f>
        <v>0</v>
      </c>
      <c r="D14" s="49">
        <f>COUNTIFS('DATA (Per Barang)'!$A:$A,'REKAP (Per Barang)'!D$4,'DATA (Per Barang)'!$K:$K,'REKAP (Per Barang)'!$B14)</f>
        <v>0</v>
      </c>
      <c r="E14" s="236">
        <f>COUNTIFS('DATA (Per Barang)'!$A:$A,'REKAP (Per Barang)'!E$4,'DATA (Per Barang)'!$K:$K,'REKAP (Per Barang)'!$B14)</f>
        <v>0</v>
      </c>
      <c r="F14" s="49">
        <f>COUNTIFS('DATA (Per Barang)'!$A:$A,'REKAP (Per Barang)'!F$4,'DATA (Per Barang)'!$K:$K,'REKAP (Per Barang)'!$B14)</f>
        <v>1</v>
      </c>
      <c r="G14" s="49">
        <f>COUNTIFS('DATA (Per Barang)'!$A:$A,'REKAP (Per Barang)'!G$4,'DATA (Per Barang)'!$K:$K,'REKAP (Per Barang)'!$B14)</f>
        <v>0</v>
      </c>
      <c r="H14" s="49">
        <f>COUNTIFS('DATA (Per Barang)'!$A:$A,'REKAP (Per Barang)'!H$4,'DATA (Per Barang)'!$K:$K,'REKAP (Per Barang)'!$B14)</f>
        <v>0</v>
      </c>
      <c r="I14" s="49">
        <f>COUNTIFS('DATA (Per Barang)'!$A:$A,'REKAP (Per Barang)'!I$4,'DATA (Per Barang)'!$K:$K,'REKAP (Per Barang)'!$B14)</f>
        <v>0</v>
      </c>
      <c r="J14" s="49">
        <f>COUNTIFS('DATA (Per Barang)'!$A:$A,'REKAP (Per Barang)'!J$4,'DATA (Per Barang)'!$K:$K,'REKAP (Per Barang)'!$B14)</f>
        <v>0</v>
      </c>
      <c r="K14" s="49">
        <f>COUNTIFS('DATA (Per Barang)'!$A:$A,'REKAP (Per Barang)'!K$4,'DATA (Per Barang)'!$K:$K,'REKAP (Per Barang)'!$B14)</f>
        <v>0</v>
      </c>
      <c r="L14" s="49">
        <f>COUNTIFS('DATA (Per Barang)'!$A:$A,'REKAP (Per Barang)'!L$4,'DATA (Per Barang)'!$K:$K,'REKAP (Per Barang)'!$B14)</f>
        <v>0</v>
      </c>
      <c r="M14" s="49">
        <f>COUNTIFS('DATA (Per Barang)'!$A:$A,'REKAP (Per Barang)'!M$4,'DATA (Per Barang)'!$K:$K,'REKAP (Per Barang)'!$B14)</f>
        <v>0</v>
      </c>
      <c r="N14" s="236">
        <f>COUNTIFS('DATA (Per Barang)'!$A:$A,'REKAP (Per Barang)'!N$4,'DATA (Per Barang)'!$K:$K,'REKAP (Per Barang)'!$B14)</f>
        <v>0</v>
      </c>
      <c r="O14" s="50">
        <f t="shared" si="0"/>
        <v>1</v>
      </c>
      <c r="P14" s="67"/>
      <c r="Q14" s="233"/>
      <c r="R14" s="53"/>
    </row>
    <row r="15" spans="2:18">
      <c r="B15" s="48" t="s">
        <v>1416</v>
      </c>
      <c r="C15" s="49">
        <f>COUNTIFS('DATA (Per Barang)'!$A:$A,'REKAP (Per Barang)'!C$4,'DATA (Per Barang)'!$K:$K,'REKAP (Per Barang)'!$B15)</f>
        <v>0</v>
      </c>
      <c r="D15" s="49">
        <f>COUNTIFS('DATA (Per Barang)'!$A:$A,'REKAP (Per Barang)'!D$4,'DATA (Per Barang)'!$K:$K,'REKAP (Per Barang)'!$B15)</f>
        <v>0</v>
      </c>
      <c r="E15" s="236">
        <f>COUNTIFS('DATA (Per Barang)'!$A:$A,'REKAP (Per Barang)'!E$4,'DATA (Per Barang)'!$K:$K,'REKAP (Per Barang)'!$B15)</f>
        <v>0</v>
      </c>
      <c r="F15" s="49">
        <f>COUNTIFS('Data (Per Faktur)'!$A:$A,'REKAP (Faktur)'!F$4,'Data (Per Faktur)'!$K:$K,'REKAP (Faktur)'!$B15)</f>
        <v>0</v>
      </c>
      <c r="G15" s="49">
        <f>COUNTIFS('Data (Per Faktur)'!$A:$A,'REKAP (Faktur)'!G$4,'Data (Per Faktur)'!$K:$K,'REKAP (Faktur)'!$B15)</f>
        <v>0</v>
      </c>
      <c r="H15" s="49">
        <f>COUNTIFS('Data (Per Faktur)'!$A:$A,'REKAP (Faktur)'!H$4,'Data (Per Faktur)'!$K:$K,'REKAP (Faktur)'!$B15)</f>
        <v>0</v>
      </c>
      <c r="I15" s="49">
        <f>COUNTIFS('Data (Per Faktur)'!$A:$A,'REKAP (Faktur)'!I$4,'Data (Per Faktur)'!$K:$K,'REKAP (Faktur)'!$B15)</f>
        <v>0</v>
      </c>
      <c r="J15" s="49">
        <f>COUNTIFS('Data (Per Faktur)'!$A:$A,'REKAP (Faktur)'!J$4,'Data (Per Faktur)'!$K:$K,'REKAP (Faktur)'!$B15)</f>
        <v>0</v>
      </c>
      <c r="K15" s="49">
        <f>COUNTIFS('Data (Per Faktur)'!$A:$A,'REKAP (Faktur)'!K$4,'Data (Per Faktur)'!$K:$K,'REKAP (Faktur)'!$B15)</f>
        <v>0</v>
      </c>
      <c r="L15" s="49">
        <f>COUNTIFS('Data (Per Faktur)'!$A:$A,'REKAP (Faktur)'!L$4,'Data (Per Faktur)'!$K:$K,'REKAP (Faktur)'!$B15)</f>
        <v>0</v>
      </c>
      <c r="M15" s="49">
        <f>COUNTIFS('Data (Per Faktur)'!$A:$A,'REKAP (Faktur)'!M$4,'Data (Per Faktur)'!$K:$K,'REKAP (Faktur)'!$B15)</f>
        <v>0</v>
      </c>
      <c r="N15" s="236">
        <f>COUNTIFS('DATA (Per Barang)'!$A:$A,'REKAP (Per Barang)'!N$4,'DATA (Per Barang)'!$K:$K,'REKAP (Per Barang)'!$B15)</f>
        <v>0</v>
      </c>
      <c r="O15" s="50">
        <f t="shared" si="0"/>
        <v>0</v>
      </c>
      <c r="P15" s="67"/>
    </row>
    <row r="16" spans="2:18">
      <c r="B16" s="48" t="s">
        <v>53</v>
      </c>
      <c r="C16" s="49">
        <f>COUNTIFS('DATA (Per Barang)'!$A:$A,'REKAP (Per Barang)'!C$4,'DATA (Per Barang)'!$K:$K,'REKAP (Per Barang)'!$B16)</f>
        <v>0</v>
      </c>
      <c r="D16" s="49">
        <f>COUNTIFS('DATA (Per Barang)'!$A:$A,'REKAP (Per Barang)'!D$4,'DATA (Per Barang)'!$K:$K,'REKAP (Per Barang)'!$B16)</f>
        <v>0</v>
      </c>
      <c r="E16" s="236">
        <f>COUNTIFS('DATA (Per Barang)'!$A:$A,'REKAP (Per Barang)'!E$4,'DATA (Per Barang)'!$K:$K,'REKAP (Per Barang)'!$B16)</f>
        <v>0</v>
      </c>
      <c r="F16" s="49">
        <f>COUNTIFS('Data (Per Faktur)'!$A:$A,'REKAP (Faktur)'!F$4,'Data (Per Faktur)'!$K:$K,'REKAP (Faktur)'!$B16)</f>
        <v>0</v>
      </c>
      <c r="G16" s="49">
        <f>COUNTIFS('Data (Per Faktur)'!$A:$A,'REKAP (Faktur)'!G$4,'Data (Per Faktur)'!$K:$K,'REKAP (Faktur)'!$B16)</f>
        <v>0</v>
      </c>
      <c r="H16" s="49">
        <f>COUNTIFS('Data (Per Faktur)'!$A:$A,'REKAP (Faktur)'!H$4,'Data (Per Faktur)'!$K:$K,'REKAP (Faktur)'!$B16)</f>
        <v>0</v>
      </c>
      <c r="I16" s="49">
        <f>COUNTIFS('Data (Per Faktur)'!$A:$A,'REKAP (Faktur)'!I$4,'Data (Per Faktur)'!$K:$K,'REKAP (Faktur)'!$B16)</f>
        <v>0</v>
      </c>
      <c r="J16" s="49">
        <f>COUNTIFS('Data (Per Faktur)'!$A:$A,'REKAP (Faktur)'!J$4,'Data (Per Faktur)'!$K:$K,'REKAP (Faktur)'!$B16)</f>
        <v>0</v>
      </c>
      <c r="K16" s="49">
        <f>COUNTIFS('Data (Per Faktur)'!$A:$A,'REKAP (Faktur)'!K$4,'Data (Per Faktur)'!$K:$K,'REKAP (Faktur)'!$B16)</f>
        <v>0</v>
      </c>
      <c r="L16" s="49">
        <f>COUNTIFS('Data (Per Faktur)'!$A:$A,'REKAP (Faktur)'!L$4,'Data (Per Faktur)'!$K:$K,'REKAP (Faktur)'!$B16)</f>
        <v>0</v>
      </c>
      <c r="M16" s="49">
        <f>COUNTIFS('Data (Per Faktur)'!$A:$A,'REKAP (Faktur)'!M$4,'Data (Per Faktur)'!$K:$K,'REKAP (Faktur)'!$B16)</f>
        <v>0</v>
      </c>
      <c r="N16" s="236">
        <f>COUNTIFS('DATA (Per Barang)'!$A:$A,'REKAP (Per Barang)'!N$4,'DATA (Per Barang)'!$K:$K,'REKAP (Per Barang)'!$B16)</f>
        <v>0</v>
      </c>
      <c r="O16" s="50">
        <f t="shared" si="0"/>
        <v>0</v>
      </c>
      <c r="P16" s="67"/>
      <c r="Q16" s="53"/>
    </row>
    <row r="17" spans="2:17">
      <c r="B17" s="48" t="s">
        <v>54</v>
      </c>
      <c r="C17" s="49">
        <f>COUNTIFS('DATA (Per Barang)'!$A:$A,'REKAP (Per Barang)'!C$4,'DATA (Per Barang)'!$K:$K,'REKAP (Per Barang)'!$B17)</f>
        <v>0</v>
      </c>
      <c r="D17" s="49">
        <f>COUNTIFS('DATA (Per Barang)'!$A:$A,'REKAP (Per Barang)'!D$4,'DATA (Per Barang)'!$K:$K,'REKAP (Per Barang)'!$B17)</f>
        <v>0</v>
      </c>
      <c r="E17" s="236">
        <f>COUNTIFS('DATA (Per Barang)'!$A:$A,'REKAP (Per Barang)'!E$4,'DATA (Per Barang)'!$K:$K,'REKAP (Per Barang)'!$B17)</f>
        <v>0</v>
      </c>
      <c r="F17" s="49">
        <f>COUNTIFS('Data (Per Faktur)'!$A:$A,'REKAP (Faktur)'!F$4,'Data (Per Faktur)'!$K:$K,'REKAP (Faktur)'!$B17)</f>
        <v>0</v>
      </c>
      <c r="G17" s="49">
        <f>COUNTIFS('Data (Per Faktur)'!$A:$A,'REKAP (Faktur)'!G$4,'Data (Per Faktur)'!$K:$K,'REKAP (Faktur)'!$B17)</f>
        <v>0</v>
      </c>
      <c r="H17" s="49">
        <f>COUNTIFS('Data (Per Faktur)'!$A:$A,'REKAP (Faktur)'!H$4,'Data (Per Faktur)'!$K:$K,'REKAP (Faktur)'!$B17)</f>
        <v>0</v>
      </c>
      <c r="I17" s="49">
        <f>COUNTIFS('Data (Per Faktur)'!$A:$A,'REKAP (Faktur)'!I$4,'Data (Per Faktur)'!$K:$K,'REKAP (Faktur)'!$B17)</f>
        <v>0</v>
      </c>
      <c r="J17" s="49">
        <f>COUNTIFS('Data (Per Faktur)'!$A:$A,'REKAP (Faktur)'!J$4,'Data (Per Faktur)'!$K:$K,'REKAP (Faktur)'!$B17)</f>
        <v>0</v>
      </c>
      <c r="K17" s="49">
        <f>COUNTIFS('Data (Per Faktur)'!$A:$A,'REKAP (Faktur)'!K$4,'Data (Per Faktur)'!$K:$K,'REKAP (Faktur)'!$B17)</f>
        <v>0</v>
      </c>
      <c r="L17" s="49">
        <f>COUNTIFS('Data (Per Faktur)'!$A:$A,'REKAP (Faktur)'!L$4,'Data (Per Faktur)'!$K:$K,'REKAP (Faktur)'!$B17)</f>
        <v>0</v>
      </c>
      <c r="M17" s="49">
        <f>COUNTIFS('Data (Per Faktur)'!$A:$A,'REKAP (Faktur)'!M$4,'Data (Per Faktur)'!$K:$K,'REKAP (Faktur)'!$B17)</f>
        <v>0</v>
      </c>
      <c r="N17" s="236">
        <f>COUNTIFS('DATA (Per Barang)'!$A:$A,'REKAP (Per Barang)'!N$4,'DATA (Per Barang)'!$K:$K,'REKAP (Per Barang)'!$B17)</f>
        <v>0</v>
      </c>
      <c r="O17" s="50">
        <f t="shared" si="0"/>
        <v>0</v>
      </c>
      <c r="P17" s="67"/>
    </row>
    <row r="18" spans="2:17">
      <c r="B18" s="48" t="s">
        <v>50</v>
      </c>
      <c r="C18" s="49">
        <f>COUNTIFS('DATA (Per Barang)'!$A:$A,'REKAP (Per Barang)'!C$4,'DATA (Per Barang)'!$K:$K,'REKAP (Per Barang)'!$B18)</f>
        <v>0</v>
      </c>
      <c r="D18" s="49">
        <f>COUNTIFS('DATA (Per Barang)'!$A:$A,'REKAP (Per Barang)'!D$4,'DATA (Per Barang)'!$K:$K,'REKAP (Per Barang)'!$B18)</f>
        <v>0</v>
      </c>
      <c r="E18" s="236">
        <f>COUNTIFS('DATA (Per Barang)'!$A:$A,'REKAP (Per Barang)'!E$4,'DATA (Per Barang)'!$K:$K,'REKAP (Per Barang)'!$B18)</f>
        <v>0</v>
      </c>
      <c r="F18" s="49">
        <f>COUNTIFS('Data (Per Faktur)'!$A:$A,'REKAP (Faktur)'!F$4,'Data (Per Faktur)'!$K:$K,'REKAP (Faktur)'!$B18)</f>
        <v>0</v>
      </c>
      <c r="G18" s="49">
        <f>COUNTIFS('Data (Per Faktur)'!$A:$A,'REKAP (Faktur)'!G$4,'Data (Per Faktur)'!$K:$K,'REKAP (Faktur)'!$B18)</f>
        <v>0</v>
      </c>
      <c r="H18" s="49">
        <f>COUNTIFS('Data (Per Faktur)'!$A:$A,'REKAP (Faktur)'!H$4,'Data (Per Faktur)'!$K:$K,'REKAP (Faktur)'!$B18)</f>
        <v>0</v>
      </c>
      <c r="I18" s="49">
        <f>COUNTIFS('Data (Per Faktur)'!$A:$A,'REKAP (Faktur)'!I$4,'Data (Per Faktur)'!$K:$K,'REKAP (Faktur)'!$B18)</f>
        <v>0</v>
      </c>
      <c r="J18" s="49">
        <f>COUNTIFS('Data (Per Faktur)'!$A:$A,'REKAP (Faktur)'!J$4,'Data (Per Faktur)'!$K:$K,'REKAP (Faktur)'!$B18)</f>
        <v>0</v>
      </c>
      <c r="K18" s="49">
        <f>COUNTIFS('Data (Per Faktur)'!$A:$A,'REKAP (Faktur)'!K$4,'Data (Per Faktur)'!$K:$K,'REKAP (Faktur)'!$B18)</f>
        <v>0</v>
      </c>
      <c r="L18" s="49">
        <f>COUNTIFS('Data (Per Faktur)'!$A:$A,'REKAP (Faktur)'!L$4,'Data (Per Faktur)'!$K:$K,'REKAP (Faktur)'!$B18)</f>
        <v>0</v>
      </c>
      <c r="M18" s="49">
        <f>COUNTIFS('Data (Per Faktur)'!$A:$A,'REKAP (Faktur)'!M$4,'Data (Per Faktur)'!$K:$K,'REKAP (Faktur)'!$B18)</f>
        <v>0</v>
      </c>
      <c r="N18" s="236">
        <f>COUNTIFS('DATA (Per Barang)'!$A:$A,'REKAP (Per Barang)'!N$4,'DATA (Per Barang)'!$K:$K,'REKAP (Per Barang)'!$B18)</f>
        <v>0</v>
      </c>
      <c r="O18" s="50">
        <f t="shared" si="0"/>
        <v>0</v>
      </c>
      <c r="P18" s="67"/>
      <c r="Q18" s="53"/>
    </row>
    <row r="19" spans="2:17">
      <c r="B19" s="48" t="s">
        <v>59</v>
      </c>
      <c r="C19" s="49">
        <f>COUNTIFS('DATA (Per Barang)'!$A:$A,'REKAP (Per Barang)'!C$4,'DATA (Per Barang)'!$K:$K,'REKAP (Per Barang)'!$B19)</f>
        <v>0</v>
      </c>
      <c r="D19" s="49">
        <f>COUNTIFS('DATA (Per Barang)'!$A:$A,'REKAP (Per Barang)'!D$4,'DATA (Per Barang)'!$K:$K,'REKAP (Per Barang)'!$B19)</f>
        <v>0</v>
      </c>
      <c r="E19" s="236">
        <f>COUNTIFS('DATA (Per Barang)'!$A:$A,'REKAP (Per Barang)'!E$4,'DATA (Per Barang)'!$K:$K,'REKAP (Per Barang)'!$B19)</f>
        <v>1</v>
      </c>
      <c r="F19" s="49">
        <f>COUNTIFS('Data (Per Faktur)'!$A:$A,'REKAP (Faktur)'!F$4,'Data (Per Faktur)'!$K:$K,'REKAP (Faktur)'!$B19)</f>
        <v>0</v>
      </c>
      <c r="G19" s="49">
        <f>COUNTIFS('Data (Per Faktur)'!$A:$A,'REKAP (Faktur)'!G$4,'Data (Per Faktur)'!$K:$K,'REKAP (Faktur)'!$B19)</f>
        <v>0</v>
      </c>
      <c r="H19" s="49">
        <f>COUNTIFS('Data (Per Faktur)'!$A:$A,'REKAP (Faktur)'!H$4,'Data (Per Faktur)'!$K:$K,'REKAP (Faktur)'!$B19)</f>
        <v>0</v>
      </c>
      <c r="I19" s="49">
        <f>COUNTIFS('Data (Per Faktur)'!$A:$A,'REKAP (Faktur)'!I$4,'Data (Per Faktur)'!$K:$K,'REKAP (Faktur)'!$B19)</f>
        <v>0</v>
      </c>
      <c r="J19" s="49">
        <f>COUNTIFS('Data (Per Faktur)'!$A:$A,'REKAP (Faktur)'!J$4,'Data (Per Faktur)'!$K:$K,'REKAP (Faktur)'!$B19)</f>
        <v>0</v>
      </c>
      <c r="K19" s="49">
        <f>COUNTIFS('Data (Per Faktur)'!$A:$A,'REKAP (Faktur)'!K$4,'Data (Per Faktur)'!$K:$K,'REKAP (Faktur)'!$B19)</f>
        <v>0</v>
      </c>
      <c r="L19" s="49">
        <f>COUNTIFS('Data (Per Faktur)'!$A:$A,'REKAP (Faktur)'!L$4,'Data (Per Faktur)'!$K:$K,'REKAP (Faktur)'!$B19)</f>
        <v>0</v>
      </c>
      <c r="M19" s="49">
        <f>COUNTIFS('Data (Per Faktur)'!$A:$A,'REKAP (Faktur)'!M$4,'Data (Per Faktur)'!$K:$K,'REKAP (Faktur)'!$B19)</f>
        <v>0</v>
      </c>
      <c r="N19" s="236">
        <f>COUNTIFS('DATA (Per Barang)'!$A:$A,'REKAP (Per Barang)'!N$4,'DATA (Per Barang)'!$K:$K,'REKAP (Per Barang)'!$B19)</f>
        <v>0</v>
      </c>
      <c r="O19" s="50">
        <f t="shared" si="0"/>
        <v>1</v>
      </c>
      <c r="P19" s="67"/>
      <c r="Q19" s="53"/>
    </row>
    <row r="20" spans="2:17">
      <c r="B20" s="48" t="s">
        <v>1181</v>
      </c>
      <c r="C20" s="49">
        <f>COUNTIFS('DATA (Per Barang)'!$A:$A,'REKAP (Per Barang)'!C$4,'DATA (Per Barang)'!$K:$K,'REKAP (Per Barang)'!$B20)</f>
        <v>0</v>
      </c>
      <c r="D20" s="49">
        <f>COUNTIFS('DATA (Per Barang)'!$A:$A,'REKAP (Per Barang)'!D$4,'DATA (Per Barang)'!$K:$K,'REKAP (Per Barang)'!$B20)</f>
        <v>0</v>
      </c>
      <c r="E20" s="236">
        <f>COUNTIFS('DATA (Per Barang)'!$A:$A,'REKAP (Per Barang)'!E$4,'DATA (Per Barang)'!$K:$K,'REKAP (Per Barang)'!$B20)</f>
        <v>0</v>
      </c>
      <c r="F20" s="49">
        <f>COUNTIFS('Data (Per Faktur)'!$A:$A,'REKAP (Faktur)'!F$4,'Data (Per Faktur)'!$K:$K,'REKAP (Faktur)'!$B20)</f>
        <v>0</v>
      </c>
      <c r="G20" s="49">
        <f>COUNTIFS('Data (Per Faktur)'!$A:$A,'REKAP (Faktur)'!G$4,'Data (Per Faktur)'!$K:$K,'REKAP (Faktur)'!$B20)</f>
        <v>0</v>
      </c>
      <c r="H20" s="49">
        <f>COUNTIFS('Data (Per Faktur)'!$A:$A,'REKAP (Faktur)'!H$4,'Data (Per Faktur)'!$K:$K,'REKAP (Faktur)'!$B20)</f>
        <v>0</v>
      </c>
      <c r="I20" s="49">
        <f>COUNTIFS('Data (Per Faktur)'!$A:$A,'REKAP (Faktur)'!I$4,'Data (Per Faktur)'!$K:$K,'REKAP (Faktur)'!$B20)</f>
        <v>0</v>
      </c>
      <c r="J20" s="49">
        <f>COUNTIFS('Data (Per Faktur)'!$A:$A,'REKAP (Faktur)'!J$4,'Data (Per Faktur)'!$K:$K,'REKAP (Faktur)'!$B20)</f>
        <v>0</v>
      </c>
      <c r="K20" s="49">
        <f>COUNTIFS('Data (Per Faktur)'!$A:$A,'REKAP (Faktur)'!K$4,'Data (Per Faktur)'!$K:$K,'REKAP (Faktur)'!$B20)</f>
        <v>0</v>
      </c>
      <c r="L20" s="49">
        <f>COUNTIFS('Data (Per Faktur)'!$A:$A,'REKAP (Faktur)'!L$4,'Data (Per Faktur)'!$K:$K,'REKAP (Faktur)'!$B20)</f>
        <v>0</v>
      </c>
      <c r="M20" s="49">
        <f>COUNTIFS('Data (Per Faktur)'!$A:$A,'REKAP (Faktur)'!M$4,'Data (Per Faktur)'!$K:$K,'REKAP (Faktur)'!$B20)</f>
        <v>0</v>
      </c>
      <c r="N20" s="236">
        <f>COUNTIFS('DATA (Per Barang)'!$A:$A,'REKAP (Per Barang)'!N$4,'DATA (Per Barang)'!$K:$K,'REKAP (Per Barang)'!$B20)</f>
        <v>0</v>
      </c>
      <c r="O20" s="50">
        <f t="shared" si="0"/>
        <v>0</v>
      </c>
      <c r="P20" s="67"/>
      <c r="Q20" s="54"/>
    </row>
    <row r="21" spans="2:17">
      <c r="B21" s="48" t="s">
        <v>56</v>
      </c>
      <c r="C21" s="49">
        <f>COUNTIFS('DATA (Per Barang)'!$A:$A,'REKAP (Per Barang)'!C$4,'DATA (Per Barang)'!$K:$K,'REKAP (Per Barang)'!$B21)</f>
        <v>0</v>
      </c>
      <c r="D21" s="49">
        <f>COUNTIFS('DATA (Per Barang)'!$A:$A,'REKAP (Per Barang)'!D$4,'DATA (Per Barang)'!$K:$K,'REKAP (Per Barang)'!$B21)</f>
        <v>0</v>
      </c>
      <c r="E21" s="236">
        <f>COUNTIFS('DATA (Per Barang)'!$A:$A,'REKAP (Per Barang)'!E$4,'DATA (Per Barang)'!$K:$K,'REKAP (Per Barang)'!$B21)</f>
        <v>2</v>
      </c>
      <c r="F21" s="49">
        <f>COUNTIFS('Data (Per Faktur)'!$A:$A,'REKAP (Faktur)'!F$4,'Data (Per Faktur)'!$K:$K,'REKAP (Faktur)'!$B21)</f>
        <v>0</v>
      </c>
      <c r="G21" s="49">
        <f>COUNTIFS('Data (Per Faktur)'!$A:$A,'REKAP (Faktur)'!G$4,'Data (Per Faktur)'!$K:$K,'REKAP (Faktur)'!$B21)</f>
        <v>0</v>
      </c>
      <c r="H21" s="49">
        <f>COUNTIFS('Data (Per Faktur)'!$A:$A,'REKAP (Faktur)'!H$4,'Data (Per Faktur)'!$K:$K,'REKAP (Faktur)'!$B21)</f>
        <v>0</v>
      </c>
      <c r="I21" s="49">
        <f>COUNTIFS('Data (Per Faktur)'!$A:$A,'REKAP (Faktur)'!I$4,'Data (Per Faktur)'!$K:$K,'REKAP (Faktur)'!$B21)</f>
        <v>0</v>
      </c>
      <c r="J21" s="49">
        <f>COUNTIFS('Data (Per Faktur)'!$A:$A,'REKAP (Faktur)'!J$4,'Data (Per Faktur)'!$K:$K,'REKAP (Faktur)'!$B21)</f>
        <v>0</v>
      </c>
      <c r="K21" s="49">
        <f>COUNTIFS('Data (Per Faktur)'!$A:$A,'REKAP (Faktur)'!K$4,'Data (Per Faktur)'!$K:$K,'REKAP (Faktur)'!$B21)</f>
        <v>0</v>
      </c>
      <c r="L21" s="49">
        <f>COUNTIFS('Data (Per Faktur)'!$A:$A,'REKAP (Faktur)'!L$4,'Data (Per Faktur)'!$K:$K,'REKAP (Faktur)'!$B21)</f>
        <v>0</v>
      </c>
      <c r="M21" s="49">
        <f>COUNTIFS('Data (Per Faktur)'!$A:$A,'REKAP (Faktur)'!M$4,'Data (Per Faktur)'!$K:$K,'REKAP (Faktur)'!$B21)</f>
        <v>0</v>
      </c>
      <c r="N21" s="236">
        <f>COUNTIFS('DATA (Per Barang)'!$A:$A,'REKAP (Per Barang)'!N$4,'DATA (Per Barang)'!$K:$K,'REKAP (Per Barang)'!$B21)</f>
        <v>0</v>
      </c>
      <c r="O21" s="50">
        <f t="shared" si="0"/>
        <v>2</v>
      </c>
      <c r="P21" s="67"/>
    </row>
    <row r="22" spans="2:17">
      <c r="B22" s="48" t="s">
        <v>1413</v>
      </c>
      <c r="C22" s="49">
        <f>COUNTIFS('DATA (Per Barang)'!$A:$A,'REKAP (Per Barang)'!C$4,'DATA (Per Barang)'!$K:$K,'REKAP (Per Barang)'!$B22)</f>
        <v>0</v>
      </c>
      <c r="D22" s="49">
        <f>COUNTIFS('DATA (Per Barang)'!$A:$A,'REKAP (Per Barang)'!D$4,'DATA (Per Barang)'!$K:$K,'REKAP (Per Barang)'!$B22)</f>
        <v>0</v>
      </c>
      <c r="E22" s="236">
        <f>COUNTIFS('DATA (Per Barang)'!$A:$A,'REKAP (Per Barang)'!E$4,'DATA (Per Barang)'!$K:$K,'REKAP (Per Barang)'!$B22)</f>
        <v>0</v>
      </c>
      <c r="F22" s="49">
        <f>COUNTIFS('Data (Per Faktur)'!$A:$A,'REKAP (Faktur)'!F$4,'Data (Per Faktur)'!$K:$K,'REKAP (Faktur)'!$B22)</f>
        <v>0</v>
      </c>
      <c r="G22" s="49">
        <f>COUNTIFS('Data (Per Faktur)'!$A:$A,'REKAP (Faktur)'!G$4,'Data (Per Faktur)'!$K:$K,'REKAP (Faktur)'!$B22)</f>
        <v>0</v>
      </c>
      <c r="H22" s="49">
        <f>COUNTIFS('Data (Per Faktur)'!$A:$A,'REKAP (Faktur)'!H$4,'Data (Per Faktur)'!$K:$K,'REKAP (Faktur)'!$B22)</f>
        <v>0</v>
      </c>
      <c r="I22" s="49">
        <f>COUNTIFS('Data (Per Faktur)'!$A:$A,'REKAP (Faktur)'!I$4,'Data (Per Faktur)'!$K:$K,'REKAP (Faktur)'!$B22)</f>
        <v>0</v>
      </c>
      <c r="J22" s="49">
        <f>COUNTIFS('Data (Per Faktur)'!$A:$A,'REKAP (Faktur)'!J$4,'Data (Per Faktur)'!$K:$K,'REKAP (Faktur)'!$B22)</f>
        <v>0</v>
      </c>
      <c r="K22" s="49">
        <f>COUNTIFS('Data (Per Faktur)'!$A:$A,'REKAP (Faktur)'!K$4,'Data (Per Faktur)'!$K:$K,'REKAP (Faktur)'!$B22)</f>
        <v>0</v>
      </c>
      <c r="L22" s="49">
        <f>COUNTIFS('Data (Per Faktur)'!$A:$A,'REKAP (Faktur)'!L$4,'Data (Per Faktur)'!$K:$K,'REKAP (Faktur)'!$B22)</f>
        <v>0</v>
      </c>
      <c r="M22" s="49">
        <f>COUNTIFS('Data (Per Faktur)'!$A:$A,'REKAP (Faktur)'!M$4,'Data (Per Faktur)'!$K:$K,'REKAP (Faktur)'!$B22)</f>
        <v>0</v>
      </c>
      <c r="N22" s="236">
        <f>COUNTIFS('DATA (Per Barang)'!$A:$A,'REKAP (Per Barang)'!N$4,'DATA (Per Barang)'!$K:$K,'REKAP (Per Barang)'!$B22)</f>
        <v>0</v>
      </c>
      <c r="O22" s="50">
        <f t="shared" si="0"/>
        <v>0</v>
      </c>
      <c r="P22" s="67"/>
    </row>
    <row r="23" spans="2:17">
      <c r="B23" s="48" t="s">
        <v>62</v>
      </c>
      <c r="C23" s="49">
        <f>COUNTIFS('DATA (Per Barang)'!$A:$A,'REKAP (Per Barang)'!C$4,'DATA (Per Barang)'!$K:$K,'REKAP (Per Barang)'!$B23)</f>
        <v>0</v>
      </c>
      <c r="D23" s="49">
        <f>COUNTIFS('DATA (Per Barang)'!$A:$A,'REKAP (Per Barang)'!D$4,'DATA (Per Barang)'!$K:$K,'REKAP (Per Barang)'!$B23)</f>
        <v>0</v>
      </c>
      <c r="E23" s="236">
        <f>COUNTIFS('DATA (Per Barang)'!$A:$A,'REKAP (Per Barang)'!E$4,'DATA (Per Barang)'!$K:$K,'REKAP (Per Barang)'!$B23)</f>
        <v>0</v>
      </c>
      <c r="F23" s="49">
        <f>COUNTIFS('Data (Per Faktur)'!$A:$A,'REKAP (Faktur)'!F$4,'Data (Per Faktur)'!$K:$K,'REKAP (Faktur)'!$B23)</f>
        <v>0</v>
      </c>
      <c r="G23" s="49">
        <f>COUNTIFS('Data (Per Faktur)'!$A:$A,'REKAP (Faktur)'!G$4,'Data (Per Faktur)'!$K:$K,'REKAP (Faktur)'!$B23)</f>
        <v>0</v>
      </c>
      <c r="H23" s="49">
        <f>COUNTIFS('Data (Per Faktur)'!$A:$A,'REKAP (Faktur)'!H$4,'Data (Per Faktur)'!$K:$K,'REKAP (Faktur)'!$B23)</f>
        <v>0</v>
      </c>
      <c r="I23" s="49">
        <f>COUNTIFS('Data (Per Faktur)'!$A:$A,'REKAP (Faktur)'!I$4,'Data (Per Faktur)'!$K:$K,'REKAP (Faktur)'!$B23)</f>
        <v>0</v>
      </c>
      <c r="J23" s="49">
        <f>COUNTIFS('Data (Per Faktur)'!$A:$A,'REKAP (Faktur)'!J$4,'Data (Per Faktur)'!$K:$K,'REKAP (Faktur)'!$B23)</f>
        <v>0</v>
      </c>
      <c r="K23" s="49">
        <f>COUNTIFS('Data (Per Faktur)'!$A:$A,'REKAP (Faktur)'!K$4,'Data (Per Faktur)'!$K:$K,'REKAP (Faktur)'!$B23)</f>
        <v>0</v>
      </c>
      <c r="L23" s="49">
        <f>COUNTIFS('Data (Per Faktur)'!$A:$A,'REKAP (Faktur)'!L$4,'Data (Per Faktur)'!$K:$K,'REKAP (Faktur)'!$B23)</f>
        <v>0</v>
      </c>
      <c r="M23" s="49">
        <f>COUNTIFS('Data (Per Faktur)'!$A:$A,'REKAP (Faktur)'!M$4,'Data (Per Faktur)'!$K:$K,'REKAP (Faktur)'!$B23)</f>
        <v>0</v>
      </c>
      <c r="N23" s="236">
        <f>COUNTIFS('DATA (Per Barang)'!$A:$A,'REKAP (Per Barang)'!N$4,'DATA (Per Barang)'!$K:$K,'REKAP (Per Barang)'!$B23)</f>
        <v>0</v>
      </c>
      <c r="O23" s="50">
        <f t="shared" si="0"/>
        <v>0</v>
      </c>
      <c r="P23" s="67"/>
    </row>
    <row r="24" spans="2:17">
      <c r="B24" s="48" t="s">
        <v>77</v>
      </c>
      <c r="C24" s="49">
        <f>COUNTIFS('DATA (Per Barang)'!$A:$A,'REKAP (Per Barang)'!C$4,'DATA (Per Barang)'!$K:$K,'REKAP (Per Barang)'!$B24)</f>
        <v>0</v>
      </c>
      <c r="D24" s="49">
        <f>COUNTIFS('DATA (Per Barang)'!$A:$A,'REKAP (Per Barang)'!D$4,'DATA (Per Barang)'!$K:$K,'REKAP (Per Barang)'!$B24)</f>
        <v>0</v>
      </c>
      <c r="E24" s="236">
        <f>COUNTIFS('DATA (Per Barang)'!$A:$A,'REKAP (Per Barang)'!E$4,'DATA (Per Barang)'!$K:$K,'REKAP (Per Barang)'!$B24)</f>
        <v>0</v>
      </c>
      <c r="F24" s="49">
        <f>COUNTIFS('Data (Per Faktur)'!$A:$A,'REKAP (Faktur)'!F$4,'Data (Per Faktur)'!$K:$K,'REKAP (Faktur)'!$B24)</f>
        <v>0</v>
      </c>
      <c r="G24" s="49">
        <f>COUNTIFS('Data (Per Faktur)'!$A:$A,'REKAP (Faktur)'!G$4,'Data (Per Faktur)'!$K:$K,'REKAP (Faktur)'!$B24)</f>
        <v>3</v>
      </c>
      <c r="H24" s="49">
        <f>COUNTIFS('Data (Per Faktur)'!$A:$A,'REKAP (Faktur)'!H$4,'Data (Per Faktur)'!$K:$K,'REKAP (Faktur)'!$B24)</f>
        <v>0</v>
      </c>
      <c r="I24" s="49">
        <f>COUNTIFS('Data (Per Faktur)'!$A:$A,'REKAP (Faktur)'!I$4,'Data (Per Faktur)'!$K:$K,'REKAP (Faktur)'!$B24)</f>
        <v>0</v>
      </c>
      <c r="J24" s="49">
        <f>COUNTIFS('Data (Per Faktur)'!$A:$A,'REKAP (Faktur)'!J$4,'Data (Per Faktur)'!$K:$K,'REKAP (Faktur)'!$B24)</f>
        <v>0</v>
      </c>
      <c r="K24" s="49">
        <f>COUNTIFS('Data (Per Faktur)'!$A:$A,'REKAP (Faktur)'!K$4,'Data (Per Faktur)'!$K:$K,'REKAP (Faktur)'!$B24)</f>
        <v>0</v>
      </c>
      <c r="L24" s="49">
        <f>COUNTIFS('Data (Per Faktur)'!$A:$A,'REKAP (Faktur)'!L$4,'Data (Per Faktur)'!$K:$K,'REKAP (Faktur)'!$B24)</f>
        <v>0</v>
      </c>
      <c r="M24" s="49">
        <f>COUNTIFS('Data (Per Faktur)'!$A:$A,'REKAP (Faktur)'!M$4,'Data (Per Faktur)'!$K:$K,'REKAP (Faktur)'!$B24)</f>
        <v>0</v>
      </c>
      <c r="N24" s="236">
        <f>COUNTIFS('DATA (Per Barang)'!$A:$A,'REKAP (Per Barang)'!N$4,'DATA (Per Barang)'!$K:$K,'REKAP (Per Barang)'!$B24)</f>
        <v>0</v>
      </c>
      <c r="O24" s="50">
        <f t="shared" si="0"/>
        <v>3</v>
      </c>
      <c r="P24" s="67"/>
    </row>
    <row r="25" spans="2:17">
      <c r="B25" s="48" t="s">
        <v>90</v>
      </c>
      <c r="C25" s="49">
        <f>COUNTIFS('DATA (Per Barang)'!$A:$A,'REKAP (Per Barang)'!C$4,'DATA (Per Barang)'!$K:$K,'REKAP (Per Barang)'!$B25)</f>
        <v>0</v>
      </c>
      <c r="D25" s="49">
        <f>COUNTIFS('DATA (Per Barang)'!$A:$A,'REKAP (Per Barang)'!D$4,'DATA (Per Barang)'!$K:$K,'REKAP (Per Barang)'!$B25)</f>
        <v>0</v>
      </c>
      <c r="E25" s="236">
        <f>COUNTIFS('DATA (Per Barang)'!$A:$A,'REKAP (Per Barang)'!E$4,'DATA (Per Barang)'!$K:$K,'REKAP (Per Barang)'!$B25)</f>
        <v>0</v>
      </c>
      <c r="F25" s="49">
        <f>COUNTIFS('Data (Per Faktur)'!$A:$A,'REKAP (Faktur)'!F$4,'Data (Per Faktur)'!$K:$K,'REKAP (Faktur)'!$B25)</f>
        <v>0</v>
      </c>
      <c r="G25" s="49">
        <f>COUNTIFS('Data (Per Faktur)'!$A:$A,'REKAP (Faktur)'!G$4,'Data (Per Faktur)'!$K:$K,'REKAP (Faktur)'!$B25)</f>
        <v>0</v>
      </c>
      <c r="H25" s="49">
        <f>COUNTIFS('Data (Per Faktur)'!$A:$A,'REKAP (Faktur)'!H$4,'Data (Per Faktur)'!$K:$K,'REKAP (Faktur)'!$B25)</f>
        <v>0</v>
      </c>
      <c r="I25" s="49">
        <f>COUNTIFS('Data (Per Faktur)'!$A:$A,'REKAP (Faktur)'!I$4,'Data (Per Faktur)'!$K:$K,'REKAP (Faktur)'!$B25)</f>
        <v>0</v>
      </c>
      <c r="J25" s="49">
        <f>COUNTIFS('Data (Per Faktur)'!$A:$A,'REKAP (Faktur)'!J$4,'Data (Per Faktur)'!$K:$K,'REKAP (Faktur)'!$B25)</f>
        <v>0</v>
      </c>
      <c r="K25" s="49">
        <f>COUNTIFS('Data (Per Faktur)'!$A:$A,'REKAP (Faktur)'!K$4,'Data (Per Faktur)'!$K:$K,'REKAP (Faktur)'!$B25)</f>
        <v>0</v>
      </c>
      <c r="L25" s="49">
        <f>COUNTIFS('Data (Per Faktur)'!$A:$A,'REKAP (Faktur)'!L$4,'Data (Per Faktur)'!$K:$K,'REKAP (Faktur)'!$B25)</f>
        <v>0</v>
      </c>
      <c r="M25" s="49">
        <f>COUNTIFS('Data (Per Faktur)'!$A:$A,'REKAP (Faktur)'!M$4,'Data (Per Faktur)'!$K:$K,'REKAP (Faktur)'!$B25)</f>
        <v>0</v>
      </c>
      <c r="N25" s="236">
        <f>COUNTIFS('DATA (Per Barang)'!$A:$A,'REKAP (Per Barang)'!N$4,'DATA (Per Barang)'!$K:$K,'REKAP (Per Barang)'!$B25)</f>
        <v>0</v>
      </c>
      <c r="O25" s="50">
        <f t="shared" si="0"/>
        <v>0</v>
      </c>
      <c r="P25" s="67"/>
    </row>
    <row r="26" spans="2:17">
      <c r="B26" s="48" t="s">
        <v>82</v>
      </c>
      <c r="C26" s="49">
        <f>COUNTIFS('DATA (Per Barang)'!$A:$A,'REKAP (Per Barang)'!C$4,'DATA (Per Barang)'!$K:$K,'REKAP (Per Barang)'!$B26)</f>
        <v>0</v>
      </c>
      <c r="D26" s="49">
        <f>COUNTIFS('DATA (Per Barang)'!$A:$A,'REKAP (Per Barang)'!D$4,'DATA (Per Barang)'!$K:$K,'REKAP (Per Barang)'!$B26)</f>
        <v>0</v>
      </c>
      <c r="E26" s="236">
        <f>COUNTIFS('DATA (Per Barang)'!$A:$A,'REKAP (Per Barang)'!E$4,'DATA (Per Barang)'!$K:$K,'REKAP (Per Barang)'!$B26)</f>
        <v>0</v>
      </c>
      <c r="F26" s="49">
        <f>COUNTIFS('Data (Per Faktur)'!$A:$A,'REKAP (Faktur)'!F$4,'Data (Per Faktur)'!$K:$K,'REKAP (Faktur)'!$B26)</f>
        <v>0</v>
      </c>
      <c r="G26" s="49">
        <f>COUNTIFS('Data (Per Faktur)'!$A:$A,'REKAP (Faktur)'!G$4,'Data (Per Faktur)'!$K:$K,'REKAP (Faktur)'!$B26)</f>
        <v>0</v>
      </c>
      <c r="H26" s="49">
        <f>COUNTIFS('Data (Per Faktur)'!$A:$A,'REKAP (Faktur)'!H$4,'Data (Per Faktur)'!$K:$K,'REKAP (Faktur)'!$B26)</f>
        <v>0</v>
      </c>
      <c r="I26" s="49">
        <f>COUNTIFS('Data (Per Faktur)'!$A:$A,'REKAP (Faktur)'!I$4,'Data (Per Faktur)'!$K:$K,'REKAP (Faktur)'!$B26)</f>
        <v>0</v>
      </c>
      <c r="J26" s="49">
        <f>COUNTIFS('Data (Per Faktur)'!$A:$A,'REKAP (Faktur)'!J$4,'Data (Per Faktur)'!$K:$K,'REKAP (Faktur)'!$B26)</f>
        <v>0</v>
      </c>
      <c r="K26" s="49">
        <f>COUNTIFS('Data (Per Faktur)'!$A:$A,'REKAP (Faktur)'!K$4,'Data (Per Faktur)'!$K:$K,'REKAP (Faktur)'!$B26)</f>
        <v>0</v>
      </c>
      <c r="L26" s="49">
        <f>COUNTIFS('Data (Per Faktur)'!$A:$A,'REKAP (Faktur)'!L$4,'Data (Per Faktur)'!$K:$K,'REKAP (Faktur)'!$B26)</f>
        <v>0</v>
      </c>
      <c r="M26" s="49">
        <f>COUNTIFS('Data (Per Faktur)'!$A:$A,'REKAP (Faktur)'!M$4,'Data (Per Faktur)'!$K:$K,'REKAP (Faktur)'!$B26)</f>
        <v>0</v>
      </c>
      <c r="N26" s="236">
        <f>COUNTIFS('DATA (Per Barang)'!$A:$A,'REKAP (Per Barang)'!N$4,'DATA (Per Barang)'!$K:$K,'REKAP (Per Barang)'!$B26)</f>
        <v>0</v>
      </c>
      <c r="O26" s="50">
        <f t="shared" si="0"/>
        <v>0</v>
      </c>
      <c r="P26" s="67"/>
    </row>
    <row r="27" spans="2:17">
      <c r="B27" s="48" t="s">
        <v>909</v>
      </c>
      <c r="C27" s="49">
        <f>COUNTIFS('DATA (Per Barang)'!$A:$A,'REKAP (Per Barang)'!C$4,'DATA (Per Barang)'!$K:$K,'REKAP (Per Barang)'!$B27)</f>
        <v>0</v>
      </c>
      <c r="D27" s="49">
        <f>COUNTIFS('DATA (Per Barang)'!$A:$A,'REKAP (Per Barang)'!D$4,'DATA (Per Barang)'!$K:$K,'REKAP (Per Barang)'!$B27)</f>
        <v>0</v>
      </c>
      <c r="E27" s="236">
        <f>COUNTIFS('DATA (Per Barang)'!$A:$A,'REKAP (Per Barang)'!E$4,'DATA (Per Barang)'!$K:$K,'REKAP (Per Barang)'!$B27)</f>
        <v>0</v>
      </c>
      <c r="F27" s="49">
        <f>COUNTIFS('Data (Per Faktur)'!$A:$A,'REKAP (Faktur)'!F$4,'Data (Per Faktur)'!$K:$K,'REKAP (Faktur)'!$B27)</f>
        <v>0</v>
      </c>
      <c r="G27" s="49">
        <f>COUNTIFS('Data (Per Faktur)'!$A:$A,'REKAP (Faktur)'!G$4,'Data (Per Faktur)'!$K:$K,'REKAP (Faktur)'!$B27)</f>
        <v>0</v>
      </c>
      <c r="H27" s="49">
        <f>COUNTIFS('Data (Per Faktur)'!$A:$A,'REKAP (Faktur)'!H$4,'Data (Per Faktur)'!$K:$K,'REKAP (Faktur)'!$B27)</f>
        <v>0</v>
      </c>
      <c r="I27" s="49">
        <f>COUNTIFS('Data (Per Faktur)'!$A:$A,'REKAP (Faktur)'!I$4,'Data (Per Faktur)'!$K:$K,'REKAP (Faktur)'!$B27)</f>
        <v>0</v>
      </c>
      <c r="J27" s="49">
        <f>COUNTIFS('Data (Per Faktur)'!$A:$A,'REKAP (Faktur)'!J$4,'Data (Per Faktur)'!$K:$K,'REKAP (Faktur)'!$B27)</f>
        <v>0</v>
      </c>
      <c r="K27" s="49">
        <f>COUNTIFS('Data (Per Faktur)'!$A:$A,'REKAP (Faktur)'!K$4,'Data (Per Faktur)'!$K:$K,'REKAP (Faktur)'!$B27)</f>
        <v>0</v>
      </c>
      <c r="L27" s="49">
        <f>COUNTIFS('Data (Per Faktur)'!$A:$A,'REKAP (Faktur)'!L$4,'Data (Per Faktur)'!$K:$K,'REKAP (Faktur)'!$B27)</f>
        <v>0</v>
      </c>
      <c r="M27" s="49">
        <f>COUNTIFS('Data (Per Faktur)'!$A:$A,'REKAP (Faktur)'!M$4,'Data (Per Faktur)'!$K:$K,'REKAP (Faktur)'!$B27)</f>
        <v>0</v>
      </c>
      <c r="N27" s="236">
        <f>COUNTIFS('DATA (Per Barang)'!$A:$A,'REKAP (Per Barang)'!N$4,'DATA (Per Barang)'!$K:$K,'REKAP (Per Barang)'!$B27)</f>
        <v>0</v>
      </c>
      <c r="O27" s="50">
        <f t="shared" si="0"/>
        <v>0</v>
      </c>
      <c r="P27" s="67"/>
    </row>
    <row r="28" spans="2:17">
      <c r="B28" s="48" t="s">
        <v>63</v>
      </c>
      <c r="C28" s="49">
        <f>COUNTIFS('DATA (Per Barang)'!$A:$A,'REKAP (Per Barang)'!C$4,'DATA (Per Barang)'!$K:$K,'REKAP (Per Barang)'!$B28)</f>
        <v>0</v>
      </c>
      <c r="D28" s="49">
        <f>COUNTIFS('DATA (Per Barang)'!$A:$A,'REKAP (Per Barang)'!D$4,'DATA (Per Barang)'!$K:$K,'REKAP (Per Barang)'!$B28)</f>
        <v>0</v>
      </c>
      <c r="E28" s="236">
        <f>COUNTIFS('DATA (Per Barang)'!$A:$A,'REKAP (Per Barang)'!E$4,'DATA (Per Barang)'!$K:$K,'REKAP (Per Barang)'!$B28)</f>
        <v>0</v>
      </c>
      <c r="F28" s="49">
        <f>COUNTIFS('Data (Per Faktur)'!$A:$A,'REKAP (Faktur)'!F$4,'Data (Per Faktur)'!$K:$K,'REKAP (Faktur)'!$B28)</f>
        <v>0</v>
      </c>
      <c r="G28" s="49">
        <f>COUNTIFS('Data (Per Faktur)'!$A:$A,'REKAP (Faktur)'!G$4,'Data (Per Faktur)'!$K:$K,'REKAP (Faktur)'!$B28)</f>
        <v>0</v>
      </c>
      <c r="H28" s="49">
        <f>COUNTIFS('Data (Per Faktur)'!$A:$A,'REKAP (Faktur)'!H$4,'Data (Per Faktur)'!$K:$K,'REKAP (Faktur)'!$B28)</f>
        <v>0</v>
      </c>
      <c r="I28" s="49">
        <f>COUNTIFS('Data (Per Faktur)'!$A:$A,'REKAP (Faktur)'!I$4,'Data (Per Faktur)'!$K:$K,'REKAP (Faktur)'!$B28)</f>
        <v>0</v>
      </c>
      <c r="J28" s="49">
        <f>COUNTIFS('Data (Per Faktur)'!$A:$A,'REKAP (Faktur)'!J$4,'Data (Per Faktur)'!$K:$K,'REKAP (Faktur)'!$B28)</f>
        <v>0</v>
      </c>
      <c r="K28" s="49">
        <f>COUNTIFS('Data (Per Faktur)'!$A:$A,'REKAP (Faktur)'!K$4,'Data (Per Faktur)'!$K:$K,'REKAP (Faktur)'!$B28)</f>
        <v>0</v>
      </c>
      <c r="L28" s="49">
        <f>COUNTIFS('Data (Per Faktur)'!$A:$A,'REKAP (Faktur)'!L$4,'Data (Per Faktur)'!$K:$K,'REKAP (Faktur)'!$B28)</f>
        <v>0</v>
      </c>
      <c r="M28" s="49">
        <f>COUNTIFS('Data (Per Faktur)'!$A:$A,'REKAP (Faktur)'!M$4,'Data (Per Faktur)'!$K:$K,'REKAP (Faktur)'!$B28)</f>
        <v>0</v>
      </c>
      <c r="N28" s="236">
        <f>COUNTIFS('DATA (Per Barang)'!$A:$A,'REKAP (Per Barang)'!N$4,'DATA (Per Barang)'!$K:$K,'REKAP (Per Barang)'!$B28)</f>
        <v>0</v>
      </c>
      <c r="O28" s="50">
        <f t="shared" si="0"/>
        <v>0</v>
      </c>
      <c r="P28" s="67"/>
    </row>
    <row r="29" spans="2:17">
      <c r="B29" s="48" t="s">
        <v>137</v>
      </c>
      <c r="C29" s="49">
        <f>COUNTIFS('DATA (Per Barang)'!$A:$A,'REKAP (Per Barang)'!C$4,'DATA (Per Barang)'!$K:$K,'REKAP (Per Barang)'!$B29)</f>
        <v>0</v>
      </c>
      <c r="D29" s="49">
        <f>COUNTIFS('DATA (Per Barang)'!$A:$A,'REKAP (Per Barang)'!D$4,'DATA (Per Barang)'!$K:$K,'REKAP (Per Barang)'!$B29)</f>
        <v>0</v>
      </c>
      <c r="E29" s="236">
        <f>COUNTIFS('DATA (Per Barang)'!$A:$A,'REKAP (Per Barang)'!E$4,'DATA (Per Barang)'!$K:$K,'REKAP (Per Barang)'!$B29)</f>
        <v>0</v>
      </c>
      <c r="F29" s="49">
        <f>COUNTIFS('Data (Per Faktur)'!$A:$A,'REKAP (Faktur)'!F$4,'Data (Per Faktur)'!$K:$K,'REKAP (Faktur)'!$B29)</f>
        <v>0</v>
      </c>
      <c r="G29" s="49">
        <f>COUNTIFS('Data (Per Faktur)'!$A:$A,'REKAP (Faktur)'!G$4,'Data (Per Faktur)'!$K:$K,'REKAP (Faktur)'!$B29)</f>
        <v>0</v>
      </c>
      <c r="H29" s="49">
        <f>COUNTIFS('Data (Per Faktur)'!$A:$A,'REKAP (Faktur)'!H$4,'Data (Per Faktur)'!$K:$K,'REKAP (Faktur)'!$B29)</f>
        <v>0</v>
      </c>
      <c r="I29" s="49">
        <f>COUNTIFS('Data (Per Faktur)'!$A:$A,'REKAP (Faktur)'!I$4,'Data (Per Faktur)'!$K:$K,'REKAP (Faktur)'!$B29)</f>
        <v>0</v>
      </c>
      <c r="J29" s="49">
        <f>COUNTIFS('Data (Per Faktur)'!$A:$A,'REKAP (Faktur)'!J$4,'Data (Per Faktur)'!$K:$K,'REKAP (Faktur)'!$B29)</f>
        <v>0</v>
      </c>
      <c r="K29" s="49">
        <f>COUNTIFS('Data (Per Faktur)'!$A:$A,'REKAP (Faktur)'!K$4,'Data (Per Faktur)'!$K:$K,'REKAP (Faktur)'!$B29)</f>
        <v>0</v>
      </c>
      <c r="L29" s="49">
        <f>COUNTIFS('Data (Per Faktur)'!$A:$A,'REKAP (Faktur)'!L$4,'Data (Per Faktur)'!$K:$K,'REKAP (Faktur)'!$B29)</f>
        <v>0</v>
      </c>
      <c r="M29" s="49">
        <f>COUNTIFS('Data (Per Faktur)'!$A:$A,'REKAP (Faktur)'!M$4,'Data (Per Faktur)'!$K:$K,'REKAP (Faktur)'!$B29)</f>
        <v>0</v>
      </c>
      <c r="N29" s="49">
        <f>COUNTIFS('Data (Per Faktur)'!$A:$A,'REKAP (Faktur)'!N$4,'Data (Per Faktur)'!$K:$K,'REKAP (Faktur)'!$B29)</f>
        <v>0</v>
      </c>
      <c r="O29" s="50">
        <f t="shared" si="0"/>
        <v>0</v>
      </c>
      <c r="P29" s="67"/>
    </row>
    <row r="30" spans="2:17" ht="15.75" thickBot="1">
      <c r="B30" s="51" t="s">
        <v>18</v>
      </c>
      <c r="C30" s="52">
        <f t="shared" ref="C30:O30" si="1">SUM(C5:C29)</f>
        <v>16</v>
      </c>
      <c r="D30" s="52">
        <f t="shared" si="1"/>
        <v>13</v>
      </c>
      <c r="E30" s="52">
        <f t="shared" si="1"/>
        <v>13</v>
      </c>
      <c r="F30" s="52">
        <f t="shared" si="1"/>
        <v>16</v>
      </c>
      <c r="G30" s="52">
        <f t="shared" si="1"/>
        <v>18</v>
      </c>
      <c r="H30" s="52">
        <f t="shared" si="1"/>
        <v>0</v>
      </c>
      <c r="I30" s="52">
        <f t="shared" si="1"/>
        <v>0</v>
      </c>
      <c r="J30" s="52">
        <f t="shared" si="1"/>
        <v>0</v>
      </c>
      <c r="K30" s="52">
        <f>SUM(K5:K29)</f>
        <v>0</v>
      </c>
      <c r="L30" s="52">
        <f t="shared" si="1"/>
        <v>0</v>
      </c>
      <c r="M30" s="52">
        <f t="shared" si="1"/>
        <v>0</v>
      </c>
      <c r="N30" s="52">
        <f t="shared" si="1"/>
        <v>0</v>
      </c>
      <c r="O30" s="52">
        <f t="shared" si="1"/>
        <v>76</v>
      </c>
      <c r="P30" s="67"/>
    </row>
    <row r="31" spans="2:17" ht="15.75" thickTop="1">
      <c r="P31" s="67"/>
    </row>
    <row r="33" spans="2:30">
      <c r="B33" s="22" t="s">
        <v>74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Q33" s="22" t="s">
        <v>75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24" t="s">
        <v>1671</v>
      </c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Q34" s="24" t="s">
        <v>1671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6" t="s">
        <v>13</v>
      </c>
      <c r="C35" s="17" t="s">
        <v>19</v>
      </c>
      <c r="D35" s="17" t="s">
        <v>20</v>
      </c>
      <c r="E35" s="17" t="s">
        <v>21</v>
      </c>
      <c r="F35" s="17" t="s">
        <v>22</v>
      </c>
      <c r="G35" s="17" t="s">
        <v>23</v>
      </c>
      <c r="H35" s="17" t="s">
        <v>24</v>
      </c>
      <c r="I35" s="17" t="s">
        <v>25</v>
      </c>
      <c r="J35" s="17" t="s">
        <v>26</v>
      </c>
      <c r="K35" s="17" t="s">
        <v>27</v>
      </c>
      <c r="L35" s="17" t="s">
        <v>28</v>
      </c>
      <c r="M35" s="17" t="s">
        <v>35</v>
      </c>
      <c r="N35" s="17" t="s">
        <v>36</v>
      </c>
      <c r="O35" s="17" t="s">
        <v>0</v>
      </c>
      <c r="Q35" s="16" t="s">
        <v>13</v>
      </c>
      <c r="R35" s="17" t="s">
        <v>19</v>
      </c>
      <c r="S35" s="17" t="s">
        <v>20</v>
      </c>
      <c r="T35" s="17" t="s">
        <v>21</v>
      </c>
      <c r="U35" s="17" t="s">
        <v>22</v>
      </c>
      <c r="V35" s="17" t="s">
        <v>23</v>
      </c>
      <c r="W35" s="17" t="s">
        <v>24</v>
      </c>
      <c r="X35" s="17" t="s">
        <v>25</v>
      </c>
      <c r="Y35" s="17" t="s">
        <v>26</v>
      </c>
      <c r="Z35" s="17" t="s">
        <v>27</v>
      </c>
      <c r="AA35" s="17" t="s">
        <v>28</v>
      </c>
      <c r="AB35" s="17" t="s">
        <v>35</v>
      </c>
      <c r="AC35" s="17" t="s">
        <v>36</v>
      </c>
      <c r="AD35" s="17" t="s">
        <v>0</v>
      </c>
    </row>
    <row r="36" spans="2:30">
      <c r="B36" s="20" t="s">
        <v>1422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39">
        <f t="shared" ref="O36:O42" si="2">SUM(C36:N36)</f>
        <v>0</v>
      </c>
      <c r="Q36" s="20" t="s">
        <v>1422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39">
        <f t="shared" ref="AD36:AD42" si="3">SUM(R36:AC36)</f>
        <v>0</v>
      </c>
    </row>
    <row r="37" spans="2:30">
      <c r="B37" s="20" t="s">
        <v>1443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39">
        <f t="shared" si="2"/>
        <v>0</v>
      </c>
      <c r="Q37" s="20" t="s">
        <v>1443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39">
        <f t="shared" si="3"/>
        <v>0</v>
      </c>
    </row>
    <row r="38" spans="2:30">
      <c r="B38" s="20" t="s">
        <v>1418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39">
        <f t="shared" si="2"/>
        <v>0</v>
      </c>
      <c r="Q38" s="20" t="s">
        <v>1418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39">
        <f t="shared" si="3"/>
        <v>0</v>
      </c>
    </row>
    <row r="39" spans="2:30">
      <c r="B39" s="20" t="s">
        <v>1532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39">
        <f t="shared" si="2"/>
        <v>0</v>
      </c>
      <c r="Q39" s="20" t="s">
        <v>1532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39">
        <f t="shared" si="3"/>
        <v>0</v>
      </c>
    </row>
    <row r="40" spans="2:30">
      <c r="B40" s="20" t="s">
        <v>1420</v>
      </c>
      <c r="C40" s="18">
        <v>1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39">
        <f t="shared" si="2"/>
        <v>1</v>
      </c>
      <c r="Q40" s="20" t="s">
        <v>1420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39">
        <f t="shared" si="3"/>
        <v>0</v>
      </c>
    </row>
    <row r="41" spans="2:30">
      <c r="B41" s="20" t="s">
        <v>8</v>
      </c>
      <c r="C41" s="18"/>
      <c r="D41" s="18"/>
      <c r="E41" s="18"/>
      <c r="F41" s="18">
        <v>1</v>
      </c>
      <c r="G41" s="18"/>
      <c r="H41" s="18"/>
      <c r="I41" s="18"/>
      <c r="J41" s="18"/>
      <c r="K41" s="18"/>
      <c r="L41" s="18"/>
      <c r="M41" s="18"/>
      <c r="N41" s="18"/>
      <c r="O41" s="39">
        <f t="shared" si="2"/>
        <v>1</v>
      </c>
      <c r="Q41" s="20" t="s">
        <v>8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39">
        <f t="shared" si="3"/>
        <v>0</v>
      </c>
    </row>
    <row r="42" spans="2:30">
      <c r="B42" s="20" t="s">
        <v>9</v>
      </c>
      <c r="C42" s="18">
        <v>1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39">
        <f t="shared" si="2"/>
        <v>1</v>
      </c>
      <c r="Q42" s="20" t="s">
        <v>9</v>
      </c>
      <c r="R42" s="18">
        <v>1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39">
        <f t="shared" si="3"/>
        <v>1</v>
      </c>
    </row>
    <row r="43" spans="2:30">
      <c r="B43" s="21" t="s">
        <v>271</v>
      </c>
      <c r="C43" s="19">
        <f t="shared" ref="C43:O43" si="4">SUM(C36:C42)</f>
        <v>2</v>
      </c>
      <c r="D43" s="19">
        <f t="shared" si="4"/>
        <v>0</v>
      </c>
      <c r="E43" s="19">
        <f t="shared" si="4"/>
        <v>0</v>
      </c>
      <c r="F43" s="19">
        <f t="shared" si="4"/>
        <v>1</v>
      </c>
      <c r="G43" s="19">
        <f t="shared" si="4"/>
        <v>0</v>
      </c>
      <c r="H43" s="19">
        <f t="shared" si="4"/>
        <v>0</v>
      </c>
      <c r="I43" s="19">
        <f t="shared" si="4"/>
        <v>0</v>
      </c>
      <c r="J43" s="19">
        <f t="shared" si="4"/>
        <v>0</v>
      </c>
      <c r="K43" s="19">
        <f t="shared" si="4"/>
        <v>0</v>
      </c>
      <c r="L43" s="19">
        <f t="shared" si="4"/>
        <v>0</v>
      </c>
      <c r="M43" s="19">
        <f t="shared" si="4"/>
        <v>0</v>
      </c>
      <c r="N43" s="19">
        <f t="shared" si="4"/>
        <v>0</v>
      </c>
      <c r="O43" s="41">
        <f t="shared" si="4"/>
        <v>3</v>
      </c>
      <c r="Q43" s="21" t="s">
        <v>271</v>
      </c>
      <c r="R43" s="19">
        <f t="shared" ref="R43:AD43" si="5">SUM(R36:R42)</f>
        <v>1</v>
      </c>
      <c r="S43" s="19">
        <f t="shared" si="5"/>
        <v>0</v>
      </c>
      <c r="T43" s="19">
        <f t="shared" si="5"/>
        <v>0</v>
      </c>
      <c r="U43" s="19">
        <f t="shared" si="5"/>
        <v>0</v>
      </c>
      <c r="V43" s="19">
        <f t="shared" si="5"/>
        <v>0</v>
      </c>
      <c r="W43" s="19">
        <f t="shared" si="5"/>
        <v>0</v>
      </c>
      <c r="X43" s="19">
        <f t="shared" si="5"/>
        <v>0</v>
      </c>
      <c r="Y43" s="19">
        <f t="shared" si="5"/>
        <v>0</v>
      </c>
      <c r="Z43" s="19">
        <f t="shared" si="5"/>
        <v>0</v>
      </c>
      <c r="AA43" s="19">
        <f t="shared" si="5"/>
        <v>0</v>
      </c>
      <c r="AB43" s="19">
        <f t="shared" si="5"/>
        <v>0</v>
      </c>
      <c r="AC43" s="19">
        <f t="shared" si="5"/>
        <v>0</v>
      </c>
      <c r="AD43" s="41">
        <f t="shared" si="5"/>
        <v>1</v>
      </c>
    </row>
    <row r="44" spans="2:30" ht="24.95" hidden="1" customHeight="1"/>
    <row r="45" spans="2:30">
      <c r="B45" s="499" t="s">
        <v>70</v>
      </c>
      <c r="C45" s="499"/>
      <c r="D45" s="464"/>
      <c r="E45" s="464"/>
      <c r="F45" s="464"/>
      <c r="G45" s="464"/>
      <c r="Q45" s="499" t="s">
        <v>70</v>
      </c>
      <c r="R45" s="499"/>
      <c r="S45" s="464"/>
      <c r="T45" s="464"/>
      <c r="U45" s="464"/>
    </row>
    <row r="46" spans="2:30">
      <c r="B46" s="16" t="s">
        <v>13</v>
      </c>
      <c r="C46" s="17" t="s">
        <v>19</v>
      </c>
      <c r="D46" s="17" t="s">
        <v>20</v>
      </c>
      <c r="E46" s="17" t="s">
        <v>21</v>
      </c>
      <c r="F46" s="17" t="s">
        <v>22</v>
      </c>
      <c r="G46" s="17" t="s">
        <v>23</v>
      </c>
      <c r="H46" s="17" t="s">
        <v>24</v>
      </c>
      <c r="I46" s="17" t="s">
        <v>25</v>
      </c>
      <c r="J46" s="17" t="s">
        <v>26</v>
      </c>
      <c r="K46" s="17" t="s">
        <v>27</v>
      </c>
      <c r="L46" s="17" t="s">
        <v>28</v>
      </c>
      <c r="M46" s="17" t="s">
        <v>35</v>
      </c>
      <c r="N46" s="17" t="s">
        <v>36</v>
      </c>
      <c r="O46" s="17" t="s">
        <v>0</v>
      </c>
      <c r="Q46" s="16" t="s">
        <v>13</v>
      </c>
      <c r="R46" s="17" t="s">
        <v>19</v>
      </c>
      <c r="S46" s="17" t="s">
        <v>20</v>
      </c>
      <c r="T46" s="17" t="s">
        <v>21</v>
      </c>
      <c r="U46" s="17" t="s">
        <v>22</v>
      </c>
      <c r="V46" s="17" t="s">
        <v>23</v>
      </c>
      <c r="W46" s="17" t="s">
        <v>24</v>
      </c>
      <c r="X46" s="17" t="s">
        <v>25</v>
      </c>
      <c r="Y46" s="17" t="s">
        <v>26</v>
      </c>
      <c r="Z46" s="17" t="s">
        <v>27</v>
      </c>
      <c r="AA46" s="17" t="s">
        <v>28</v>
      </c>
      <c r="AB46" s="17" t="s">
        <v>35</v>
      </c>
      <c r="AC46" s="17" t="s">
        <v>36</v>
      </c>
      <c r="AD46" s="17" t="s">
        <v>0</v>
      </c>
    </row>
    <row r="47" spans="2:30">
      <c r="B47" s="20" t="s">
        <v>1422</v>
      </c>
      <c r="C47" s="18">
        <v>926</v>
      </c>
      <c r="D47" s="18">
        <v>824</v>
      </c>
      <c r="E47" s="18">
        <v>692</v>
      </c>
      <c r="F47" s="18">
        <v>871</v>
      </c>
      <c r="G47" s="18">
        <v>870</v>
      </c>
      <c r="H47" s="18"/>
      <c r="I47" s="18"/>
      <c r="J47" s="18"/>
      <c r="K47" s="18"/>
      <c r="L47" s="18"/>
      <c r="M47" s="18"/>
      <c r="N47" s="18"/>
      <c r="O47" s="18">
        <f t="shared" ref="O47:O58" si="6">SUM(C47:N47)</f>
        <v>4183</v>
      </c>
      <c r="Q47" s="20" t="s">
        <v>1422</v>
      </c>
      <c r="R47" s="18">
        <v>926</v>
      </c>
      <c r="S47" s="18">
        <v>824</v>
      </c>
      <c r="T47" s="18">
        <v>692</v>
      </c>
      <c r="U47" s="18">
        <v>871</v>
      </c>
      <c r="V47" s="18">
        <v>870</v>
      </c>
      <c r="W47" s="18"/>
      <c r="X47" s="18"/>
      <c r="Y47" s="18"/>
      <c r="Z47" s="18"/>
      <c r="AA47" s="18"/>
      <c r="AB47" s="18"/>
      <c r="AC47" s="18"/>
      <c r="AD47" s="18">
        <f t="shared" ref="AD47:AD58" si="7">SUM(R47:AC47)</f>
        <v>4183</v>
      </c>
    </row>
    <row r="48" spans="2:30">
      <c r="B48" s="20" t="s">
        <v>1443</v>
      </c>
      <c r="C48" s="18">
        <v>252</v>
      </c>
      <c r="D48" s="18">
        <v>257</v>
      </c>
      <c r="E48" s="18">
        <v>174</v>
      </c>
      <c r="F48" s="18">
        <v>265</v>
      </c>
      <c r="G48" s="18">
        <v>149</v>
      </c>
      <c r="H48" s="18"/>
      <c r="I48" s="18"/>
      <c r="J48" s="18"/>
      <c r="K48" s="18"/>
      <c r="L48" s="18"/>
      <c r="M48" s="18"/>
      <c r="N48" s="18"/>
      <c r="O48" s="18">
        <f t="shared" si="6"/>
        <v>1097</v>
      </c>
      <c r="P48" s="95"/>
      <c r="Q48" s="20" t="s">
        <v>1443</v>
      </c>
      <c r="R48" s="18">
        <v>252</v>
      </c>
      <c r="S48" s="18">
        <v>257</v>
      </c>
      <c r="T48" s="18">
        <v>174</v>
      </c>
      <c r="U48" s="18">
        <v>265</v>
      </c>
      <c r="V48" s="18">
        <v>149</v>
      </c>
      <c r="W48" s="18"/>
      <c r="X48" s="18"/>
      <c r="Y48" s="18"/>
      <c r="Z48" s="18"/>
      <c r="AA48" s="18"/>
      <c r="AB48" s="18"/>
      <c r="AC48" s="18"/>
      <c r="AD48" s="18">
        <f t="shared" si="7"/>
        <v>1097</v>
      </c>
    </row>
    <row r="49" spans="2:30">
      <c r="B49" s="20" t="s">
        <v>1418</v>
      </c>
      <c r="C49" s="18">
        <v>1773</v>
      </c>
      <c r="D49" s="18">
        <v>1641</v>
      </c>
      <c r="E49" s="18">
        <v>1303</v>
      </c>
      <c r="F49" s="18">
        <v>1635</v>
      </c>
      <c r="G49" s="18">
        <v>1509</v>
      </c>
      <c r="H49" s="18"/>
      <c r="I49" s="18"/>
      <c r="J49" s="18"/>
      <c r="K49" s="18"/>
      <c r="L49" s="18"/>
      <c r="M49" s="18"/>
      <c r="N49" s="18"/>
      <c r="O49" s="18">
        <f t="shared" si="6"/>
        <v>7861</v>
      </c>
      <c r="P49" s="95"/>
      <c r="Q49" s="20" t="s">
        <v>1418</v>
      </c>
      <c r="R49" s="18">
        <v>1773</v>
      </c>
      <c r="S49" s="18">
        <v>1641</v>
      </c>
      <c r="T49" s="18">
        <v>1303</v>
      </c>
      <c r="U49" s="18">
        <v>1635</v>
      </c>
      <c r="V49" s="18">
        <v>1509</v>
      </c>
      <c r="W49" s="18"/>
      <c r="X49" s="18"/>
      <c r="Y49" s="18"/>
      <c r="Z49" s="18"/>
      <c r="AA49" s="18"/>
      <c r="AB49" s="18"/>
      <c r="AC49" s="18"/>
      <c r="AD49" s="18">
        <f t="shared" si="7"/>
        <v>7861</v>
      </c>
    </row>
    <row r="50" spans="2:30">
      <c r="B50" s="20" t="s">
        <v>1532</v>
      </c>
      <c r="C50" s="18">
        <v>644</v>
      </c>
      <c r="D50" s="18">
        <v>181</v>
      </c>
      <c r="E50" s="18">
        <v>448</v>
      </c>
      <c r="F50" s="18">
        <v>682</v>
      </c>
      <c r="G50" s="18">
        <v>684</v>
      </c>
      <c r="H50" s="18"/>
      <c r="I50" s="18"/>
      <c r="J50" s="18"/>
      <c r="K50" s="18"/>
      <c r="L50" s="18"/>
      <c r="M50" s="18"/>
      <c r="N50" s="18"/>
      <c r="O50" s="18">
        <f t="shared" si="6"/>
        <v>2639</v>
      </c>
      <c r="P50" s="95"/>
      <c r="Q50" s="20" t="s">
        <v>1532</v>
      </c>
      <c r="R50" s="18">
        <v>644</v>
      </c>
      <c r="S50" s="18">
        <v>181</v>
      </c>
      <c r="T50" s="18">
        <v>448</v>
      </c>
      <c r="U50" s="18">
        <v>682</v>
      </c>
      <c r="V50" s="18">
        <v>684</v>
      </c>
      <c r="W50" s="18"/>
      <c r="X50" s="18"/>
      <c r="Y50" s="18"/>
      <c r="Z50" s="18"/>
      <c r="AA50" s="18"/>
      <c r="AB50" s="18"/>
      <c r="AC50" s="18"/>
      <c r="AD50" s="18">
        <f t="shared" si="7"/>
        <v>2639</v>
      </c>
    </row>
    <row r="51" spans="2:30">
      <c r="B51" s="20" t="s">
        <v>1420</v>
      </c>
      <c r="C51" s="18">
        <v>900</v>
      </c>
      <c r="D51" s="18">
        <v>1129</v>
      </c>
      <c r="E51" s="18">
        <v>847</v>
      </c>
      <c r="F51" s="18">
        <v>918</v>
      </c>
      <c r="G51" s="18">
        <v>787</v>
      </c>
      <c r="H51" s="18"/>
      <c r="I51" s="18"/>
      <c r="J51" s="18"/>
      <c r="K51" s="18"/>
      <c r="L51" s="18"/>
      <c r="M51" s="18"/>
      <c r="N51" s="18"/>
      <c r="O51" s="18">
        <f t="shared" si="6"/>
        <v>4581</v>
      </c>
      <c r="P51" s="95"/>
      <c r="Q51" s="20" t="s">
        <v>1420</v>
      </c>
      <c r="R51" s="18">
        <v>900</v>
      </c>
      <c r="S51" s="18">
        <v>1129</v>
      </c>
      <c r="T51" s="18">
        <v>847</v>
      </c>
      <c r="U51" s="18">
        <v>918</v>
      </c>
      <c r="V51" s="18">
        <v>787</v>
      </c>
      <c r="W51" s="18"/>
      <c r="X51" s="18"/>
      <c r="Y51" s="18"/>
      <c r="Z51" s="18"/>
      <c r="AA51" s="18"/>
      <c r="AB51" s="18"/>
      <c r="AC51" s="18"/>
      <c r="AD51" s="18">
        <f t="shared" si="7"/>
        <v>4581</v>
      </c>
    </row>
    <row r="52" spans="2:30">
      <c r="B52" s="20" t="s">
        <v>8</v>
      </c>
      <c r="C52" s="18">
        <v>1442</v>
      </c>
      <c r="D52" s="18">
        <v>1122</v>
      </c>
      <c r="E52" s="18">
        <v>944</v>
      </c>
      <c r="F52" s="18">
        <v>1385</v>
      </c>
      <c r="G52" s="18">
        <v>1235</v>
      </c>
      <c r="H52" s="18"/>
      <c r="I52" s="18"/>
      <c r="J52" s="18"/>
      <c r="K52" s="18"/>
      <c r="L52" s="18"/>
      <c r="M52" s="18"/>
      <c r="N52" s="18"/>
      <c r="O52" s="18">
        <f t="shared" si="6"/>
        <v>6128</v>
      </c>
      <c r="Q52" s="20" t="s">
        <v>8</v>
      </c>
      <c r="R52" s="18">
        <v>1442</v>
      </c>
      <c r="S52" s="18">
        <v>1122</v>
      </c>
      <c r="T52" s="18">
        <v>944</v>
      </c>
      <c r="U52" s="18">
        <v>1385</v>
      </c>
      <c r="V52" s="18">
        <v>1235</v>
      </c>
      <c r="W52" s="18"/>
      <c r="X52" s="18"/>
      <c r="Y52" s="18"/>
      <c r="Z52" s="18"/>
      <c r="AA52" s="18"/>
      <c r="AB52" s="18"/>
      <c r="AC52" s="18"/>
      <c r="AD52" s="18">
        <f t="shared" si="7"/>
        <v>6128</v>
      </c>
    </row>
    <row r="53" spans="2:30">
      <c r="B53" s="20" t="s">
        <v>9</v>
      </c>
      <c r="C53" s="18">
        <v>1266</v>
      </c>
      <c r="D53" s="18">
        <v>1062</v>
      </c>
      <c r="E53" s="18">
        <v>848</v>
      </c>
      <c r="F53" s="18">
        <v>1146</v>
      </c>
      <c r="G53" s="18">
        <v>1028</v>
      </c>
      <c r="H53" s="18"/>
      <c r="I53" s="18"/>
      <c r="J53" s="18"/>
      <c r="K53" s="18"/>
      <c r="L53" s="18"/>
      <c r="M53" s="18"/>
      <c r="N53" s="18"/>
      <c r="O53" s="18">
        <f t="shared" si="6"/>
        <v>5350</v>
      </c>
      <c r="Q53" s="20" t="s">
        <v>9</v>
      </c>
      <c r="R53" s="18">
        <v>1266</v>
      </c>
      <c r="S53" s="18">
        <v>1062</v>
      </c>
      <c r="T53" s="18">
        <v>848</v>
      </c>
      <c r="U53" s="18">
        <v>1146</v>
      </c>
      <c r="V53" s="18">
        <v>1028</v>
      </c>
      <c r="W53" s="18"/>
      <c r="X53" s="18"/>
      <c r="Y53" s="18"/>
      <c r="Z53" s="18"/>
      <c r="AA53" s="18"/>
      <c r="AB53" s="18"/>
      <c r="AC53" s="18"/>
      <c r="AD53" s="18">
        <f t="shared" si="7"/>
        <v>5350</v>
      </c>
    </row>
    <row r="54" spans="2:30" hidden="1">
      <c r="B54" s="20" t="s">
        <v>1446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>
        <f t="shared" si="6"/>
        <v>0</v>
      </c>
      <c r="Q54" s="20" t="s">
        <v>138</v>
      </c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>
        <f t="shared" si="7"/>
        <v>0</v>
      </c>
    </row>
    <row r="55" spans="2:30" hidden="1">
      <c r="B55" s="20" t="s">
        <v>76</v>
      </c>
      <c r="C55" s="18">
        <v>153</v>
      </c>
      <c r="D55" s="18">
        <v>122</v>
      </c>
      <c r="E55" s="18">
        <v>69</v>
      </c>
      <c r="F55" s="18">
        <v>160</v>
      </c>
      <c r="G55" s="18">
        <v>132</v>
      </c>
      <c r="H55" s="18"/>
      <c r="I55" s="18"/>
      <c r="J55" s="18"/>
      <c r="K55" s="18"/>
      <c r="L55" s="18"/>
      <c r="M55" s="18"/>
      <c r="N55" s="18"/>
      <c r="O55" s="18">
        <f t="shared" si="6"/>
        <v>636</v>
      </c>
      <c r="Q55" s="20" t="s">
        <v>76</v>
      </c>
      <c r="R55" s="18">
        <v>153</v>
      </c>
      <c r="S55" s="18">
        <v>122</v>
      </c>
      <c r="T55" s="18">
        <v>69</v>
      </c>
      <c r="U55" s="18">
        <v>160</v>
      </c>
      <c r="V55" s="18">
        <v>132</v>
      </c>
      <c r="W55" s="18"/>
      <c r="X55" s="18"/>
      <c r="Y55" s="18"/>
      <c r="Z55" s="18"/>
      <c r="AA55" s="18"/>
      <c r="AB55" s="18"/>
      <c r="AC55" s="18"/>
      <c r="AD55" s="18">
        <f t="shared" si="7"/>
        <v>636</v>
      </c>
    </row>
    <row r="56" spans="2:30" hidden="1">
      <c r="B56" s="20" t="s">
        <v>1447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>
        <f t="shared" si="6"/>
        <v>0</v>
      </c>
      <c r="Q56" s="20" t="s">
        <v>1417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>
        <f t="shared" si="7"/>
        <v>0</v>
      </c>
    </row>
    <row r="57" spans="2:30" hidden="1">
      <c r="B57" s="20" t="s">
        <v>1415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>
        <f t="shared" si="6"/>
        <v>0</v>
      </c>
      <c r="Q57" s="20" t="s">
        <v>64</v>
      </c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>
        <f t="shared" si="7"/>
        <v>0</v>
      </c>
    </row>
    <row r="58" spans="2:30" hidden="1">
      <c r="B58" s="20" t="s">
        <v>1445</v>
      </c>
      <c r="C58" s="18">
        <v>60</v>
      </c>
      <c r="D58" s="18">
        <v>33</v>
      </c>
      <c r="E58" s="18">
        <v>65</v>
      </c>
      <c r="F58" s="18">
        <v>50</v>
      </c>
      <c r="G58" s="18">
        <v>45</v>
      </c>
      <c r="H58" s="18"/>
      <c r="I58" s="18"/>
      <c r="J58" s="18"/>
      <c r="K58" s="18"/>
      <c r="L58" s="18"/>
      <c r="M58" s="18"/>
      <c r="N58" s="18"/>
      <c r="O58" s="18">
        <f t="shared" si="6"/>
        <v>253</v>
      </c>
      <c r="Q58" s="20" t="s">
        <v>1445</v>
      </c>
      <c r="R58" s="18">
        <v>60</v>
      </c>
      <c r="S58" s="18">
        <v>33</v>
      </c>
      <c r="T58" s="18">
        <v>65</v>
      </c>
      <c r="U58" s="18">
        <v>50</v>
      </c>
      <c r="V58" s="18">
        <v>45</v>
      </c>
      <c r="W58" s="18"/>
      <c r="X58" s="18"/>
      <c r="Y58" s="18"/>
      <c r="Z58" s="18"/>
      <c r="AA58" s="18"/>
      <c r="AB58" s="18"/>
      <c r="AC58" s="18"/>
      <c r="AD58" s="18">
        <f t="shared" si="7"/>
        <v>253</v>
      </c>
    </row>
    <row r="59" spans="2:30">
      <c r="B59" s="21" t="s">
        <v>271</v>
      </c>
      <c r="C59" s="19">
        <f t="shared" ref="C59:O59" si="8">SUM(C47:C58)</f>
        <v>7416</v>
      </c>
      <c r="D59" s="19">
        <f t="shared" si="8"/>
        <v>6371</v>
      </c>
      <c r="E59" s="19">
        <f t="shared" si="8"/>
        <v>5390</v>
      </c>
      <c r="F59" s="19">
        <f t="shared" si="8"/>
        <v>7112</v>
      </c>
      <c r="G59" s="19">
        <f t="shared" si="8"/>
        <v>6439</v>
      </c>
      <c r="H59" s="19">
        <f t="shared" si="8"/>
        <v>0</v>
      </c>
      <c r="I59" s="19">
        <f t="shared" si="8"/>
        <v>0</v>
      </c>
      <c r="J59" s="19">
        <f t="shared" si="8"/>
        <v>0</v>
      </c>
      <c r="K59" s="19">
        <f t="shared" si="8"/>
        <v>0</v>
      </c>
      <c r="L59" s="19">
        <f t="shared" si="8"/>
        <v>0</v>
      </c>
      <c r="M59" s="19">
        <f t="shared" si="8"/>
        <v>0</v>
      </c>
      <c r="N59" s="19">
        <f t="shared" si="8"/>
        <v>0</v>
      </c>
      <c r="O59" s="19">
        <f t="shared" si="8"/>
        <v>32728</v>
      </c>
      <c r="Q59" s="21" t="s">
        <v>271</v>
      </c>
      <c r="R59" s="19">
        <f t="shared" ref="R59:AD59" si="9">SUM(R47:R58)</f>
        <v>7416</v>
      </c>
      <c r="S59" s="19">
        <f t="shared" si="9"/>
        <v>6371</v>
      </c>
      <c r="T59" s="19">
        <f t="shared" si="9"/>
        <v>5390</v>
      </c>
      <c r="U59" s="19">
        <f t="shared" si="9"/>
        <v>7112</v>
      </c>
      <c r="V59" s="19">
        <f t="shared" si="9"/>
        <v>6439</v>
      </c>
      <c r="W59" s="19">
        <f t="shared" si="9"/>
        <v>0</v>
      </c>
      <c r="X59" s="19">
        <f t="shared" si="9"/>
        <v>0</v>
      </c>
      <c r="Y59" s="19">
        <f t="shared" si="9"/>
        <v>0</v>
      </c>
      <c r="Z59" s="19">
        <f t="shared" si="9"/>
        <v>0</v>
      </c>
      <c r="AA59" s="19">
        <f t="shared" si="9"/>
        <v>0</v>
      </c>
      <c r="AB59" s="19">
        <f t="shared" si="9"/>
        <v>0</v>
      </c>
      <c r="AC59" s="19">
        <f t="shared" si="9"/>
        <v>0</v>
      </c>
      <c r="AD59" s="19">
        <f t="shared" si="9"/>
        <v>32728</v>
      </c>
    </row>
    <row r="60" spans="2:30">
      <c r="B60" s="36" t="s">
        <v>69</v>
      </c>
      <c r="Q60" s="36" t="s">
        <v>69</v>
      </c>
    </row>
    <row r="61" spans="2:30">
      <c r="B61" s="57" t="s">
        <v>13</v>
      </c>
      <c r="C61" s="58" t="s">
        <v>19</v>
      </c>
      <c r="D61" s="58" t="s">
        <v>20</v>
      </c>
      <c r="E61" s="58" t="s">
        <v>21</v>
      </c>
      <c r="F61" s="58" t="s">
        <v>22</v>
      </c>
      <c r="G61" s="58" t="s">
        <v>23</v>
      </c>
      <c r="H61" s="58" t="s">
        <v>24</v>
      </c>
      <c r="I61" s="58" t="s">
        <v>25</v>
      </c>
      <c r="J61" s="58" t="s">
        <v>26</v>
      </c>
      <c r="K61" s="58" t="s">
        <v>27</v>
      </c>
      <c r="L61" s="58" t="s">
        <v>28</v>
      </c>
      <c r="M61" s="58" t="s">
        <v>35</v>
      </c>
      <c r="N61" s="58" t="s">
        <v>36</v>
      </c>
      <c r="O61" s="58" t="s">
        <v>0</v>
      </c>
      <c r="Q61" s="57" t="s">
        <v>13</v>
      </c>
      <c r="R61" s="58" t="s">
        <v>19</v>
      </c>
      <c r="S61" s="58" t="s">
        <v>20</v>
      </c>
      <c r="T61" s="58" t="s">
        <v>21</v>
      </c>
      <c r="U61" s="58" t="s">
        <v>22</v>
      </c>
      <c r="V61" s="58" t="s">
        <v>23</v>
      </c>
      <c r="W61" s="58" t="s">
        <v>24</v>
      </c>
      <c r="X61" s="58" t="s">
        <v>25</v>
      </c>
      <c r="Y61" s="58" t="s">
        <v>26</v>
      </c>
      <c r="Z61" s="58" t="s">
        <v>27</v>
      </c>
      <c r="AA61" s="58" t="s">
        <v>28</v>
      </c>
      <c r="AB61" s="58" t="s">
        <v>35</v>
      </c>
      <c r="AC61" s="58" t="s">
        <v>36</v>
      </c>
      <c r="AD61" s="58" t="s">
        <v>0</v>
      </c>
    </row>
    <row r="62" spans="2:30">
      <c r="B62" s="434" t="s">
        <v>1422</v>
      </c>
      <c r="C62" s="435">
        <f>+C36/C47</f>
        <v>0</v>
      </c>
      <c r="D62" s="435">
        <f t="shared" ref="D62:O62" si="10">+D36/D47</f>
        <v>0</v>
      </c>
      <c r="E62" s="435">
        <f t="shared" si="10"/>
        <v>0</v>
      </c>
      <c r="F62" s="435">
        <f t="shared" si="10"/>
        <v>0</v>
      </c>
      <c r="G62" s="435">
        <f t="shared" si="10"/>
        <v>0</v>
      </c>
      <c r="H62" s="435" t="e">
        <f t="shared" si="10"/>
        <v>#DIV/0!</v>
      </c>
      <c r="I62" s="435" t="e">
        <f t="shared" si="10"/>
        <v>#DIV/0!</v>
      </c>
      <c r="J62" s="435" t="e">
        <f t="shared" si="10"/>
        <v>#DIV/0!</v>
      </c>
      <c r="K62" s="435" t="e">
        <f t="shared" si="10"/>
        <v>#DIV/0!</v>
      </c>
      <c r="L62" s="435" t="e">
        <f t="shared" si="10"/>
        <v>#DIV/0!</v>
      </c>
      <c r="M62" s="435" t="e">
        <f t="shared" si="10"/>
        <v>#DIV/0!</v>
      </c>
      <c r="N62" s="435" t="e">
        <f t="shared" si="10"/>
        <v>#DIV/0!</v>
      </c>
      <c r="O62" s="435">
        <f t="shared" si="10"/>
        <v>0</v>
      </c>
      <c r="P62" s="153"/>
      <c r="Q62" s="434" t="s">
        <v>1422</v>
      </c>
      <c r="R62" s="435">
        <f>+R36/R47</f>
        <v>0</v>
      </c>
      <c r="S62" s="435">
        <f t="shared" ref="S62:AD62" si="11">+S36/S47</f>
        <v>0</v>
      </c>
      <c r="T62" s="435">
        <f t="shared" si="11"/>
        <v>0</v>
      </c>
      <c r="U62" s="435">
        <f t="shared" si="11"/>
        <v>0</v>
      </c>
      <c r="V62" s="435">
        <f t="shared" si="11"/>
        <v>0</v>
      </c>
      <c r="W62" s="435" t="e">
        <f t="shared" si="11"/>
        <v>#DIV/0!</v>
      </c>
      <c r="X62" s="435" t="e">
        <f t="shared" si="11"/>
        <v>#DIV/0!</v>
      </c>
      <c r="Y62" s="435" t="e">
        <f t="shared" si="11"/>
        <v>#DIV/0!</v>
      </c>
      <c r="Z62" s="435" t="e">
        <f t="shared" si="11"/>
        <v>#DIV/0!</v>
      </c>
      <c r="AA62" s="435" t="e">
        <f t="shared" si="11"/>
        <v>#DIV/0!</v>
      </c>
      <c r="AB62" s="435" t="e">
        <f t="shared" si="11"/>
        <v>#DIV/0!</v>
      </c>
      <c r="AC62" s="435" t="e">
        <f t="shared" si="11"/>
        <v>#DIV/0!</v>
      </c>
      <c r="AD62" s="435">
        <f t="shared" si="11"/>
        <v>0</v>
      </c>
    </row>
    <row r="63" spans="2:30">
      <c r="B63" s="434" t="s">
        <v>1443</v>
      </c>
      <c r="C63" s="435">
        <f>C37/C48</f>
        <v>0</v>
      </c>
      <c r="D63" s="435">
        <f t="shared" ref="D63:O63" si="12">D37/D48</f>
        <v>0</v>
      </c>
      <c r="E63" s="435">
        <f t="shared" ref="E63" si="13">+E37/E48</f>
        <v>0</v>
      </c>
      <c r="F63" s="435">
        <f t="shared" si="12"/>
        <v>0</v>
      </c>
      <c r="G63" s="435">
        <f t="shared" si="12"/>
        <v>0</v>
      </c>
      <c r="H63" s="435" t="e">
        <f t="shared" si="12"/>
        <v>#DIV/0!</v>
      </c>
      <c r="I63" s="435" t="e">
        <f t="shared" si="12"/>
        <v>#DIV/0!</v>
      </c>
      <c r="J63" s="435" t="e">
        <f t="shared" si="12"/>
        <v>#DIV/0!</v>
      </c>
      <c r="K63" s="435" t="e">
        <f t="shared" si="12"/>
        <v>#DIV/0!</v>
      </c>
      <c r="L63" s="435" t="e">
        <f t="shared" si="12"/>
        <v>#DIV/0!</v>
      </c>
      <c r="M63" s="435" t="e">
        <f t="shared" si="12"/>
        <v>#DIV/0!</v>
      </c>
      <c r="N63" s="435" t="e">
        <f t="shared" si="12"/>
        <v>#DIV/0!</v>
      </c>
      <c r="O63" s="435">
        <f t="shared" si="12"/>
        <v>0</v>
      </c>
      <c r="P63" s="153"/>
      <c r="Q63" s="434" t="s">
        <v>1443</v>
      </c>
      <c r="R63" s="435">
        <f>R37/R48</f>
        <v>0</v>
      </c>
      <c r="S63" s="435">
        <f t="shared" ref="S63:AD63" si="14">S37/S48</f>
        <v>0</v>
      </c>
      <c r="T63" s="435">
        <f t="shared" ref="T63" si="15">+T37/T48</f>
        <v>0</v>
      </c>
      <c r="U63" s="435">
        <f t="shared" si="14"/>
        <v>0</v>
      </c>
      <c r="V63" s="435">
        <f t="shared" si="14"/>
        <v>0</v>
      </c>
      <c r="W63" s="435" t="e">
        <f t="shared" si="14"/>
        <v>#DIV/0!</v>
      </c>
      <c r="X63" s="435" t="e">
        <f t="shared" si="14"/>
        <v>#DIV/0!</v>
      </c>
      <c r="Y63" s="435" t="e">
        <f t="shared" si="14"/>
        <v>#DIV/0!</v>
      </c>
      <c r="Z63" s="435" t="e">
        <f t="shared" si="14"/>
        <v>#DIV/0!</v>
      </c>
      <c r="AA63" s="435" t="e">
        <f t="shared" si="14"/>
        <v>#DIV/0!</v>
      </c>
      <c r="AB63" s="435" t="e">
        <f t="shared" si="14"/>
        <v>#DIV/0!</v>
      </c>
      <c r="AC63" s="435" t="e">
        <f t="shared" si="14"/>
        <v>#DIV/0!</v>
      </c>
      <c r="AD63" s="435">
        <f t="shared" si="14"/>
        <v>0</v>
      </c>
    </row>
    <row r="64" spans="2:30">
      <c r="B64" s="434" t="s">
        <v>1418</v>
      </c>
      <c r="C64" s="435">
        <f>+C38/C49</f>
        <v>0</v>
      </c>
      <c r="D64" s="435">
        <f t="shared" ref="D64:O64" si="16">+D38/D49</f>
        <v>0</v>
      </c>
      <c r="E64" s="435">
        <f t="shared" si="16"/>
        <v>0</v>
      </c>
      <c r="F64" s="435">
        <f t="shared" si="16"/>
        <v>0</v>
      </c>
      <c r="G64" s="435">
        <f t="shared" si="16"/>
        <v>0</v>
      </c>
      <c r="H64" s="435" t="e">
        <f t="shared" si="16"/>
        <v>#DIV/0!</v>
      </c>
      <c r="I64" s="435" t="e">
        <f t="shared" si="16"/>
        <v>#DIV/0!</v>
      </c>
      <c r="J64" s="435" t="e">
        <f t="shared" si="16"/>
        <v>#DIV/0!</v>
      </c>
      <c r="K64" s="435" t="e">
        <f t="shared" si="16"/>
        <v>#DIV/0!</v>
      </c>
      <c r="L64" s="435" t="e">
        <f t="shared" si="16"/>
        <v>#DIV/0!</v>
      </c>
      <c r="M64" s="435" t="e">
        <f t="shared" si="16"/>
        <v>#DIV/0!</v>
      </c>
      <c r="N64" s="435" t="e">
        <f t="shared" si="16"/>
        <v>#DIV/0!</v>
      </c>
      <c r="O64" s="435">
        <f t="shared" si="16"/>
        <v>0</v>
      </c>
      <c r="P64" s="153"/>
      <c r="Q64" s="434" t="s">
        <v>1418</v>
      </c>
      <c r="R64" s="435">
        <f>+R38/R49</f>
        <v>0</v>
      </c>
      <c r="S64" s="435">
        <f t="shared" ref="S64:AD64" si="17">+S38/S49</f>
        <v>0</v>
      </c>
      <c r="T64" s="435">
        <f t="shared" si="17"/>
        <v>0</v>
      </c>
      <c r="U64" s="435">
        <f t="shared" si="17"/>
        <v>0</v>
      </c>
      <c r="V64" s="435">
        <f t="shared" si="17"/>
        <v>0</v>
      </c>
      <c r="W64" s="435" t="e">
        <f t="shared" si="17"/>
        <v>#DIV/0!</v>
      </c>
      <c r="X64" s="435" t="e">
        <f t="shared" si="17"/>
        <v>#DIV/0!</v>
      </c>
      <c r="Y64" s="435" t="e">
        <f t="shared" si="17"/>
        <v>#DIV/0!</v>
      </c>
      <c r="Z64" s="435" t="e">
        <f t="shared" si="17"/>
        <v>#DIV/0!</v>
      </c>
      <c r="AA64" s="435" t="e">
        <f t="shared" si="17"/>
        <v>#DIV/0!</v>
      </c>
      <c r="AB64" s="435" t="e">
        <f t="shared" si="17"/>
        <v>#DIV/0!</v>
      </c>
      <c r="AC64" s="435" t="e">
        <f t="shared" si="17"/>
        <v>#DIV/0!</v>
      </c>
      <c r="AD64" s="435">
        <f t="shared" si="17"/>
        <v>0</v>
      </c>
    </row>
    <row r="65" spans="2:30">
      <c r="B65" s="434" t="s">
        <v>1532</v>
      </c>
      <c r="C65" s="435">
        <f>+C39/C50</f>
        <v>0</v>
      </c>
      <c r="D65" s="435">
        <f t="shared" ref="D65:O65" si="18">+D39/D50</f>
        <v>0</v>
      </c>
      <c r="E65" s="435">
        <f t="shared" si="18"/>
        <v>0</v>
      </c>
      <c r="F65" s="435">
        <f t="shared" si="18"/>
        <v>0</v>
      </c>
      <c r="G65" s="435">
        <f t="shared" si="18"/>
        <v>0</v>
      </c>
      <c r="H65" s="435" t="e">
        <f t="shared" si="18"/>
        <v>#DIV/0!</v>
      </c>
      <c r="I65" s="435" t="e">
        <f t="shared" si="18"/>
        <v>#DIV/0!</v>
      </c>
      <c r="J65" s="435" t="e">
        <f t="shared" si="18"/>
        <v>#DIV/0!</v>
      </c>
      <c r="K65" s="435" t="e">
        <f t="shared" si="18"/>
        <v>#DIV/0!</v>
      </c>
      <c r="L65" s="435" t="e">
        <f t="shared" si="18"/>
        <v>#DIV/0!</v>
      </c>
      <c r="M65" s="435" t="e">
        <f t="shared" si="18"/>
        <v>#DIV/0!</v>
      </c>
      <c r="N65" s="435" t="e">
        <f t="shared" si="18"/>
        <v>#DIV/0!</v>
      </c>
      <c r="O65" s="435">
        <f t="shared" si="18"/>
        <v>0</v>
      </c>
      <c r="P65" s="153"/>
      <c r="Q65" s="20" t="s">
        <v>1532</v>
      </c>
      <c r="R65" s="435">
        <f>+R39/R50</f>
        <v>0</v>
      </c>
      <c r="S65" s="435">
        <f t="shared" ref="S65:AD65" si="19">+S39/S50</f>
        <v>0</v>
      </c>
      <c r="T65" s="435">
        <f t="shared" si="19"/>
        <v>0</v>
      </c>
      <c r="U65" s="435">
        <f t="shared" si="19"/>
        <v>0</v>
      </c>
      <c r="V65" s="435">
        <f t="shared" si="19"/>
        <v>0</v>
      </c>
      <c r="W65" s="435" t="e">
        <f t="shared" si="19"/>
        <v>#DIV/0!</v>
      </c>
      <c r="X65" s="435" t="e">
        <f t="shared" si="19"/>
        <v>#DIV/0!</v>
      </c>
      <c r="Y65" s="435" t="e">
        <f t="shared" si="19"/>
        <v>#DIV/0!</v>
      </c>
      <c r="Z65" s="435" t="e">
        <f t="shared" si="19"/>
        <v>#DIV/0!</v>
      </c>
      <c r="AA65" s="435" t="e">
        <f t="shared" si="19"/>
        <v>#DIV/0!</v>
      </c>
      <c r="AB65" s="435" t="e">
        <f t="shared" si="19"/>
        <v>#DIV/0!</v>
      </c>
      <c r="AC65" s="435" t="e">
        <f t="shared" si="19"/>
        <v>#DIV/0!</v>
      </c>
      <c r="AD65" s="435">
        <f t="shared" si="19"/>
        <v>0</v>
      </c>
    </row>
    <row r="66" spans="2:30">
      <c r="B66" s="434" t="s">
        <v>1420</v>
      </c>
      <c r="C66" s="435">
        <f>C40/C51</f>
        <v>1.1111111111111111E-3</v>
      </c>
      <c r="D66" s="435">
        <f t="shared" ref="D66:O66" si="20">D40/D51</f>
        <v>0</v>
      </c>
      <c r="E66" s="435">
        <f t="shared" ref="E66" si="21">+E40/E51</f>
        <v>0</v>
      </c>
      <c r="F66" s="435">
        <f t="shared" si="20"/>
        <v>0</v>
      </c>
      <c r="G66" s="435">
        <f t="shared" si="20"/>
        <v>0</v>
      </c>
      <c r="H66" s="435" t="e">
        <f t="shared" si="20"/>
        <v>#DIV/0!</v>
      </c>
      <c r="I66" s="435" t="e">
        <f t="shared" si="20"/>
        <v>#DIV/0!</v>
      </c>
      <c r="J66" s="435" t="e">
        <f t="shared" si="20"/>
        <v>#DIV/0!</v>
      </c>
      <c r="K66" s="435" t="e">
        <f t="shared" si="20"/>
        <v>#DIV/0!</v>
      </c>
      <c r="L66" s="435" t="e">
        <f t="shared" si="20"/>
        <v>#DIV/0!</v>
      </c>
      <c r="M66" s="435" t="e">
        <f t="shared" si="20"/>
        <v>#DIV/0!</v>
      </c>
      <c r="N66" s="435" t="e">
        <f t="shared" si="20"/>
        <v>#DIV/0!</v>
      </c>
      <c r="O66" s="435">
        <f t="shared" si="20"/>
        <v>2.1829294913774285E-4</v>
      </c>
      <c r="P66" s="153"/>
      <c r="Q66" s="434" t="s">
        <v>1420</v>
      </c>
      <c r="R66" s="435">
        <f>R40/R51</f>
        <v>0</v>
      </c>
      <c r="S66" s="435">
        <f t="shared" ref="S66:AD66" si="22">S40/S51</f>
        <v>0</v>
      </c>
      <c r="T66" s="435">
        <f t="shared" ref="T66" si="23">+T40/T51</f>
        <v>0</v>
      </c>
      <c r="U66" s="435">
        <f t="shared" si="22"/>
        <v>0</v>
      </c>
      <c r="V66" s="435">
        <f t="shared" si="22"/>
        <v>0</v>
      </c>
      <c r="W66" s="435" t="e">
        <f t="shared" si="22"/>
        <v>#DIV/0!</v>
      </c>
      <c r="X66" s="435" t="e">
        <f t="shared" si="22"/>
        <v>#DIV/0!</v>
      </c>
      <c r="Y66" s="435" t="e">
        <f t="shared" si="22"/>
        <v>#DIV/0!</v>
      </c>
      <c r="Z66" s="435" t="e">
        <f t="shared" si="22"/>
        <v>#DIV/0!</v>
      </c>
      <c r="AA66" s="435" t="e">
        <f t="shared" si="22"/>
        <v>#DIV/0!</v>
      </c>
      <c r="AB66" s="435" t="e">
        <f t="shared" si="22"/>
        <v>#DIV/0!</v>
      </c>
      <c r="AC66" s="435" t="e">
        <f t="shared" si="22"/>
        <v>#DIV/0!</v>
      </c>
      <c r="AD66" s="435">
        <f t="shared" si="22"/>
        <v>0</v>
      </c>
    </row>
    <row r="67" spans="2:30">
      <c r="B67" s="434" t="s">
        <v>8</v>
      </c>
      <c r="C67" s="435">
        <f t="shared" ref="C67" si="24">C41/C52</f>
        <v>0</v>
      </c>
      <c r="D67" s="435">
        <f t="shared" ref="D67:O67" si="25">D41/D52</f>
        <v>0</v>
      </c>
      <c r="E67" s="435">
        <f t="shared" ref="E67" si="26">+E41/E52</f>
        <v>0</v>
      </c>
      <c r="F67" s="435">
        <f t="shared" si="25"/>
        <v>7.2202166064981946E-4</v>
      </c>
      <c r="G67" s="435">
        <f t="shared" si="25"/>
        <v>0</v>
      </c>
      <c r="H67" s="435" t="e">
        <f t="shared" si="25"/>
        <v>#DIV/0!</v>
      </c>
      <c r="I67" s="435" t="e">
        <f t="shared" si="25"/>
        <v>#DIV/0!</v>
      </c>
      <c r="J67" s="435" t="e">
        <f t="shared" si="25"/>
        <v>#DIV/0!</v>
      </c>
      <c r="K67" s="435" t="e">
        <f t="shared" si="25"/>
        <v>#DIV/0!</v>
      </c>
      <c r="L67" s="435" t="e">
        <f t="shared" si="25"/>
        <v>#DIV/0!</v>
      </c>
      <c r="M67" s="435" t="e">
        <f t="shared" si="25"/>
        <v>#DIV/0!</v>
      </c>
      <c r="N67" s="435" t="e">
        <f t="shared" si="25"/>
        <v>#DIV/0!</v>
      </c>
      <c r="O67" s="435">
        <f t="shared" si="25"/>
        <v>1.6318537859007833E-4</v>
      </c>
      <c r="P67" s="153"/>
      <c r="Q67" s="434" t="s">
        <v>8</v>
      </c>
      <c r="R67" s="435">
        <f t="shared" ref="R67:AD67" si="27">R41/R52</f>
        <v>0</v>
      </c>
      <c r="S67" s="435">
        <f t="shared" si="27"/>
        <v>0</v>
      </c>
      <c r="T67" s="435">
        <f t="shared" ref="T67" si="28">+T41/T52</f>
        <v>0</v>
      </c>
      <c r="U67" s="435">
        <f t="shared" si="27"/>
        <v>0</v>
      </c>
      <c r="V67" s="435">
        <f t="shared" si="27"/>
        <v>0</v>
      </c>
      <c r="W67" s="435" t="e">
        <f t="shared" si="27"/>
        <v>#DIV/0!</v>
      </c>
      <c r="X67" s="435" t="e">
        <f t="shared" si="27"/>
        <v>#DIV/0!</v>
      </c>
      <c r="Y67" s="435" t="e">
        <f t="shared" si="27"/>
        <v>#DIV/0!</v>
      </c>
      <c r="Z67" s="435" t="e">
        <f t="shared" si="27"/>
        <v>#DIV/0!</v>
      </c>
      <c r="AA67" s="435" t="e">
        <f t="shared" si="27"/>
        <v>#DIV/0!</v>
      </c>
      <c r="AB67" s="435" t="e">
        <f t="shared" si="27"/>
        <v>#DIV/0!</v>
      </c>
      <c r="AC67" s="435" t="e">
        <f t="shared" si="27"/>
        <v>#DIV/0!</v>
      </c>
      <c r="AD67" s="435">
        <f t="shared" si="27"/>
        <v>0</v>
      </c>
    </row>
    <row r="68" spans="2:30">
      <c r="B68" s="434" t="s">
        <v>9</v>
      </c>
      <c r="C68" s="435">
        <f t="shared" ref="C68" si="29">C42/C53</f>
        <v>7.8988941548183253E-4</v>
      </c>
      <c r="D68" s="435">
        <f t="shared" ref="D68:O68" si="30">D42/D53</f>
        <v>0</v>
      </c>
      <c r="E68" s="435">
        <f t="shared" ref="E68" si="31">+E42/E53</f>
        <v>0</v>
      </c>
      <c r="F68" s="435">
        <f t="shared" si="30"/>
        <v>0</v>
      </c>
      <c r="G68" s="435">
        <f t="shared" si="30"/>
        <v>0</v>
      </c>
      <c r="H68" s="435" t="e">
        <f t="shared" si="30"/>
        <v>#DIV/0!</v>
      </c>
      <c r="I68" s="435" t="e">
        <f t="shared" si="30"/>
        <v>#DIV/0!</v>
      </c>
      <c r="J68" s="435" t="e">
        <f t="shared" si="30"/>
        <v>#DIV/0!</v>
      </c>
      <c r="K68" s="435" t="e">
        <f t="shared" si="30"/>
        <v>#DIV/0!</v>
      </c>
      <c r="L68" s="435" t="e">
        <f t="shared" si="30"/>
        <v>#DIV/0!</v>
      </c>
      <c r="M68" s="435" t="e">
        <f t="shared" si="30"/>
        <v>#DIV/0!</v>
      </c>
      <c r="N68" s="435" t="e">
        <f t="shared" si="30"/>
        <v>#DIV/0!</v>
      </c>
      <c r="O68" s="435">
        <f t="shared" si="30"/>
        <v>1.8691588785046728E-4</v>
      </c>
      <c r="P68" s="153"/>
      <c r="Q68" s="434" t="s">
        <v>9</v>
      </c>
      <c r="R68" s="435">
        <f t="shared" ref="R68:AD68" si="32">R42/R53</f>
        <v>7.8988941548183253E-4</v>
      </c>
      <c r="S68" s="435">
        <f t="shared" si="32"/>
        <v>0</v>
      </c>
      <c r="T68" s="435">
        <f t="shared" ref="T68" si="33">+T42/T53</f>
        <v>0</v>
      </c>
      <c r="U68" s="435">
        <f t="shared" si="32"/>
        <v>0</v>
      </c>
      <c r="V68" s="435">
        <f t="shared" si="32"/>
        <v>0</v>
      </c>
      <c r="W68" s="435" t="e">
        <f t="shared" si="32"/>
        <v>#DIV/0!</v>
      </c>
      <c r="X68" s="435" t="e">
        <f t="shared" si="32"/>
        <v>#DIV/0!</v>
      </c>
      <c r="Y68" s="435" t="e">
        <f t="shared" si="32"/>
        <v>#DIV/0!</v>
      </c>
      <c r="Z68" s="435" t="e">
        <f t="shared" si="32"/>
        <v>#DIV/0!</v>
      </c>
      <c r="AA68" s="435" t="e">
        <f t="shared" si="32"/>
        <v>#DIV/0!</v>
      </c>
      <c r="AB68" s="435" t="e">
        <f t="shared" si="32"/>
        <v>#DIV/0!</v>
      </c>
      <c r="AC68" s="435" t="e">
        <f t="shared" si="32"/>
        <v>#DIV/0!</v>
      </c>
      <c r="AD68" s="435">
        <f t="shared" si="32"/>
        <v>1.8691588785046728E-4</v>
      </c>
    </row>
    <row r="69" spans="2:30">
      <c r="B69" s="61" t="s">
        <v>271</v>
      </c>
      <c r="C69" s="201">
        <f t="shared" ref="C69:O69" si="34">C43/C59</f>
        <v>2.6968716289104636E-4</v>
      </c>
      <c r="D69" s="201">
        <f t="shared" si="34"/>
        <v>0</v>
      </c>
      <c r="E69" s="201">
        <f t="shared" si="34"/>
        <v>0</v>
      </c>
      <c r="F69" s="201">
        <f t="shared" si="34"/>
        <v>1.4060742407199101E-4</v>
      </c>
      <c r="G69" s="201">
        <f t="shared" si="34"/>
        <v>0</v>
      </c>
      <c r="H69" s="201" t="e">
        <f t="shared" si="34"/>
        <v>#DIV/0!</v>
      </c>
      <c r="I69" s="201" t="e">
        <f t="shared" si="34"/>
        <v>#DIV/0!</v>
      </c>
      <c r="J69" s="201" t="e">
        <f t="shared" si="34"/>
        <v>#DIV/0!</v>
      </c>
      <c r="K69" s="201" t="e">
        <f t="shared" si="34"/>
        <v>#DIV/0!</v>
      </c>
      <c r="L69" s="201" t="e">
        <f t="shared" si="34"/>
        <v>#DIV/0!</v>
      </c>
      <c r="M69" s="201" t="e">
        <f t="shared" si="34"/>
        <v>#DIV/0!</v>
      </c>
      <c r="N69" s="201" t="e">
        <f t="shared" si="34"/>
        <v>#DIV/0!</v>
      </c>
      <c r="O69" s="201">
        <f t="shared" si="34"/>
        <v>9.1664629674896109E-5</v>
      </c>
      <c r="Q69" s="61" t="s">
        <v>271</v>
      </c>
      <c r="R69" s="201">
        <f t="shared" ref="R69:AD69" si="35">R43/R59</f>
        <v>1.3484358144552318E-4</v>
      </c>
      <c r="S69" s="201">
        <f t="shared" si="35"/>
        <v>0</v>
      </c>
      <c r="T69" s="201">
        <f t="shared" si="35"/>
        <v>0</v>
      </c>
      <c r="U69" s="201">
        <f t="shared" si="35"/>
        <v>0</v>
      </c>
      <c r="V69" s="201">
        <f t="shared" si="35"/>
        <v>0</v>
      </c>
      <c r="W69" s="201" t="e">
        <f t="shared" si="35"/>
        <v>#DIV/0!</v>
      </c>
      <c r="X69" s="201" t="e">
        <f t="shared" si="35"/>
        <v>#DIV/0!</v>
      </c>
      <c r="Y69" s="201" t="e">
        <f t="shared" si="35"/>
        <v>#DIV/0!</v>
      </c>
      <c r="Z69" s="201" t="e">
        <f t="shared" si="35"/>
        <v>#DIV/0!</v>
      </c>
      <c r="AA69" s="201" t="e">
        <f t="shared" si="35"/>
        <v>#DIV/0!</v>
      </c>
      <c r="AB69" s="201" t="e">
        <f t="shared" si="35"/>
        <v>#DIV/0!</v>
      </c>
      <c r="AC69" s="201" t="e">
        <f t="shared" si="35"/>
        <v>#DIV/0!</v>
      </c>
      <c r="AD69" s="201">
        <f t="shared" si="35"/>
        <v>3.0554876558298703E-5</v>
      </c>
    </row>
    <row r="70" spans="2:30">
      <c r="B70" s="528" t="s">
        <v>1478</v>
      </c>
      <c r="C70" s="528"/>
      <c r="D70" s="528"/>
      <c r="E70" s="528"/>
      <c r="F70" s="528"/>
      <c r="G70" s="528"/>
      <c r="H70" s="528"/>
      <c r="I70" s="528"/>
      <c r="J70" s="528"/>
      <c r="K70" s="528"/>
      <c r="L70" s="528"/>
      <c r="M70" s="528"/>
      <c r="N70" s="528"/>
      <c r="O70" s="528"/>
      <c r="Q70" s="528" t="s">
        <v>1479</v>
      </c>
      <c r="R70" s="528"/>
      <c r="S70" s="528"/>
      <c r="T70" s="528"/>
      <c r="U70" s="528"/>
      <c r="V70" s="528"/>
      <c r="W70" s="528"/>
      <c r="X70" s="528"/>
      <c r="Y70" s="528"/>
      <c r="Z70" s="528"/>
      <c r="AA70" s="528"/>
      <c r="AB70" s="528"/>
      <c r="AC70" s="528"/>
      <c r="AD70" s="528"/>
    </row>
    <row r="76" spans="2:30">
      <c r="B76" s="36" t="s">
        <v>32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</row>
    <row r="77" spans="2:30" ht="15.75" thickBot="1">
      <c r="B77" s="24" t="s">
        <v>1671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</row>
    <row r="78" spans="2:30">
      <c r="B78" s="446" t="s">
        <v>33</v>
      </c>
      <c r="C78" s="447" t="s">
        <v>19</v>
      </c>
      <c r="D78" s="447" t="s">
        <v>20</v>
      </c>
      <c r="E78" s="447" t="s">
        <v>21</v>
      </c>
      <c r="F78" s="447" t="s">
        <v>22</v>
      </c>
      <c r="G78" s="447" t="s">
        <v>23</v>
      </c>
      <c r="H78" s="447" t="s">
        <v>24</v>
      </c>
      <c r="I78" s="447" t="s">
        <v>25</v>
      </c>
      <c r="J78" s="447" t="s">
        <v>26</v>
      </c>
      <c r="K78" s="447" t="s">
        <v>27</v>
      </c>
      <c r="L78" s="44" t="s">
        <v>28</v>
      </c>
      <c r="M78" s="44" t="s">
        <v>35</v>
      </c>
      <c r="N78" s="44" t="s">
        <v>36</v>
      </c>
      <c r="O78" s="44" t="s">
        <v>0</v>
      </c>
    </row>
    <row r="79" spans="2:30">
      <c r="B79" s="28" t="s">
        <v>6</v>
      </c>
      <c r="C79" s="29"/>
      <c r="D79" s="29"/>
      <c r="E79" s="29"/>
      <c r="F79" s="29">
        <v>1</v>
      </c>
      <c r="G79" s="29"/>
      <c r="H79" s="29"/>
      <c r="I79" s="29"/>
      <c r="J79" s="29"/>
      <c r="K79" s="29"/>
      <c r="L79" s="29"/>
      <c r="M79" s="29"/>
      <c r="N79" s="27"/>
      <c r="O79" s="31">
        <f>SUM(C79:N79)</f>
        <v>1</v>
      </c>
    </row>
    <row r="80" spans="2:30">
      <c r="B80" s="28" t="s">
        <v>5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7"/>
      <c r="O80" s="31">
        <f>SUM(C80:N80)</f>
        <v>0</v>
      </c>
    </row>
    <row r="81" spans="2:30">
      <c r="B81" s="28" t="s">
        <v>1421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7"/>
      <c r="O81" s="31">
        <f>SUM(C81:N81)</f>
        <v>0</v>
      </c>
    </row>
    <row r="82" spans="2:30">
      <c r="B82" s="28" t="s">
        <v>1542</v>
      </c>
      <c r="C82" s="29"/>
      <c r="D82" s="29"/>
      <c r="E82" s="29">
        <v>4</v>
      </c>
      <c r="F82" s="29"/>
      <c r="G82" s="29"/>
      <c r="H82" s="29"/>
      <c r="I82" s="29"/>
      <c r="J82" s="29"/>
      <c r="K82" s="29"/>
      <c r="L82" s="29"/>
      <c r="M82" s="29"/>
      <c r="N82" s="27"/>
      <c r="O82" s="31">
        <f>SUM(C82:N82)</f>
        <v>4</v>
      </c>
    </row>
    <row r="83" spans="2:30">
      <c r="B83" s="28" t="s">
        <v>1580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7"/>
      <c r="O83" s="31">
        <f>SUM(C83:N83)</f>
        <v>0</v>
      </c>
    </row>
    <row r="84" spans="2:30" ht="15.75" thickBot="1">
      <c r="B84" s="3" t="s">
        <v>18</v>
      </c>
      <c r="C84" s="4">
        <f>SUM(C79:C83)</f>
        <v>0</v>
      </c>
      <c r="D84" s="4">
        <f t="shared" ref="D84:F84" si="36">SUM(D79:D83)</f>
        <v>0</v>
      </c>
      <c r="E84" s="4">
        <f t="shared" si="36"/>
        <v>4</v>
      </c>
      <c r="F84" s="4">
        <f t="shared" si="36"/>
        <v>1</v>
      </c>
      <c r="G84" s="4">
        <f t="shared" ref="G84:N84" si="37">SUM(G79:G82)</f>
        <v>0</v>
      </c>
      <c r="H84" s="4">
        <f t="shared" si="37"/>
        <v>0</v>
      </c>
      <c r="I84" s="4">
        <f t="shared" si="37"/>
        <v>0</v>
      </c>
      <c r="J84" s="4">
        <f t="shared" si="37"/>
        <v>0</v>
      </c>
      <c r="K84" s="4">
        <f t="shared" si="37"/>
        <v>0</v>
      </c>
      <c r="L84" s="4">
        <f t="shared" si="37"/>
        <v>0</v>
      </c>
      <c r="M84" s="4">
        <f t="shared" si="37"/>
        <v>0</v>
      </c>
      <c r="N84" s="4">
        <f t="shared" si="37"/>
        <v>0</v>
      </c>
      <c r="O84" s="4">
        <f t="shared" ref="O84" si="38">SUM(O79:O83)</f>
        <v>5</v>
      </c>
    </row>
    <row r="85" spans="2:30" ht="21" customHeight="1" thickTop="1" thickBot="1">
      <c r="B85" s="36" t="s">
        <v>1180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</row>
    <row r="86" spans="2:30" ht="18">
      <c r="B86" s="448" t="s">
        <v>33</v>
      </c>
      <c r="C86" s="295" t="s">
        <v>19</v>
      </c>
      <c r="D86" s="295" t="s">
        <v>20</v>
      </c>
      <c r="E86" s="295" t="s">
        <v>21</v>
      </c>
      <c r="F86" s="295" t="s">
        <v>22</v>
      </c>
      <c r="G86" s="295" t="s">
        <v>23</v>
      </c>
      <c r="H86" s="295" t="s">
        <v>24</v>
      </c>
      <c r="I86" s="295" t="s">
        <v>25</v>
      </c>
      <c r="J86" s="295" t="s">
        <v>26</v>
      </c>
      <c r="K86" s="295" t="s">
        <v>27</v>
      </c>
      <c r="L86" s="295" t="s">
        <v>28</v>
      </c>
      <c r="M86" s="295" t="s">
        <v>35</v>
      </c>
      <c r="N86" s="295" t="s">
        <v>36</v>
      </c>
      <c r="O86" s="295" t="s">
        <v>0</v>
      </c>
      <c r="P86" s="304" t="s">
        <v>934</v>
      </c>
      <c r="R86" s="81"/>
    </row>
    <row r="87" spans="2:30">
      <c r="B87" s="28" t="s">
        <v>6</v>
      </c>
      <c r="C87" s="27">
        <v>3558</v>
      </c>
      <c r="D87" s="29">
        <v>3092</v>
      </c>
      <c r="E87" s="29">
        <v>3116</v>
      </c>
      <c r="F87" s="29">
        <v>3740</v>
      </c>
      <c r="G87" s="29">
        <v>3410</v>
      </c>
      <c r="H87" s="29"/>
      <c r="I87" s="29"/>
      <c r="J87" s="29"/>
      <c r="K87" s="29"/>
      <c r="L87" s="29"/>
      <c r="M87" s="29"/>
      <c r="N87" s="27"/>
      <c r="O87" s="31">
        <f t="shared" ref="O87:O92" si="39">SUM(C87:N87)</f>
        <v>16916</v>
      </c>
      <c r="P87" s="504">
        <f t="shared" ref="P87:P92" si="40">O87/1</f>
        <v>16916</v>
      </c>
      <c r="Q87" s="55"/>
      <c r="R87" s="81"/>
    </row>
    <row r="88" spans="2:30">
      <c r="B88" s="25" t="s">
        <v>5</v>
      </c>
      <c r="C88" s="29">
        <v>269</v>
      </c>
      <c r="D88" s="29">
        <v>207</v>
      </c>
      <c r="E88" s="29">
        <v>246</v>
      </c>
      <c r="F88" s="29">
        <v>228</v>
      </c>
      <c r="G88" s="29">
        <v>200</v>
      </c>
      <c r="H88" s="29"/>
      <c r="I88" s="29"/>
      <c r="J88" s="29"/>
      <c r="K88" s="29"/>
      <c r="L88" s="29"/>
      <c r="M88" s="29"/>
      <c r="N88" s="27"/>
      <c r="O88" s="31">
        <f t="shared" si="39"/>
        <v>1150</v>
      </c>
      <c r="P88" s="504">
        <f t="shared" si="40"/>
        <v>1150</v>
      </c>
      <c r="Q88" s="55"/>
      <c r="R88" s="81"/>
    </row>
    <row r="89" spans="2:30">
      <c r="B89" s="25" t="s">
        <v>1421</v>
      </c>
      <c r="C89" s="29">
        <v>3565</v>
      </c>
      <c r="D89" s="29">
        <v>3038</v>
      </c>
      <c r="E89" s="29">
        <v>325</v>
      </c>
      <c r="F89" s="29">
        <v>0</v>
      </c>
      <c r="G89" s="29">
        <v>0</v>
      </c>
      <c r="H89" s="29"/>
      <c r="I89" s="29"/>
      <c r="J89" s="29"/>
      <c r="K89" s="29"/>
      <c r="L89" s="29"/>
      <c r="M89" s="29"/>
      <c r="N89" s="27"/>
      <c r="O89" s="31">
        <f t="shared" si="39"/>
        <v>6928</v>
      </c>
      <c r="P89" s="504">
        <f t="shared" si="40"/>
        <v>6928</v>
      </c>
      <c r="Q89" s="55"/>
      <c r="R89" s="81"/>
    </row>
    <row r="90" spans="2:30" hidden="1">
      <c r="B90" s="25" t="s">
        <v>1542</v>
      </c>
      <c r="C90" s="29">
        <v>0</v>
      </c>
      <c r="D90" s="29">
        <v>0</v>
      </c>
      <c r="E90" s="29">
        <v>1692</v>
      </c>
      <c r="F90" s="29">
        <v>0</v>
      </c>
      <c r="G90" s="29">
        <v>0</v>
      </c>
      <c r="H90" s="29"/>
      <c r="I90" s="29"/>
      <c r="J90" s="29"/>
      <c r="K90" s="29"/>
      <c r="L90" s="29"/>
      <c r="M90" s="29"/>
      <c r="N90" s="27"/>
      <c r="O90" s="31">
        <f t="shared" si="39"/>
        <v>1692</v>
      </c>
      <c r="P90" s="504">
        <f t="shared" si="40"/>
        <v>1692</v>
      </c>
      <c r="Q90" s="55"/>
      <c r="R90" s="81"/>
      <c r="S90" s="508"/>
    </row>
    <row r="91" spans="2:30">
      <c r="B91" s="25" t="s">
        <v>1580</v>
      </c>
      <c r="C91" s="29">
        <v>0</v>
      </c>
      <c r="D91" s="29">
        <v>0</v>
      </c>
      <c r="E91" s="29">
        <v>0</v>
      </c>
      <c r="F91" s="29">
        <v>3084</v>
      </c>
      <c r="G91" s="29">
        <v>2789</v>
      </c>
      <c r="H91" s="29"/>
      <c r="I91" s="29"/>
      <c r="J91" s="29"/>
      <c r="K91" s="29"/>
      <c r="L91" s="29"/>
      <c r="M91" s="29"/>
      <c r="N91" s="27"/>
      <c r="O91" s="31">
        <f t="shared" si="39"/>
        <v>5873</v>
      </c>
      <c r="P91" s="504">
        <f t="shared" si="40"/>
        <v>5873</v>
      </c>
      <c r="Q91" s="55"/>
      <c r="R91" s="509"/>
      <c r="S91" s="508"/>
    </row>
    <row r="92" spans="2:30" hidden="1">
      <c r="B92" s="25" t="s">
        <v>1415</v>
      </c>
      <c r="C92" s="29">
        <v>24</v>
      </c>
      <c r="D92" s="29">
        <v>34</v>
      </c>
      <c r="E92" s="29">
        <v>11</v>
      </c>
      <c r="F92" s="29">
        <v>60</v>
      </c>
      <c r="G92" s="29">
        <v>40</v>
      </c>
      <c r="H92" s="29"/>
      <c r="I92" s="29"/>
      <c r="J92" s="29"/>
      <c r="K92" s="29"/>
      <c r="L92" s="29"/>
      <c r="M92" s="29"/>
      <c r="N92" s="27"/>
      <c r="O92" s="31">
        <f t="shared" si="39"/>
        <v>169</v>
      </c>
      <c r="P92" s="439">
        <f t="shared" si="40"/>
        <v>169</v>
      </c>
      <c r="Q92" s="55"/>
      <c r="R92" s="81"/>
    </row>
    <row r="93" spans="2:30" ht="15.75" thickBot="1">
      <c r="B93" s="7" t="s">
        <v>30</v>
      </c>
      <c r="C93" s="8">
        <f t="shared" ref="C93:O93" si="41">SUM(C87:C92)</f>
        <v>7416</v>
      </c>
      <c r="D93" s="8">
        <f t="shared" si="41"/>
        <v>6371</v>
      </c>
      <c r="E93" s="8">
        <f t="shared" si="41"/>
        <v>5390</v>
      </c>
      <c r="F93" s="8">
        <f t="shared" si="41"/>
        <v>7112</v>
      </c>
      <c r="G93" s="8">
        <f t="shared" si="41"/>
        <v>6439</v>
      </c>
      <c r="H93" s="8">
        <f t="shared" si="41"/>
        <v>0</v>
      </c>
      <c r="I93" s="8">
        <f t="shared" si="41"/>
        <v>0</v>
      </c>
      <c r="J93" s="8">
        <f t="shared" si="41"/>
        <v>0</v>
      </c>
      <c r="K93" s="8">
        <f t="shared" si="41"/>
        <v>0</v>
      </c>
      <c r="L93" s="8">
        <f t="shared" si="41"/>
        <v>0</v>
      </c>
      <c r="M93" s="8">
        <f t="shared" si="41"/>
        <v>0</v>
      </c>
      <c r="N93" s="8">
        <f t="shared" si="41"/>
        <v>0</v>
      </c>
      <c r="O93" s="8">
        <f t="shared" si="41"/>
        <v>32728</v>
      </c>
      <c r="P93" s="8">
        <f>O93/2</f>
        <v>16364</v>
      </c>
      <c r="Q93" s="55"/>
      <c r="R93" s="81"/>
      <c r="T93" s="486"/>
      <c r="AD93" s="486"/>
    </row>
    <row r="94" spans="2:30" ht="16.5" thickTop="1" thickBot="1">
      <c r="B94" s="36" t="s">
        <v>58</v>
      </c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56"/>
      <c r="Q94" s="55"/>
      <c r="R94" s="81"/>
      <c r="T94" s="486"/>
    </row>
    <row r="95" spans="2:30">
      <c r="B95" s="9" t="s">
        <v>34</v>
      </c>
      <c r="C95" s="10" t="s">
        <v>19</v>
      </c>
      <c r="D95" s="10" t="s">
        <v>20</v>
      </c>
      <c r="E95" s="10" t="s">
        <v>21</v>
      </c>
      <c r="F95" s="10" t="s">
        <v>22</v>
      </c>
      <c r="G95" s="10" t="s">
        <v>23</v>
      </c>
      <c r="H95" s="10" t="s">
        <v>24</v>
      </c>
      <c r="I95" s="10" t="s">
        <v>25</v>
      </c>
      <c r="J95" s="10" t="s">
        <v>26</v>
      </c>
      <c r="K95" s="10" t="s">
        <v>27</v>
      </c>
      <c r="L95" s="10" t="s">
        <v>28</v>
      </c>
      <c r="M95" s="10" t="s">
        <v>35</v>
      </c>
      <c r="N95" s="10" t="s">
        <v>36</v>
      </c>
      <c r="O95" s="11" t="s">
        <v>0</v>
      </c>
      <c r="Q95" s="55"/>
      <c r="R95" s="81"/>
    </row>
    <row r="96" spans="2:30" ht="15" hidden="1" customHeight="1">
      <c r="B96" s="25" t="s">
        <v>4</v>
      </c>
      <c r="C96" s="220" t="e">
        <f>#REF!/#REF!</f>
        <v>#REF!</v>
      </c>
      <c r="D96" s="220" t="e">
        <f>+#REF!/#REF!</f>
        <v>#REF!</v>
      </c>
      <c r="E96" s="220" t="e">
        <f>+#REF!/#REF!</f>
        <v>#REF!</v>
      </c>
      <c r="F96" s="220" t="e">
        <f>+#REF!/#REF!</f>
        <v>#REF!</v>
      </c>
      <c r="G96" s="220" t="e">
        <f>+#REF!/#REF!</f>
        <v>#REF!</v>
      </c>
      <c r="H96" s="220">
        <v>0</v>
      </c>
      <c r="I96" s="220" t="e">
        <f>+#REF!/#REF!</f>
        <v>#REF!</v>
      </c>
      <c r="J96" s="220" t="e">
        <f>+#REF!/#REF!</f>
        <v>#REF!</v>
      </c>
      <c r="K96" s="220" t="e">
        <f>+#REF!/#REF!</f>
        <v>#REF!</v>
      </c>
      <c r="L96" s="220" t="e">
        <f>+#REF!/#REF!</f>
        <v>#REF!</v>
      </c>
      <c r="M96" s="440">
        <v>0</v>
      </c>
      <c r="N96" s="440">
        <v>0</v>
      </c>
      <c r="O96" s="406" t="e">
        <f>#REF!/#REF!</f>
        <v>#REF!</v>
      </c>
      <c r="P96" s="529" t="s">
        <v>1480</v>
      </c>
      <c r="Q96" s="55"/>
    </row>
    <row r="97" spans="2:16">
      <c r="B97" s="28" t="s">
        <v>6</v>
      </c>
      <c r="C97" s="220">
        <f t="shared" ref="C97:E99" si="42">C79/C87</f>
        <v>0</v>
      </c>
      <c r="D97" s="220">
        <f t="shared" si="42"/>
        <v>0</v>
      </c>
      <c r="E97" s="220">
        <f t="shared" si="42"/>
        <v>0</v>
      </c>
      <c r="F97" s="220">
        <f t="shared" ref="F97" si="43">F79/F87</f>
        <v>2.6737967914438503E-4</v>
      </c>
      <c r="G97" s="220">
        <f t="shared" ref="G97:O97" si="44">G79/G87</f>
        <v>0</v>
      </c>
      <c r="H97" s="220" t="e">
        <f t="shared" si="44"/>
        <v>#DIV/0!</v>
      </c>
      <c r="I97" s="220" t="e">
        <f t="shared" si="44"/>
        <v>#DIV/0!</v>
      </c>
      <c r="J97" s="220" t="e">
        <f t="shared" si="44"/>
        <v>#DIV/0!</v>
      </c>
      <c r="K97" s="220" t="e">
        <f t="shared" si="44"/>
        <v>#DIV/0!</v>
      </c>
      <c r="L97" s="220" t="e">
        <f t="shared" si="44"/>
        <v>#DIV/0!</v>
      </c>
      <c r="M97" s="220" t="e">
        <f t="shared" si="44"/>
        <v>#DIV/0!</v>
      </c>
      <c r="N97" s="220" t="e">
        <f t="shared" si="44"/>
        <v>#DIV/0!</v>
      </c>
      <c r="O97" s="406">
        <f t="shared" si="44"/>
        <v>5.911563017261764E-5</v>
      </c>
      <c r="P97" s="529"/>
    </row>
    <row r="98" spans="2:16">
      <c r="B98" s="25" t="s">
        <v>5</v>
      </c>
      <c r="C98" s="220">
        <f t="shared" si="42"/>
        <v>0</v>
      </c>
      <c r="D98" s="220">
        <f t="shared" si="42"/>
        <v>0</v>
      </c>
      <c r="E98" s="220">
        <f t="shared" si="42"/>
        <v>0</v>
      </c>
      <c r="F98" s="220">
        <f t="shared" ref="F98" si="45">F80/F88</f>
        <v>0</v>
      </c>
      <c r="G98" s="220">
        <f t="shared" ref="G98:O98" si="46">G80/G88</f>
        <v>0</v>
      </c>
      <c r="H98" s="220" t="e">
        <f t="shared" si="46"/>
        <v>#DIV/0!</v>
      </c>
      <c r="I98" s="220" t="e">
        <f t="shared" si="46"/>
        <v>#DIV/0!</v>
      </c>
      <c r="J98" s="220" t="e">
        <f t="shared" si="46"/>
        <v>#DIV/0!</v>
      </c>
      <c r="K98" s="220" t="e">
        <f t="shared" si="46"/>
        <v>#DIV/0!</v>
      </c>
      <c r="L98" s="220" t="e">
        <f t="shared" si="46"/>
        <v>#DIV/0!</v>
      </c>
      <c r="M98" s="220" t="e">
        <f t="shared" si="46"/>
        <v>#DIV/0!</v>
      </c>
      <c r="N98" s="220" t="e">
        <f t="shared" si="46"/>
        <v>#DIV/0!</v>
      </c>
      <c r="O98" s="406">
        <f t="shared" si="46"/>
        <v>0</v>
      </c>
      <c r="P98" s="529"/>
    </row>
    <row r="99" spans="2:16">
      <c r="B99" s="25" t="s">
        <v>1421</v>
      </c>
      <c r="C99" s="220">
        <f t="shared" si="42"/>
        <v>0</v>
      </c>
      <c r="D99" s="220">
        <f t="shared" si="42"/>
        <v>0</v>
      </c>
      <c r="E99" s="220">
        <f t="shared" si="42"/>
        <v>0</v>
      </c>
      <c r="F99" s="220">
        <v>0</v>
      </c>
      <c r="G99" s="220">
        <v>0</v>
      </c>
      <c r="H99" s="220" t="e">
        <f t="shared" ref="G99:O101" si="47">H81/H89</f>
        <v>#DIV/0!</v>
      </c>
      <c r="I99" s="220" t="e">
        <f t="shared" si="47"/>
        <v>#DIV/0!</v>
      </c>
      <c r="J99" s="220" t="e">
        <f t="shared" si="47"/>
        <v>#DIV/0!</v>
      </c>
      <c r="K99" s="220" t="e">
        <f t="shared" si="47"/>
        <v>#DIV/0!</v>
      </c>
      <c r="L99" s="220" t="e">
        <f t="shared" si="47"/>
        <v>#DIV/0!</v>
      </c>
      <c r="M99" s="220" t="e">
        <f t="shared" si="47"/>
        <v>#DIV/0!</v>
      </c>
      <c r="N99" s="220" t="e">
        <f t="shared" si="47"/>
        <v>#DIV/0!</v>
      </c>
      <c r="O99" s="406">
        <f t="shared" si="47"/>
        <v>0</v>
      </c>
      <c r="P99" s="529"/>
    </row>
    <row r="100" spans="2:16">
      <c r="B100" s="25" t="s">
        <v>1542</v>
      </c>
      <c r="C100" s="220">
        <v>0</v>
      </c>
      <c r="D100" s="220">
        <v>0</v>
      </c>
      <c r="E100" s="220">
        <f>E82/E90</f>
        <v>2.3640661938534278E-3</v>
      </c>
      <c r="F100" s="220">
        <v>0</v>
      </c>
      <c r="G100" s="220">
        <v>0</v>
      </c>
      <c r="H100" s="220"/>
      <c r="I100" s="220"/>
      <c r="J100" s="220"/>
      <c r="K100" s="220"/>
      <c r="L100" s="220"/>
      <c r="M100" s="220"/>
      <c r="N100" s="220"/>
      <c r="O100" s="406">
        <f>O82/O90</f>
        <v>2.3640661938534278E-3</v>
      </c>
      <c r="P100" s="529"/>
    </row>
    <row r="101" spans="2:16">
      <c r="B101" s="25" t="s">
        <v>1580</v>
      </c>
      <c r="C101" s="220">
        <v>0</v>
      </c>
      <c r="D101" s="220">
        <v>0</v>
      </c>
      <c r="E101" s="220">
        <v>0</v>
      </c>
      <c r="F101" s="220">
        <f>F83/F91</f>
        <v>0</v>
      </c>
      <c r="G101" s="220">
        <f t="shared" si="47"/>
        <v>0</v>
      </c>
      <c r="H101" s="220"/>
      <c r="I101" s="220"/>
      <c r="J101" s="220"/>
      <c r="K101" s="220"/>
      <c r="L101" s="220"/>
      <c r="M101" s="220"/>
      <c r="N101" s="220"/>
      <c r="O101" s="406">
        <f>O83/O91</f>
        <v>0</v>
      </c>
      <c r="P101" s="529"/>
    </row>
    <row r="102" spans="2:16" ht="15.75" thickBot="1">
      <c r="B102" s="12" t="s">
        <v>18</v>
      </c>
      <c r="C102" s="221">
        <f t="shared" ref="C102:N102" si="48">+C84/C93</f>
        <v>0</v>
      </c>
      <c r="D102" s="221">
        <f t="shared" si="48"/>
        <v>0</v>
      </c>
      <c r="E102" s="221">
        <f t="shared" si="48"/>
        <v>7.4211502782931351E-4</v>
      </c>
      <c r="F102" s="221">
        <f t="shared" si="48"/>
        <v>1.4060742407199101E-4</v>
      </c>
      <c r="G102" s="221">
        <f t="shared" si="48"/>
        <v>0</v>
      </c>
      <c r="H102" s="221" t="e">
        <f t="shared" si="48"/>
        <v>#DIV/0!</v>
      </c>
      <c r="I102" s="221" t="e">
        <f t="shared" si="48"/>
        <v>#DIV/0!</v>
      </c>
      <c r="J102" s="221" t="e">
        <f t="shared" si="48"/>
        <v>#DIV/0!</v>
      </c>
      <c r="K102" s="221" t="e">
        <f t="shared" si="48"/>
        <v>#DIV/0!</v>
      </c>
      <c r="L102" s="221" t="e">
        <f t="shared" si="48"/>
        <v>#DIV/0!</v>
      </c>
      <c r="M102" s="221" t="e">
        <f t="shared" si="48"/>
        <v>#DIV/0!</v>
      </c>
      <c r="N102" s="221" t="e">
        <f t="shared" si="48"/>
        <v>#DIV/0!</v>
      </c>
      <c r="O102" s="221">
        <f>+O84/O93</f>
        <v>1.5277438279149351E-4</v>
      </c>
    </row>
    <row r="103" spans="2:16" ht="15.75" thickTop="1"/>
  </sheetData>
  <sortState ref="B5:O29">
    <sortCondition descending="1" ref="O5:O29"/>
  </sortState>
  <mergeCells count="3">
    <mergeCell ref="B70:O70"/>
    <mergeCell ref="Q70:AD70"/>
    <mergeCell ref="P96:P101"/>
  </mergeCells>
  <pageMargins left="0.7" right="0.7" top="0.75" bottom="0.75" header="0.3" footer="0.3"/>
  <pageSetup paperSize="10000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K496"/>
  <sheetViews>
    <sheetView workbookViewId="0">
      <pane ySplit="1" topLeftCell="A61" activePane="bottomLeft" state="frozen"/>
      <selection pane="bottomLeft" activeCell="A78" sqref="A78"/>
    </sheetView>
  </sheetViews>
  <sheetFormatPr defaultColWidth="9.140625" defaultRowHeight="12"/>
  <cols>
    <col min="1" max="1" width="7.42578125" style="354" bestFit="1" customWidth="1"/>
    <col min="2" max="2" width="9.28515625" style="354" bestFit="1" customWidth="1"/>
    <col min="3" max="3" width="9.42578125" style="354" bestFit="1" customWidth="1"/>
    <col min="4" max="4" width="10.28515625" style="354" bestFit="1" customWidth="1"/>
    <col min="5" max="5" width="10.28515625" style="354" customWidth="1"/>
    <col min="6" max="6" width="9" style="354" customWidth="1"/>
    <col min="7" max="7" width="16.42578125" style="354" customWidth="1"/>
    <col min="8" max="8" width="22.7109375" style="354" customWidth="1"/>
    <col min="9" max="9" width="16" style="418" bestFit="1" customWidth="1"/>
    <col min="10" max="10" width="35.7109375" style="354" customWidth="1"/>
    <col min="11" max="11" width="58.7109375" style="354" bestFit="1" customWidth="1"/>
    <col min="12" max="16384" width="9.140625" style="354"/>
  </cols>
  <sheetData>
    <row r="1" spans="1:11" customFormat="1" ht="22.5">
      <c r="A1" s="416" t="s">
        <v>1411</v>
      </c>
      <c r="B1" s="416" t="s">
        <v>40</v>
      </c>
      <c r="C1" s="416" t="s">
        <v>41</v>
      </c>
      <c r="D1" s="416" t="s">
        <v>42</v>
      </c>
      <c r="E1" s="416" t="s">
        <v>48</v>
      </c>
      <c r="F1" s="416" t="s">
        <v>13</v>
      </c>
      <c r="G1" s="417" t="s">
        <v>43</v>
      </c>
      <c r="H1" s="417" t="s">
        <v>44</v>
      </c>
      <c r="I1" s="437" t="s">
        <v>0</v>
      </c>
      <c r="J1" s="417" t="s">
        <v>46</v>
      </c>
      <c r="K1" s="288" t="s">
        <v>14</v>
      </c>
    </row>
    <row r="2" spans="1:11" s="500" customFormat="1" ht="18" customHeight="1">
      <c r="A2" s="500" t="s">
        <v>1404</v>
      </c>
      <c r="B2" s="501">
        <v>46027</v>
      </c>
      <c r="C2" s="501">
        <v>46007</v>
      </c>
      <c r="D2" s="500" t="s">
        <v>1449</v>
      </c>
      <c r="E2" s="500" t="s">
        <v>1421</v>
      </c>
      <c r="F2" s="500" t="s">
        <v>1459</v>
      </c>
      <c r="G2" s="500" t="s">
        <v>1460</v>
      </c>
      <c r="H2" s="500" t="s">
        <v>118</v>
      </c>
      <c r="I2" s="502">
        <v>2225000</v>
      </c>
      <c r="J2" s="500" t="s">
        <v>1469</v>
      </c>
      <c r="K2" s="500" t="s">
        <v>661</v>
      </c>
    </row>
    <row r="3" spans="1:11" s="500" customFormat="1" ht="18" customHeight="1">
      <c r="A3" s="500" t="s">
        <v>1404</v>
      </c>
      <c r="B3" s="501">
        <v>46027</v>
      </c>
      <c r="C3" s="501">
        <v>46007</v>
      </c>
      <c r="D3" s="500" t="s">
        <v>1450</v>
      </c>
      <c r="E3" s="500" t="s">
        <v>1421</v>
      </c>
      <c r="F3" s="500" t="s">
        <v>1459</v>
      </c>
      <c r="G3" s="500" t="s">
        <v>1460</v>
      </c>
      <c r="H3" s="500" t="s">
        <v>118</v>
      </c>
      <c r="I3" s="502">
        <v>1407500</v>
      </c>
      <c r="J3" s="500" t="s">
        <v>1469</v>
      </c>
      <c r="K3" s="500" t="s">
        <v>661</v>
      </c>
    </row>
    <row r="4" spans="1:11" s="500" customFormat="1" ht="18" customHeight="1">
      <c r="A4" s="500" t="s">
        <v>1404</v>
      </c>
      <c r="B4" s="501">
        <v>46028</v>
      </c>
      <c r="C4" s="501">
        <v>46025</v>
      </c>
      <c r="D4" s="500" t="s">
        <v>1451</v>
      </c>
      <c r="E4" s="500" t="s">
        <v>6</v>
      </c>
      <c r="F4" s="500" t="s">
        <v>1418</v>
      </c>
      <c r="G4" s="500" t="s">
        <v>1461</v>
      </c>
      <c r="H4" s="500" t="s">
        <v>1462</v>
      </c>
      <c r="I4" s="502">
        <v>10419000</v>
      </c>
      <c r="J4" s="500" t="s">
        <v>1470</v>
      </c>
      <c r="K4" s="500" t="s">
        <v>1</v>
      </c>
    </row>
    <row r="5" spans="1:11" s="500" customFormat="1" ht="18" customHeight="1">
      <c r="A5" s="500" t="s">
        <v>1404</v>
      </c>
      <c r="B5" s="501">
        <v>46028</v>
      </c>
      <c r="C5" s="501">
        <v>46013</v>
      </c>
      <c r="D5" s="500" t="s">
        <v>1452</v>
      </c>
      <c r="E5" s="500" t="s">
        <v>1421</v>
      </c>
      <c r="F5" s="500" t="s">
        <v>1459</v>
      </c>
      <c r="G5" s="500" t="s">
        <v>1463</v>
      </c>
      <c r="H5" s="500" t="s">
        <v>118</v>
      </c>
      <c r="I5" s="502">
        <v>944120</v>
      </c>
      <c r="J5" s="500" t="s">
        <v>1471</v>
      </c>
      <c r="K5" s="500" t="s">
        <v>1</v>
      </c>
    </row>
    <row r="6" spans="1:11" s="500" customFormat="1" ht="18" customHeight="1">
      <c r="A6" s="500" t="s">
        <v>1404</v>
      </c>
      <c r="B6" s="501">
        <v>46030</v>
      </c>
      <c r="C6" s="501">
        <v>46030</v>
      </c>
      <c r="D6" s="500" t="s">
        <v>1453</v>
      </c>
      <c r="E6" s="500" t="s">
        <v>6</v>
      </c>
      <c r="F6" s="500" t="s">
        <v>9</v>
      </c>
      <c r="G6" s="500" t="s">
        <v>1464</v>
      </c>
      <c r="H6" s="500" t="s">
        <v>1465</v>
      </c>
      <c r="I6" s="502">
        <v>33387500</v>
      </c>
      <c r="J6" s="500" t="s">
        <v>1472</v>
      </c>
      <c r="K6" s="500" t="s">
        <v>73</v>
      </c>
    </row>
    <row r="7" spans="1:11" s="500" customFormat="1" ht="18" customHeight="1">
      <c r="A7" s="500" t="s">
        <v>1404</v>
      </c>
      <c r="B7" s="501">
        <v>46031</v>
      </c>
      <c r="C7" s="501">
        <v>46024</v>
      </c>
      <c r="D7" s="500" t="s">
        <v>1454</v>
      </c>
      <c r="E7" s="500" t="s">
        <v>1421</v>
      </c>
      <c r="F7" s="500" t="s">
        <v>1459</v>
      </c>
      <c r="G7" s="500" t="s">
        <v>1463</v>
      </c>
      <c r="H7" s="500" t="s">
        <v>118</v>
      </c>
      <c r="I7" s="502">
        <v>57147</v>
      </c>
      <c r="J7" s="500" t="s">
        <v>1473</v>
      </c>
      <c r="K7" s="500" t="s">
        <v>568</v>
      </c>
    </row>
    <row r="8" spans="1:11" s="500" customFormat="1" ht="18" customHeight="1">
      <c r="A8" s="500" t="s">
        <v>1404</v>
      </c>
      <c r="B8" s="501">
        <v>46032</v>
      </c>
      <c r="C8" s="501">
        <v>46031</v>
      </c>
      <c r="D8" s="500" t="s">
        <v>1455</v>
      </c>
      <c r="E8" s="500" t="s">
        <v>6</v>
      </c>
      <c r="F8" s="500" t="s">
        <v>1420</v>
      </c>
      <c r="G8" s="500" t="s">
        <v>449</v>
      </c>
      <c r="H8" s="500" t="s">
        <v>1466</v>
      </c>
      <c r="I8" s="502">
        <v>133000000</v>
      </c>
      <c r="J8" s="500" t="s">
        <v>1474</v>
      </c>
      <c r="K8" s="500" t="s">
        <v>451</v>
      </c>
    </row>
    <row r="9" spans="1:11" s="500" customFormat="1" ht="18" customHeight="1">
      <c r="A9" s="500" t="s">
        <v>1404</v>
      </c>
      <c r="B9" s="501">
        <v>46034</v>
      </c>
      <c r="C9" s="501">
        <v>46029</v>
      </c>
      <c r="D9" s="500" t="s">
        <v>1456</v>
      </c>
      <c r="E9" s="500" t="s">
        <v>1421</v>
      </c>
      <c r="F9" s="500" t="s">
        <v>1459</v>
      </c>
      <c r="G9" s="500" t="s">
        <v>1467</v>
      </c>
      <c r="H9" s="500" t="s">
        <v>118</v>
      </c>
      <c r="I9" s="502">
        <v>85250</v>
      </c>
      <c r="J9" s="500" t="s">
        <v>1475</v>
      </c>
      <c r="K9" s="500" t="s">
        <v>1</v>
      </c>
    </row>
    <row r="10" spans="1:11" s="500" customFormat="1" ht="18" customHeight="1">
      <c r="A10" s="500" t="s">
        <v>1404</v>
      </c>
      <c r="B10" s="501">
        <v>46034</v>
      </c>
      <c r="C10" s="501">
        <v>46028</v>
      </c>
      <c r="D10" s="500" t="s">
        <v>1457</v>
      </c>
      <c r="E10" s="500" t="s">
        <v>1421</v>
      </c>
      <c r="F10" s="500" t="s">
        <v>1418</v>
      </c>
      <c r="G10" s="500" t="s">
        <v>1468</v>
      </c>
      <c r="H10" s="500" t="s">
        <v>118</v>
      </c>
      <c r="I10" s="502">
        <v>425000</v>
      </c>
      <c r="J10" s="500" t="s">
        <v>1476</v>
      </c>
      <c r="K10" s="500" t="s">
        <v>15</v>
      </c>
    </row>
    <row r="11" spans="1:11" s="500" customFormat="1" ht="18" customHeight="1">
      <c r="A11" s="500" t="s">
        <v>1404</v>
      </c>
      <c r="B11" s="501">
        <v>46035</v>
      </c>
      <c r="C11" s="501">
        <v>46034</v>
      </c>
      <c r="D11" s="500" t="s">
        <v>1458</v>
      </c>
      <c r="E11" s="500" t="s">
        <v>1421</v>
      </c>
      <c r="F11" s="500" t="s">
        <v>1459</v>
      </c>
      <c r="G11" s="500" t="s">
        <v>1463</v>
      </c>
      <c r="H11" s="500" t="s">
        <v>118</v>
      </c>
      <c r="I11" s="502">
        <v>158020</v>
      </c>
      <c r="J11" s="500" t="s">
        <v>1477</v>
      </c>
      <c r="K11" s="500" t="s">
        <v>15</v>
      </c>
    </row>
    <row r="12" spans="1:11" s="500" customFormat="1" ht="18" customHeight="1">
      <c r="A12" s="500" t="s">
        <v>1404</v>
      </c>
      <c r="B12" s="501">
        <v>46039</v>
      </c>
      <c r="C12" s="501">
        <v>46024</v>
      </c>
      <c r="D12" s="500" t="s">
        <v>1481</v>
      </c>
      <c r="E12" s="500" t="s">
        <v>1421</v>
      </c>
      <c r="F12" s="500" t="s">
        <v>1459</v>
      </c>
      <c r="G12" s="500" t="s">
        <v>1467</v>
      </c>
      <c r="H12" s="500" t="s">
        <v>118</v>
      </c>
      <c r="I12" s="502">
        <v>70250</v>
      </c>
      <c r="J12" s="500" t="s">
        <v>1475</v>
      </c>
      <c r="K12" s="500" t="s">
        <v>1</v>
      </c>
    </row>
    <row r="13" spans="1:11" s="500" customFormat="1" ht="18" customHeight="1">
      <c r="A13" s="500" t="s">
        <v>1404</v>
      </c>
      <c r="B13" s="501">
        <v>46044</v>
      </c>
      <c r="C13" s="501">
        <v>46042</v>
      </c>
      <c r="D13" s="500" t="s">
        <v>1495</v>
      </c>
      <c r="E13" s="500" t="s">
        <v>1421</v>
      </c>
      <c r="F13" s="500" t="s">
        <v>1420</v>
      </c>
      <c r="G13" s="500" t="s">
        <v>1496</v>
      </c>
      <c r="H13" s="500" t="s">
        <v>1497</v>
      </c>
      <c r="I13" s="502">
        <v>75850000</v>
      </c>
      <c r="J13" s="500" t="s">
        <v>1498</v>
      </c>
      <c r="K13" s="500" t="s">
        <v>1494</v>
      </c>
    </row>
    <row r="14" spans="1:11" s="500" customFormat="1" ht="18" customHeight="1">
      <c r="A14" s="500" t="s">
        <v>1404</v>
      </c>
      <c r="B14" s="501">
        <v>46044</v>
      </c>
      <c r="C14" s="501">
        <v>46044</v>
      </c>
      <c r="D14" s="500" t="s">
        <v>1482</v>
      </c>
      <c r="E14" s="500" t="s">
        <v>6</v>
      </c>
      <c r="F14" s="500" t="s">
        <v>1422</v>
      </c>
      <c r="G14" s="500" t="s">
        <v>1483</v>
      </c>
      <c r="H14" s="500" t="s">
        <v>1484</v>
      </c>
      <c r="I14" s="502">
        <v>3500000</v>
      </c>
      <c r="J14" s="500" t="s">
        <v>1485</v>
      </c>
      <c r="K14" s="500" t="s">
        <v>451</v>
      </c>
    </row>
    <row r="15" spans="1:11" s="500" customFormat="1" ht="18" customHeight="1">
      <c r="A15" s="500" t="s">
        <v>1404</v>
      </c>
      <c r="B15" s="501">
        <v>46051</v>
      </c>
      <c r="C15" s="501">
        <v>46045</v>
      </c>
      <c r="D15" s="500" t="s">
        <v>1486</v>
      </c>
      <c r="E15" s="500" t="s">
        <v>1421</v>
      </c>
      <c r="F15" s="500" t="s">
        <v>1459</v>
      </c>
      <c r="G15" s="500" t="s">
        <v>1463</v>
      </c>
      <c r="H15" s="500" t="s">
        <v>118</v>
      </c>
      <c r="I15" s="502">
        <v>155450</v>
      </c>
      <c r="J15" s="500" t="s">
        <v>1491</v>
      </c>
      <c r="K15" s="500" t="s">
        <v>1</v>
      </c>
    </row>
    <row r="16" spans="1:11" s="500" customFormat="1" ht="18" customHeight="1">
      <c r="A16" s="500" t="s">
        <v>1404</v>
      </c>
      <c r="B16" s="501">
        <v>46052</v>
      </c>
      <c r="C16" s="501">
        <v>46046</v>
      </c>
      <c r="D16" s="500" t="s">
        <v>1487</v>
      </c>
      <c r="E16" s="500" t="s">
        <v>1421</v>
      </c>
      <c r="F16" s="500" t="s">
        <v>1459</v>
      </c>
      <c r="G16" s="500" t="s">
        <v>1463</v>
      </c>
      <c r="H16" s="500" t="s">
        <v>118</v>
      </c>
      <c r="I16" s="502">
        <v>205250</v>
      </c>
      <c r="J16" s="500" t="s">
        <v>1492</v>
      </c>
      <c r="K16" s="500" t="s">
        <v>1</v>
      </c>
    </row>
    <row r="17" spans="1:11" s="500" customFormat="1" ht="18" customHeight="1">
      <c r="A17" s="500" t="s">
        <v>1404</v>
      </c>
      <c r="B17" s="501">
        <v>46052</v>
      </c>
      <c r="C17" s="501">
        <v>46024</v>
      </c>
      <c r="D17" s="500" t="s">
        <v>1488</v>
      </c>
      <c r="E17" s="500" t="s">
        <v>1421</v>
      </c>
      <c r="F17" s="500" t="s">
        <v>9</v>
      </c>
      <c r="G17" s="500" t="s">
        <v>1489</v>
      </c>
      <c r="H17" s="500" t="s">
        <v>1490</v>
      </c>
      <c r="I17" s="502">
        <v>50400000</v>
      </c>
      <c r="J17" s="500" t="s">
        <v>1493</v>
      </c>
      <c r="K17" s="500" t="s">
        <v>1494</v>
      </c>
    </row>
    <row r="18" spans="1:11" s="500" customFormat="1" ht="18" customHeight="1">
      <c r="A18" s="500" t="s">
        <v>1406</v>
      </c>
      <c r="B18" s="501">
        <v>46058</v>
      </c>
      <c r="C18" s="501">
        <v>46049</v>
      </c>
      <c r="D18" s="500" t="s">
        <v>1499</v>
      </c>
      <c r="E18" s="500" t="s">
        <v>1421</v>
      </c>
      <c r="F18" s="500" t="s">
        <v>1459</v>
      </c>
      <c r="G18" s="500" t="s">
        <v>1463</v>
      </c>
      <c r="H18" s="500" t="s">
        <v>118</v>
      </c>
      <c r="I18" s="502">
        <v>155450</v>
      </c>
      <c r="J18" s="500" t="s">
        <v>1513</v>
      </c>
      <c r="K18" s="500" t="s">
        <v>1</v>
      </c>
    </row>
    <row r="19" spans="1:11" s="500" customFormat="1" ht="18" customHeight="1">
      <c r="A19" s="500" t="s">
        <v>1406</v>
      </c>
      <c r="B19" s="501">
        <v>46058</v>
      </c>
      <c r="C19" s="501">
        <v>46058</v>
      </c>
      <c r="D19" s="500" t="s">
        <v>1500</v>
      </c>
      <c r="E19" s="500" t="s">
        <v>1421</v>
      </c>
      <c r="F19" s="500" t="s">
        <v>1420</v>
      </c>
      <c r="G19" s="500" t="s">
        <v>1506</v>
      </c>
      <c r="H19" s="500" t="s">
        <v>1507</v>
      </c>
      <c r="I19" s="502">
        <v>29415000</v>
      </c>
      <c r="J19" s="500" t="s">
        <v>1514</v>
      </c>
      <c r="K19" s="500" t="s">
        <v>451</v>
      </c>
    </row>
    <row r="20" spans="1:11" s="500" customFormat="1" ht="18" customHeight="1">
      <c r="A20" s="500" t="s">
        <v>1406</v>
      </c>
      <c r="B20" s="501">
        <v>46058</v>
      </c>
      <c r="C20" s="501">
        <v>46058</v>
      </c>
      <c r="D20" s="500" t="s">
        <v>1500</v>
      </c>
      <c r="E20" s="500" t="s">
        <v>1421</v>
      </c>
      <c r="F20" s="500" t="s">
        <v>1420</v>
      </c>
      <c r="G20" s="500" t="s">
        <v>1506</v>
      </c>
      <c r="H20" s="500" t="s">
        <v>1508</v>
      </c>
      <c r="I20" s="502">
        <v>29415000</v>
      </c>
      <c r="J20" s="500" t="s">
        <v>1514</v>
      </c>
      <c r="K20" s="500" t="s">
        <v>451</v>
      </c>
    </row>
    <row r="21" spans="1:11" s="500" customFormat="1" ht="18" customHeight="1">
      <c r="A21" s="500" t="s">
        <v>1406</v>
      </c>
      <c r="B21" s="501">
        <v>46063</v>
      </c>
      <c r="C21" s="501">
        <v>46063</v>
      </c>
      <c r="D21" s="500" t="s">
        <v>1501</v>
      </c>
      <c r="E21" s="500" t="s">
        <v>1421</v>
      </c>
      <c r="F21" s="500" t="s">
        <v>8</v>
      </c>
      <c r="G21" s="500" t="s">
        <v>1509</v>
      </c>
      <c r="H21" s="500" t="s">
        <v>1510</v>
      </c>
      <c r="I21" s="502">
        <v>19200000</v>
      </c>
      <c r="J21" s="500" t="s">
        <v>1515</v>
      </c>
      <c r="K21" s="500" t="s">
        <v>451</v>
      </c>
    </row>
    <row r="22" spans="1:11" s="500" customFormat="1" ht="18" customHeight="1">
      <c r="A22" s="500" t="s">
        <v>1406</v>
      </c>
      <c r="B22" s="501">
        <v>46064</v>
      </c>
      <c r="C22" s="501">
        <v>46063</v>
      </c>
      <c r="D22" s="500" t="s">
        <v>1502</v>
      </c>
      <c r="E22" s="500" t="s">
        <v>1421</v>
      </c>
      <c r="F22" s="500" t="s">
        <v>1418</v>
      </c>
      <c r="G22" s="500" t="s">
        <v>718</v>
      </c>
      <c r="H22" s="500" t="s">
        <v>118</v>
      </c>
      <c r="I22" s="502">
        <v>19500000</v>
      </c>
      <c r="J22" s="500" t="s">
        <v>1516</v>
      </c>
      <c r="K22" s="500" t="s">
        <v>15</v>
      </c>
    </row>
    <row r="23" spans="1:11" s="500" customFormat="1" ht="18" customHeight="1">
      <c r="A23" s="500" t="s">
        <v>1406</v>
      </c>
      <c r="B23" s="501">
        <v>46064</v>
      </c>
      <c r="C23" s="501">
        <v>46064</v>
      </c>
      <c r="D23" s="500" t="s">
        <v>1503</v>
      </c>
      <c r="E23" s="500" t="s">
        <v>6</v>
      </c>
      <c r="F23" s="500" t="s">
        <v>1505</v>
      </c>
      <c r="G23" s="500" t="s">
        <v>1511</v>
      </c>
      <c r="H23" s="500" t="s">
        <v>1512</v>
      </c>
      <c r="I23" s="502">
        <v>27000000</v>
      </c>
      <c r="J23" s="500" t="s">
        <v>1517</v>
      </c>
      <c r="K23" s="500" t="s">
        <v>451</v>
      </c>
    </row>
    <row r="24" spans="1:11" s="500" customFormat="1" ht="18" customHeight="1">
      <c r="A24" s="500" t="s">
        <v>1406</v>
      </c>
      <c r="B24" s="501">
        <v>46066</v>
      </c>
      <c r="C24" s="501">
        <v>46066</v>
      </c>
      <c r="D24" s="500" t="s">
        <v>1504</v>
      </c>
      <c r="E24" s="500" t="s">
        <v>1421</v>
      </c>
      <c r="F24" s="500" t="s">
        <v>1459</v>
      </c>
      <c r="G24" s="500" t="s">
        <v>1463</v>
      </c>
      <c r="H24" s="500" t="s">
        <v>118</v>
      </c>
      <c r="I24" s="502">
        <v>37873</v>
      </c>
      <c r="J24" s="500" t="s">
        <v>1518</v>
      </c>
      <c r="K24" s="500" t="s">
        <v>15</v>
      </c>
    </row>
    <row r="25" spans="1:11" s="500" customFormat="1" ht="18" customHeight="1">
      <c r="A25" s="500" t="s">
        <v>1406</v>
      </c>
      <c r="B25" s="501">
        <v>46071</v>
      </c>
      <c r="C25" s="501">
        <v>46052</v>
      </c>
      <c r="D25" s="500" t="s">
        <v>1519</v>
      </c>
      <c r="E25" s="500" t="s">
        <v>1421</v>
      </c>
      <c r="F25" s="500" t="s">
        <v>1459</v>
      </c>
      <c r="G25" s="500" t="s">
        <v>1467</v>
      </c>
      <c r="H25" s="500" t="s">
        <v>118</v>
      </c>
      <c r="I25" s="502">
        <v>357750</v>
      </c>
      <c r="J25" s="500" t="s">
        <v>1521</v>
      </c>
      <c r="K25" s="500" t="s">
        <v>1</v>
      </c>
    </row>
    <row r="26" spans="1:11" s="500" customFormat="1" ht="18" customHeight="1">
      <c r="A26" s="500" t="s">
        <v>1406</v>
      </c>
      <c r="B26" s="501">
        <v>46071</v>
      </c>
      <c r="C26" s="501">
        <v>46055</v>
      </c>
      <c r="D26" s="500" t="s">
        <v>1520</v>
      </c>
      <c r="E26" s="500" t="s">
        <v>1421</v>
      </c>
      <c r="F26" s="500" t="s">
        <v>1459</v>
      </c>
      <c r="G26" s="500" t="s">
        <v>1467</v>
      </c>
      <c r="H26" s="500" t="s">
        <v>118</v>
      </c>
      <c r="I26" s="502">
        <v>94500</v>
      </c>
      <c r="J26" s="500" t="s">
        <v>1521</v>
      </c>
      <c r="K26" s="500" t="s">
        <v>1</v>
      </c>
    </row>
    <row r="27" spans="1:11" s="500" customFormat="1" ht="18" customHeight="1">
      <c r="A27" s="500" t="s">
        <v>1406</v>
      </c>
      <c r="B27" s="501">
        <v>46076</v>
      </c>
      <c r="C27" s="501">
        <v>46074</v>
      </c>
      <c r="D27" s="500" t="s">
        <v>1522</v>
      </c>
      <c r="E27" s="500" t="s">
        <v>6</v>
      </c>
      <c r="F27" s="500" t="s">
        <v>1526</v>
      </c>
      <c r="G27" s="500" t="s">
        <v>361</v>
      </c>
      <c r="H27" s="500" t="s">
        <v>1527</v>
      </c>
      <c r="I27" s="502">
        <v>234000000</v>
      </c>
      <c r="J27" s="500" t="s">
        <v>1529</v>
      </c>
      <c r="K27" s="500" t="s">
        <v>451</v>
      </c>
    </row>
    <row r="28" spans="1:11" s="500" customFormat="1" ht="18" customHeight="1">
      <c r="A28" s="500" t="s">
        <v>1406</v>
      </c>
      <c r="B28" s="501">
        <v>46080</v>
      </c>
      <c r="C28" s="501">
        <v>46071</v>
      </c>
      <c r="D28" s="500" t="s">
        <v>1523</v>
      </c>
      <c r="E28" s="500" t="s">
        <v>1421</v>
      </c>
      <c r="F28" s="500" t="s">
        <v>1459</v>
      </c>
      <c r="G28" s="500" t="s">
        <v>1463</v>
      </c>
      <c r="H28" s="500" t="s">
        <v>118</v>
      </c>
      <c r="I28" s="502">
        <v>169550</v>
      </c>
      <c r="J28" s="500" t="s">
        <v>1530</v>
      </c>
      <c r="K28" s="500" t="s">
        <v>1</v>
      </c>
    </row>
    <row r="29" spans="1:11" s="500" customFormat="1" ht="18" customHeight="1">
      <c r="A29" s="500" t="s">
        <v>1406</v>
      </c>
      <c r="B29" s="501">
        <v>46081</v>
      </c>
      <c r="C29" s="501">
        <v>46035</v>
      </c>
      <c r="D29" s="500" t="s">
        <v>1524</v>
      </c>
      <c r="E29" s="500" t="s">
        <v>6</v>
      </c>
      <c r="F29" s="500" t="s">
        <v>1420</v>
      </c>
      <c r="G29" s="500" t="s">
        <v>1528</v>
      </c>
      <c r="H29" s="500" t="s">
        <v>118</v>
      </c>
      <c r="I29" s="502">
        <v>7750000</v>
      </c>
      <c r="J29" s="500" t="s">
        <v>1469</v>
      </c>
      <c r="K29" s="500" t="s">
        <v>661</v>
      </c>
    </row>
    <row r="30" spans="1:11" s="500" customFormat="1" ht="18" customHeight="1">
      <c r="A30" s="500" t="s">
        <v>1406</v>
      </c>
      <c r="B30" s="501">
        <v>46081</v>
      </c>
      <c r="C30" s="501">
        <v>46066</v>
      </c>
      <c r="D30" s="500" t="s">
        <v>1525</v>
      </c>
      <c r="E30" s="500" t="s">
        <v>6</v>
      </c>
      <c r="F30" s="500" t="s">
        <v>1420</v>
      </c>
      <c r="G30" s="500" t="s">
        <v>760</v>
      </c>
      <c r="H30" s="500" t="s">
        <v>118</v>
      </c>
      <c r="I30" s="502">
        <v>546000000</v>
      </c>
      <c r="J30" s="500" t="s">
        <v>1531</v>
      </c>
      <c r="K30" s="500" t="s">
        <v>15</v>
      </c>
    </row>
    <row r="31" spans="1:11" s="500" customFormat="1" ht="18" customHeight="1">
      <c r="A31" s="500" t="s">
        <v>1407</v>
      </c>
      <c r="B31" s="501">
        <v>46085</v>
      </c>
      <c r="C31" s="501">
        <v>46078</v>
      </c>
      <c r="D31" s="500" t="s">
        <v>1533</v>
      </c>
      <c r="E31" s="500" t="s">
        <v>1421</v>
      </c>
      <c r="F31" s="500" t="s">
        <v>1418</v>
      </c>
      <c r="G31" s="500" t="s">
        <v>1535</v>
      </c>
      <c r="H31" s="500" t="s">
        <v>1536</v>
      </c>
      <c r="I31" s="502">
        <v>7938000</v>
      </c>
      <c r="J31" s="500" t="s">
        <v>1539</v>
      </c>
      <c r="K31" s="500" t="s">
        <v>1</v>
      </c>
    </row>
    <row r="32" spans="1:11" s="500" customFormat="1" ht="18" customHeight="1">
      <c r="A32" s="500" t="s">
        <v>1407</v>
      </c>
      <c r="B32" s="501">
        <v>46085</v>
      </c>
      <c r="C32" s="501">
        <v>46080</v>
      </c>
      <c r="D32" s="500" t="s">
        <v>1534</v>
      </c>
      <c r="E32" s="500" t="s">
        <v>1421</v>
      </c>
      <c r="F32" s="500" t="s">
        <v>8</v>
      </c>
      <c r="G32" s="500" t="s">
        <v>1537</v>
      </c>
      <c r="H32" s="500" t="s">
        <v>1538</v>
      </c>
      <c r="I32" s="502">
        <v>20500000</v>
      </c>
      <c r="J32" s="500" t="s">
        <v>1540</v>
      </c>
      <c r="K32" s="500" t="s">
        <v>1</v>
      </c>
    </row>
    <row r="33" spans="1:11" s="500" customFormat="1" ht="18" customHeight="1">
      <c r="A33" s="500" t="s">
        <v>1407</v>
      </c>
      <c r="B33" s="501">
        <v>46088</v>
      </c>
      <c r="C33" s="501">
        <v>46084</v>
      </c>
      <c r="D33" s="500" t="s">
        <v>1541</v>
      </c>
      <c r="E33" s="500" t="s">
        <v>1542</v>
      </c>
      <c r="F33" s="500" t="s">
        <v>1418</v>
      </c>
      <c r="G33" s="500" t="s">
        <v>1367</v>
      </c>
      <c r="H33" s="500" t="s">
        <v>118</v>
      </c>
      <c r="I33" s="502">
        <v>5670000</v>
      </c>
      <c r="J33" s="500" t="s">
        <v>1543</v>
      </c>
      <c r="K33" s="500" t="s">
        <v>1544</v>
      </c>
    </row>
    <row r="34" spans="1:11" s="500" customFormat="1" ht="18" customHeight="1">
      <c r="A34" s="500" t="s">
        <v>1407</v>
      </c>
      <c r="B34" s="501">
        <v>46088</v>
      </c>
      <c r="C34" s="501">
        <v>46088</v>
      </c>
      <c r="D34" s="500" t="s">
        <v>1545</v>
      </c>
      <c r="E34" s="500" t="s">
        <v>1542</v>
      </c>
      <c r="F34" s="500" t="s">
        <v>1422</v>
      </c>
      <c r="G34" s="500" t="s">
        <v>1551</v>
      </c>
      <c r="H34" s="500" t="s">
        <v>1552</v>
      </c>
      <c r="I34" s="502">
        <v>225500000</v>
      </c>
      <c r="J34" s="500" t="s">
        <v>1562</v>
      </c>
      <c r="K34" s="500" t="s">
        <v>59</v>
      </c>
    </row>
    <row r="35" spans="1:11" s="500" customFormat="1" ht="18" customHeight="1">
      <c r="A35" s="500" t="s">
        <v>1407</v>
      </c>
      <c r="B35" s="501">
        <v>46091</v>
      </c>
      <c r="C35" s="501">
        <v>46087</v>
      </c>
      <c r="D35" s="500" t="s">
        <v>1546</v>
      </c>
      <c r="E35" s="500" t="s">
        <v>1542</v>
      </c>
      <c r="F35" s="500" t="s">
        <v>1422</v>
      </c>
      <c r="G35" s="500" t="s">
        <v>1553</v>
      </c>
      <c r="H35" s="500" t="s">
        <v>1554</v>
      </c>
      <c r="I35" s="502">
        <v>107500</v>
      </c>
      <c r="J35" s="500" t="s">
        <v>1563</v>
      </c>
      <c r="K35" s="500" t="s">
        <v>1544</v>
      </c>
    </row>
    <row r="36" spans="1:11" s="500" customFormat="1" ht="18" customHeight="1">
      <c r="A36" s="500" t="s">
        <v>1407</v>
      </c>
      <c r="B36" s="501">
        <v>46091</v>
      </c>
      <c r="C36" s="501">
        <v>46087</v>
      </c>
      <c r="D36" s="500" t="s">
        <v>1547</v>
      </c>
      <c r="E36" s="500" t="s">
        <v>1542</v>
      </c>
      <c r="F36" s="500" t="s">
        <v>9</v>
      </c>
      <c r="G36" s="500" t="s">
        <v>1555</v>
      </c>
      <c r="H36" s="500" t="s">
        <v>1556</v>
      </c>
      <c r="I36" s="502">
        <v>24000000</v>
      </c>
      <c r="J36" s="500" t="s">
        <v>1564</v>
      </c>
      <c r="K36" s="500" t="s">
        <v>1544</v>
      </c>
    </row>
    <row r="37" spans="1:11" s="500" customFormat="1" ht="18" customHeight="1">
      <c r="A37" s="500" t="s">
        <v>1407</v>
      </c>
      <c r="B37" s="501">
        <v>46091</v>
      </c>
      <c r="C37" s="501">
        <v>46091</v>
      </c>
      <c r="D37" s="500" t="s">
        <v>1548</v>
      </c>
      <c r="E37" s="500" t="s">
        <v>6</v>
      </c>
      <c r="F37" s="500" t="s">
        <v>1418</v>
      </c>
      <c r="G37" s="500" t="s">
        <v>1557</v>
      </c>
      <c r="H37" s="500" t="s">
        <v>1558</v>
      </c>
      <c r="I37" s="502">
        <v>71800000</v>
      </c>
      <c r="J37" s="500" t="s">
        <v>1517</v>
      </c>
      <c r="K37" s="500" t="s">
        <v>451</v>
      </c>
    </row>
    <row r="38" spans="1:11" s="500" customFormat="1" ht="18" customHeight="1">
      <c r="A38" s="500" t="s">
        <v>1407</v>
      </c>
      <c r="B38" s="501">
        <v>46092</v>
      </c>
      <c r="C38" s="501">
        <v>46087</v>
      </c>
      <c r="D38" s="500" t="s">
        <v>1549</v>
      </c>
      <c r="E38" s="500" t="s">
        <v>1542</v>
      </c>
      <c r="F38" s="500" t="s">
        <v>8</v>
      </c>
      <c r="G38" s="500" t="s">
        <v>1355</v>
      </c>
      <c r="H38" s="500" t="s">
        <v>1559</v>
      </c>
      <c r="I38" s="502">
        <v>2462500</v>
      </c>
      <c r="J38" s="500" t="s">
        <v>1565</v>
      </c>
      <c r="K38" s="500" t="s">
        <v>1544</v>
      </c>
    </row>
    <row r="39" spans="1:11" s="500" customFormat="1" ht="18" customHeight="1">
      <c r="A39" s="500" t="s">
        <v>1407</v>
      </c>
      <c r="B39" s="501">
        <v>46092</v>
      </c>
      <c r="C39" s="501">
        <v>46071</v>
      </c>
      <c r="D39" s="500" t="s">
        <v>1550</v>
      </c>
      <c r="E39" s="500" t="s">
        <v>6</v>
      </c>
      <c r="F39" s="500" t="s">
        <v>1532</v>
      </c>
      <c r="G39" s="500" t="s">
        <v>1560</v>
      </c>
      <c r="H39" s="500" t="s">
        <v>1561</v>
      </c>
      <c r="I39" s="502">
        <v>12000000</v>
      </c>
      <c r="J39" s="500" t="s">
        <v>1566</v>
      </c>
      <c r="K39" s="500" t="s">
        <v>1</v>
      </c>
    </row>
    <row r="40" spans="1:11" s="500" customFormat="1" ht="18" customHeight="1">
      <c r="A40" s="500" t="s">
        <v>1407</v>
      </c>
      <c r="B40" s="501">
        <v>46108</v>
      </c>
      <c r="C40" s="501">
        <v>46087</v>
      </c>
      <c r="D40" s="500" t="s">
        <v>1567</v>
      </c>
      <c r="E40" s="500" t="s">
        <v>1421</v>
      </c>
      <c r="F40" s="500" t="s">
        <v>1459</v>
      </c>
      <c r="G40" s="500" t="s">
        <v>1467</v>
      </c>
      <c r="H40" s="500" t="s">
        <v>118</v>
      </c>
      <c r="I40" s="502">
        <v>1482000</v>
      </c>
      <c r="J40" s="500" t="s">
        <v>1572</v>
      </c>
      <c r="K40" s="500" t="s">
        <v>56</v>
      </c>
    </row>
    <row r="41" spans="1:11" s="500" customFormat="1" ht="18" customHeight="1">
      <c r="A41" s="500" t="s">
        <v>1407</v>
      </c>
      <c r="B41" s="501">
        <v>46108</v>
      </c>
      <c r="C41" s="501">
        <v>46087</v>
      </c>
      <c r="D41" s="500" t="s">
        <v>1568</v>
      </c>
      <c r="E41" s="500" t="s">
        <v>1421</v>
      </c>
      <c r="F41" s="500" t="s">
        <v>1459</v>
      </c>
      <c r="G41" s="500" t="s">
        <v>1463</v>
      </c>
      <c r="H41" s="500" t="s">
        <v>118</v>
      </c>
      <c r="I41" s="502">
        <v>956970</v>
      </c>
      <c r="J41" s="500" t="s">
        <v>1572</v>
      </c>
      <c r="K41" s="500" t="s">
        <v>56</v>
      </c>
    </row>
    <row r="42" spans="1:11" s="500" customFormat="1" ht="18" customHeight="1">
      <c r="A42" s="500" t="s">
        <v>1407</v>
      </c>
      <c r="B42" s="501">
        <v>46112</v>
      </c>
      <c r="C42" s="501">
        <v>46111</v>
      </c>
      <c r="D42" s="500" t="s">
        <v>1569</v>
      </c>
      <c r="E42" s="500" t="s">
        <v>6</v>
      </c>
      <c r="F42" s="500" t="s">
        <v>9</v>
      </c>
      <c r="G42" s="500" t="s">
        <v>265</v>
      </c>
      <c r="H42" s="500" t="s">
        <v>1570</v>
      </c>
      <c r="I42" s="502">
        <v>273891000</v>
      </c>
      <c r="J42" s="500" t="s">
        <v>1573</v>
      </c>
      <c r="K42" s="500" t="s">
        <v>451</v>
      </c>
    </row>
    <row r="43" spans="1:11" s="500" customFormat="1" ht="18" customHeight="1">
      <c r="A43" s="500" t="s">
        <v>1407</v>
      </c>
      <c r="B43" s="501">
        <v>46112</v>
      </c>
      <c r="C43" s="501">
        <v>46111</v>
      </c>
      <c r="D43" s="500" t="s">
        <v>1569</v>
      </c>
      <c r="E43" s="500" t="s">
        <v>6</v>
      </c>
      <c r="F43" s="500" t="s">
        <v>9</v>
      </c>
      <c r="G43" s="500" t="s">
        <v>265</v>
      </c>
      <c r="H43" s="500" t="s">
        <v>1571</v>
      </c>
      <c r="I43" s="502">
        <v>112782000</v>
      </c>
      <c r="J43" s="500" t="s">
        <v>1573</v>
      </c>
      <c r="K43" s="500" t="s">
        <v>451</v>
      </c>
    </row>
    <row r="44" spans="1:11" s="500" customFormat="1" ht="18" customHeight="1">
      <c r="A44" s="500" t="s">
        <v>1408</v>
      </c>
      <c r="B44" s="501">
        <v>46114</v>
      </c>
      <c r="C44" s="501">
        <v>46109</v>
      </c>
      <c r="D44" s="500" t="s">
        <v>1574</v>
      </c>
      <c r="E44" s="500" t="s">
        <v>1421</v>
      </c>
      <c r="F44" s="500" t="s">
        <v>8</v>
      </c>
      <c r="G44" s="500" t="s">
        <v>1537</v>
      </c>
      <c r="H44" s="500" t="s">
        <v>1576</v>
      </c>
      <c r="I44" s="502">
        <v>11675000</v>
      </c>
      <c r="J44" s="500" t="s">
        <v>1578</v>
      </c>
      <c r="K44" s="500" t="s">
        <v>1</v>
      </c>
    </row>
    <row r="45" spans="1:11" s="500" customFormat="1" ht="18" customHeight="1">
      <c r="A45" s="500" t="s">
        <v>1408</v>
      </c>
      <c r="B45" s="501">
        <v>46114</v>
      </c>
      <c r="C45" s="501">
        <v>46091</v>
      </c>
      <c r="D45" s="500" t="s">
        <v>1575</v>
      </c>
      <c r="E45" s="500" t="s">
        <v>6</v>
      </c>
      <c r="F45" s="500" t="s">
        <v>8</v>
      </c>
      <c r="G45" s="500" t="s">
        <v>268</v>
      </c>
      <c r="H45" s="500" t="s">
        <v>1577</v>
      </c>
      <c r="I45" s="502">
        <v>474520500</v>
      </c>
      <c r="J45" s="500" t="s">
        <v>1579</v>
      </c>
      <c r="K45" s="500" t="s">
        <v>1</v>
      </c>
    </row>
    <row r="46" spans="1:11" s="500" customFormat="1" ht="18" customHeight="1">
      <c r="A46" s="500" t="s">
        <v>1408</v>
      </c>
      <c r="B46" s="501">
        <v>46119</v>
      </c>
      <c r="C46" s="501">
        <v>46088</v>
      </c>
      <c r="D46" s="500" t="s">
        <v>1581</v>
      </c>
      <c r="E46" s="500" t="s">
        <v>1421</v>
      </c>
      <c r="F46" s="500" t="s">
        <v>1459</v>
      </c>
      <c r="G46" s="500" t="s">
        <v>1463</v>
      </c>
      <c r="H46" s="500" t="s">
        <v>118</v>
      </c>
      <c r="I46" s="502">
        <v>102765</v>
      </c>
      <c r="J46" s="500" t="s">
        <v>1586</v>
      </c>
      <c r="K46" s="500" t="s">
        <v>1</v>
      </c>
    </row>
    <row r="47" spans="1:11" s="500" customFormat="1" ht="18" customHeight="1">
      <c r="A47" s="500" t="s">
        <v>1408</v>
      </c>
      <c r="B47" s="501">
        <v>46121</v>
      </c>
      <c r="C47" s="501">
        <v>46119</v>
      </c>
      <c r="D47" s="500" t="s">
        <v>1582</v>
      </c>
      <c r="E47" s="500" t="s">
        <v>6</v>
      </c>
      <c r="F47" s="500" t="s">
        <v>1532</v>
      </c>
      <c r="G47" s="500" t="s">
        <v>1584</v>
      </c>
      <c r="H47" s="500" t="s">
        <v>118</v>
      </c>
      <c r="I47" s="502">
        <v>1800000</v>
      </c>
      <c r="J47" s="500" t="s">
        <v>1587</v>
      </c>
      <c r="K47" s="500" t="s">
        <v>15</v>
      </c>
    </row>
    <row r="48" spans="1:11" s="500" customFormat="1" ht="18" customHeight="1">
      <c r="A48" s="500" t="s">
        <v>1408</v>
      </c>
      <c r="B48" s="501">
        <v>46122</v>
      </c>
      <c r="C48" s="501">
        <v>46122</v>
      </c>
      <c r="D48" s="500" t="s">
        <v>1583</v>
      </c>
      <c r="E48" s="500" t="s">
        <v>6</v>
      </c>
      <c r="F48" s="500" t="s">
        <v>8</v>
      </c>
      <c r="G48" s="500" t="s">
        <v>510</v>
      </c>
      <c r="H48" s="500" t="s">
        <v>1585</v>
      </c>
      <c r="I48" s="502">
        <v>1884500</v>
      </c>
      <c r="J48" s="500" t="s">
        <v>1588</v>
      </c>
      <c r="K48" s="500" t="s">
        <v>73</v>
      </c>
    </row>
    <row r="49" spans="1:11" s="500" customFormat="1" ht="18" customHeight="1">
      <c r="A49" s="500" t="s">
        <v>1408</v>
      </c>
      <c r="B49" s="501">
        <v>46123</v>
      </c>
      <c r="C49" s="501">
        <v>46113</v>
      </c>
      <c r="D49" s="500" t="s">
        <v>1589</v>
      </c>
      <c r="E49" s="500" t="s">
        <v>1421</v>
      </c>
      <c r="F49" s="500" t="s">
        <v>1459</v>
      </c>
      <c r="G49" s="500" t="s">
        <v>1463</v>
      </c>
      <c r="H49" s="500" t="s">
        <v>118</v>
      </c>
      <c r="I49" s="502">
        <v>168300</v>
      </c>
      <c r="J49" s="500" t="s">
        <v>1612</v>
      </c>
      <c r="K49" s="500" t="s">
        <v>1</v>
      </c>
    </row>
    <row r="50" spans="1:11" s="500" customFormat="1" ht="18" customHeight="1">
      <c r="A50" s="500" t="s">
        <v>1408</v>
      </c>
      <c r="B50" s="501">
        <v>46126</v>
      </c>
      <c r="C50" s="501">
        <v>46126</v>
      </c>
      <c r="D50" s="500" t="s">
        <v>1590</v>
      </c>
      <c r="E50" s="500" t="s">
        <v>6</v>
      </c>
      <c r="F50" s="500" t="s">
        <v>1532</v>
      </c>
      <c r="G50" s="500" t="s">
        <v>1599</v>
      </c>
      <c r="H50" s="500" t="s">
        <v>1600</v>
      </c>
      <c r="I50" s="502">
        <v>23200000</v>
      </c>
      <c r="J50" s="500" t="s">
        <v>1613</v>
      </c>
      <c r="K50" s="500" t="s">
        <v>17</v>
      </c>
    </row>
    <row r="51" spans="1:11" s="500" customFormat="1" ht="18" customHeight="1">
      <c r="A51" s="500" t="s">
        <v>1408</v>
      </c>
      <c r="B51" s="501">
        <v>46128</v>
      </c>
      <c r="C51" s="501">
        <v>46127</v>
      </c>
      <c r="D51" s="500" t="s">
        <v>1591</v>
      </c>
      <c r="E51" s="500" t="s">
        <v>1580</v>
      </c>
      <c r="F51" s="500" t="s">
        <v>1418</v>
      </c>
      <c r="G51" s="500" t="s">
        <v>1601</v>
      </c>
      <c r="H51" s="500" t="s">
        <v>1602</v>
      </c>
      <c r="I51" s="502">
        <v>230000000</v>
      </c>
      <c r="J51" s="500" t="s">
        <v>1614</v>
      </c>
      <c r="K51" s="500" t="s">
        <v>451</v>
      </c>
    </row>
    <row r="52" spans="1:11" s="500" customFormat="1" ht="18" customHeight="1">
      <c r="A52" s="500" t="s">
        <v>1408</v>
      </c>
      <c r="B52" s="501">
        <v>46129</v>
      </c>
      <c r="C52" s="501">
        <v>46128</v>
      </c>
      <c r="D52" s="500" t="s">
        <v>1592</v>
      </c>
      <c r="E52" s="500" t="s">
        <v>1421</v>
      </c>
      <c r="F52" s="500" t="s">
        <v>1420</v>
      </c>
      <c r="G52" s="500" t="s">
        <v>1603</v>
      </c>
      <c r="H52" s="500" t="s">
        <v>118</v>
      </c>
      <c r="I52" s="502">
        <v>33580000</v>
      </c>
      <c r="J52" s="500" t="s">
        <v>1615</v>
      </c>
      <c r="K52" s="500" t="s">
        <v>15</v>
      </c>
    </row>
    <row r="53" spans="1:11" s="500" customFormat="1" ht="18" customHeight="1">
      <c r="A53" s="500" t="s">
        <v>1408</v>
      </c>
      <c r="B53" s="501">
        <v>46129</v>
      </c>
      <c r="C53" s="501">
        <v>46128</v>
      </c>
      <c r="D53" s="500" t="s">
        <v>1593</v>
      </c>
      <c r="E53" s="500" t="s">
        <v>6</v>
      </c>
      <c r="F53" s="500" t="s">
        <v>1422</v>
      </c>
      <c r="G53" s="500" t="s">
        <v>446</v>
      </c>
      <c r="H53" s="500" t="s">
        <v>1604</v>
      </c>
      <c r="I53" s="502">
        <v>84630000</v>
      </c>
      <c r="J53" s="500" t="s">
        <v>1616</v>
      </c>
      <c r="K53" s="500" t="s">
        <v>451</v>
      </c>
    </row>
    <row r="54" spans="1:11" s="500" customFormat="1" ht="18" customHeight="1">
      <c r="A54" s="500" t="s">
        <v>1408</v>
      </c>
      <c r="B54" s="501">
        <v>46130</v>
      </c>
      <c r="C54" s="501">
        <v>46127</v>
      </c>
      <c r="D54" s="500" t="s">
        <v>1594</v>
      </c>
      <c r="E54" s="500" t="s">
        <v>6</v>
      </c>
      <c r="F54" s="500" t="s">
        <v>1420</v>
      </c>
      <c r="G54" s="500" t="s">
        <v>997</v>
      </c>
      <c r="H54" s="500" t="s">
        <v>1605</v>
      </c>
      <c r="I54" s="502">
        <v>9530000</v>
      </c>
      <c r="J54" s="500" t="s">
        <v>1617</v>
      </c>
      <c r="K54" s="500" t="s">
        <v>451</v>
      </c>
    </row>
    <row r="55" spans="1:11" s="500" customFormat="1" ht="18" customHeight="1">
      <c r="A55" s="500" t="s">
        <v>1408</v>
      </c>
      <c r="B55" s="501">
        <v>46130</v>
      </c>
      <c r="C55" s="501">
        <v>46127</v>
      </c>
      <c r="D55" s="500" t="s">
        <v>1595</v>
      </c>
      <c r="E55" s="500" t="s">
        <v>6</v>
      </c>
      <c r="F55" s="500" t="s">
        <v>9</v>
      </c>
      <c r="G55" s="500" t="s">
        <v>1606</v>
      </c>
      <c r="H55" s="500" t="s">
        <v>1607</v>
      </c>
      <c r="I55" s="502">
        <v>24600000</v>
      </c>
      <c r="J55" s="500" t="s">
        <v>1618</v>
      </c>
      <c r="K55" s="500" t="s">
        <v>1544</v>
      </c>
    </row>
    <row r="56" spans="1:11" s="500" customFormat="1" ht="18" customHeight="1">
      <c r="A56" s="500" t="s">
        <v>1408</v>
      </c>
      <c r="B56" s="501">
        <v>46130</v>
      </c>
      <c r="C56" s="501">
        <v>46130</v>
      </c>
      <c r="D56" s="500" t="s">
        <v>1596</v>
      </c>
      <c r="E56" s="500" t="s">
        <v>6</v>
      </c>
      <c r="F56" s="500" t="s">
        <v>8</v>
      </c>
      <c r="G56" s="500" t="s">
        <v>1608</v>
      </c>
      <c r="H56" s="500" t="s">
        <v>1609</v>
      </c>
      <c r="I56" s="502">
        <v>3057500</v>
      </c>
      <c r="J56" s="500" t="s">
        <v>1619</v>
      </c>
      <c r="K56" s="500" t="s">
        <v>451</v>
      </c>
    </row>
    <row r="57" spans="1:11" s="500" customFormat="1" ht="18" customHeight="1">
      <c r="A57" s="500" t="s">
        <v>1408</v>
      </c>
      <c r="B57" s="501">
        <v>46132</v>
      </c>
      <c r="C57" s="501">
        <v>46132</v>
      </c>
      <c r="D57" s="500" t="s">
        <v>1597</v>
      </c>
      <c r="E57" s="500" t="s">
        <v>6</v>
      </c>
      <c r="F57" s="500" t="s">
        <v>1418</v>
      </c>
      <c r="G57" s="500" t="s">
        <v>1610</v>
      </c>
      <c r="H57" s="500" t="s">
        <v>1611</v>
      </c>
      <c r="I57" s="502">
        <v>15600000</v>
      </c>
      <c r="J57" s="500" t="s">
        <v>1620</v>
      </c>
      <c r="K57" s="500" t="s">
        <v>451</v>
      </c>
    </row>
    <row r="58" spans="1:11" s="500" customFormat="1" ht="18" customHeight="1">
      <c r="A58" s="500" t="s">
        <v>1408</v>
      </c>
      <c r="B58" s="501">
        <v>46134</v>
      </c>
      <c r="C58" s="501">
        <v>46120</v>
      </c>
      <c r="D58" s="500" t="s">
        <v>1598</v>
      </c>
      <c r="E58" s="500" t="s">
        <v>1580</v>
      </c>
      <c r="F58" s="500" t="s">
        <v>1459</v>
      </c>
      <c r="G58" s="500" t="s">
        <v>1463</v>
      </c>
      <c r="H58" s="500" t="s">
        <v>118</v>
      </c>
      <c r="I58" s="502">
        <v>139388</v>
      </c>
      <c r="J58" s="500" t="s">
        <v>1621</v>
      </c>
      <c r="K58" s="500" t="s">
        <v>1</v>
      </c>
    </row>
    <row r="59" spans="1:11" s="500" customFormat="1" ht="18" customHeight="1">
      <c r="A59" s="500" t="s">
        <v>1408</v>
      </c>
      <c r="B59" s="501">
        <v>46140</v>
      </c>
      <c r="C59" s="501">
        <v>46130</v>
      </c>
      <c r="D59" s="500" t="s">
        <v>1596</v>
      </c>
      <c r="E59" s="500" t="s">
        <v>6</v>
      </c>
      <c r="F59" s="500" t="s">
        <v>8</v>
      </c>
      <c r="G59" s="500" t="s">
        <v>1608</v>
      </c>
      <c r="H59" s="500" t="s">
        <v>118</v>
      </c>
      <c r="I59" s="502">
        <v>3057500</v>
      </c>
      <c r="J59" s="500" t="s">
        <v>1622</v>
      </c>
      <c r="K59" s="500" t="s">
        <v>661</v>
      </c>
    </row>
    <row r="60" spans="1:11" s="500" customFormat="1" ht="18" customHeight="1">
      <c r="A60" s="500" t="s">
        <v>23</v>
      </c>
      <c r="B60" s="501">
        <v>46144</v>
      </c>
      <c r="C60" s="501">
        <v>46128</v>
      </c>
      <c r="D60" s="500" t="s">
        <v>1623</v>
      </c>
      <c r="E60" s="500" t="s">
        <v>1580</v>
      </c>
      <c r="F60" s="500" t="s">
        <v>1459</v>
      </c>
      <c r="G60" s="500" t="s">
        <v>1467</v>
      </c>
      <c r="H60" s="500" t="s">
        <v>118</v>
      </c>
      <c r="I60" s="502">
        <v>157500</v>
      </c>
      <c r="J60" s="500" t="s">
        <v>1630</v>
      </c>
      <c r="K60" s="500" t="s">
        <v>1</v>
      </c>
    </row>
    <row r="61" spans="1:11" s="500" customFormat="1" ht="18" customHeight="1">
      <c r="A61" s="500" t="s">
        <v>23</v>
      </c>
      <c r="B61" s="501">
        <v>46146</v>
      </c>
      <c r="C61" s="501">
        <v>46144</v>
      </c>
      <c r="D61" s="500" t="s">
        <v>1624</v>
      </c>
      <c r="E61" s="500" t="s">
        <v>6</v>
      </c>
      <c r="F61" s="500" t="s">
        <v>1420</v>
      </c>
      <c r="G61" s="500" t="s">
        <v>546</v>
      </c>
      <c r="H61" s="500" t="s">
        <v>1628</v>
      </c>
      <c r="I61" s="502">
        <v>192600000</v>
      </c>
      <c r="J61" s="500" t="s">
        <v>1619</v>
      </c>
      <c r="K61" s="500" t="s">
        <v>451</v>
      </c>
    </row>
    <row r="62" spans="1:11" s="500" customFormat="1" ht="18" customHeight="1">
      <c r="A62" s="500" t="s">
        <v>23</v>
      </c>
      <c r="B62" s="501">
        <v>46146</v>
      </c>
      <c r="C62" s="501">
        <v>46144</v>
      </c>
      <c r="D62" s="500" t="s">
        <v>1625</v>
      </c>
      <c r="E62" s="500" t="s">
        <v>6</v>
      </c>
      <c r="F62" s="500" t="s">
        <v>1532</v>
      </c>
      <c r="G62" s="500" t="s">
        <v>1629</v>
      </c>
      <c r="H62" s="500" t="s">
        <v>1339</v>
      </c>
      <c r="I62" s="502">
        <v>17350000</v>
      </c>
      <c r="J62" s="500" t="s">
        <v>1631</v>
      </c>
      <c r="K62" s="500" t="s">
        <v>451</v>
      </c>
    </row>
    <row r="63" spans="1:11" s="500" customFormat="1" ht="18" customHeight="1">
      <c r="A63" s="500" t="s">
        <v>23</v>
      </c>
      <c r="B63" s="501">
        <v>46146</v>
      </c>
      <c r="C63" s="501">
        <v>46134</v>
      </c>
      <c r="D63" s="500" t="s">
        <v>1626</v>
      </c>
      <c r="E63" s="500" t="s">
        <v>6</v>
      </c>
      <c r="F63" s="500" t="s">
        <v>1459</v>
      </c>
      <c r="G63" s="500" t="s">
        <v>1467</v>
      </c>
      <c r="H63" s="500" t="s">
        <v>118</v>
      </c>
      <c r="I63" s="502">
        <v>124000</v>
      </c>
      <c r="J63" s="500" t="s">
        <v>1632</v>
      </c>
      <c r="K63" s="500" t="s">
        <v>1</v>
      </c>
    </row>
    <row r="64" spans="1:11" s="500" customFormat="1" ht="18" customHeight="1">
      <c r="A64" s="500" t="s">
        <v>23</v>
      </c>
      <c r="B64" s="501">
        <v>46148</v>
      </c>
      <c r="C64" s="501">
        <v>46141</v>
      </c>
      <c r="D64" s="500" t="s">
        <v>1627</v>
      </c>
      <c r="E64" s="500" t="s">
        <v>1580</v>
      </c>
      <c r="F64" s="500" t="s">
        <v>1459</v>
      </c>
      <c r="G64" s="500" t="s">
        <v>1463</v>
      </c>
      <c r="H64" s="500" t="s">
        <v>118</v>
      </c>
      <c r="I64" s="502">
        <v>102765</v>
      </c>
      <c r="J64" s="500" t="s">
        <v>1633</v>
      </c>
      <c r="K64" s="500" t="s">
        <v>1</v>
      </c>
    </row>
    <row r="65" spans="1:11" s="500" customFormat="1" ht="18" customHeight="1">
      <c r="A65" s="500" t="s">
        <v>23</v>
      </c>
      <c r="B65" s="501">
        <v>46151</v>
      </c>
      <c r="C65" s="501">
        <v>46150</v>
      </c>
      <c r="D65" s="500" t="s">
        <v>1634</v>
      </c>
      <c r="E65" s="500" t="s">
        <v>1580</v>
      </c>
      <c r="F65" s="500" t="s">
        <v>1418</v>
      </c>
      <c r="G65" s="500" t="s">
        <v>1637</v>
      </c>
      <c r="H65" s="500" t="s">
        <v>118</v>
      </c>
      <c r="I65" s="502">
        <v>2300000</v>
      </c>
      <c r="J65" s="500" t="s">
        <v>1642</v>
      </c>
      <c r="K65" s="500" t="s">
        <v>15</v>
      </c>
    </row>
    <row r="66" spans="1:11" s="500" customFormat="1" ht="18" customHeight="1">
      <c r="A66" s="500" t="s">
        <v>23</v>
      </c>
      <c r="B66" s="501">
        <v>46151</v>
      </c>
      <c r="C66" s="501">
        <v>46129</v>
      </c>
      <c r="D66" s="500" t="s">
        <v>1635</v>
      </c>
      <c r="E66" s="500" t="s">
        <v>1580</v>
      </c>
      <c r="F66" s="500" t="s">
        <v>8</v>
      </c>
      <c r="G66" s="500" t="s">
        <v>1638</v>
      </c>
      <c r="H66" s="500" t="s">
        <v>1639</v>
      </c>
      <c r="I66" s="502">
        <v>665000</v>
      </c>
      <c r="J66" s="500" t="s">
        <v>1643</v>
      </c>
      <c r="K66" s="500" t="s">
        <v>1</v>
      </c>
    </row>
    <row r="67" spans="1:11" s="500" customFormat="1" ht="18" customHeight="1">
      <c r="A67" s="500" t="s">
        <v>23</v>
      </c>
      <c r="B67" s="501">
        <v>46157</v>
      </c>
      <c r="C67" s="501">
        <v>46150</v>
      </c>
      <c r="D67" s="500" t="s">
        <v>1636</v>
      </c>
      <c r="E67" s="500" t="s">
        <v>1580</v>
      </c>
      <c r="F67" s="500" t="s">
        <v>1532</v>
      </c>
      <c r="G67" s="500" t="s">
        <v>1640</v>
      </c>
      <c r="H67" s="500" t="s">
        <v>1641</v>
      </c>
      <c r="I67" s="502">
        <v>1237500</v>
      </c>
      <c r="J67" s="500" t="s">
        <v>1644</v>
      </c>
      <c r="K67" s="500" t="s">
        <v>451</v>
      </c>
    </row>
    <row r="68" spans="1:11" ht="18" customHeight="1">
      <c r="A68" s="500" t="s">
        <v>23</v>
      </c>
      <c r="B68" s="436">
        <v>46160</v>
      </c>
      <c r="C68" s="436">
        <v>46158</v>
      </c>
      <c r="D68" s="354" t="s">
        <v>1645</v>
      </c>
      <c r="E68" s="354" t="s">
        <v>6</v>
      </c>
      <c r="F68" s="354" t="s">
        <v>8</v>
      </c>
      <c r="G68" s="354" t="s">
        <v>837</v>
      </c>
      <c r="H68" s="354" t="s">
        <v>118</v>
      </c>
      <c r="I68" s="418">
        <v>9650000</v>
      </c>
      <c r="J68" s="354" t="s">
        <v>390</v>
      </c>
      <c r="K68" s="354" t="s">
        <v>451</v>
      </c>
    </row>
    <row r="69" spans="1:11" ht="18" customHeight="1">
      <c r="A69" s="500" t="s">
        <v>23</v>
      </c>
      <c r="B69" s="436">
        <v>46160</v>
      </c>
      <c r="C69" s="436">
        <v>46155</v>
      </c>
      <c r="D69" s="354" t="s">
        <v>1646</v>
      </c>
      <c r="E69" s="354" t="s">
        <v>6</v>
      </c>
      <c r="F69" s="354" t="s">
        <v>1418</v>
      </c>
      <c r="G69" s="354" t="s">
        <v>1655</v>
      </c>
      <c r="H69" s="354" t="s">
        <v>1656</v>
      </c>
      <c r="I69" s="418">
        <v>13000000</v>
      </c>
      <c r="J69" s="354" t="s">
        <v>1662</v>
      </c>
      <c r="K69" s="354" t="s">
        <v>77</v>
      </c>
    </row>
    <row r="70" spans="1:11" ht="18" customHeight="1">
      <c r="A70" s="500" t="s">
        <v>23</v>
      </c>
      <c r="B70" s="436">
        <v>46161</v>
      </c>
      <c r="C70" s="436">
        <v>46153</v>
      </c>
      <c r="D70" s="354" t="s">
        <v>1647</v>
      </c>
      <c r="E70" s="354" t="s">
        <v>6</v>
      </c>
      <c r="F70" s="354" t="s">
        <v>1418</v>
      </c>
      <c r="G70" s="354" t="s">
        <v>473</v>
      </c>
      <c r="H70" s="354" t="s">
        <v>1657</v>
      </c>
      <c r="I70" s="418">
        <v>5040000</v>
      </c>
      <c r="J70" s="354" t="s">
        <v>1663</v>
      </c>
      <c r="K70" s="354" t="s">
        <v>77</v>
      </c>
    </row>
    <row r="71" spans="1:11" ht="18" customHeight="1">
      <c r="A71" s="500" t="s">
        <v>23</v>
      </c>
      <c r="B71" s="436">
        <v>46161</v>
      </c>
      <c r="C71" s="436">
        <v>46149</v>
      </c>
      <c r="D71" s="354" t="s">
        <v>1648</v>
      </c>
      <c r="E71" s="354" t="s">
        <v>1580</v>
      </c>
      <c r="F71" s="354" t="s">
        <v>1459</v>
      </c>
      <c r="G71" s="354" t="s">
        <v>1467</v>
      </c>
      <c r="H71" s="354" t="s">
        <v>118</v>
      </c>
      <c r="I71" s="418">
        <v>59213</v>
      </c>
      <c r="J71" s="354" t="s">
        <v>1664</v>
      </c>
      <c r="K71" s="354" t="s">
        <v>1</v>
      </c>
    </row>
    <row r="72" spans="1:11" ht="18" customHeight="1">
      <c r="A72" s="500" t="s">
        <v>23</v>
      </c>
      <c r="B72" s="436">
        <v>46164</v>
      </c>
      <c r="C72" s="436">
        <v>46157</v>
      </c>
      <c r="D72" s="354" t="s">
        <v>1649</v>
      </c>
      <c r="E72" s="354" t="s">
        <v>1580</v>
      </c>
      <c r="F72" s="354" t="s">
        <v>1459</v>
      </c>
      <c r="G72" s="354" t="s">
        <v>1463</v>
      </c>
      <c r="H72" s="354" t="s">
        <v>118</v>
      </c>
      <c r="I72" s="418">
        <v>91808</v>
      </c>
      <c r="J72" s="354" t="s">
        <v>1665</v>
      </c>
      <c r="K72" s="354" t="s">
        <v>1</v>
      </c>
    </row>
    <row r="73" spans="1:11" ht="18" customHeight="1">
      <c r="A73" s="500" t="s">
        <v>23</v>
      </c>
      <c r="B73" s="436">
        <v>46164</v>
      </c>
      <c r="C73" s="436">
        <v>46160</v>
      </c>
      <c r="D73" s="354" t="s">
        <v>1650</v>
      </c>
      <c r="E73" s="354" t="s">
        <v>6</v>
      </c>
      <c r="F73" s="354" t="s">
        <v>1422</v>
      </c>
      <c r="G73" s="354" t="s">
        <v>793</v>
      </c>
      <c r="H73" s="354" t="s">
        <v>118</v>
      </c>
      <c r="I73" s="418">
        <v>1800000</v>
      </c>
      <c r="J73" s="354" t="s">
        <v>1666</v>
      </c>
      <c r="K73" s="354" t="s">
        <v>15</v>
      </c>
    </row>
    <row r="74" spans="1:11" ht="18" customHeight="1">
      <c r="A74" s="500" t="s">
        <v>23</v>
      </c>
      <c r="B74" s="436">
        <v>46165</v>
      </c>
      <c r="C74" s="436">
        <v>46157</v>
      </c>
      <c r="D74" s="354" t="s">
        <v>1651</v>
      </c>
      <c r="E74" s="354" t="s">
        <v>6</v>
      </c>
      <c r="F74" s="354" t="s">
        <v>1532</v>
      </c>
      <c r="G74" s="354" t="s">
        <v>1658</v>
      </c>
      <c r="H74" s="354" t="s">
        <v>1659</v>
      </c>
      <c r="I74" s="418">
        <v>9600000</v>
      </c>
      <c r="J74" s="354" t="s">
        <v>1667</v>
      </c>
      <c r="K74" s="354" t="s">
        <v>1</v>
      </c>
    </row>
    <row r="75" spans="1:11" ht="18" customHeight="1">
      <c r="A75" s="500" t="s">
        <v>23</v>
      </c>
      <c r="B75" s="436">
        <v>46165</v>
      </c>
      <c r="C75" s="436">
        <v>46153</v>
      </c>
      <c r="D75" s="354" t="s">
        <v>1652</v>
      </c>
      <c r="E75" s="354" t="s">
        <v>1580</v>
      </c>
      <c r="F75" s="354" t="s">
        <v>1418</v>
      </c>
      <c r="G75" s="354" t="s">
        <v>981</v>
      </c>
      <c r="H75" s="354" t="s">
        <v>1657</v>
      </c>
      <c r="I75" s="418">
        <v>7600000</v>
      </c>
      <c r="J75" s="354" t="s">
        <v>1668</v>
      </c>
      <c r="K75" s="354" t="s">
        <v>77</v>
      </c>
    </row>
    <row r="76" spans="1:11" ht="18" customHeight="1">
      <c r="A76" s="500" t="s">
        <v>23</v>
      </c>
      <c r="B76" s="436">
        <v>46167</v>
      </c>
      <c r="C76" s="436">
        <v>46164</v>
      </c>
      <c r="D76" s="354" t="s">
        <v>1653</v>
      </c>
      <c r="E76" s="354" t="s">
        <v>6</v>
      </c>
      <c r="F76" s="354" t="s">
        <v>1532</v>
      </c>
      <c r="G76" s="354" t="s">
        <v>1660</v>
      </c>
      <c r="H76" s="354" t="s">
        <v>118</v>
      </c>
      <c r="I76" s="418">
        <v>20160000</v>
      </c>
      <c r="J76" s="354" t="s">
        <v>1669</v>
      </c>
      <c r="K76" s="354" t="s">
        <v>661</v>
      </c>
    </row>
    <row r="77" spans="1:11" ht="18" customHeight="1">
      <c r="A77" s="500" t="s">
        <v>23</v>
      </c>
      <c r="B77" s="436">
        <v>46168</v>
      </c>
      <c r="C77" s="436">
        <v>46165</v>
      </c>
      <c r="D77" s="354" t="s">
        <v>1654</v>
      </c>
      <c r="E77" s="354" t="s">
        <v>6</v>
      </c>
      <c r="F77" s="354" t="s">
        <v>1422</v>
      </c>
      <c r="G77" s="354" t="s">
        <v>1661</v>
      </c>
      <c r="H77" s="354" t="s">
        <v>118</v>
      </c>
      <c r="I77" s="418">
        <v>13200000</v>
      </c>
      <c r="J77" s="354" t="s">
        <v>1670</v>
      </c>
      <c r="K77" s="354" t="s">
        <v>15</v>
      </c>
    </row>
    <row r="78" spans="1:11" s="500" customFormat="1" ht="18" customHeight="1">
      <c r="B78" s="501"/>
      <c r="C78" s="501"/>
      <c r="I78" s="502"/>
    </row>
    <row r="79" spans="1:11" s="500" customFormat="1" ht="18" customHeight="1">
      <c r="B79" s="501"/>
      <c r="C79" s="501"/>
      <c r="I79" s="502"/>
    </row>
    <row r="80" spans="1:11" s="500" customFormat="1" ht="18" customHeight="1">
      <c r="B80" s="501"/>
      <c r="C80" s="501"/>
      <c r="I80" s="502"/>
    </row>
    <row r="81" spans="2:9" s="500" customFormat="1" ht="18" customHeight="1">
      <c r="B81" s="501"/>
      <c r="C81" s="501"/>
      <c r="I81" s="502"/>
    </row>
    <row r="82" spans="2:9" s="500" customFormat="1" ht="18" customHeight="1">
      <c r="B82" s="501"/>
      <c r="C82" s="501"/>
      <c r="I82" s="502"/>
    </row>
    <row r="83" spans="2:9" s="500" customFormat="1" ht="18" customHeight="1">
      <c r="B83" s="501"/>
      <c r="C83" s="501"/>
      <c r="I83" s="502"/>
    </row>
    <row r="84" spans="2:9" s="500" customFormat="1" ht="18" customHeight="1">
      <c r="B84" s="501"/>
      <c r="C84" s="501"/>
      <c r="I84" s="502"/>
    </row>
    <row r="85" spans="2:9" s="500" customFormat="1" ht="18" customHeight="1">
      <c r="B85" s="501"/>
      <c r="C85" s="501"/>
      <c r="I85" s="502"/>
    </row>
    <row r="86" spans="2:9" s="500" customFormat="1" ht="18" customHeight="1">
      <c r="B86" s="501"/>
      <c r="C86" s="501"/>
      <c r="I86" s="502"/>
    </row>
    <row r="87" spans="2:9" s="500" customFormat="1" ht="18" customHeight="1">
      <c r="B87" s="501"/>
      <c r="C87" s="501"/>
      <c r="I87" s="502"/>
    </row>
    <row r="88" spans="2:9" s="500" customFormat="1" ht="18" customHeight="1">
      <c r="B88" s="501"/>
      <c r="C88" s="501"/>
      <c r="I88" s="502"/>
    </row>
    <row r="89" spans="2:9" s="500" customFormat="1" ht="18" customHeight="1">
      <c r="B89" s="501"/>
      <c r="C89" s="501"/>
      <c r="I89" s="502"/>
    </row>
    <row r="90" spans="2:9" s="500" customFormat="1" ht="18" customHeight="1">
      <c r="B90" s="501"/>
      <c r="C90" s="501"/>
      <c r="I90" s="502"/>
    </row>
    <row r="91" spans="2:9" s="500" customFormat="1" ht="18" customHeight="1">
      <c r="B91" s="501"/>
      <c r="C91" s="501"/>
      <c r="I91" s="502"/>
    </row>
    <row r="92" spans="2:9" s="500" customFormat="1" ht="18" customHeight="1">
      <c r="B92" s="501"/>
      <c r="C92" s="501"/>
      <c r="I92" s="502"/>
    </row>
    <row r="93" spans="2:9" s="500" customFormat="1" ht="18" customHeight="1">
      <c r="B93" s="501"/>
      <c r="C93" s="501"/>
      <c r="I93" s="502"/>
    </row>
    <row r="94" spans="2:9" s="500" customFormat="1" ht="18" customHeight="1">
      <c r="B94" s="501"/>
      <c r="C94" s="501"/>
      <c r="I94" s="502"/>
    </row>
    <row r="95" spans="2:9" s="500" customFormat="1" ht="18" customHeight="1">
      <c r="B95" s="501"/>
      <c r="C95" s="501"/>
      <c r="I95" s="502"/>
    </row>
    <row r="96" spans="2:9" s="500" customFormat="1" ht="18" customHeight="1">
      <c r="B96" s="501"/>
      <c r="C96" s="501"/>
      <c r="I96" s="502"/>
    </row>
    <row r="97" spans="2:9" s="500" customFormat="1" ht="18" customHeight="1">
      <c r="B97" s="501"/>
      <c r="C97" s="501"/>
      <c r="I97" s="502"/>
    </row>
    <row r="98" spans="2:9" s="500" customFormat="1" ht="18" customHeight="1">
      <c r="B98" s="501"/>
      <c r="C98" s="501"/>
      <c r="I98" s="502"/>
    </row>
    <row r="99" spans="2:9" s="500" customFormat="1" ht="18" customHeight="1">
      <c r="B99" s="501"/>
      <c r="C99" s="501"/>
      <c r="I99" s="502"/>
    </row>
    <row r="100" spans="2:9" s="500" customFormat="1" ht="18" customHeight="1">
      <c r="B100" s="501"/>
      <c r="C100" s="501"/>
      <c r="I100" s="502"/>
    </row>
    <row r="101" spans="2:9" s="500" customFormat="1" ht="18" customHeight="1">
      <c r="B101" s="501"/>
      <c r="C101" s="501"/>
      <c r="I101" s="502"/>
    </row>
    <row r="102" spans="2:9" s="500" customFormat="1" ht="18" customHeight="1">
      <c r="B102" s="501"/>
      <c r="C102" s="501"/>
      <c r="I102" s="502"/>
    </row>
    <row r="103" spans="2:9" s="500" customFormat="1" ht="18" customHeight="1">
      <c r="B103" s="501"/>
      <c r="C103" s="501"/>
      <c r="I103" s="502"/>
    </row>
    <row r="104" spans="2:9" s="500" customFormat="1" ht="18" customHeight="1">
      <c r="B104" s="501"/>
      <c r="C104" s="501"/>
      <c r="I104" s="502"/>
    </row>
    <row r="105" spans="2:9" s="500" customFormat="1" ht="18" customHeight="1">
      <c r="B105" s="501"/>
      <c r="C105" s="501"/>
      <c r="I105" s="502"/>
    </row>
    <row r="106" spans="2:9" s="500" customFormat="1" ht="18" customHeight="1">
      <c r="B106" s="501"/>
      <c r="C106" s="501"/>
      <c r="I106" s="502"/>
    </row>
    <row r="107" spans="2:9" s="500" customFormat="1" ht="18" customHeight="1">
      <c r="B107" s="501"/>
      <c r="C107" s="501"/>
      <c r="I107" s="502"/>
    </row>
    <row r="108" spans="2:9" s="500" customFormat="1" ht="18" customHeight="1">
      <c r="B108" s="501"/>
      <c r="C108" s="501"/>
      <c r="I108" s="502"/>
    </row>
    <row r="109" spans="2:9" s="500" customFormat="1" ht="18" customHeight="1">
      <c r="B109" s="501"/>
      <c r="C109" s="501"/>
      <c r="I109" s="502"/>
    </row>
    <row r="110" spans="2:9" s="500" customFormat="1" ht="18" customHeight="1">
      <c r="B110" s="501"/>
      <c r="C110" s="501"/>
      <c r="I110" s="502"/>
    </row>
    <row r="111" spans="2:9" s="500" customFormat="1" ht="18" customHeight="1">
      <c r="B111" s="501"/>
      <c r="C111" s="501"/>
      <c r="I111" s="502"/>
    </row>
    <row r="112" spans="2:9" s="500" customFormat="1" ht="18" customHeight="1">
      <c r="B112" s="501"/>
      <c r="C112" s="501"/>
      <c r="I112" s="502"/>
    </row>
    <row r="113" spans="2:9" s="500" customFormat="1" ht="18" customHeight="1">
      <c r="B113" s="501"/>
      <c r="C113" s="501"/>
      <c r="I113" s="502"/>
    </row>
    <row r="114" spans="2:9" s="500" customFormat="1" ht="18" customHeight="1">
      <c r="B114" s="501"/>
      <c r="C114" s="501"/>
      <c r="I114" s="502"/>
    </row>
    <row r="115" spans="2:9" s="500" customFormat="1" ht="18" customHeight="1">
      <c r="B115" s="501"/>
      <c r="C115" s="501"/>
      <c r="I115" s="502"/>
    </row>
    <row r="116" spans="2:9" s="500" customFormat="1" ht="18" customHeight="1">
      <c r="B116" s="501"/>
      <c r="C116" s="501"/>
      <c r="I116" s="502"/>
    </row>
    <row r="117" spans="2:9" s="500" customFormat="1" ht="18" customHeight="1">
      <c r="B117" s="501"/>
      <c r="C117" s="501"/>
      <c r="I117" s="502"/>
    </row>
    <row r="118" spans="2:9" s="500" customFormat="1" ht="18" customHeight="1">
      <c r="B118" s="501"/>
      <c r="C118" s="501"/>
      <c r="I118" s="502"/>
    </row>
    <row r="119" spans="2:9" s="500" customFormat="1" ht="18" customHeight="1">
      <c r="B119" s="501"/>
      <c r="C119" s="501"/>
      <c r="I119" s="502"/>
    </row>
    <row r="120" spans="2:9" s="500" customFormat="1" ht="18" customHeight="1">
      <c r="B120" s="501"/>
      <c r="C120" s="501"/>
      <c r="I120" s="502"/>
    </row>
    <row r="121" spans="2:9" s="500" customFormat="1" ht="18" customHeight="1">
      <c r="B121" s="501"/>
      <c r="C121" s="501"/>
      <c r="I121" s="502"/>
    </row>
    <row r="122" spans="2:9" s="500" customFormat="1" ht="18" customHeight="1">
      <c r="B122" s="501"/>
      <c r="C122" s="501"/>
      <c r="I122" s="502"/>
    </row>
    <row r="123" spans="2:9" s="500" customFormat="1" ht="18" customHeight="1">
      <c r="B123" s="501"/>
      <c r="C123" s="501"/>
      <c r="I123" s="502"/>
    </row>
    <row r="124" spans="2:9" s="500" customFormat="1" ht="18" customHeight="1">
      <c r="B124" s="501"/>
      <c r="C124" s="501"/>
      <c r="I124" s="502"/>
    </row>
    <row r="125" spans="2:9" s="500" customFormat="1" ht="18" customHeight="1">
      <c r="B125" s="501"/>
      <c r="C125" s="501"/>
      <c r="I125" s="502"/>
    </row>
    <row r="126" spans="2:9" s="500" customFormat="1" ht="18" customHeight="1">
      <c r="B126" s="501"/>
      <c r="C126" s="501"/>
      <c r="I126" s="502"/>
    </row>
    <row r="127" spans="2:9" s="500" customFormat="1" ht="18" customHeight="1">
      <c r="B127" s="501"/>
      <c r="C127" s="501"/>
      <c r="I127" s="502"/>
    </row>
    <row r="128" spans="2:9" s="500" customFormat="1" ht="18" customHeight="1">
      <c r="B128" s="501"/>
      <c r="C128" s="501"/>
      <c r="I128" s="502"/>
    </row>
    <row r="129" spans="2:9" s="500" customFormat="1" ht="18" customHeight="1">
      <c r="B129" s="501"/>
      <c r="C129" s="501"/>
      <c r="I129" s="502"/>
    </row>
    <row r="130" spans="2:9" s="500" customFormat="1" ht="18" customHeight="1">
      <c r="B130" s="501"/>
      <c r="C130" s="501"/>
      <c r="I130" s="502"/>
    </row>
    <row r="131" spans="2:9" s="500" customFormat="1" ht="18" customHeight="1">
      <c r="B131" s="501"/>
      <c r="C131" s="501"/>
      <c r="I131" s="502"/>
    </row>
    <row r="132" spans="2:9" s="500" customFormat="1" ht="18" customHeight="1">
      <c r="B132" s="501"/>
      <c r="C132" s="501"/>
      <c r="I132" s="502"/>
    </row>
    <row r="133" spans="2:9" s="500" customFormat="1" ht="18" customHeight="1">
      <c r="B133" s="501"/>
      <c r="C133" s="501"/>
      <c r="I133" s="502"/>
    </row>
    <row r="134" spans="2:9" s="500" customFormat="1" ht="18" customHeight="1">
      <c r="B134" s="501"/>
      <c r="C134" s="501"/>
      <c r="I134" s="502"/>
    </row>
    <row r="135" spans="2:9" s="500" customFormat="1" ht="18" customHeight="1">
      <c r="B135" s="501"/>
      <c r="C135" s="501"/>
      <c r="I135" s="502"/>
    </row>
    <row r="136" spans="2:9" s="500" customFormat="1" ht="18" customHeight="1">
      <c r="B136" s="501"/>
      <c r="C136" s="501"/>
      <c r="I136" s="502"/>
    </row>
    <row r="137" spans="2:9" s="500" customFormat="1" ht="18" customHeight="1">
      <c r="B137" s="501"/>
      <c r="C137" s="501"/>
      <c r="I137" s="502"/>
    </row>
    <row r="138" spans="2:9" s="500" customFormat="1" ht="18" customHeight="1">
      <c r="B138" s="501"/>
      <c r="C138" s="501"/>
      <c r="I138" s="502"/>
    </row>
    <row r="139" spans="2:9" s="500" customFormat="1" ht="18" customHeight="1">
      <c r="B139" s="501"/>
      <c r="C139" s="501"/>
      <c r="I139" s="502"/>
    </row>
    <row r="140" spans="2:9" s="500" customFormat="1" ht="18" customHeight="1">
      <c r="B140" s="501"/>
      <c r="C140" s="501"/>
      <c r="I140" s="502"/>
    </row>
    <row r="141" spans="2:9" s="500" customFormat="1" ht="18" customHeight="1">
      <c r="B141" s="501"/>
      <c r="C141" s="501"/>
      <c r="I141" s="502"/>
    </row>
    <row r="142" spans="2:9" s="500" customFormat="1" ht="18" customHeight="1">
      <c r="B142" s="501"/>
      <c r="C142" s="501"/>
      <c r="I142" s="502"/>
    </row>
    <row r="143" spans="2:9" s="500" customFormat="1" ht="18" customHeight="1">
      <c r="B143" s="501"/>
      <c r="C143" s="501"/>
      <c r="I143" s="502"/>
    </row>
    <row r="144" spans="2:9" s="500" customFormat="1" ht="18" customHeight="1">
      <c r="B144" s="501"/>
      <c r="C144" s="501"/>
      <c r="I144" s="502"/>
    </row>
    <row r="145" spans="2:9" s="500" customFormat="1" ht="18" customHeight="1">
      <c r="B145" s="501"/>
      <c r="C145" s="501"/>
      <c r="I145" s="502"/>
    </row>
    <row r="146" spans="2:9" s="500" customFormat="1" ht="18" customHeight="1">
      <c r="B146" s="501"/>
      <c r="C146" s="501"/>
      <c r="I146" s="502"/>
    </row>
    <row r="147" spans="2:9" s="500" customFormat="1" ht="18" customHeight="1">
      <c r="B147" s="501"/>
      <c r="C147" s="501"/>
      <c r="I147" s="502"/>
    </row>
    <row r="148" spans="2:9" s="500" customFormat="1" ht="18" customHeight="1">
      <c r="B148" s="501"/>
      <c r="C148" s="501"/>
      <c r="I148" s="502"/>
    </row>
    <row r="149" spans="2:9" s="500" customFormat="1" ht="18" customHeight="1">
      <c r="B149" s="501"/>
      <c r="C149" s="501"/>
      <c r="I149" s="502"/>
    </row>
    <row r="150" spans="2:9" s="500" customFormat="1" ht="18" customHeight="1">
      <c r="B150" s="501"/>
      <c r="C150" s="501"/>
      <c r="I150" s="502"/>
    </row>
    <row r="151" spans="2:9" s="500" customFormat="1" ht="18" customHeight="1">
      <c r="B151" s="501"/>
      <c r="C151" s="501"/>
      <c r="I151" s="502"/>
    </row>
    <row r="152" spans="2:9" s="500" customFormat="1" ht="18" customHeight="1">
      <c r="B152" s="501"/>
      <c r="C152" s="501"/>
      <c r="I152" s="502"/>
    </row>
    <row r="153" spans="2:9" s="500" customFormat="1" ht="18" customHeight="1">
      <c r="B153" s="501"/>
      <c r="C153" s="501"/>
      <c r="I153" s="502"/>
    </row>
    <row r="154" spans="2:9" s="500" customFormat="1" ht="18" customHeight="1">
      <c r="B154" s="501"/>
      <c r="C154" s="501"/>
      <c r="I154" s="502"/>
    </row>
    <row r="155" spans="2:9" s="500" customFormat="1" ht="18" customHeight="1">
      <c r="B155" s="501"/>
      <c r="C155" s="501"/>
      <c r="I155" s="502"/>
    </row>
    <row r="156" spans="2:9" s="500" customFormat="1" ht="18" customHeight="1">
      <c r="B156" s="501"/>
      <c r="C156" s="501"/>
      <c r="I156" s="502"/>
    </row>
    <row r="157" spans="2:9" s="500" customFormat="1" ht="18" customHeight="1">
      <c r="B157" s="501"/>
      <c r="C157" s="501"/>
      <c r="I157" s="502"/>
    </row>
    <row r="158" spans="2:9" s="500" customFormat="1" ht="18" customHeight="1">
      <c r="B158" s="501"/>
      <c r="C158" s="501"/>
      <c r="I158" s="502"/>
    </row>
    <row r="159" spans="2:9" s="500" customFormat="1" ht="18" customHeight="1">
      <c r="B159" s="501"/>
      <c r="C159" s="501"/>
      <c r="I159" s="502"/>
    </row>
    <row r="160" spans="2:9" s="500" customFormat="1" ht="18" customHeight="1">
      <c r="B160" s="501"/>
      <c r="C160" s="501"/>
      <c r="I160" s="502"/>
    </row>
    <row r="161" spans="2:9" s="500" customFormat="1" ht="18" customHeight="1">
      <c r="B161" s="501"/>
      <c r="C161" s="501"/>
      <c r="I161" s="502"/>
    </row>
    <row r="162" spans="2:9" s="500" customFormat="1" ht="18" customHeight="1">
      <c r="B162" s="501"/>
      <c r="C162" s="501"/>
      <c r="I162" s="502"/>
    </row>
    <row r="163" spans="2:9" s="500" customFormat="1" ht="18" customHeight="1">
      <c r="B163" s="501"/>
      <c r="C163" s="501"/>
      <c r="I163" s="502"/>
    </row>
    <row r="164" spans="2:9" s="500" customFormat="1" ht="18" customHeight="1">
      <c r="B164" s="501"/>
      <c r="C164" s="501"/>
      <c r="I164" s="502"/>
    </row>
    <row r="165" spans="2:9" s="500" customFormat="1" ht="18" customHeight="1">
      <c r="B165" s="501"/>
      <c r="C165" s="501"/>
      <c r="I165" s="502"/>
    </row>
    <row r="166" spans="2:9" s="500" customFormat="1" ht="18" customHeight="1">
      <c r="B166" s="501"/>
      <c r="C166" s="501"/>
      <c r="I166" s="502"/>
    </row>
    <row r="167" spans="2:9" s="500" customFormat="1" ht="18" customHeight="1">
      <c r="B167" s="501"/>
      <c r="C167" s="501"/>
      <c r="I167" s="502"/>
    </row>
    <row r="168" spans="2:9" s="500" customFormat="1" ht="18" customHeight="1">
      <c r="B168" s="501"/>
      <c r="C168" s="501"/>
      <c r="I168" s="502"/>
    </row>
    <row r="169" spans="2:9" s="500" customFormat="1" ht="18" customHeight="1">
      <c r="B169" s="501"/>
      <c r="C169" s="501"/>
      <c r="I169" s="502"/>
    </row>
    <row r="170" spans="2:9" s="500" customFormat="1" ht="18" customHeight="1">
      <c r="B170" s="501"/>
      <c r="C170" s="501"/>
      <c r="I170" s="502"/>
    </row>
    <row r="171" spans="2:9" s="500" customFormat="1" ht="18" customHeight="1">
      <c r="B171" s="501"/>
      <c r="C171" s="501"/>
      <c r="I171" s="502"/>
    </row>
    <row r="172" spans="2:9" s="500" customFormat="1" ht="18" customHeight="1">
      <c r="B172" s="501"/>
      <c r="C172" s="501"/>
      <c r="I172" s="502"/>
    </row>
    <row r="173" spans="2:9" s="500" customFormat="1" ht="18" customHeight="1">
      <c r="B173" s="501"/>
      <c r="C173" s="501"/>
      <c r="I173" s="502"/>
    </row>
    <row r="174" spans="2:9" s="500" customFormat="1" ht="18" customHeight="1">
      <c r="B174" s="501"/>
      <c r="C174" s="501"/>
      <c r="I174" s="502"/>
    </row>
    <row r="175" spans="2:9" s="500" customFormat="1" ht="18" customHeight="1">
      <c r="B175" s="501"/>
      <c r="C175" s="501"/>
      <c r="I175" s="502"/>
    </row>
    <row r="176" spans="2:9" s="500" customFormat="1" ht="18" customHeight="1">
      <c r="B176" s="501"/>
      <c r="C176" s="501"/>
      <c r="I176" s="502"/>
    </row>
    <row r="177" spans="2:9" s="500" customFormat="1" ht="18" customHeight="1">
      <c r="B177" s="501"/>
      <c r="C177" s="501"/>
      <c r="I177" s="502"/>
    </row>
    <row r="178" spans="2:9" s="500" customFormat="1" ht="18" customHeight="1">
      <c r="B178" s="501"/>
      <c r="C178" s="501"/>
      <c r="I178" s="502"/>
    </row>
    <row r="179" spans="2:9" s="500" customFormat="1" ht="18" customHeight="1">
      <c r="B179" s="501"/>
      <c r="C179" s="501"/>
      <c r="I179" s="502"/>
    </row>
    <row r="180" spans="2:9" s="500" customFormat="1" ht="18" customHeight="1">
      <c r="B180" s="501"/>
      <c r="C180" s="501"/>
      <c r="I180" s="502"/>
    </row>
    <row r="181" spans="2:9" s="500" customFormat="1" ht="18" customHeight="1">
      <c r="B181" s="501"/>
      <c r="C181" s="501"/>
      <c r="I181" s="502"/>
    </row>
    <row r="182" spans="2:9" s="500" customFormat="1" ht="18" customHeight="1">
      <c r="B182" s="501"/>
      <c r="C182" s="501"/>
      <c r="I182" s="502"/>
    </row>
    <row r="183" spans="2:9" s="500" customFormat="1" ht="18" customHeight="1">
      <c r="B183" s="501"/>
      <c r="C183" s="501"/>
      <c r="I183" s="502"/>
    </row>
    <row r="184" spans="2:9" s="500" customFormat="1" ht="18" customHeight="1">
      <c r="B184" s="501"/>
      <c r="C184" s="501"/>
      <c r="I184" s="502"/>
    </row>
    <row r="185" spans="2:9" s="500" customFormat="1" ht="18" customHeight="1">
      <c r="B185" s="501"/>
      <c r="C185" s="501"/>
      <c r="I185" s="502"/>
    </row>
    <row r="186" spans="2:9" s="500" customFormat="1" ht="18" customHeight="1">
      <c r="B186" s="501"/>
      <c r="C186" s="501"/>
      <c r="I186" s="502"/>
    </row>
    <row r="187" spans="2:9" s="500" customFormat="1" ht="18" customHeight="1">
      <c r="B187" s="501"/>
      <c r="C187" s="501"/>
      <c r="I187" s="502"/>
    </row>
    <row r="188" spans="2:9" s="500" customFormat="1" ht="18" customHeight="1">
      <c r="B188" s="501"/>
      <c r="C188" s="501"/>
      <c r="I188" s="502"/>
    </row>
    <row r="189" spans="2:9" s="500" customFormat="1" ht="18" customHeight="1">
      <c r="B189" s="501"/>
      <c r="C189" s="501"/>
      <c r="I189" s="502"/>
    </row>
    <row r="190" spans="2:9" s="500" customFormat="1" ht="18" customHeight="1">
      <c r="B190" s="501"/>
      <c r="C190" s="501"/>
      <c r="I190" s="502"/>
    </row>
    <row r="191" spans="2:9" s="500" customFormat="1" ht="18" customHeight="1">
      <c r="B191" s="501"/>
      <c r="C191" s="501"/>
      <c r="I191" s="502"/>
    </row>
    <row r="192" spans="2:9" s="500" customFormat="1" ht="18" customHeight="1">
      <c r="B192" s="501"/>
      <c r="C192" s="501"/>
      <c r="I192" s="502"/>
    </row>
    <row r="193" spans="2:9" s="500" customFormat="1" ht="18" customHeight="1">
      <c r="B193" s="501"/>
      <c r="C193" s="501"/>
      <c r="I193" s="502"/>
    </row>
    <row r="194" spans="2:9" s="500" customFormat="1" ht="18" customHeight="1">
      <c r="B194" s="501"/>
      <c r="C194" s="501"/>
      <c r="I194" s="502"/>
    </row>
    <row r="195" spans="2:9" s="500" customFormat="1" ht="18" customHeight="1">
      <c r="B195" s="501"/>
      <c r="C195" s="501"/>
      <c r="I195" s="502"/>
    </row>
    <row r="196" spans="2:9" s="500" customFormat="1" ht="18" customHeight="1">
      <c r="B196" s="501"/>
      <c r="C196" s="501"/>
      <c r="I196" s="502"/>
    </row>
    <row r="197" spans="2:9" s="500" customFormat="1" ht="18" customHeight="1">
      <c r="B197" s="501"/>
      <c r="C197" s="501"/>
      <c r="I197" s="502"/>
    </row>
    <row r="198" spans="2:9" s="500" customFormat="1" ht="18" customHeight="1">
      <c r="B198" s="501"/>
      <c r="C198" s="501"/>
      <c r="I198" s="502"/>
    </row>
    <row r="199" spans="2:9" s="500" customFormat="1" ht="18" customHeight="1">
      <c r="B199" s="503"/>
      <c r="C199" s="503"/>
      <c r="I199" s="502"/>
    </row>
    <row r="200" spans="2:9" s="500" customFormat="1" ht="18" customHeight="1">
      <c r="B200" s="503"/>
      <c r="C200" s="503"/>
      <c r="I200" s="502"/>
    </row>
    <row r="201" spans="2:9" s="500" customFormat="1" ht="18" customHeight="1">
      <c r="B201" s="503"/>
      <c r="C201" s="503"/>
      <c r="I201" s="502"/>
    </row>
    <row r="202" spans="2:9" s="500" customFormat="1" ht="18" customHeight="1">
      <c r="B202" s="503"/>
      <c r="C202" s="503"/>
      <c r="I202" s="502"/>
    </row>
    <row r="203" spans="2:9" s="500" customFormat="1" ht="18" customHeight="1">
      <c r="B203" s="503"/>
      <c r="C203" s="503"/>
      <c r="I203" s="502"/>
    </row>
    <row r="204" spans="2:9" s="500" customFormat="1" ht="18" customHeight="1">
      <c r="B204" s="503"/>
      <c r="C204" s="503"/>
      <c r="I204" s="502"/>
    </row>
    <row r="205" spans="2:9" s="500" customFormat="1" ht="18" customHeight="1">
      <c r="B205" s="503"/>
      <c r="C205" s="503"/>
      <c r="I205" s="502"/>
    </row>
    <row r="206" spans="2:9" s="500" customFormat="1" ht="18" customHeight="1">
      <c r="B206" s="503"/>
      <c r="C206" s="503"/>
      <c r="I206" s="502"/>
    </row>
    <row r="207" spans="2:9" s="500" customFormat="1" ht="18" customHeight="1">
      <c r="B207" s="503"/>
      <c r="C207" s="503"/>
      <c r="I207" s="502"/>
    </row>
    <row r="208" spans="2:9" s="500" customFormat="1" ht="18" customHeight="1">
      <c r="B208" s="503"/>
      <c r="C208" s="503"/>
      <c r="I208" s="502"/>
    </row>
    <row r="209" spans="2:9" s="500" customFormat="1" ht="18" customHeight="1">
      <c r="B209" s="503"/>
      <c r="C209" s="503"/>
      <c r="I209" s="502"/>
    </row>
    <row r="210" spans="2:9" s="500" customFormat="1" ht="18" customHeight="1">
      <c r="B210" s="503"/>
      <c r="C210" s="503"/>
      <c r="I210" s="502"/>
    </row>
    <row r="211" spans="2:9" s="500" customFormat="1" ht="18" customHeight="1">
      <c r="B211" s="503"/>
      <c r="C211" s="503"/>
      <c r="I211" s="502"/>
    </row>
    <row r="212" spans="2:9" s="500" customFormat="1" ht="18" customHeight="1">
      <c r="B212" s="503"/>
      <c r="C212" s="503"/>
      <c r="I212" s="502"/>
    </row>
    <row r="213" spans="2:9" s="500" customFormat="1" ht="18" customHeight="1">
      <c r="B213" s="503"/>
      <c r="C213" s="503"/>
      <c r="I213" s="502"/>
    </row>
    <row r="214" spans="2:9" s="500" customFormat="1" ht="18" customHeight="1">
      <c r="B214" s="503"/>
      <c r="C214" s="503"/>
      <c r="I214" s="502"/>
    </row>
    <row r="215" spans="2:9" s="500" customFormat="1" ht="18" customHeight="1">
      <c r="B215" s="503"/>
      <c r="C215" s="503"/>
      <c r="I215" s="502"/>
    </row>
    <row r="216" spans="2:9" s="500" customFormat="1" ht="18" customHeight="1">
      <c r="B216" s="503"/>
      <c r="C216" s="503"/>
      <c r="I216" s="502"/>
    </row>
    <row r="217" spans="2:9" s="500" customFormat="1" ht="18" customHeight="1">
      <c r="B217" s="503"/>
      <c r="C217" s="503"/>
      <c r="I217" s="502"/>
    </row>
    <row r="218" spans="2:9" s="500" customFormat="1" ht="18" customHeight="1">
      <c r="B218" s="503"/>
      <c r="C218" s="503"/>
      <c r="I218" s="502"/>
    </row>
    <row r="219" spans="2:9" s="500" customFormat="1" ht="18" customHeight="1">
      <c r="B219" s="503"/>
      <c r="C219" s="503"/>
      <c r="I219" s="502"/>
    </row>
    <row r="220" spans="2:9" s="500" customFormat="1" ht="18" customHeight="1">
      <c r="B220" s="503"/>
      <c r="C220" s="503"/>
      <c r="I220" s="502"/>
    </row>
    <row r="221" spans="2:9" s="500" customFormat="1" ht="18" customHeight="1">
      <c r="B221" s="503"/>
      <c r="C221" s="503"/>
      <c r="I221" s="502"/>
    </row>
    <row r="222" spans="2:9" s="500" customFormat="1" ht="18" customHeight="1">
      <c r="B222" s="503"/>
      <c r="C222" s="503"/>
      <c r="I222" s="502"/>
    </row>
    <row r="223" spans="2:9" s="500" customFormat="1" ht="18" customHeight="1">
      <c r="B223" s="503"/>
      <c r="C223" s="503"/>
      <c r="I223" s="502"/>
    </row>
    <row r="224" spans="2:9" s="500" customFormat="1" ht="18" customHeight="1">
      <c r="B224" s="503"/>
      <c r="C224" s="503"/>
      <c r="I224" s="502"/>
    </row>
    <row r="225" spans="2:9" s="500" customFormat="1" ht="18" customHeight="1">
      <c r="B225" s="503"/>
      <c r="C225" s="503"/>
      <c r="I225" s="502"/>
    </row>
    <row r="226" spans="2:9" s="500" customFormat="1" ht="18" customHeight="1">
      <c r="B226" s="503"/>
      <c r="C226" s="503"/>
      <c r="I226" s="502"/>
    </row>
    <row r="227" spans="2:9" s="500" customFormat="1" ht="18" customHeight="1">
      <c r="B227" s="503"/>
      <c r="C227" s="503"/>
      <c r="I227" s="502"/>
    </row>
    <row r="228" spans="2:9" s="500" customFormat="1" ht="18" customHeight="1">
      <c r="B228" s="503"/>
      <c r="C228" s="503"/>
      <c r="I228" s="502"/>
    </row>
    <row r="229" spans="2:9" s="500" customFormat="1" ht="18" customHeight="1">
      <c r="B229" s="503"/>
      <c r="C229" s="503"/>
      <c r="I229" s="502"/>
    </row>
    <row r="230" spans="2:9" s="500" customFormat="1" ht="18" customHeight="1">
      <c r="B230" s="503"/>
      <c r="C230" s="503"/>
      <c r="I230" s="502"/>
    </row>
    <row r="231" spans="2:9" s="500" customFormat="1" ht="18" customHeight="1">
      <c r="B231" s="503"/>
      <c r="C231" s="503"/>
      <c r="I231" s="502"/>
    </row>
    <row r="232" spans="2:9" s="500" customFormat="1" ht="18" customHeight="1">
      <c r="B232" s="503"/>
      <c r="C232" s="503"/>
      <c r="I232" s="502"/>
    </row>
    <row r="233" spans="2:9" s="500" customFormat="1" ht="18" customHeight="1">
      <c r="B233" s="503"/>
      <c r="C233" s="503"/>
      <c r="I233" s="502"/>
    </row>
    <row r="234" spans="2:9" s="500" customFormat="1" ht="18" customHeight="1">
      <c r="B234" s="503"/>
      <c r="C234" s="503"/>
      <c r="I234" s="502"/>
    </row>
    <row r="235" spans="2:9" s="500" customFormat="1" ht="18" customHeight="1">
      <c r="B235" s="503"/>
      <c r="C235" s="503"/>
      <c r="I235" s="502"/>
    </row>
    <row r="236" spans="2:9" s="500" customFormat="1" ht="18" customHeight="1">
      <c r="B236" s="503"/>
      <c r="C236" s="503"/>
      <c r="I236" s="502"/>
    </row>
    <row r="237" spans="2:9" s="500" customFormat="1" ht="18" customHeight="1">
      <c r="B237" s="503"/>
      <c r="C237" s="503"/>
      <c r="I237" s="502"/>
    </row>
    <row r="238" spans="2:9" s="500" customFormat="1" ht="18" customHeight="1">
      <c r="B238" s="503"/>
      <c r="C238" s="503"/>
      <c r="I238" s="502"/>
    </row>
    <row r="239" spans="2:9" s="500" customFormat="1" ht="18" customHeight="1">
      <c r="B239" s="503"/>
      <c r="C239" s="503"/>
      <c r="I239" s="502"/>
    </row>
    <row r="240" spans="2:9" s="500" customFormat="1" ht="18" customHeight="1">
      <c r="B240" s="503"/>
      <c r="C240" s="503"/>
      <c r="I240" s="502"/>
    </row>
    <row r="241" spans="2:9" s="500" customFormat="1" ht="18" customHeight="1">
      <c r="B241" s="503"/>
      <c r="C241" s="503"/>
      <c r="I241" s="502"/>
    </row>
    <row r="242" spans="2:9" s="500" customFormat="1" ht="18" customHeight="1">
      <c r="B242" s="503"/>
      <c r="C242" s="503"/>
      <c r="I242" s="502"/>
    </row>
    <row r="243" spans="2:9" s="500" customFormat="1" ht="18" customHeight="1">
      <c r="B243" s="503"/>
      <c r="C243" s="503"/>
      <c r="I243" s="502"/>
    </row>
    <row r="244" spans="2:9" s="500" customFormat="1" ht="18" customHeight="1">
      <c r="B244" s="503"/>
      <c r="C244" s="503"/>
      <c r="I244" s="502"/>
    </row>
    <row r="245" spans="2:9" s="500" customFormat="1" ht="18" customHeight="1">
      <c r="B245" s="503"/>
      <c r="C245" s="503"/>
      <c r="I245" s="502"/>
    </row>
    <row r="246" spans="2:9" s="500" customFormat="1" ht="18" customHeight="1">
      <c r="B246" s="503"/>
      <c r="C246" s="503"/>
      <c r="I246" s="502"/>
    </row>
    <row r="247" spans="2:9" s="500" customFormat="1" ht="18" customHeight="1">
      <c r="B247" s="503"/>
      <c r="C247" s="503"/>
      <c r="I247" s="502"/>
    </row>
    <row r="248" spans="2:9" s="500" customFormat="1" ht="18" customHeight="1">
      <c r="B248" s="503"/>
      <c r="C248" s="503"/>
      <c r="I248" s="502"/>
    </row>
    <row r="249" spans="2:9" s="500" customFormat="1" ht="18" customHeight="1">
      <c r="B249" s="503"/>
      <c r="C249" s="503"/>
      <c r="I249" s="502"/>
    </row>
    <row r="250" spans="2:9" s="500" customFormat="1" ht="18" customHeight="1">
      <c r="B250" s="503"/>
      <c r="C250" s="503"/>
      <c r="I250" s="502"/>
    </row>
    <row r="251" spans="2:9" s="500" customFormat="1" ht="18" customHeight="1">
      <c r="B251" s="503"/>
      <c r="C251" s="503"/>
      <c r="I251" s="502"/>
    </row>
    <row r="252" spans="2:9" s="500" customFormat="1" ht="18" customHeight="1">
      <c r="B252" s="503"/>
      <c r="C252" s="503"/>
      <c r="I252" s="502"/>
    </row>
    <row r="253" spans="2:9" s="500" customFormat="1" ht="18" customHeight="1">
      <c r="B253" s="503"/>
      <c r="C253" s="503"/>
      <c r="I253" s="502"/>
    </row>
    <row r="254" spans="2:9" s="500" customFormat="1" ht="18" customHeight="1">
      <c r="B254" s="503"/>
      <c r="C254" s="503"/>
      <c r="I254" s="502"/>
    </row>
    <row r="255" spans="2:9" s="500" customFormat="1" ht="18" customHeight="1">
      <c r="B255" s="503"/>
      <c r="C255" s="503"/>
      <c r="I255" s="502"/>
    </row>
    <row r="256" spans="2:9" s="500" customFormat="1" ht="18" customHeight="1">
      <c r="B256" s="503"/>
      <c r="C256" s="503"/>
      <c r="I256" s="502"/>
    </row>
    <row r="257" spans="2:9" s="500" customFormat="1" ht="18" customHeight="1">
      <c r="B257" s="503"/>
      <c r="C257" s="503"/>
      <c r="I257" s="502"/>
    </row>
    <row r="258" spans="2:9" s="500" customFormat="1" ht="18" customHeight="1">
      <c r="B258" s="503"/>
      <c r="C258" s="503"/>
      <c r="I258" s="502"/>
    </row>
    <row r="259" spans="2:9" s="500" customFormat="1" ht="18" customHeight="1">
      <c r="B259" s="503"/>
      <c r="C259" s="503"/>
      <c r="I259" s="502"/>
    </row>
    <row r="260" spans="2:9" s="500" customFormat="1" ht="18" customHeight="1">
      <c r="B260" s="503"/>
      <c r="C260" s="503"/>
      <c r="I260" s="502"/>
    </row>
    <row r="261" spans="2:9" s="500" customFormat="1" ht="18" customHeight="1">
      <c r="B261" s="503"/>
      <c r="C261" s="503"/>
      <c r="I261" s="502"/>
    </row>
    <row r="262" spans="2:9" s="500" customFormat="1" ht="18" customHeight="1">
      <c r="B262" s="503"/>
      <c r="C262" s="503"/>
      <c r="I262" s="502"/>
    </row>
    <row r="263" spans="2:9" s="500" customFormat="1" ht="18" customHeight="1">
      <c r="B263" s="503"/>
      <c r="C263" s="503"/>
      <c r="I263" s="502"/>
    </row>
    <row r="264" spans="2:9" s="500" customFormat="1" ht="18" customHeight="1">
      <c r="B264" s="503"/>
      <c r="C264" s="503"/>
      <c r="I264" s="502"/>
    </row>
    <row r="265" spans="2:9" s="500" customFormat="1" ht="18" customHeight="1">
      <c r="B265" s="503"/>
      <c r="C265" s="503"/>
      <c r="I265" s="502"/>
    </row>
    <row r="266" spans="2:9" s="500" customFormat="1" ht="18" customHeight="1">
      <c r="B266" s="503"/>
      <c r="C266" s="503"/>
      <c r="I266" s="502"/>
    </row>
    <row r="267" spans="2:9" s="500" customFormat="1" ht="18" customHeight="1">
      <c r="B267" s="503"/>
      <c r="C267" s="503"/>
      <c r="I267" s="502"/>
    </row>
    <row r="268" spans="2:9" s="500" customFormat="1" ht="18" customHeight="1">
      <c r="B268" s="503"/>
      <c r="C268" s="503"/>
      <c r="I268" s="502"/>
    </row>
    <row r="269" spans="2:9" s="500" customFormat="1" ht="18" customHeight="1">
      <c r="B269" s="503"/>
      <c r="C269" s="503"/>
      <c r="I269" s="502"/>
    </row>
    <row r="270" spans="2:9" s="500" customFormat="1" ht="18" customHeight="1">
      <c r="B270" s="503"/>
      <c r="C270" s="503"/>
      <c r="I270" s="502"/>
    </row>
    <row r="271" spans="2:9" s="500" customFormat="1" ht="18" customHeight="1">
      <c r="B271" s="503"/>
      <c r="C271" s="503"/>
      <c r="I271" s="502"/>
    </row>
    <row r="272" spans="2:9" s="500" customFormat="1" ht="18" customHeight="1">
      <c r="B272" s="503"/>
      <c r="C272" s="503"/>
      <c r="I272" s="502"/>
    </row>
    <row r="273" spans="2:9" s="500" customFormat="1" ht="18" customHeight="1">
      <c r="B273" s="503"/>
      <c r="C273" s="503"/>
      <c r="I273" s="502"/>
    </row>
    <row r="274" spans="2:9" s="500" customFormat="1" ht="18" customHeight="1">
      <c r="B274" s="503"/>
      <c r="C274" s="503"/>
      <c r="I274" s="502"/>
    </row>
    <row r="275" spans="2:9" s="500" customFormat="1" ht="18" customHeight="1">
      <c r="B275" s="503"/>
      <c r="C275" s="503"/>
      <c r="I275" s="502"/>
    </row>
    <row r="276" spans="2:9" s="500" customFormat="1" ht="18" customHeight="1">
      <c r="B276" s="503"/>
      <c r="C276" s="503"/>
      <c r="I276" s="502"/>
    </row>
    <row r="277" spans="2:9" s="500" customFormat="1" ht="18" customHeight="1">
      <c r="B277" s="503"/>
      <c r="C277" s="503"/>
      <c r="I277" s="502"/>
    </row>
    <row r="278" spans="2:9" s="500" customFormat="1" ht="18" customHeight="1">
      <c r="B278" s="503"/>
      <c r="C278" s="503"/>
      <c r="I278" s="502"/>
    </row>
    <row r="279" spans="2:9" s="500" customFormat="1" ht="18" customHeight="1">
      <c r="B279" s="503"/>
      <c r="C279" s="503"/>
      <c r="I279" s="502"/>
    </row>
    <row r="280" spans="2:9" s="500" customFormat="1" ht="18" customHeight="1">
      <c r="B280" s="503"/>
      <c r="C280" s="503"/>
      <c r="I280" s="502"/>
    </row>
    <row r="281" spans="2:9" s="500" customFormat="1" ht="18" customHeight="1">
      <c r="B281" s="503"/>
      <c r="C281" s="503"/>
      <c r="I281" s="502"/>
    </row>
    <row r="282" spans="2:9" s="500" customFormat="1" ht="18" customHeight="1">
      <c r="B282" s="503"/>
      <c r="C282" s="503"/>
      <c r="I282" s="502"/>
    </row>
    <row r="283" spans="2:9" s="500" customFormat="1" ht="18" customHeight="1">
      <c r="B283" s="503"/>
      <c r="C283" s="503"/>
      <c r="I283" s="502"/>
    </row>
    <row r="284" spans="2:9" s="500" customFormat="1" ht="18" customHeight="1">
      <c r="B284" s="503"/>
      <c r="C284" s="503"/>
      <c r="I284" s="502"/>
    </row>
    <row r="285" spans="2:9" s="500" customFormat="1" ht="18" customHeight="1">
      <c r="B285" s="503"/>
      <c r="C285" s="503"/>
      <c r="I285" s="502"/>
    </row>
    <row r="286" spans="2:9" s="500" customFormat="1" ht="18" customHeight="1">
      <c r="B286" s="503"/>
      <c r="C286" s="503"/>
      <c r="I286" s="502"/>
    </row>
    <row r="287" spans="2:9" s="500" customFormat="1" ht="18" customHeight="1">
      <c r="B287" s="503"/>
      <c r="C287" s="503"/>
      <c r="I287" s="502"/>
    </row>
    <row r="288" spans="2:9" s="500" customFormat="1" ht="18" customHeight="1">
      <c r="B288" s="503"/>
      <c r="C288" s="503"/>
      <c r="I288" s="502"/>
    </row>
    <row r="289" spans="2:9" s="500" customFormat="1" ht="18" customHeight="1">
      <c r="B289" s="503"/>
      <c r="C289" s="503"/>
      <c r="I289" s="502"/>
    </row>
    <row r="290" spans="2:9" s="500" customFormat="1" ht="18" customHeight="1">
      <c r="B290" s="503"/>
      <c r="C290" s="503"/>
      <c r="I290" s="502"/>
    </row>
    <row r="291" spans="2:9" s="500" customFormat="1" ht="18" customHeight="1">
      <c r="B291" s="503"/>
      <c r="C291" s="503"/>
      <c r="I291" s="502"/>
    </row>
    <row r="292" spans="2:9" s="500" customFormat="1" ht="18" customHeight="1">
      <c r="B292" s="503"/>
      <c r="C292" s="503"/>
      <c r="I292" s="502"/>
    </row>
    <row r="293" spans="2:9" s="500" customFormat="1" ht="18" customHeight="1">
      <c r="B293" s="503"/>
      <c r="C293" s="503"/>
      <c r="I293" s="502"/>
    </row>
    <row r="294" spans="2:9" s="500" customFormat="1" ht="18" customHeight="1">
      <c r="B294" s="503"/>
      <c r="C294" s="503"/>
      <c r="I294" s="502"/>
    </row>
    <row r="295" spans="2:9" s="500" customFormat="1" ht="18" customHeight="1">
      <c r="B295" s="503"/>
      <c r="C295" s="503"/>
      <c r="I295" s="502"/>
    </row>
    <row r="296" spans="2:9" s="500" customFormat="1" ht="18" customHeight="1">
      <c r="B296" s="503"/>
      <c r="C296" s="503"/>
      <c r="I296" s="502"/>
    </row>
    <row r="297" spans="2:9" s="500" customFormat="1" ht="18" customHeight="1">
      <c r="B297" s="503"/>
      <c r="C297" s="503"/>
      <c r="I297" s="502"/>
    </row>
    <row r="298" spans="2:9" s="500" customFormat="1" ht="18" customHeight="1">
      <c r="B298" s="503"/>
      <c r="C298" s="503"/>
      <c r="I298" s="502"/>
    </row>
    <row r="299" spans="2:9" s="500" customFormat="1" ht="18" customHeight="1">
      <c r="B299" s="503"/>
      <c r="C299" s="503"/>
      <c r="I299" s="502"/>
    </row>
    <row r="300" spans="2:9" s="500" customFormat="1" ht="18" customHeight="1">
      <c r="B300" s="503"/>
      <c r="C300" s="503"/>
      <c r="I300" s="502"/>
    </row>
    <row r="301" spans="2:9" s="500" customFormat="1" ht="18" customHeight="1">
      <c r="B301" s="503"/>
      <c r="C301" s="503"/>
      <c r="I301" s="502"/>
    </row>
    <row r="302" spans="2:9" s="500" customFormat="1" ht="18" customHeight="1">
      <c r="B302" s="503"/>
      <c r="C302" s="503"/>
      <c r="I302" s="502"/>
    </row>
    <row r="303" spans="2:9" s="500" customFormat="1" ht="18" customHeight="1">
      <c r="B303" s="503"/>
      <c r="C303" s="503"/>
      <c r="I303" s="502"/>
    </row>
    <row r="304" spans="2:9" s="500" customFormat="1" ht="18" customHeight="1">
      <c r="B304" s="503"/>
      <c r="C304" s="503"/>
      <c r="I304" s="502"/>
    </row>
    <row r="305" spans="2:9" s="500" customFormat="1" ht="18" customHeight="1">
      <c r="B305" s="503"/>
      <c r="C305" s="503"/>
      <c r="I305" s="502"/>
    </row>
    <row r="306" spans="2:9" s="500" customFormat="1" ht="18" customHeight="1">
      <c r="B306" s="503"/>
      <c r="C306" s="503"/>
      <c r="I306" s="502"/>
    </row>
    <row r="307" spans="2:9" s="500" customFormat="1" ht="18" customHeight="1">
      <c r="B307" s="503"/>
      <c r="C307" s="503"/>
      <c r="I307" s="502"/>
    </row>
    <row r="308" spans="2:9" s="500" customFormat="1" ht="18" customHeight="1">
      <c r="B308" s="503"/>
      <c r="C308" s="503"/>
      <c r="I308" s="502"/>
    </row>
    <row r="309" spans="2:9" s="500" customFormat="1" ht="18" customHeight="1">
      <c r="B309" s="503"/>
      <c r="C309" s="503"/>
      <c r="I309" s="502"/>
    </row>
    <row r="310" spans="2:9" s="500" customFormat="1" ht="18" customHeight="1">
      <c r="B310" s="503"/>
      <c r="C310" s="503"/>
      <c r="I310" s="502"/>
    </row>
    <row r="311" spans="2:9" s="500" customFormat="1" ht="18" customHeight="1">
      <c r="B311" s="503"/>
      <c r="C311" s="503"/>
      <c r="I311" s="502"/>
    </row>
    <row r="312" spans="2:9" s="500" customFormat="1" ht="18" customHeight="1">
      <c r="B312" s="503"/>
      <c r="C312" s="503"/>
      <c r="I312" s="502"/>
    </row>
    <row r="313" spans="2:9" s="500" customFormat="1" ht="18" customHeight="1">
      <c r="B313" s="503"/>
      <c r="C313" s="503"/>
      <c r="I313" s="502"/>
    </row>
    <row r="314" spans="2:9" s="500" customFormat="1" ht="18" customHeight="1">
      <c r="B314" s="503"/>
      <c r="C314" s="503"/>
      <c r="I314" s="502"/>
    </row>
    <row r="315" spans="2:9" s="500" customFormat="1" ht="18" customHeight="1">
      <c r="B315" s="503"/>
      <c r="C315" s="503"/>
      <c r="I315" s="502"/>
    </row>
    <row r="316" spans="2:9" s="500" customFormat="1" ht="18" customHeight="1">
      <c r="B316" s="503"/>
      <c r="C316" s="503"/>
      <c r="I316" s="502"/>
    </row>
    <row r="317" spans="2:9" s="500" customFormat="1" ht="18" customHeight="1">
      <c r="B317" s="503"/>
      <c r="C317" s="503"/>
      <c r="I317" s="502"/>
    </row>
    <row r="318" spans="2:9" s="500" customFormat="1" ht="18" customHeight="1">
      <c r="B318" s="503"/>
      <c r="C318" s="503"/>
      <c r="I318" s="502"/>
    </row>
    <row r="319" spans="2:9" s="500" customFormat="1" ht="18" customHeight="1">
      <c r="B319" s="503"/>
      <c r="C319" s="503"/>
      <c r="I319" s="502"/>
    </row>
    <row r="320" spans="2:9" ht="18" customHeight="1">
      <c r="B320" s="355"/>
      <c r="C320" s="355"/>
    </row>
    <row r="321" spans="2:3" ht="18" customHeight="1">
      <c r="B321" s="355"/>
      <c r="C321" s="355"/>
    </row>
    <row r="322" spans="2:3" ht="18" customHeight="1">
      <c r="B322" s="355"/>
      <c r="C322" s="355"/>
    </row>
    <row r="323" spans="2:3" ht="18" customHeight="1">
      <c r="B323" s="355"/>
      <c r="C323" s="355"/>
    </row>
    <row r="324" spans="2:3" ht="18" customHeight="1">
      <c r="B324" s="355"/>
      <c r="C324" s="355"/>
    </row>
    <row r="325" spans="2:3" ht="18" customHeight="1">
      <c r="B325" s="355"/>
      <c r="C325" s="355"/>
    </row>
    <row r="326" spans="2:3" ht="18" customHeight="1">
      <c r="B326" s="355"/>
      <c r="C326" s="355"/>
    </row>
    <row r="327" spans="2:3" ht="18" customHeight="1">
      <c r="B327" s="355"/>
      <c r="C327" s="355"/>
    </row>
    <row r="328" spans="2:3" ht="18" customHeight="1">
      <c r="B328" s="355"/>
      <c r="C328" s="355"/>
    </row>
    <row r="329" spans="2:3" ht="18" customHeight="1">
      <c r="B329" s="355"/>
      <c r="C329" s="355"/>
    </row>
    <row r="330" spans="2:3" ht="18" customHeight="1">
      <c r="B330" s="355"/>
      <c r="C330" s="355"/>
    </row>
    <row r="331" spans="2:3" ht="18" customHeight="1">
      <c r="B331" s="355"/>
      <c r="C331" s="355"/>
    </row>
    <row r="332" spans="2:3" ht="18" customHeight="1">
      <c r="B332" s="355"/>
      <c r="C332" s="355"/>
    </row>
    <row r="333" spans="2:3" ht="18" customHeight="1">
      <c r="B333" s="355"/>
      <c r="C333" s="355"/>
    </row>
    <row r="334" spans="2:3" ht="18" customHeight="1">
      <c r="B334" s="355"/>
      <c r="C334" s="355"/>
    </row>
    <row r="335" spans="2:3" ht="18" customHeight="1">
      <c r="B335" s="355"/>
      <c r="C335" s="355"/>
    </row>
    <row r="336" spans="2:3" ht="18" customHeight="1">
      <c r="B336" s="355"/>
      <c r="C336" s="355"/>
    </row>
    <row r="337" spans="2:3" ht="18" customHeight="1">
      <c r="B337" s="355"/>
      <c r="C337" s="355"/>
    </row>
    <row r="338" spans="2:3" ht="18" customHeight="1">
      <c r="B338" s="355"/>
      <c r="C338" s="355"/>
    </row>
    <row r="339" spans="2:3" ht="18" customHeight="1">
      <c r="B339" s="355"/>
      <c r="C339" s="355"/>
    </row>
    <row r="340" spans="2:3" ht="18" customHeight="1">
      <c r="B340" s="355"/>
      <c r="C340" s="355"/>
    </row>
    <row r="341" spans="2:3" ht="18" customHeight="1">
      <c r="B341" s="355"/>
      <c r="C341" s="355"/>
    </row>
    <row r="342" spans="2:3" ht="18" customHeight="1">
      <c r="B342" s="355"/>
      <c r="C342" s="355"/>
    </row>
    <row r="343" spans="2:3" ht="18" customHeight="1">
      <c r="B343" s="355"/>
      <c r="C343" s="355"/>
    </row>
    <row r="344" spans="2:3" ht="18" customHeight="1">
      <c r="B344" s="355"/>
      <c r="C344" s="355"/>
    </row>
    <row r="345" spans="2:3" ht="18" customHeight="1">
      <c r="B345" s="355"/>
      <c r="C345" s="355"/>
    </row>
    <row r="346" spans="2:3" ht="18" customHeight="1">
      <c r="B346" s="355"/>
      <c r="C346" s="355"/>
    </row>
    <row r="347" spans="2:3" ht="18" customHeight="1">
      <c r="B347" s="355"/>
      <c r="C347" s="355"/>
    </row>
    <row r="348" spans="2:3" ht="18" customHeight="1">
      <c r="B348" s="355"/>
      <c r="C348" s="355"/>
    </row>
    <row r="349" spans="2:3" ht="18" customHeight="1">
      <c r="B349" s="355"/>
      <c r="C349" s="355"/>
    </row>
    <row r="350" spans="2:3" ht="18" customHeight="1">
      <c r="B350" s="355"/>
      <c r="C350" s="355"/>
    </row>
    <row r="351" spans="2:3" ht="18" customHeight="1">
      <c r="B351" s="355"/>
      <c r="C351" s="355"/>
    </row>
    <row r="352" spans="2:3" ht="18" customHeight="1">
      <c r="B352" s="355"/>
      <c r="C352" s="355"/>
    </row>
    <row r="353" spans="2:3" ht="18" customHeight="1">
      <c r="B353" s="355"/>
      <c r="C353" s="355"/>
    </row>
    <row r="354" spans="2:3" ht="18" customHeight="1">
      <c r="B354" s="355"/>
      <c r="C354" s="355"/>
    </row>
    <row r="355" spans="2:3" ht="18" customHeight="1">
      <c r="B355" s="355"/>
      <c r="C355" s="355"/>
    </row>
    <row r="356" spans="2:3" ht="18" customHeight="1">
      <c r="B356" s="355"/>
      <c r="C356" s="355"/>
    </row>
    <row r="357" spans="2:3" ht="18" customHeight="1">
      <c r="B357" s="355"/>
      <c r="C357" s="355"/>
    </row>
    <row r="358" spans="2:3" ht="18" customHeight="1">
      <c r="B358" s="355"/>
      <c r="C358" s="355"/>
    </row>
    <row r="359" spans="2:3" ht="18" customHeight="1">
      <c r="B359" s="355"/>
      <c r="C359" s="355"/>
    </row>
    <row r="360" spans="2:3" ht="18" customHeight="1">
      <c r="B360" s="355"/>
      <c r="C360" s="355"/>
    </row>
    <row r="361" spans="2:3" ht="18" customHeight="1">
      <c r="B361" s="355"/>
      <c r="C361" s="355"/>
    </row>
    <row r="362" spans="2:3" ht="18" customHeight="1">
      <c r="B362" s="355"/>
      <c r="C362" s="355"/>
    </row>
    <row r="363" spans="2:3" ht="18" customHeight="1">
      <c r="B363" s="355"/>
      <c r="C363" s="355"/>
    </row>
    <row r="364" spans="2:3" ht="18" customHeight="1">
      <c r="B364" s="355"/>
      <c r="C364" s="355"/>
    </row>
    <row r="365" spans="2:3" ht="18" customHeight="1">
      <c r="B365" s="355"/>
      <c r="C365" s="355"/>
    </row>
    <row r="366" spans="2:3" ht="18" customHeight="1">
      <c r="B366" s="355"/>
      <c r="C366" s="355"/>
    </row>
    <row r="367" spans="2:3" ht="18" customHeight="1">
      <c r="B367" s="355"/>
      <c r="C367" s="355"/>
    </row>
    <row r="368" spans="2:3" ht="18" customHeight="1">
      <c r="B368" s="355"/>
      <c r="C368" s="355"/>
    </row>
    <row r="369" spans="2:3" ht="18" customHeight="1">
      <c r="B369" s="355"/>
      <c r="C369" s="355"/>
    </row>
    <row r="370" spans="2:3" ht="18" customHeight="1">
      <c r="B370" s="355"/>
      <c r="C370" s="355"/>
    </row>
    <row r="371" spans="2:3" ht="18" customHeight="1"/>
    <row r="372" spans="2:3" ht="18" customHeight="1"/>
    <row r="373" spans="2:3" ht="18" customHeight="1"/>
    <row r="374" spans="2:3" ht="18" customHeight="1"/>
    <row r="375" spans="2:3" ht="18" customHeight="1"/>
    <row r="376" spans="2:3" ht="18" customHeight="1"/>
    <row r="377" spans="2:3" ht="18" customHeight="1"/>
    <row r="378" spans="2:3" ht="18" customHeight="1"/>
    <row r="379" spans="2:3" ht="18" customHeight="1"/>
    <row r="380" spans="2:3" ht="18" customHeight="1"/>
    <row r="381" spans="2:3" ht="18" customHeight="1"/>
    <row r="382" spans="2:3" ht="18" customHeight="1"/>
    <row r="383" spans="2:3" ht="18" customHeight="1"/>
    <row r="384" spans="2:3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</sheetData>
  <sortState ref="A51:K60">
    <sortCondition ref="B2:B326"/>
  </sortState>
  <pageMargins left="0.7" right="0.7" top="0.75" bottom="0.75" header="0.3" footer="0.3"/>
  <pageSetup orientation="portrait" horizontalDpi="120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L26"/>
  <sheetViews>
    <sheetView workbookViewId="0">
      <selection activeCell="F18" sqref="F18"/>
    </sheetView>
  </sheetViews>
  <sheetFormatPr defaultRowHeight="15"/>
  <cols>
    <col min="2" max="2" width="15.5703125" customWidth="1"/>
    <col min="3" max="3" width="20.140625" bestFit="1" customWidth="1"/>
    <col min="4" max="4" width="20.140625" customWidth="1"/>
    <col min="5" max="5" width="20.140625" bestFit="1" customWidth="1"/>
    <col min="6" max="8" width="21.85546875" bestFit="1" customWidth="1"/>
    <col min="9" max="9" width="21.85546875" hidden="1" customWidth="1"/>
    <col min="11" max="12" width="19" bestFit="1" customWidth="1"/>
  </cols>
  <sheetData>
    <row r="5" spans="2:12" ht="16.5">
      <c r="B5" s="450" t="s">
        <v>1424</v>
      </c>
      <c r="C5" s="451" t="s">
        <v>1425</v>
      </c>
      <c r="D5" s="495" t="s">
        <v>1438</v>
      </c>
      <c r="E5" s="450" t="s">
        <v>1439</v>
      </c>
      <c r="F5" s="450" t="s">
        <v>1440</v>
      </c>
      <c r="G5" s="450" t="s">
        <v>1441</v>
      </c>
      <c r="H5" s="450" t="s">
        <v>1442</v>
      </c>
      <c r="I5" s="450" t="s">
        <v>271</v>
      </c>
    </row>
    <row r="6" spans="2:12" ht="16.5">
      <c r="B6" s="452" t="s">
        <v>1426</v>
      </c>
      <c r="C6" s="453">
        <v>204107418.72972971</v>
      </c>
      <c r="D6" s="496">
        <v>16333333.333333332</v>
      </c>
      <c r="E6" s="454">
        <v>20000000</v>
      </c>
      <c r="F6" s="454">
        <v>20000000</v>
      </c>
      <c r="G6" s="454">
        <v>20000000</v>
      </c>
      <c r="H6" s="454">
        <v>20000000</v>
      </c>
      <c r="I6" s="454">
        <f>SUM(C6:H6)</f>
        <v>300440752.06306303</v>
      </c>
      <c r="L6" s="487"/>
    </row>
    <row r="7" spans="2:12" s="449" customFormat="1" ht="16.5">
      <c r="B7" s="455" t="s">
        <v>1427</v>
      </c>
      <c r="C7" s="456">
        <v>204107418.72972971</v>
      </c>
      <c r="D7" s="497">
        <f t="shared" ref="D7:H9" si="0">+C7+D6</f>
        <v>220440752.06306306</v>
      </c>
      <c r="E7" s="457">
        <f>+D7+E6</f>
        <v>240440752.06306306</v>
      </c>
      <c r="F7" s="457">
        <f t="shared" si="0"/>
        <v>260440752.06306306</v>
      </c>
      <c r="G7" s="457">
        <f t="shared" si="0"/>
        <v>280440752.06306303</v>
      </c>
      <c r="H7" s="457">
        <f t="shared" si="0"/>
        <v>300440752.06306303</v>
      </c>
      <c r="I7" s="457"/>
    </row>
    <row r="8" spans="2:12" ht="16.5">
      <c r="B8" s="452" t="s">
        <v>1428</v>
      </c>
      <c r="C8" s="453">
        <v>685121853520.52393</v>
      </c>
      <c r="D8" s="496">
        <v>120833918867.13745</v>
      </c>
      <c r="E8" s="454">
        <v>124606187766</v>
      </c>
      <c r="F8" s="454">
        <v>128274928261</v>
      </c>
      <c r="G8" s="454">
        <v>109272641244</v>
      </c>
      <c r="H8" s="454">
        <v>96591319894</v>
      </c>
      <c r="I8" s="454">
        <f>SUM(C8:H8)</f>
        <v>1264700849552.6614</v>
      </c>
      <c r="K8" s="486"/>
      <c r="L8" s="487"/>
    </row>
    <row r="9" spans="2:12" s="449" customFormat="1" ht="16.5">
      <c r="B9" s="455" t="s">
        <v>1429</v>
      </c>
      <c r="C9" s="456">
        <v>685121853520.52393</v>
      </c>
      <c r="D9" s="497">
        <f t="shared" si="0"/>
        <v>805955772387.66138</v>
      </c>
      <c r="E9" s="457">
        <f>+D9+E8</f>
        <v>930561960153.66138</v>
      </c>
      <c r="F9" s="457">
        <f t="shared" ref="F9:H9" si="1">+E9+F8</f>
        <v>1058836888414.6614</v>
      </c>
      <c r="G9" s="457">
        <f t="shared" si="1"/>
        <v>1168109529658.6614</v>
      </c>
      <c r="H9" s="457">
        <f t="shared" si="1"/>
        <v>1264700849552.6614</v>
      </c>
      <c r="I9" s="457"/>
    </row>
    <row r="10" spans="2:12" ht="20.25">
      <c r="B10" s="458" t="s">
        <v>37</v>
      </c>
      <c r="C10" s="459">
        <f>+C6/C8</f>
        <v>2.9791403920472864E-4</v>
      </c>
      <c r="D10" s="498">
        <f>+D7/D9</f>
        <v>2.7351470094941135E-4</v>
      </c>
      <c r="E10" s="460">
        <f t="shared" ref="E10:H10" si="2">+E7/E9</f>
        <v>2.583823134392466E-4</v>
      </c>
      <c r="F10" s="460">
        <f t="shared" si="2"/>
        <v>2.4596871804589916E-4</v>
      </c>
      <c r="G10" s="460">
        <f t="shared" si="2"/>
        <v>2.400808699377805E-4</v>
      </c>
      <c r="H10" s="460">
        <f t="shared" si="2"/>
        <v>2.3755874930370469E-4</v>
      </c>
      <c r="I10" s="460">
        <f>I6/I8</f>
        <v>2.3755874930370469E-4</v>
      </c>
    </row>
    <row r="11" spans="2:12" s="464" customFormat="1" ht="20.25">
      <c r="B11" s="461"/>
      <c r="C11" s="462"/>
      <c r="D11" s="462"/>
      <c r="E11" s="462"/>
      <c r="F11" s="462"/>
      <c r="G11" s="462"/>
      <c r="H11" s="462"/>
      <c r="I11" s="463"/>
    </row>
    <row r="12" spans="2:12">
      <c r="B12" s="465" t="s">
        <v>1430</v>
      </c>
    </row>
    <row r="14" spans="2:12" ht="15.75" thickBot="1"/>
    <row r="15" spans="2:12" ht="15.75" thickBot="1">
      <c r="B15" s="466" t="s">
        <v>1424</v>
      </c>
      <c r="C15" s="467" t="s">
        <v>1425</v>
      </c>
      <c r="D15" s="488" t="s">
        <v>1438</v>
      </c>
      <c r="E15" s="467" t="s">
        <v>1439</v>
      </c>
      <c r="F15" s="467" t="s">
        <v>1440</v>
      </c>
      <c r="G15" s="467" t="s">
        <v>1441</v>
      </c>
      <c r="H15" s="467" t="s">
        <v>1442</v>
      </c>
      <c r="I15" s="467" t="s">
        <v>271</v>
      </c>
    </row>
    <row r="16" spans="2:12">
      <c r="B16" s="468" t="s">
        <v>444</v>
      </c>
      <c r="C16" s="469">
        <v>8</v>
      </c>
      <c r="D16" s="489">
        <v>0</v>
      </c>
      <c r="E16" s="469">
        <v>0</v>
      </c>
      <c r="F16" s="469">
        <v>0</v>
      </c>
      <c r="G16" s="469">
        <v>0</v>
      </c>
      <c r="H16" s="469">
        <v>0</v>
      </c>
      <c r="I16" s="469">
        <f>SUM(C16:H16)</f>
        <v>8</v>
      </c>
    </row>
    <row r="17" spans="2:9" s="449" customFormat="1" ht="15" customHeight="1">
      <c r="B17" s="470" t="s">
        <v>1431</v>
      </c>
      <c r="C17" s="471">
        <v>8</v>
      </c>
      <c r="D17" s="490">
        <v>8</v>
      </c>
      <c r="E17" s="471">
        <v>8</v>
      </c>
      <c r="F17" s="471">
        <v>8</v>
      </c>
      <c r="G17" s="471">
        <v>8</v>
      </c>
      <c r="H17" s="471">
        <v>8</v>
      </c>
      <c r="I17" s="471"/>
    </row>
    <row r="18" spans="2:9">
      <c r="B18" s="472" t="s">
        <v>137</v>
      </c>
      <c r="C18" s="473">
        <v>7</v>
      </c>
      <c r="D18" s="473">
        <v>0</v>
      </c>
      <c r="E18" s="473">
        <v>1</v>
      </c>
      <c r="F18" s="473">
        <v>1</v>
      </c>
      <c r="G18" s="473">
        <v>1</v>
      </c>
      <c r="H18" s="473">
        <v>1</v>
      </c>
      <c r="I18" s="473">
        <f>SUM(C18:H18)</f>
        <v>11</v>
      </c>
    </row>
    <row r="19" spans="2:9" s="449" customFormat="1" ht="16.5" customHeight="1">
      <c r="B19" s="474" t="s">
        <v>1431</v>
      </c>
      <c r="C19" s="475">
        <v>7</v>
      </c>
      <c r="D19" s="475">
        <f>+C19+D18</f>
        <v>7</v>
      </c>
      <c r="E19" s="475">
        <f>+D19+E18</f>
        <v>8</v>
      </c>
      <c r="F19" s="475">
        <f t="shared" ref="F19:H19" si="3">+E19+F18</f>
        <v>9</v>
      </c>
      <c r="G19" s="475">
        <f t="shared" si="3"/>
        <v>10</v>
      </c>
      <c r="H19" s="475">
        <f t="shared" si="3"/>
        <v>11</v>
      </c>
      <c r="I19" s="475"/>
    </row>
    <row r="20" spans="2:9">
      <c r="B20" s="476" t="s">
        <v>1432</v>
      </c>
      <c r="C20" s="477">
        <v>46985</v>
      </c>
      <c r="D20" s="491">
        <v>6857</v>
      </c>
      <c r="E20" s="477">
        <v>5629</v>
      </c>
      <c r="F20" s="477">
        <v>7006</v>
      </c>
      <c r="G20" s="477">
        <v>6187</v>
      </c>
      <c r="H20" s="477">
        <v>6450</v>
      </c>
      <c r="I20" s="477">
        <f>SUM(C20:H20)</f>
        <v>79114</v>
      </c>
    </row>
    <row r="21" spans="2:9" s="449" customFormat="1">
      <c r="B21" s="478" t="s">
        <v>1433</v>
      </c>
      <c r="C21" s="479">
        <v>46985</v>
      </c>
      <c r="D21" s="492">
        <f>+C21+D20</f>
        <v>53842</v>
      </c>
      <c r="E21" s="479">
        <f>+D21+E20</f>
        <v>59471</v>
      </c>
      <c r="F21" s="479">
        <f t="shared" ref="F21:H21" si="4">+E21+F20</f>
        <v>66477</v>
      </c>
      <c r="G21" s="479">
        <f t="shared" si="4"/>
        <v>72664</v>
      </c>
      <c r="H21" s="479">
        <f t="shared" si="4"/>
        <v>79114</v>
      </c>
      <c r="I21" s="479"/>
    </row>
    <row r="22" spans="2:9">
      <c r="B22" s="480" t="s">
        <v>1434</v>
      </c>
      <c r="C22" s="481">
        <f>+C17/C21</f>
        <v>1.7026710652335851E-4</v>
      </c>
      <c r="D22" s="493">
        <f t="shared" ref="D22:H22" si="5">+D17/D21</f>
        <v>1.4858289068013817E-4</v>
      </c>
      <c r="E22" s="481">
        <f t="shared" si="5"/>
        <v>1.3451934556338383E-4</v>
      </c>
      <c r="F22" s="481">
        <f t="shared" si="5"/>
        <v>1.2034237405418416E-4</v>
      </c>
      <c r="G22" s="481">
        <f t="shared" si="5"/>
        <v>1.100957833314984E-4</v>
      </c>
      <c r="H22" s="481">
        <f t="shared" si="5"/>
        <v>1.011199029248932E-4</v>
      </c>
      <c r="I22" s="481">
        <f>+I16/I20</f>
        <v>1.011199029248932E-4</v>
      </c>
    </row>
    <row r="23" spans="2:9" ht="15.75" thickBot="1">
      <c r="B23" s="482" t="s">
        <v>1435</v>
      </c>
      <c r="C23" s="483">
        <f>+C19/C21</f>
        <v>1.489837182079387E-4</v>
      </c>
      <c r="D23" s="494">
        <f t="shared" ref="D23:H23" si="6">+D19/D21</f>
        <v>1.3001002934512091E-4</v>
      </c>
      <c r="E23" s="483">
        <f t="shared" si="6"/>
        <v>1.3451934556338383E-4</v>
      </c>
      <c r="F23" s="483">
        <f t="shared" si="6"/>
        <v>1.3538517081095717E-4</v>
      </c>
      <c r="G23" s="483">
        <f t="shared" si="6"/>
        <v>1.3761972916437302E-4</v>
      </c>
      <c r="H23" s="483">
        <f t="shared" si="6"/>
        <v>1.3903986652172813E-4</v>
      </c>
      <c r="I23" s="483">
        <v>1.6661967137474045E-4</v>
      </c>
    </row>
    <row r="24" spans="2:9" s="464" customFormat="1">
      <c r="B24" s="484"/>
      <c r="C24" s="485"/>
      <c r="D24" s="485"/>
      <c r="E24" s="485"/>
      <c r="F24" s="485"/>
      <c r="G24" s="485"/>
      <c r="H24" s="485"/>
      <c r="I24" s="485"/>
    </row>
    <row r="25" spans="2:9">
      <c r="B25" s="465" t="s">
        <v>1436</v>
      </c>
    </row>
    <row r="26" spans="2:9">
      <c r="B26" s="465" t="s">
        <v>1437</v>
      </c>
    </row>
  </sheetData>
  <printOptions horizontalCentered="1"/>
  <pageMargins left="0.7" right="0.7" top="0.75" bottom="0.75" header="0.3" footer="0.3"/>
  <pageSetup paperSize="10000" scale="93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401"/>
  <sheetViews>
    <sheetView workbookViewId="0">
      <selection activeCell="A371" sqref="A371"/>
    </sheetView>
  </sheetViews>
  <sheetFormatPr defaultColWidth="9.140625" defaultRowHeight="11.25"/>
  <cols>
    <col min="1" max="1" width="3.28515625" style="53" bestFit="1" customWidth="1"/>
    <col min="2" max="2" width="8.42578125" style="241" bestFit="1" customWidth="1"/>
    <col min="3" max="3" width="8.28515625" style="241" bestFit="1" customWidth="1"/>
    <col min="4" max="4" width="10.85546875" style="53" customWidth="1"/>
    <col min="5" max="5" width="6.85546875" style="53" bestFit="1" customWidth="1"/>
    <col min="6" max="6" width="5.85546875" style="53" bestFit="1" customWidth="1"/>
    <col min="7" max="7" width="21" style="53" customWidth="1"/>
    <col min="8" max="8" width="46.85546875" style="53" customWidth="1"/>
    <col min="9" max="9" width="19.140625" style="243" customWidth="1"/>
    <col min="10" max="10" width="44.28515625" style="243" hidden="1" customWidth="1"/>
    <col min="11" max="11" width="53" style="54" customWidth="1"/>
    <col min="12" max="12" width="37.140625" style="54" customWidth="1"/>
    <col min="13" max="16384" width="9.140625" style="53"/>
  </cols>
  <sheetData>
    <row r="1" spans="1:12" ht="22.5">
      <c r="A1" s="150" t="s">
        <v>60</v>
      </c>
      <c r="B1" s="150" t="s">
        <v>40</v>
      </c>
      <c r="C1" s="150" t="s">
        <v>41</v>
      </c>
      <c r="D1" s="150" t="s">
        <v>42</v>
      </c>
      <c r="E1" s="150" t="s">
        <v>132</v>
      </c>
      <c r="F1" s="270" t="s">
        <v>13</v>
      </c>
      <c r="G1" s="105" t="s">
        <v>43</v>
      </c>
      <c r="H1" s="105" t="s">
        <v>44</v>
      </c>
      <c r="I1" s="105" t="s">
        <v>0</v>
      </c>
      <c r="J1" s="105" t="s">
        <v>14</v>
      </c>
      <c r="K1" s="105" t="s">
        <v>439</v>
      </c>
      <c r="L1" s="105"/>
    </row>
    <row r="2" spans="1:12" customFormat="1" ht="15" hidden="1">
      <c r="A2" s="216">
        <v>6</v>
      </c>
      <c r="B2" s="217">
        <v>44938</v>
      </c>
      <c r="C2" s="218">
        <v>44936</v>
      </c>
      <c r="D2" s="219" t="s">
        <v>169</v>
      </c>
      <c r="E2" s="219" t="s">
        <v>4</v>
      </c>
      <c r="F2" s="271" t="s">
        <v>9</v>
      </c>
      <c r="G2" s="231" t="s">
        <v>170</v>
      </c>
      <c r="H2" s="73" t="s">
        <v>171</v>
      </c>
      <c r="I2" s="74">
        <v>1880000</v>
      </c>
      <c r="J2" s="75" t="s">
        <v>45</v>
      </c>
      <c r="K2" s="71" t="s">
        <v>183</v>
      </c>
      <c r="L2" s="71" t="s">
        <v>243</v>
      </c>
    </row>
    <row r="3" spans="1:12" customFormat="1" ht="15" hidden="1">
      <c r="A3" s="216">
        <v>7</v>
      </c>
      <c r="B3" s="120">
        <v>44939</v>
      </c>
      <c r="C3" s="122">
        <v>44938</v>
      </c>
      <c r="D3" s="123" t="s">
        <v>172</v>
      </c>
      <c r="E3" s="123" t="s">
        <v>3</v>
      </c>
      <c r="F3" s="272" t="s">
        <v>10</v>
      </c>
      <c r="G3" s="231" t="s">
        <v>173</v>
      </c>
      <c r="H3" s="73" t="s">
        <v>174</v>
      </c>
      <c r="I3" s="74">
        <v>5770000</v>
      </c>
      <c r="J3" s="75" t="s">
        <v>45</v>
      </c>
      <c r="K3" s="71" t="s">
        <v>184</v>
      </c>
      <c r="L3" s="71" t="s">
        <v>243</v>
      </c>
    </row>
    <row r="4" spans="1:12" customFormat="1" ht="15" hidden="1">
      <c r="A4" s="216">
        <v>3</v>
      </c>
      <c r="B4" s="120">
        <v>44937</v>
      </c>
      <c r="C4" s="122">
        <v>44937</v>
      </c>
      <c r="D4" s="123" t="s">
        <v>154</v>
      </c>
      <c r="E4" s="123" t="s">
        <v>6</v>
      </c>
      <c r="F4" s="272" t="s">
        <v>11</v>
      </c>
      <c r="G4" s="231" t="s">
        <v>61</v>
      </c>
      <c r="H4" s="73" t="s">
        <v>155</v>
      </c>
      <c r="I4" s="74">
        <v>21813168</v>
      </c>
      <c r="J4" s="75" t="s">
        <v>45</v>
      </c>
      <c r="K4" s="71" t="s">
        <v>47</v>
      </c>
      <c r="L4" s="71" t="s">
        <v>48</v>
      </c>
    </row>
    <row r="5" spans="1:12" customFormat="1" ht="15" hidden="1">
      <c r="A5" s="216">
        <v>15</v>
      </c>
      <c r="B5" s="120">
        <v>44949</v>
      </c>
      <c r="C5" s="122">
        <v>44943</v>
      </c>
      <c r="D5" s="123" t="s">
        <v>224</v>
      </c>
      <c r="E5" s="123" t="s">
        <v>6</v>
      </c>
      <c r="F5" s="272" t="s">
        <v>8</v>
      </c>
      <c r="G5" s="231" t="s">
        <v>225</v>
      </c>
      <c r="H5" s="73" t="s">
        <v>226</v>
      </c>
      <c r="I5" s="74">
        <v>67600</v>
      </c>
      <c r="J5" s="75" t="s">
        <v>45</v>
      </c>
      <c r="K5" s="71" t="s">
        <v>227</v>
      </c>
      <c r="L5" s="71" t="s">
        <v>243</v>
      </c>
    </row>
    <row r="6" spans="1:12" customFormat="1" ht="15" hidden="1">
      <c r="A6" s="216">
        <v>22</v>
      </c>
      <c r="B6" s="120">
        <v>44953</v>
      </c>
      <c r="C6" s="122">
        <v>44952</v>
      </c>
      <c r="D6" s="123" t="s">
        <v>238</v>
      </c>
      <c r="E6" s="123" t="s">
        <v>3</v>
      </c>
      <c r="F6" s="272" t="s">
        <v>51</v>
      </c>
      <c r="G6" s="231" t="s">
        <v>239</v>
      </c>
      <c r="H6" s="73" t="s">
        <v>240</v>
      </c>
      <c r="I6" s="74">
        <v>8160000</v>
      </c>
      <c r="J6" s="75" t="s">
        <v>45</v>
      </c>
      <c r="K6" s="71" t="s">
        <v>241</v>
      </c>
      <c r="L6" s="71" t="s">
        <v>43</v>
      </c>
    </row>
    <row r="7" spans="1:12" customFormat="1" ht="15" hidden="1">
      <c r="A7" s="216">
        <v>34</v>
      </c>
      <c r="B7" s="120">
        <v>44943</v>
      </c>
      <c r="C7" s="122">
        <v>44943</v>
      </c>
      <c r="D7" s="123" t="s">
        <v>166</v>
      </c>
      <c r="E7" s="123" t="s">
        <v>7</v>
      </c>
      <c r="F7" s="272" t="s">
        <v>5</v>
      </c>
      <c r="G7" s="231" t="s">
        <v>167</v>
      </c>
      <c r="H7" s="73" t="s">
        <v>118</v>
      </c>
      <c r="I7" s="74">
        <v>10080000</v>
      </c>
      <c r="J7" s="75" t="s">
        <v>96</v>
      </c>
      <c r="K7" s="71" t="s">
        <v>131</v>
      </c>
      <c r="L7" s="71" t="s">
        <v>13</v>
      </c>
    </row>
    <row r="8" spans="1:12" customFormat="1" ht="15" hidden="1">
      <c r="A8" s="216">
        <v>10</v>
      </c>
      <c r="B8" s="120">
        <v>44944</v>
      </c>
      <c r="C8" s="122">
        <v>44943</v>
      </c>
      <c r="D8" s="123" t="s">
        <v>207</v>
      </c>
      <c r="E8" s="123" t="s">
        <v>6</v>
      </c>
      <c r="F8" s="272" t="s">
        <v>8</v>
      </c>
      <c r="G8" s="231" t="s">
        <v>208</v>
      </c>
      <c r="H8" s="73" t="s">
        <v>209</v>
      </c>
      <c r="I8" s="74">
        <v>18500000</v>
      </c>
      <c r="J8" s="75" t="s">
        <v>45</v>
      </c>
      <c r="K8" s="71" t="s">
        <v>210</v>
      </c>
      <c r="L8" s="71" t="s">
        <v>243</v>
      </c>
    </row>
    <row r="9" spans="1:12" customFormat="1" ht="15" hidden="1">
      <c r="A9" s="216">
        <v>9</v>
      </c>
      <c r="B9" s="120">
        <v>44942</v>
      </c>
      <c r="C9" s="122">
        <v>44942</v>
      </c>
      <c r="D9" s="123" t="s">
        <v>178</v>
      </c>
      <c r="E9" s="123" t="s">
        <v>6</v>
      </c>
      <c r="F9" s="272" t="s">
        <v>8</v>
      </c>
      <c r="G9" s="231" t="s">
        <v>179</v>
      </c>
      <c r="H9" s="73" t="s">
        <v>180</v>
      </c>
      <c r="I9" s="74">
        <v>10470000</v>
      </c>
      <c r="J9" s="75" t="s">
        <v>45</v>
      </c>
      <c r="K9" s="71" t="s">
        <v>186</v>
      </c>
      <c r="L9" s="71" t="s">
        <v>243</v>
      </c>
    </row>
    <row r="10" spans="1:12" customFormat="1" ht="15" hidden="1">
      <c r="A10" s="216">
        <v>25</v>
      </c>
      <c r="B10" s="120">
        <v>44956</v>
      </c>
      <c r="C10" s="122">
        <v>44956</v>
      </c>
      <c r="D10" s="123" t="s">
        <v>254</v>
      </c>
      <c r="E10" s="123" t="s">
        <v>4</v>
      </c>
      <c r="F10" s="272" t="s">
        <v>9</v>
      </c>
      <c r="G10" s="231" t="s">
        <v>255</v>
      </c>
      <c r="H10" s="73" t="s">
        <v>256</v>
      </c>
      <c r="I10" s="74">
        <v>3727300</v>
      </c>
      <c r="J10" s="75" t="s">
        <v>45</v>
      </c>
      <c r="K10" s="71" t="s">
        <v>257</v>
      </c>
      <c r="L10" s="71" t="s">
        <v>243</v>
      </c>
    </row>
    <row r="11" spans="1:12" customFormat="1" ht="15" hidden="1">
      <c r="A11" s="216">
        <v>26</v>
      </c>
      <c r="B11" s="120">
        <v>44956</v>
      </c>
      <c r="C11" s="122">
        <v>44956</v>
      </c>
      <c r="D11" s="123" t="s">
        <v>254</v>
      </c>
      <c r="E11" s="123" t="s">
        <v>4</v>
      </c>
      <c r="F11" s="272" t="s">
        <v>9</v>
      </c>
      <c r="G11" s="231" t="s">
        <v>255</v>
      </c>
      <c r="H11" s="73" t="s">
        <v>258</v>
      </c>
      <c r="I11" s="74">
        <v>3727300</v>
      </c>
      <c r="J11" s="75" t="s">
        <v>45</v>
      </c>
      <c r="K11" s="71" t="s">
        <v>259</v>
      </c>
      <c r="L11" s="71" t="s">
        <v>243</v>
      </c>
    </row>
    <row r="12" spans="1:12" customFormat="1" ht="15" hidden="1">
      <c r="A12" s="216">
        <v>24</v>
      </c>
      <c r="B12" s="120">
        <v>44956</v>
      </c>
      <c r="C12" s="122">
        <v>44954</v>
      </c>
      <c r="D12" s="123" t="s">
        <v>250</v>
      </c>
      <c r="E12" s="123" t="s">
        <v>6</v>
      </c>
      <c r="F12" s="272" t="s">
        <v>8</v>
      </c>
      <c r="G12" s="231" t="s">
        <v>251</v>
      </c>
      <c r="H12" s="73" t="s">
        <v>252</v>
      </c>
      <c r="I12" s="74">
        <v>1050500</v>
      </c>
      <c r="J12" s="75" t="s">
        <v>45</v>
      </c>
      <c r="K12" s="71" t="s">
        <v>253</v>
      </c>
      <c r="L12" s="71" t="s">
        <v>12</v>
      </c>
    </row>
    <row r="13" spans="1:12" customFormat="1" ht="15" hidden="1">
      <c r="A13" s="216">
        <v>14</v>
      </c>
      <c r="B13" s="120">
        <v>44949</v>
      </c>
      <c r="C13" s="122">
        <v>44939</v>
      </c>
      <c r="D13" s="123" t="s">
        <v>220</v>
      </c>
      <c r="E13" s="123" t="s">
        <v>4</v>
      </c>
      <c r="F13" s="272" t="s">
        <v>9</v>
      </c>
      <c r="G13" s="231" t="s">
        <v>221</v>
      </c>
      <c r="H13" s="73" t="s">
        <v>222</v>
      </c>
      <c r="I13" s="74">
        <v>1560000</v>
      </c>
      <c r="J13" s="75" t="s">
        <v>45</v>
      </c>
      <c r="K13" s="71" t="s">
        <v>223</v>
      </c>
      <c r="L13" s="71" t="s">
        <v>12</v>
      </c>
    </row>
    <row r="14" spans="1:12" customFormat="1" ht="15" hidden="1">
      <c r="A14" s="216">
        <v>35</v>
      </c>
      <c r="B14" s="120">
        <v>44936</v>
      </c>
      <c r="C14" s="122">
        <v>44935</v>
      </c>
      <c r="D14" s="123" t="s">
        <v>152</v>
      </c>
      <c r="E14" s="123" t="s">
        <v>3</v>
      </c>
      <c r="F14" s="272" t="s">
        <v>10</v>
      </c>
      <c r="G14" s="231" t="s">
        <v>153</v>
      </c>
      <c r="H14" s="73" t="s">
        <v>118</v>
      </c>
      <c r="I14" s="74">
        <v>7884000</v>
      </c>
      <c r="J14" s="75" t="s">
        <v>96</v>
      </c>
      <c r="K14" s="71" t="s">
        <v>15</v>
      </c>
      <c r="L14" s="71" t="s">
        <v>43</v>
      </c>
    </row>
    <row r="15" spans="1:12" customFormat="1" ht="15" hidden="1">
      <c r="A15" s="216">
        <v>36</v>
      </c>
      <c r="B15" s="120">
        <v>44943</v>
      </c>
      <c r="C15" s="122">
        <v>44940</v>
      </c>
      <c r="D15" s="123" t="s">
        <v>181</v>
      </c>
      <c r="E15" s="123" t="s">
        <v>49</v>
      </c>
      <c r="F15" s="272" t="s">
        <v>4</v>
      </c>
      <c r="G15" s="231" t="s">
        <v>142</v>
      </c>
      <c r="H15" s="73" t="s">
        <v>118</v>
      </c>
      <c r="I15" s="74">
        <v>9160000</v>
      </c>
      <c r="J15" s="75" t="s">
        <v>96</v>
      </c>
      <c r="K15" s="71" t="s">
        <v>15</v>
      </c>
      <c r="L15" s="71" t="s">
        <v>43</v>
      </c>
    </row>
    <row r="16" spans="1:12" customFormat="1" ht="15" hidden="1">
      <c r="A16" s="216">
        <v>37</v>
      </c>
      <c r="B16" s="120">
        <v>44943</v>
      </c>
      <c r="C16" s="122">
        <v>44943</v>
      </c>
      <c r="D16" s="123" t="s">
        <v>182</v>
      </c>
      <c r="E16" s="123" t="s">
        <v>7</v>
      </c>
      <c r="F16" s="272" t="s">
        <v>5</v>
      </c>
      <c r="G16" s="231" t="s">
        <v>141</v>
      </c>
      <c r="H16" s="73" t="s">
        <v>118</v>
      </c>
      <c r="I16" s="74">
        <v>3000000</v>
      </c>
      <c r="J16" s="75" t="s">
        <v>96</v>
      </c>
      <c r="K16" s="71" t="s">
        <v>15</v>
      </c>
      <c r="L16" s="71" t="s">
        <v>43</v>
      </c>
    </row>
    <row r="17" spans="1:12" customFormat="1" ht="15" hidden="1">
      <c r="A17" s="216">
        <v>1</v>
      </c>
      <c r="B17" s="120">
        <v>44935</v>
      </c>
      <c r="C17" s="122">
        <v>44933</v>
      </c>
      <c r="D17" s="123" t="s">
        <v>143</v>
      </c>
      <c r="E17" s="123" t="s">
        <v>4</v>
      </c>
      <c r="F17" s="272" t="s">
        <v>11</v>
      </c>
      <c r="G17" s="231" t="s">
        <v>144</v>
      </c>
      <c r="H17" s="73" t="s">
        <v>145</v>
      </c>
      <c r="I17" s="74">
        <v>30400000</v>
      </c>
      <c r="J17" s="75" t="s">
        <v>45</v>
      </c>
      <c r="K17" s="71" t="s">
        <v>214</v>
      </c>
      <c r="L17" s="71" t="s">
        <v>43</v>
      </c>
    </row>
    <row r="18" spans="1:12" customFormat="1" ht="15" hidden="1">
      <c r="A18" s="216">
        <v>2</v>
      </c>
      <c r="B18" s="120">
        <v>44936</v>
      </c>
      <c r="C18" s="122">
        <v>44925</v>
      </c>
      <c r="D18" s="123" t="s">
        <v>149</v>
      </c>
      <c r="E18" s="123" t="s">
        <v>6</v>
      </c>
      <c r="F18" s="272" t="s">
        <v>9</v>
      </c>
      <c r="G18" s="231" t="s">
        <v>150</v>
      </c>
      <c r="H18" s="73" t="s">
        <v>151</v>
      </c>
      <c r="I18" s="74">
        <v>1125000</v>
      </c>
      <c r="J18" s="75" t="s">
        <v>45</v>
      </c>
      <c r="K18" s="71" t="s">
        <v>214</v>
      </c>
      <c r="L18" s="71" t="s">
        <v>43</v>
      </c>
    </row>
    <row r="19" spans="1:12" customFormat="1" ht="15" hidden="1">
      <c r="A19" s="216">
        <v>11</v>
      </c>
      <c r="B19" s="120">
        <v>44944</v>
      </c>
      <c r="C19" s="122">
        <v>44942</v>
      </c>
      <c r="D19" s="123" t="s">
        <v>211</v>
      </c>
      <c r="E19" s="123" t="s">
        <v>5</v>
      </c>
      <c r="F19" s="272" t="s">
        <v>10</v>
      </c>
      <c r="G19" s="231" t="s">
        <v>212</v>
      </c>
      <c r="H19" s="73" t="s">
        <v>213</v>
      </c>
      <c r="I19" s="74">
        <v>19240000</v>
      </c>
      <c r="J19" s="75" t="s">
        <v>45</v>
      </c>
      <c r="K19" s="71" t="s">
        <v>214</v>
      </c>
      <c r="L19" s="71" t="s">
        <v>43</v>
      </c>
    </row>
    <row r="20" spans="1:12" customFormat="1" ht="15" hidden="1">
      <c r="A20" s="216">
        <v>12</v>
      </c>
      <c r="B20" s="120">
        <v>44945</v>
      </c>
      <c r="C20" s="122">
        <v>44940</v>
      </c>
      <c r="D20" s="123" t="s">
        <v>215</v>
      </c>
      <c r="E20" s="123" t="s">
        <v>4</v>
      </c>
      <c r="F20" s="272" t="s">
        <v>11</v>
      </c>
      <c r="G20" s="231" t="s">
        <v>129</v>
      </c>
      <c r="H20" s="73" t="s">
        <v>216</v>
      </c>
      <c r="I20" s="74">
        <v>168930000</v>
      </c>
      <c r="J20" s="75" t="s">
        <v>45</v>
      </c>
      <c r="K20" s="71" t="s">
        <v>135</v>
      </c>
      <c r="L20" s="71" t="s">
        <v>43</v>
      </c>
    </row>
    <row r="21" spans="1:12" customFormat="1" ht="15" hidden="1">
      <c r="A21" s="216">
        <v>13</v>
      </c>
      <c r="B21" s="120">
        <v>44946</v>
      </c>
      <c r="C21" s="122">
        <v>44946</v>
      </c>
      <c r="D21" s="123" t="s">
        <v>217</v>
      </c>
      <c r="E21" s="123" t="s">
        <v>6</v>
      </c>
      <c r="F21" s="272" t="s">
        <v>8</v>
      </c>
      <c r="G21" s="257" t="s">
        <v>218</v>
      </c>
      <c r="H21" s="94" t="s">
        <v>219</v>
      </c>
      <c r="I21" s="74">
        <v>650000</v>
      </c>
      <c r="J21" s="75" t="s">
        <v>45</v>
      </c>
      <c r="K21" s="71" t="s">
        <v>135</v>
      </c>
      <c r="L21" s="71" t="s">
        <v>43</v>
      </c>
    </row>
    <row r="22" spans="1:12" customFormat="1" ht="15" hidden="1">
      <c r="A22" s="216">
        <v>17</v>
      </c>
      <c r="B22" s="120">
        <v>44949</v>
      </c>
      <c r="C22" s="122">
        <v>44949</v>
      </c>
      <c r="D22" s="123" t="s">
        <v>232</v>
      </c>
      <c r="E22" s="123" t="s">
        <v>3</v>
      </c>
      <c r="F22" s="272" t="s">
        <v>10</v>
      </c>
      <c r="G22" s="231" t="s">
        <v>233</v>
      </c>
      <c r="H22" s="73" t="s">
        <v>234</v>
      </c>
      <c r="I22" s="74">
        <v>8563000</v>
      </c>
      <c r="J22" s="75" t="s">
        <v>45</v>
      </c>
      <c r="K22" s="71" t="s">
        <v>214</v>
      </c>
      <c r="L22" s="71" t="s">
        <v>43</v>
      </c>
    </row>
    <row r="23" spans="1:12" customFormat="1" ht="15" hidden="1">
      <c r="A23" s="216">
        <v>27</v>
      </c>
      <c r="B23" s="120">
        <v>44956</v>
      </c>
      <c r="C23" s="122">
        <v>44954</v>
      </c>
      <c r="D23" s="123" t="s">
        <v>260</v>
      </c>
      <c r="E23" s="123" t="s">
        <v>5</v>
      </c>
      <c r="F23" s="272" t="s">
        <v>7</v>
      </c>
      <c r="G23" s="231" t="s">
        <v>141</v>
      </c>
      <c r="H23" s="73" t="s">
        <v>261</v>
      </c>
      <c r="I23" s="74">
        <v>45500000</v>
      </c>
      <c r="J23" s="75" t="s">
        <v>45</v>
      </c>
      <c r="K23" s="71" t="s">
        <v>12</v>
      </c>
      <c r="L23" s="71" t="s">
        <v>43</v>
      </c>
    </row>
    <row r="24" spans="1:12" customFormat="1" ht="15" hidden="1">
      <c r="A24" s="216">
        <v>28</v>
      </c>
      <c r="B24" s="120">
        <v>44956</v>
      </c>
      <c r="C24" s="122">
        <v>44954</v>
      </c>
      <c r="D24" s="123" t="s">
        <v>260</v>
      </c>
      <c r="E24" s="123" t="s">
        <v>5</v>
      </c>
      <c r="F24" s="272" t="s">
        <v>7</v>
      </c>
      <c r="G24" s="231" t="s">
        <v>141</v>
      </c>
      <c r="H24" s="73" t="s">
        <v>262</v>
      </c>
      <c r="I24" s="74">
        <v>45500000</v>
      </c>
      <c r="J24" s="75" t="s">
        <v>45</v>
      </c>
      <c r="K24" s="71" t="s">
        <v>12</v>
      </c>
      <c r="L24" s="71" t="s">
        <v>43</v>
      </c>
    </row>
    <row r="25" spans="1:12" customFormat="1" ht="15" hidden="1">
      <c r="A25" s="216">
        <v>29</v>
      </c>
      <c r="B25" s="120">
        <v>44956</v>
      </c>
      <c r="C25" s="122">
        <v>44954</v>
      </c>
      <c r="D25" s="123" t="s">
        <v>260</v>
      </c>
      <c r="E25" s="123" t="s">
        <v>5</v>
      </c>
      <c r="F25" s="272" t="s">
        <v>7</v>
      </c>
      <c r="G25" s="231" t="s">
        <v>141</v>
      </c>
      <c r="H25" s="94" t="s">
        <v>263</v>
      </c>
      <c r="I25" s="74">
        <v>45500000</v>
      </c>
      <c r="J25" s="75" t="s">
        <v>45</v>
      </c>
      <c r="K25" s="71" t="s">
        <v>12</v>
      </c>
      <c r="L25" s="71" t="s">
        <v>43</v>
      </c>
    </row>
    <row r="26" spans="1:12" customFormat="1" ht="15" hidden="1">
      <c r="A26" s="216">
        <v>30</v>
      </c>
      <c r="B26" s="120">
        <v>44957</v>
      </c>
      <c r="C26" s="122">
        <v>44944</v>
      </c>
      <c r="D26" s="123" t="s">
        <v>264</v>
      </c>
      <c r="E26" s="123" t="s">
        <v>5</v>
      </c>
      <c r="F26" s="272" t="s">
        <v>7</v>
      </c>
      <c r="G26" s="231" t="s">
        <v>265</v>
      </c>
      <c r="H26" s="73" t="s">
        <v>266</v>
      </c>
      <c r="I26" s="74">
        <v>116000000</v>
      </c>
      <c r="J26" s="75" t="s">
        <v>45</v>
      </c>
      <c r="K26" s="71" t="s">
        <v>135</v>
      </c>
      <c r="L26" s="71" t="s">
        <v>43</v>
      </c>
    </row>
    <row r="27" spans="1:12" customFormat="1" ht="15" hidden="1">
      <c r="A27" s="216">
        <v>31</v>
      </c>
      <c r="B27" s="120">
        <v>44957</v>
      </c>
      <c r="C27" s="122">
        <v>44957</v>
      </c>
      <c r="D27" s="123" t="s">
        <v>267</v>
      </c>
      <c r="E27" s="123" t="s">
        <v>6</v>
      </c>
      <c r="F27" s="272" t="s">
        <v>8</v>
      </c>
      <c r="G27" s="231" t="s">
        <v>268</v>
      </c>
      <c r="H27" s="73" t="s">
        <v>269</v>
      </c>
      <c r="I27" s="74">
        <v>137170000</v>
      </c>
      <c r="J27" s="75" t="s">
        <v>45</v>
      </c>
      <c r="K27" s="71" t="s">
        <v>135</v>
      </c>
      <c r="L27" s="71" t="s">
        <v>43</v>
      </c>
    </row>
    <row r="28" spans="1:12" customFormat="1" ht="15" hidden="1">
      <c r="A28" s="216">
        <v>32</v>
      </c>
      <c r="B28" s="120">
        <v>44957</v>
      </c>
      <c r="C28" s="122">
        <v>44957</v>
      </c>
      <c r="D28" s="123" t="s">
        <v>267</v>
      </c>
      <c r="E28" s="123" t="s">
        <v>6</v>
      </c>
      <c r="F28" s="272" t="s">
        <v>8</v>
      </c>
      <c r="G28" s="231" t="s">
        <v>268</v>
      </c>
      <c r="H28" s="73" t="s">
        <v>270</v>
      </c>
      <c r="I28" s="74">
        <v>137170000</v>
      </c>
      <c r="J28" s="75" t="s">
        <v>45</v>
      </c>
      <c r="K28" s="71" t="s">
        <v>135</v>
      </c>
      <c r="L28" s="71" t="s">
        <v>43</v>
      </c>
    </row>
    <row r="29" spans="1:12" customFormat="1" ht="15" hidden="1">
      <c r="A29" s="216">
        <v>20</v>
      </c>
      <c r="B29" s="120">
        <v>44952</v>
      </c>
      <c r="C29" s="122">
        <v>44951</v>
      </c>
      <c r="D29" s="123" t="s">
        <v>235</v>
      </c>
      <c r="E29" s="123" t="s">
        <v>6</v>
      </c>
      <c r="F29" s="272" t="s">
        <v>8</v>
      </c>
      <c r="G29" s="231" t="s">
        <v>136</v>
      </c>
      <c r="H29" s="73" t="s">
        <v>236</v>
      </c>
      <c r="I29" s="74">
        <v>10390000</v>
      </c>
      <c r="J29" s="75" t="s">
        <v>45</v>
      </c>
      <c r="K29" s="71" t="s">
        <v>237</v>
      </c>
      <c r="L29" s="71" t="s">
        <v>43</v>
      </c>
    </row>
    <row r="30" spans="1:12" customFormat="1" ht="15" hidden="1">
      <c r="A30" s="216">
        <v>8</v>
      </c>
      <c r="B30" s="120">
        <v>44940</v>
      </c>
      <c r="C30" s="122">
        <v>44911</v>
      </c>
      <c r="D30" s="123" t="s">
        <v>175</v>
      </c>
      <c r="E30" s="123" t="s">
        <v>5</v>
      </c>
      <c r="F30" s="272" t="s">
        <v>7</v>
      </c>
      <c r="G30" s="231" t="s">
        <v>176</v>
      </c>
      <c r="H30" s="73" t="s">
        <v>177</v>
      </c>
      <c r="I30" s="74">
        <v>133650000</v>
      </c>
      <c r="J30" s="75" t="s">
        <v>45</v>
      </c>
      <c r="K30" s="71" t="s">
        <v>185</v>
      </c>
      <c r="L30" s="71" t="s">
        <v>43</v>
      </c>
    </row>
    <row r="31" spans="1:12" customFormat="1" ht="15" hidden="1">
      <c r="A31" s="216">
        <v>16</v>
      </c>
      <c r="B31" s="120">
        <v>44949</v>
      </c>
      <c r="C31" s="122">
        <v>44949</v>
      </c>
      <c r="D31" s="123" t="s">
        <v>228</v>
      </c>
      <c r="E31" s="123" t="s">
        <v>4</v>
      </c>
      <c r="F31" s="272" t="s">
        <v>11</v>
      </c>
      <c r="G31" s="257" t="s">
        <v>229</v>
      </c>
      <c r="H31" s="73" t="s">
        <v>230</v>
      </c>
      <c r="I31" s="74">
        <v>101495000</v>
      </c>
      <c r="J31" s="75" t="s">
        <v>45</v>
      </c>
      <c r="K31" s="71" t="s">
        <v>231</v>
      </c>
      <c r="L31" s="71" t="s">
        <v>13</v>
      </c>
    </row>
    <row r="32" spans="1:12" customFormat="1" ht="15" hidden="1">
      <c r="A32" s="216">
        <v>4</v>
      </c>
      <c r="B32" s="120">
        <v>44937</v>
      </c>
      <c r="C32" s="122">
        <v>44937</v>
      </c>
      <c r="D32" s="123" t="s">
        <v>156</v>
      </c>
      <c r="E32" s="123" t="s">
        <v>4</v>
      </c>
      <c r="F32" s="272" t="s">
        <v>49</v>
      </c>
      <c r="G32" s="231" t="s">
        <v>157</v>
      </c>
      <c r="H32" s="73" t="s">
        <v>158</v>
      </c>
      <c r="I32" s="74">
        <v>6875000</v>
      </c>
      <c r="J32" s="75" t="s">
        <v>45</v>
      </c>
      <c r="K32" s="71" t="s">
        <v>159</v>
      </c>
      <c r="L32" s="71" t="s">
        <v>13</v>
      </c>
    </row>
    <row r="33" spans="1:12" customFormat="1" ht="15" hidden="1">
      <c r="A33" s="216">
        <v>5</v>
      </c>
      <c r="B33" s="126">
        <v>44938</v>
      </c>
      <c r="C33" s="127">
        <v>44938</v>
      </c>
      <c r="D33" s="128" t="s">
        <v>162</v>
      </c>
      <c r="E33" s="128" t="s">
        <v>6</v>
      </c>
      <c r="F33" s="273" t="s">
        <v>8</v>
      </c>
      <c r="G33" s="231" t="s">
        <v>163</v>
      </c>
      <c r="H33" s="73" t="s">
        <v>164</v>
      </c>
      <c r="I33" s="74">
        <v>5347000</v>
      </c>
      <c r="J33" s="75" t="s">
        <v>45</v>
      </c>
      <c r="K33" s="71" t="s">
        <v>165</v>
      </c>
      <c r="L33" s="71" t="s">
        <v>13</v>
      </c>
    </row>
    <row r="34" spans="1:12" customFormat="1" ht="15" hidden="1">
      <c r="A34" s="216">
        <v>19</v>
      </c>
      <c r="B34" s="120">
        <v>44950</v>
      </c>
      <c r="C34" s="122">
        <v>44950</v>
      </c>
      <c r="D34" s="123" t="s">
        <v>192</v>
      </c>
      <c r="E34" s="123" t="s">
        <v>4</v>
      </c>
      <c r="F34" s="272" t="s">
        <v>11</v>
      </c>
      <c r="G34" s="231" t="s">
        <v>130</v>
      </c>
      <c r="H34" s="73" t="s">
        <v>245</v>
      </c>
      <c r="I34" s="74">
        <v>92300000</v>
      </c>
      <c r="J34" s="75" t="s">
        <v>45</v>
      </c>
      <c r="K34" s="71" t="s">
        <v>196</v>
      </c>
      <c r="L34" s="71" t="s">
        <v>13</v>
      </c>
    </row>
    <row r="35" spans="1:12" customFormat="1" ht="15" hidden="1">
      <c r="A35" s="216">
        <v>18</v>
      </c>
      <c r="B35" s="126">
        <v>44950</v>
      </c>
      <c r="C35" s="127">
        <v>44949</v>
      </c>
      <c r="D35" s="128" t="s">
        <v>191</v>
      </c>
      <c r="E35" s="128" t="s">
        <v>3</v>
      </c>
      <c r="F35" s="273" t="s">
        <v>10</v>
      </c>
      <c r="G35" s="231" t="s">
        <v>153</v>
      </c>
      <c r="H35" s="73" t="s">
        <v>193</v>
      </c>
      <c r="I35" s="74">
        <v>8740000</v>
      </c>
      <c r="J35" s="75" t="s">
        <v>45</v>
      </c>
      <c r="K35" s="71" t="s">
        <v>195</v>
      </c>
      <c r="L35" s="71" t="s">
        <v>13</v>
      </c>
    </row>
    <row r="36" spans="1:12" customFormat="1" ht="15" hidden="1">
      <c r="A36" s="216">
        <v>21</v>
      </c>
      <c r="B36" s="120">
        <v>44952</v>
      </c>
      <c r="C36" s="122">
        <v>44952</v>
      </c>
      <c r="D36" s="123" t="s">
        <v>201</v>
      </c>
      <c r="E36" s="123" t="s">
        <v>5</v>
      </c>
      <c r="F36" s="272" t="s">
        <v>7</v>
      </c>
      <c r="G36" s="231" t="s">
        <v>202</v>
      </c>
      <c r="H36" s="73" t="s">
        <v>203</v>
      </c>
      <c r="I36" s="74">
        <v>2770000</v>
      </c>
      <c r="J36" s="75" t="s">
        <v>45</v>
      </c>
      <c r="K36" s="71" t="s">
        <v>204</v>
      </c>
      <c r="L36" s="71" t="s">
        <v>13</v>
      </c>
    </row>
    <row r="37" spans="1:12" customFormat="1" ht="15" hidden="1">
      <c r="A37" s="216">
        <v>23</v>
      </c>
      <c r="B37" s="120">
        <v>44954</v>
      </c>
      <c r="C37" s="122">
        <v>44954</v>
      </c>
      <c r="D37" s="123" t="s">
        <v>246</v>
      </c>
      <c r="E37" s="123" t="s">
        <v>3</v>
      </c>
      <c r="F37" s="272" t="s">
        <v>10</v>
      </c>
      <c r="G37" s="231" t="s">
        <v>247</v>
      </c>
      <c r="H37" s="73" t="s">
        <v>248</v>
      </c>
      <c r="I37" s="74">
        <v>1350000</v>
      </c>
      <c r="J37" s="75" t="s">
        <v>45</v>
      </c>
      <c r="K37" s="71" t="s">
        <v>249</v>
      </c>
      <c r="L37" s="71" t="s">
        <v>13</v>
      </c>
    </row>
    <row r="38" spans="1:12" customFormat="1" ht="15" hidden="1">
      <c r="A38" s="216">
        <v>33</v>
      </c>
      <c r="B38" s="120">
        <v>44936</v>
      </c>
      <c r="C38" s="122">
        <v>44921</v>
      </c>
      <c r="D38" s="123" t="s">
        <v>146</v>
      </c>
      <c r="E38" s="123" t="s">
        <v>51</v>
      </c>
      <c r="F38" s="272" t="s">
        <v>4</v>
      </c>
      <c r="G38" s="231" t="s">
        <v>147</v>
      </c>
      <c r="H38" s="73" t="s">
        <v>148</v>
      </c>
      <c r="I38" s="74">
        <v>1545000</v>
      </c>
      <c r="J38" s="75" t="s">
        <v>96</v>
      </c>
      <c r="K38" s="71" t="s">
        <v>242</v>
      </c>
      <c r="L38" s="71" t="s">
        <v>244</v>
      </c>
    </row>
    <row r="39" spans="1:12" ht="15" hidden="1" customHeight="1">
      <c r="A39" s="178">
        <v>26</v>
      </c>
      <c r="B39" s="183">
        <v>44970</v>
      </c>
      <c r="C39" s="183">
        <v>44970</v>
      </c>
      <c r="D39" s="239" t="s">
        <v>300</v>
      </c>
      <c r="E39" s="239" t="s">
        <v>3</v>
      </c>
      <c r="F39" s="274" t="s">
        <v>7</v>
      </c>
      <c r="G39" s="73" t="s">
        <v>330</v>
      </c>
      <c r="H39" s="73" t="s">
        <v>118</v>
      </c>
      <c r="I39" s="74">
        <v>9925000</v>
      </c>
      <c r="J39" s="74" t="s">
        <v>379</v>
      </c>
      <c r="K39" s="100" t="s">
        <v>47</v>
      </c>
      <c r="L39" s="75"/>
    </row>
    <row r="40" spans="1:12" ht="15" hidden="1" customHeight="1">
      <c r="A40" s="178">
        <v>23</v>
      </c>
      <c r="B40" s="183">
        <v>44967</v>
      </c>
      <c r="C40" s="183">
        <v>44963</v>
      </c>
      <c r="D40" s="239" t="s">
        <v>302</v>
      </c>
      <c r="E40" s="239" t="s">
        <v>3</v>
      </c>
      <c r="F40" s="274" t="s">
        <v>10</v>
      </c>
      <c r="G40" s="73" t="s">
        <v>333</v>
      </c>
      <c r="H40" s="73" t="s">
        <v>334</v>
      </c>
      <c r="I40" s="74">
        <v>5271750</v>
      </c>
      <c r="J40" s="74" t="s">
        <v>381</v>
      </c>
      <c r="K40" s="100" t="s">
        <v>408</v>
      </c>
      <c r="L40" s="75"/>
    </row>
    <row r="41" spans="1:12" ht="15" hidden="1" customHeight="1">
      <c r="A41" s="178">
        <v>46</v>
      </c>
      <c r="B41" s="183">
        <v>44980</v>
      </c>
      <c r="C41" s="183">
        <v>44972</v>
      </c>
      <c r="D41" s="239" t="s">
        <v>301</v>
      </c>
      <c r="E41" s="239" t="s">
        <v>6</v>
      </c>
      <c r="F41" s="274" t="s">
        <v>49</v>
      </c>
      <c r="G41" s="73" t="s">
        <v>331</v>
      </c>
      <c r="H41" s="73" t="s">
        <v>332</v>
      </c>
      <c r="I41" s="74">
        <v>1117660000</v>
      </c>
      <c r="J41" s="74" t="s">
        <v>380</v>
      </c>
      <c r="K41" s="100" t="s">
        <v>408</v>
      </c>
      <c r="L41" s="75"/>
    </row>
    <row r="42" spans="1:12" s="55" customFormat="1" ht="27.75" hidden="1" customHeight="1">
      <c r="A42" s="178">
        <v>3</v>
      </c>
      <c r="B42" s="183">
        <v>44959</v>
      </c>
      <c r="C42" s="183">
        <v>44959</v>
      </c>
      <c r="D42" s="239" t="s">
        <v>283</v>
      </c>
      <c r="E42" s="239" t="s">
        <v>6</v>
      </c>
      <c r="F42" s="274" t="s">
        <v>49</v>
      </c>
      <c r="G42" s="73" t="s">
        <v>290</v>
      </c>
      <c r="H42" s="73" t="s">
        <v>291</v>
      </c>
      <c r="I42" s="74">
        <v>6997500</v>
      </c>
      <c r="J42" s="280" t="s">
        <v>394</v>
      </c>
      <c r="K42" s="100" t="s">
        <v>2</v>
      </c>
      <c r="L42" s="100"/>
    </row>
    <row r="43" spans="1:12" ht="15" hidden="1" customHeight="1">
      <c r="A43" s="178">
        <v>32</v>
      </c>
      <c r="B43" s="183">
        <v>44971</v>
      </c>
      <c r="C43" s="183">
        <v>44971</v>
      </c>
      <c r="D43" s="239" t="s">
        <v>304</v>
      </c>
      <c r="E43" s="239" t="s">
        <v>3</v>
      </c>
      <c r="F43" s="274" t="s">
        <v>51</v>
      </c>
      <c r="G43" s="73" t="s">
        <v>336</v>
      </c>
      <c r="H43" s="73" t="s">
        <v>118</v>
      </c>
      <c r="I43" s="74">
        <v>2700000</v>
      </c>
      <c r="J43" s="74" t="s">
        <v>425</v>
      </c>
      <c r="K43" s="100" t="s">
        <v>2</v>
      </c>
      <c r="L43" s="75"/>
    </row>
    <row r="44" spans="1:12" ht="15" hidden="1" customHeight="1">
      <c r="A44" s="178">
        <v>43</v>
      </c>
      <c r="B44" s="183">
        <v>44977</v>
      </c>
      <c r="C44" s="183">
        <v>44973</v>
      </c>
      <c r="D44" s="239" t="s">
        <v>319</v>
      </c>
      <c r="E44" s="239" t="s">
        <v>6</v>
      </c>
      <c r="F44" s="274" t="s">
        <v>11</v>
      </c>
      <c r="G44" s="73" t="s">
        <v>129</v>
      </c>
      <c r="H44" s="73" t="s">
        <v>353</v>
      </c>
      <c r="I44" s="74">
        <v>1488000000</v>
      </c>
      <c r="J44" s="74" t="s">
        <v>393</v>
      </c>
      <c r="K44" s="100" t="s">
        <v>2</v>
      </c>
      <c r="L44" s="75"/>
    </row>
    <row r="45" spans="1:12" ht="15" hidden="1" customHeight="1">
      <c r="A45" s="178">
        <v>25</v>
      </c>
      <c r="B45" s="183">
        <v>44968</v>
      </c>
      <c r="C45" s="183">
        <v>44964</v>
      </c>
      <c r="D45" s="239" t="s">
        <v>313</v>
      </c>
      <c r="E45" s="239" t="s">
        <v>6</v>
      </c>
      <c r="F45" s="274" t="s">
        <v>9</v>
      </c>
      <c r="G45" s="73" t="s">
        <v>255</v>
      </c>
      <c r="H45" s="73" t="s">
        <v>350</v>
      </c>
      <c r="I45" s="74">
        <v>5635000</v>
      </c>
      <c r="J45" s="74" t="s">
        <v>390</v>
      </c>
      <c r="K45" s="100" t="s">
        <v>417</v>
      </c>
      <c r="L45" s="71"/>
    </row>
    <row r="46" spans="1:12" ht="15" hidden="1" customHeight="1">
      <c r="A46" s="178">
        <v>30</v>
      </c>
      <c r="B46" s="183">
        <v>44971</v>
      </c>
      <c r="C46" s="183">
        <v>44971</v>
      </c>
      <c r="D46" s="239" t="s">
        <v>299</v>
      </c>
      <c r="E46" s="239" t="s">
        <v>3</v>
      </c>
      <c r="F46" s="274" t="s">
        <v>10</v>
      </c>
      <c r="G46" s="73" t="s">
        <v>329</v>
      </c>
      <c r="H46" s="73" t="s">
        <v>118</v>
      </c>
      <c r="I46" s="74">
        <v>33750000</v>
      </c>
      <c r="J46" s="74" t="s">
        <v>378</v>
      </c>
      <c r="K46" s="100" t="s">
        <v>419</v>
      </c>
      <c r="L46" s="71"/>
    </row>
    <row r="47" spans="1:12" ht="15" hidden="1" customHeight="1">
      <c r="A47" s="178">
        <v>31</v>
      </c>
      <c r="B47" s="183">
        <v>44971</v>
      </c>
      <c r="C47" s="183">
        <v>44967</v>
      </c>
      <c r="D47" s="239" t="s">
        <v>303</v>
      </c>
      <c r="E47" s="239" t="s">
        <v>4</v>
      </c>
      <c r="F47" s="274" t="s">
        <v>8</v>
      </c>
      <c r="G47" s="73" t="s">
        <v>335</v>
      </c>
      <c r="H47" s="73" t="s">
        <v>118</v>
      </c>
      <c r="I47" s="74">
        <v>3840000</v>
      </c>
      <c r="J47" s="74" t="s">
        <v>382</v>
      </c>
      <c r="K47" s="100" t="s">
        <v>407</v>
      </c>
      <c r="L47" s="75"/>
    </row>
    <row r="48" spans="1:12" ht="15" hidden="1" customHeight="1">
      <c r="A48" s="178">
        <v>33</v>
      </c>
      <c r="B48" s="183">
        <v>44971</v>
      </c>
      <c r="C48" s="183">
        <v>44970</v>
      </c>
      <c r="D48" s="239" t="s">
        <v>314</v>
      </c>
      <c r="E48" s="239" t="s">
        <v>6</v>
      </c>
      <c r="F48" s="274" t="s">
        <v>11</v>
      </c>
      <c r="G48" s="73" t="s">
        <v>351</v>
      </c>
      <c r="H48" s="73" t="s">
        <v>118</v>
      </c>
      <c r="I48" s="74">
        <v>11615000</v>
      </c>
      <c r="J48" s="74" t="s">
        <v>390</v>
      </c>
      <c r="K48" s="100" t="s">
        <v>418</v>
      </c>
      <c r="L48" s="71"/>
    </row>
    <row r="49" spans="1:12" ht="15" hidden="1" customHeight="1">
      <c r="A49" s="178">
        <v>39</v>
      </c>
      <c r="B49" s="183">
        <v>44973</v>
      </c>
      <c r="C49" s="183">
        <v>44960</v>
      </c>
      <c r="D49" s="239" t="s">
        <v>315</v>
      </c>
      <c r="E49" s="239" t="s">
        <v>5</v>
      </c>
      <c r="F49" s="274" t="s">
        <v>51</v>
      </c>
      <c r="G49" s="73" t="s">
        <v>352</v>
      </c>
      <c r="H49" s="73" t="s">
        <v>353</v>
      </c>
      <c r="I49" s="74">
        <v>1990000</v>
      </c>
      <c r="J49" s="74" t="s">
        <v>390</v>
      </c>
      <c r="K49" s="100" t="s">
        <v>416</v>
      </c>
      <c r="L49" s="71"/>
    </row>
    <row r="50" spans="1:12" ht="30" hidden="1" customHeight="1">
      <c r="A50" s="178">
        <v>45</v>
      </c>
      <c r="B50" s="183">
        <v>44979</v>
      </c>
      <c r="C50" s="183">
        <v>44978</v>
      </c>
      <c r="D50" s="239" t="s">
        <v>312</v>
      </c>
      <c r="E50" s="239" t="s">
        <v>6</v>
      </c>
      <c r="F50" s="274" t="s">
        <v>49</v>
      </c>
      <c r="G50" s="73" t="s">
        <v>349</v>
      </c>
      <c r="H50" s="73" t="s">
        <v>118</v>
      </c>
      <c r="I50" s="74">
        <v>160000000</v>
      </c>
      <c r="J50" s="281" t="s">
        <v>438</v>
      </c>
      <c r="K50" s="100" t="s">
        <v>407</v>
      </c>
      <c r="L50" s="75"/>
    </row>
    <row r="51" spans="1:12" ht="15" hidden="1" customHeight="1">
      <c r="A51" s="178">
        <v>4</v>
      </c>
      <c r="B51" s="183">
        <v>44960</v>
      </c>
      <c r="C51" s="183">
        <v>44956</v>
      </c>
      <c r="D51" s="239" t="s">
        <v>284</v>
      </c>
      <c r="E51" s="239" t="s">
        <v>6</v>
      </c>
      <c r="F51" s="274" t="s">
        <v>8</v>
      </c>
      <c r="G51" s="73" t="s">
        <v>251</v>
      </c>
      <c r="H51" s="73" t="s">
        <v>118</v>
      </c>
      <c r="I51" s="74">
        <v>1050500</v>
      </c>
      <c r="J51" s="74" t="s">
        <v>297</v>
      </c>
      <c r="K51" s="74" t="s">
        <v>297</v>
      </c>
      <c r="L51" s="75"/>
    </row>
    <row r="52" spans="1:12" ht="15" hidden="1" customHeight="1">
      <c r="A52" s="178">
        <v>19</v>
      </c>
      <c r="B52" s="183">
        <v>44965</v>
      </c>
      <c r="C52" s="183">
        <v>44961</v>
      </c>
      <c r="D52" s="239" t="s">
        <v>323</v>
      </c>
      <c r="E52" s="239" t="s">
        <v>5</v>
      </c>
      <c r="F52" s="274" t="s">
        <v>10</v>
      </c>
      <c r="G52" s="73" t="s">
        <v>366</v>
      </c>
      <c r="H52" s="73" t="s">
        <v>367</v>
      </c>
      <c r="I52" s="74">
        <v>1420000</v>
      </c>
      <c r="J52" s="100" t="s">
        <v>55</v>
      </c>
      <c r="K52" s="100" t="s">
        <v>423</v>
      </c>
      <c r="L52" s="75"/>
    </row>
    <row r="53" spans="1:12" ht="15" hidden="1" customHeight="1">
      <c r="A53" s="178">
        <v>20</v>
      </c>
      <c r="B53" s="183">
        <v>44965</v>
      </c>
      <c r="C53" s="183">
        <v>44963</v>
      </c>
      <c r="D53" s="239" t="s">
        <v>325</v>
      </c>
      <c r="E53" s="239" t="s">
        <v>6</v>
      </c>
      <c r="F53" s="274" t="s">
        <v>9</v>
      </c>
      <c r="G53" s="73" t="s">
        <v>370</v>
      </c>
      <c r="H53" s="73" t="s">
        <v>118</v>
      </c>
      <c r="I53" s="74">
        <v>8925000</v>
      </c>
      <c r="J53" s="100" t="s">
        <v>55</v>
      </c>
      <c r="K53" s="100" t="s">
        <v>424</v>
      </c>
      <c r="L53" s="75"/>
    </row>
    <row r="54" spans="1:12" ht="15" hidden="1" customHeight="1">
      <c r="A54" s="178">
        <v>34</v>
      </c>
      <c r="B54" s="183">
        <v>44972</v>
      </c>
      <c r="C54" s="183">
        <v>44971</v>
      </c>
      <c r="D54" s="239" t="s">
        <v>317</v>
      </c>
      <c r="E54" s="239" t="s">
        <v>6</v>
      </c>
      <c r="F54" s="274" t="s">
        <v>9</v>
      </c>
      <c r="G54" s="73" t="s">
        <v>356</v>
      </c>
      <c r="H54" s="73" t="s">
        <v>357</v>
      </c>
      <c r="I54" s="74">
        <v>21900000</v>
      </c>
      <c r="J54" s="74" t="s">
        <v>392</v>
      </c>
      <c r="K54" s="100" t="s">
        <v>415</v>
      </c>
      <c r="L54" s="71"/>
    </row>
    <row r="55" spans="1:12" hidden="1">
      <c r="A55" s="178">
        <v>35</v>
      </c>
      <c r="B55" s="183">
        <v>44972</v>
      </c>
      <c r="C55" s="183">
        <v>44971</v>
      </c>
      <c r="D55" s="239" t="s">
        <v>317</v>
      </c>
      <c r="E55" s="239" t="s">
        <v>6</v>
      </c>
      <c r="F55" s="274" t="s">
        <v>9</v>
      </c>
      <c r="G55" s="73" t="s">
        <v>356</v>
      </c>
      <c r="H55" s="73" t="s">
        <v>358</v>
      </c>
      <c r="I55" s="74">
        <v>21900000</v>
      </c>
      <c r="J55" s="74" t="s">
        <v>392</v>
      </c>
      <c r="K55" s="100" t="s">
        <v>415</v>
      </c>
      <c r="L55" s="71"/>
    </row>
    <row r="56" spans="1:12" hidden="1">
      <c r="A56" s="178">
        <v>36</v>
      </c>
      <c r="B56" s="183">
        <v>44972</v>
      </c>
      <c r="C56" s="183">
        <v>44972</v>
      </c>
      <c r="D56" s="239" t="s">
        <v>318</v>
      </c>
      <c r="E56" s="239" t="s">
        <v>4</v>
      </c>
      <c r="F56" s="274" t="s">
        <v>8</v>
      </c>
      <c r="G56" s="73" t="s">
        <v>359</v>
      </c>
      <c r="H56" s="73" t="s">
        <v>360</v>
      </c>
      <c r="I56" s="74">
        <v>1960000</v>
      </c>
      <c r="J56" s="74" t="s">
        <v>392</v>
      </c>
      <c r="K56" s="100" t="s">
        <v>414</v>
      </c>
      <c r="L56" s="71"/>
    </row>
    <row r="57" spans="1:12" ht="15" hidden="1" customHeight="1">
      <c r="A57" s="178">
        <v>9</v>
      </c>
      <c r="B57" s="183">
        <v>44963</v>
      </c>
      <c r="C57" s="183">
        <v>44961</v>
      </c>
      <c r="D57" s="239" t="s">
        <v>306</v>
      </c>
      <c r="E57" s="239" t="s">
        <v>5</v>
      </c>
      <c r="F57" s="274" t="s">
        <v>7</v>
      </c>
      <c r="G57" s="73" t="s">
        <v>341</v>
      </c>
      <c r="H57" s="73" t="s">
        <v>118</v>
      </c>
      <c r="I57" s="74">
        <v>40000000</v>
      </c>
      <c r="J57" s="74" t="s">
        <v>384</v>
      </c>
      <c r="K57" s="100" t="s">
        <v>437</v>
      </c>
      <c r="L57" s="75"/>
    </row>
    <row r="58" spans="1:12" ht="15" hidden="1" customHeight="1">
      <c r="A58" s="178">
        <v>10</v>
      </c>
      <c r="B58" s="183">
        <v>44963</v>
      </c>
      <c r="C58" s="183">
        <v>44961</v>
      </c>
      <c r="D58" s="239" t="s">
        <v>307</v>
      </c>
      <c r="E58" s="239" t="s">
        <v>5</v>
      </c>
      <c r="F58" s="274" t="s">
        <v>7</v>
      </c>
      <c r="G58" s="73" t="s">
        <v>342</v>
      </c>
      <c r="H58" s="73" t="s">
        <v>118</v>
      </c>
      <c r="I58" s="74">
        <v>80000000</v>
      </c>
      <c r="J58" s="74" t="s">
        <v>384</v>
      </c>
      <c r="K58" s="100" t="s">
        <v>437</v>
      </c>
      <c r="L58" s="75"/>
    </row>
    <row r="59" spans="1:12" ht="15" hidden="1" customHeight="1">
      <c r="A59" s="178">
        <v>47</v>
      </c>
      <c r="B59" s="240">
        <v>44980</v>
      </c>
      <c r="C59" s="240">
        <v>44979</v>
      </c>
      <c r="D59" s="239" t="s">
        <v>427</v>
      </c>
      <c r="E59" s="239" t="s">
        <v>3</v>
      </c>
      <c r="F59" s="274" t="s">
        <v>7</v>
      </c>
      <c r="G59" s="73" t="s">
        <v>361</v>
      </c>
      <c r="H59" s="73" t="s">
        <v>118</v>
      </c>
      <c r="I59" s="74">
        <v>120000000</v>
      </c>
      <c r="J59" s="74" t="s">
        <v>434</v>
      </c>
      <c r="K59" s="100" t="s">
        <v>437</v>
      </c>
      <c r="L59" s="75"/>
    </row>
    <row r="60" spans="1:12" ht="15" hidden="1" customHeight="1">
      <c r="A60" s="178">
        <v>49</v>
      </c>
      <c r="B60" s="240">
        <v>44982</v>
      </c>
      <c r="C60" s="240">
        <v>44977</v>
      </c>
      <c r="D60" s="239" t="s">
        <v>429</v>
      </c>
      <c r="E60" s="239" t="s">
        <v>6</v>
      </c>
      <c r="F60" s="274" t="s">
        <v>11</v>
      </c>
      <c r="G60" s="73" t="s">
        <v>130</v>
      </c>
      <c r="H60" s="73" t="s">
        <v>118</v>
      </c>
      <c r="I60" s="74">
        <v>223225000</v>
      </c>
      <c r="J60" s="74" t="s">
        <v>436</v>
      </c>
      <c r="K60" s="100" t="s">
        <v>437</v>
      </c>
      <c r="L60" s="75"/>
    </row>
    <row r="61" spans="1:12" ht="15" hidden="1" customHeight="1">
      <c r="A61" s="178">
        <v>50</v>
      </c>
      <c r="B61" s="240">
        <v>44984</v>
      </c>
      <c r="C61" s="240">
        <v>44977</v>
      </c>
      <c r="D61" s="239" t="s">
        <v>430</v>
      </c>
      <c r="E61" s="239" t="s">
        <v>6</v>
      </c>
      <c r="F61" s="274" t="s">
        <v>11</v>
      </c>
      <c r="G61" s="73" t="s">
        <v>130</v>
      </c>
      <c r="H61" s="73" t="s">
        <v>353</v>
      </c>
      <c r="I61" s="74">
        <v>181340000</v>
      </c>
      <c r="J61" s="74" t="s">
        <v>436</v>
      </c>
      <c r="K61" s="100" t="s">
        <v>437</v>
      </c>
      <c r="L61" s="75"/>
    </row>
    <row r="62" spans="1:12" ht="15" hidden="1" customHeight="1">
      <c r="A62" s="178">
        <v>51</v>
      </c>
      <c r="B62" s="240">
        <v>44984</v>
      </c>
      <c r="C62" s="240">
        <v>44977</v>
      </c>
      <c r="D62" s="239" t="s">
        <v>431</v>
      </c>
      <c r="E62" s="239" t="s">
        <v>6</v>
      </c>
      <c r="F62" s="274" t="s">
        <v>11</v>
      </c>
      <c r="G62" s="73" t="s">
        <v>130</v>
      </c>
      <c r="H62" s="73" t="s">
        <v>353</v>
      </c>
      <c r="I62" s="74">
        <v>30940000</v>
      </c>
      <c r="J62" s="74" t="s">
        <v>436</v>
      </c>
      <c r="K62" s="100" t="s">
        <v>437</v>
      </c>
      <c r="L62" s="75"/>
    </row>
    <row r="63" spans="1:12" ht="15" hidden="1" customHeight="1">
      <c r="A63" s="178">
        <v>2</v>
      </c>
      <c r="B63" s="183">
        <v>44959</v>
      </c>
      <c r="C63" s="183">
        <v>44959</v>
      </c>
      <c r="D63" s="239" t="s">
        <v>282</v>
      </c>
      <c r="E63" s="239" t="s">
        <v>6</v>
      </c>
      <c r="F63" s="274" t="s">
        <v>11</v>
      </c>
      <c r="G63" s="73" t="s">
        <v>288</v>
      </c>
      <c r="H63" s="73" t="s">
        <v>289</v>
      </c>
      <c r="I63" s="74">
        <v>884160000</v>
      </c>
      <c r="J63" s="74" t="s">
        <v>296</v>
      </c>
      <c r="K63" s="100" t="s">
        <v>243</v>
      </c>
      <c r="L63" s="75"/>
    </row>
    <row r="64" spans="1:12" ht="25.5" hidden="1" customHeight="1">
      <c r="A64" s="178">
        <v>17</v>
      </c>
      <c r="B64" s="183">
        <v>44965</v>
      </c>
      <c r="C64" s="183">
        <v>44965</v>
      </c>
      <c r="D64" s="239" t="s">
        <v>311</v>
      </c>
      <c r="E64" s="239" t="s">
        <v>6</v>
      </c>
      <c r="F64" s="274" t="s">
        <v>11</v>
      </c>
      <c r="G64" s="73" t="s">
        <v>346</v>
      </c>
      <c r="H64" s="115" t="s">
        <v>347</v>
      </c>
      <c r="I64" s="74">
        <v>17387500</v>
      </c>
      <c r="J64" s="280" t="s">
        <v>388</v>
      </c>
      <c r="K64" s="100" t="s">
        <v>243</v>
      </c>
      <c r="L64" s="75"/>
    </row>
    <row r="65" spans="1:12" ht="22.5" hidden="1" customHeight="1">
      <c r="A65" s="178">
        <v>18</v>
      </c>
      <c r="B65" s="183">
        <v>44965</v>
      </c>
      <c r="C65" s="183">
        <v>44965</v>
      </c>
      <c r="D65" s="239" t="s">
        <v>311</v>
      </c>
      <c r="E65" s="239" t="s">
        <v>6</v>
      </c>
      <c r="F65" s="274" t="s">
        <v>11</v>
      </c>
      <c r="G65" s="73" t="s">
        <v>346</v>
      </c>
      <c r="H65" s="98" t="s">
        <v>348</v>
      </c>
      <c r="I65" s="74">
        <v>17387500</v>
      </c>
      <c r="J65" s="281" t="s">
        <v>389</v>
      </c>
      <c r="K65" s="100" t="s">
        <v>243</v>
      </c>
      <c r="L65" s="75"/>
    </row>
    <row r="66" spans="1:12" ht="15" hidden="1" customHeight="1">
      <c r="A66" s="178">
        <v>24</v>
      </c>
      <c r="B66" s="183">
        <v>44967</v>
      </c>
      <c r="C66" s="183">
        <v>44967</v>
      </c>
      <c r="D66" s="239" t="s">
        <v>310</v>
      </c>
      <c r="E66" s="239" t="s">
        <v>4</v>
      </c>
      <c r="F66" s="274" t="s">
        <v>8</v>
      </c>
      <c r="G66" s="73" t="s">
        <v>179</v>
      </c>
      <c r="H66" s="73" t="s">
        <v>345</v>
      </c>
      <c r="I66" s="74">
        <v>900000</v>
      </c>
      <c r="J66" s="74" t="s">
        <v>387</v>
      </c>
      <c r="K66" s="100" t="s">
        <v>243</v>
      </c>
      <c r="L66" s="75"/>
    </row>
    <row r="67" spans="1:12" ht="28.5" hidden="1" customHeight="1">
      <c r="A67" s="178">
        <v>27</v>
      </c>
      <c r="B67" s="183">
        <v>44970</v>
      </c>
      <c r="C67" s="183">
        <v>44966</v>
      </c>
      <c r="D67" s="239" t="s">
        <v>308</v>
      </c>
      <c r="E67" s="239" t="s">
        <v>3</v>
      </c>
      <c r="F67" s="274" t="s">
        <v>10</v>
      </c>
      <c r="G67" s="73" t="s">
        <v>343</v>
      </c>
      <c r="H67" s="98" t="s">
        <v>344</v>
      </c>
      <c r="I67" s="74">
        <v>13975000</v>
      </c>
      <c r="J67" s="280" t="s">
        <v>385</v>
      </c>
      <c r="K67" s="100" t="s">
        <v>243</v>
      </c>
      <c r="L67" s="75"/>
    </row>
    <row r="68" spans="1:12" ht="15" hidden="1" customHeight="1">
      <c r="A68" s="178">
        <v>28</v>
      </c>
      <c r="B68" s="183">
        <v>44970</v>
      </c>
      <c r="C68" s="183">
        <v>44970</v>
      </c>
      <c r="D68" s="239" t="s">
        <v>309</v>
      </c>
      <c r="E68" s="239" t="s">
        <v>3</v>
      </c>
      <c r="F68" s="274" t="s">
        <v>10</v>
      </c>
      <c r="G68" s="73" t="s">
        <v>343</v>
      </c>
      <c r="H68" s="73" t="s">
        <v>118</v>
      </c>
      <c r="I68" s="74">
        <v>2400000</v>
      </c>
      <c r="J68" s="74" t="s">
        <v>386</v>
      </c>
      <c r="K68" s="100" t="s">
        <v>243</v>
      </c>
      <c r="L68" s="75"/>
    </row>
    <row r="69" spans="1:12" ht="15" hidden="1" customHeight="1">
      <c r="A69" s="178">
        <v>40</v>
      </c>
      <c r="B69" s="183">
        <v>44973</v>
      </c>
      <c r="C69" s="183">
        <v>44973</v>
      </c>
      <c r="D69" s="239" t="s">
        <v>320</v>
      </c>
      <c r="E69" s="239" t="s">
        <v>3</v>
      </c>
      <c r="F69" s="274" t="s">
        <v>7</v>
      </c>
      <c r="G69" s="73" t="s">
        <v>361</v>
      </c>
      <c r="H69" s="73" t="s">
        <v>362</v>
      </c>
      <c r="I69" s="74">
        <v>48000000</v>
      </c>
      <c r="J69" s="74" t="s">
        <v>395</v>
      </c>
      <c r="K69" s="100" t="s">
        <v>17</v>
      </c>
      <c r="L69" s="75"/>
    </row>
    <row r="70" spans="1:12" ht="15" hidden="1" customHeight="1">
      <c r="A70" s="178">
        <v>1</v>
      </c>
      <c r="B70" s="183">
        <v>44958</v>
      </c>
      <c r="C70" s="183">
        <v>44957</v>
      </c>
      <c r="D70" s="239" t="s">
        <v>281</v>
      </c>
      <c r="E70" s="239"/>
      <c r="F70" s="274" t="s">
        <v>10</v>
      </c>
      <c r="G70" s="73" t="s">
        <v>287</v>
      </c>
      <c r="H70" s="73" t="s">
        <v>118</v>
      </c>
      <c r="I70" s="74">
        <v>1932500</v>
      </c>
      <c r="J70" s="74" t="s">
        <v>399</v>
      </c>
      <c r="K70" s="100" t="s">
        <v>413</v>
      </c>
      <c r="L70" s="75"/>
    </row>
    <row r="71" spans="1:12" ht="15" hidden="1" customHeight="1">
      <c r="A71" s="178">
        <v>5</v>
      </c>
      <c r="B71" s="183">
        <v>44960</v>
      </c>
      <c r="C71" s="183">
        <v>44960</v>
      </c>
      <c r="D71" s="239" t="s">
        <v>286</v>
      </c>
      <c r="E71" s="239" t="s">
        <v>4</v>
      </c>
      <c r="F71" s="274" t="s">
        <v>8</v>
      </c>
      <c r="G71" s="73" t="s">
        <v>136</v>
      </c>
      <c r="H71" s="73" t="s">
        <v>295</v>
      </c>
      <c r="I71" s="74">
        <v>24750000</v>
      </c>
      <c r="J71" s="74" t="s">
        <v>298</v>
      </c>
      <c r="K71" s="100" t="s">
        <v>410</v>
      </c>
      <c r="L71" s="75"/>
    </row>
    <row r="72" spans="1:12" ht="15" hidden="1" customHeight="1">
      <c r="A72" s="178">
        <v>6</v>
      </c>
      <c r="B72" s="183">
        <v>44960</v>
      </c>
      <c r="C72" s="183">
        <v>44959</v>
      </c>
      <c r="D72" s="239" t="s">
        <v>285</v>
      </c>
      <c r="E72" s="239" t="s">
        <v>5</v>
      </c>
      <c r="F72" s="274" t="s">
        <v>51</v>
      </c>
      <c r="G72" s="73" t="s">
        <v>292</v>
      </c>
      <c r="H72" s="73" t="s">
        <v>293</v>
      </c>
      <c r="I72" s="74">
        <v>8960000</v>
      </c>
      <c r="J72" s="74" t="s">
        <v>397</v>
      </c>
      <c r="K72" s="100" t="s">
        <v>422</v>
      </c>
      <c r="L72" s="75"/>
    </row>
    <row r="73" spans="1:12" ht="15" hidden="1" customHeight="1">
      <c r="A73" s="178">
        <v>7</v>
      </c>
      <c r="B73" s="183">
        <v>44960</v>
      </c>
      <c r="C73" s="183">
        <v>44959</v>
      </c>
      <c r="D73" s="239" t="s">
        <v>285</v>
      </c>
      <c r="E73" s="239" t="s">
        <v>5</v>
      </c>
      <c r="F73" s="274" t="s">
        <v>51</v>
      </c>
      <c r="G73" s="73" t="s">
        <v>292</v>
      </c>
      <c r="H73" s="73" t="s">
        <v>294</v>
      </c>
      <c r="I73" s="74">
        <v>8960000</v>
      </c>
      <c r="J73" s="74" t="s">
        <v>397</v>
      </c>
      <c r="K73" s="100" t="s">
        <v>422</v>
      </c>
      <c r="L73" s="75"/>
    </row>
    <row r="74" spans="1:12" ht="15" hidden="1" customHeight="1">
      <c r="A74" s="178">
        <v>8</v>
      </c>
      <c r="B74" s="183">
        <v>44961</v>
      </c>
      <c r="C74" s="183">
        <v>44958</v>
      </c>
      <c r="D74" s="239" t="s">
        <v>321</v>
      </c>
      <c r="E74" s="239" t="s">
        <v>5</v>
      </c>
      <c r="F74" s="274" t="s">
        <v>7</v>
      </c>
      <c r="G74" s="73" t="s">
        <v>363</v>
      </c>
      <c r="H74" s="73" t="s">
        <v>118</v>
      </c>
      <c r="I74" s="74">
        <v>1600000</v>
      </c>
      <c r="J74" s="74" t="s">
        <v>396</v>
      </c>
      <c r="K74" s="100" t="s">
        <v>411</v>
      </c>
      <c r="L74" s="75"/>
    </row>
    <row r="75" spans="1:12" ht="15" hidden="1" customHeight="1">
      <c r="A75" s="178">
        <v>14</v>
      </c>
      <c r="B75" s="183">
        <v>44965</v>
      </c>
      <c r="C75" s="183">
        <v>44964</v>
      </c>
      <c r="D75" s="239" t="s">
        <v>305</v>
      </c>
      <c r="E75" s="239" t="s">
        <v>5</v>
      </c>
      <c r="F75" s="274" t="s">
        <v>51</v>
      </c>
      <c r="G75" s="73" t="s">
        <v>337</v>
      </c>
      <c r="H75" s="73" t="s">
        <v>338</v>
      </c>
      <c r="I75" s="74">
        <v>1950000</v>
      </c>
      <c r="J75" s="74" t="s">
        <v>383</v>
      </c>
      <c r="K75" s="100" t="s">
        <v>12</v>
      </c>
      <c r="L75" s="75" t="s">
        <v>409</v>
      </c>
    </row>
    <row r="76" spans="1:12" ht="15" hidden="1" customHeight="1">
      <c r="A76" s="178">
        <v>15</v>
      </c>
      <c r="B76" s="183">
        <v>44965</v>
      </c>
      <c r="C76" s="183">
        <v>44964</v>
      </c>
      <c r="D76" s="239" t="s">
        <v>305</v>
      </c>
      <c r="E76" s="239" t="s">
        <v>5</v>
      </c>
      <c r="F76" s="274" t="s">
        <v>51</v>
      </c>
      <c r="G76" s="73" t="s">
        <v>337</v>
      </c>
      <c r="H76" s="73" t="s">
        <v>339</v>
      </c>
      <c r="I76" s="74">
        <v>1950000</v>
      </c>
      <c r="J76" s="74" t="s">
        <v>383</v>
      </c>
      <c r="K76" s="100" t="s">
        <v>12</v>
      </c>
      <c r="L76" s="75" t="s">
        <v>409</v>
      </c>
    </row>
    <row r="77" spans="1:12" ht="15" hidden="1" customHeight="1">
      <c r="A77" s="178">
        <v>16</v>
      </c>
      <c r="B77" s="183">
        <v>44965</v>
      </c>
      <c r="C77" s="183">
        <v>44964</v>
      </c>
      <c r="D77" s="239" t="s">
        <v>305</v>
      </c>
      <c r="E77" s="239" t="s">
        <v>5</v>
      </c>
      <c r="F77" s="274" t="s">
        <v>51</v>
      </c>
      <c r="G77" s="73" t="s">
        <v>337</v>
      </c>
      <c r="H77" s="73" t="s">
        <v>340</v>
      </c>
      <c r="I77" s="74">
        <v>1950000</v>
      </c>
      <c r="J77" s="74" t="s">
        <v>383</v>
      </c>
      <c r="K77" s="100" t="s">
        <v>12</v>
      </c>
      <c r="L77" s="75" t="s">
        <v>409</v>
      </c>
    </row>
    <row r="78" spans="1:12" ht="15" hidden="1" customHeight="1">
      <c r="A78" s="178">
        <v>29</v>
      </c>
      <c r="B78" s="183">
        <v>44970</v>
      </c>
      <c r="C78" s="183">
        <v>44968</v>
      </c>
      <c r="D78" s="239" t="s">
        <v>324</v>
      </c>
      <c r="E78" s="239" t="s">
        <v>6</v>
      </c>
      <c r="F78" s="274" t="s">
        <v>9</v>
      </c>
      <c r="G78" s="73" t="s">
        <v>368</v>
      </c>
      <c r="H78" s="73" t="s">
        <v>369</v>
      </c>
      <c r="I78" s="74">
        <v>7140000</v>
      </c>
      <c r="J78" s="74" t="s">
        <v>399</v>
      </c>
      <c r="K78" s="100" t="s">
        <v>412</v>
      </c>
      <c r="L78" s="71"/>
    </row>
    <row r="79" spans="1:12" ht="15" hidden="1" customHeight="1">
      <c r="A79" s="178">
        <v>37</v>
      </c>
      <c r="B79" s="183">
        <v>44972</v>
      </c>
      <c r="C79" s="183">
        <v>44951</v>
      </c>
      <c r="D79" s="239" t="s">
        <v>322</v>
      </c>
      <c r="E79" s="239" t="s">
        <v>4</v>
      </c>
      <c r="F79" s="274" t="s">
        <v>11</v>
      </c>
      <c r="G79" s="73" t="s">
        <v>364</v>
      </c>
      <c r="H79" s="73" t="s">
        <v>365</v>
      </c>
      <c r="I79" s="74">
        <v>215500000</v>
      </c>
      <c r="J79" s="74" t="s">
        <v>398</v>
      </c>
      <c r="K79" s="100" t="s">
        <v>420</v>
      </c>
      <c r="L79" s="71"/>
    </row>
    <row r="80" spans="1:12" ht="15" hidden="1" customHeight="1">
      <c r="A80" s="178">
        <v>38</v>
      </c>
      <c r="B80" s="183">
        <v>44972</v>
      </c>
      <c r="C80" s="183">
        <v>44970</v>
      </c>
      <c r="D80" s="239" t="s">
        <v>326</v>
      </c>
      <c r="E80" s="239" t="s">
        <v>3</v>
      </c>
      <c r="F80" s="274" t="s">
        <v>7</v>
      </c>
      <c r="G80" s="73" t="s">
        <v>371</v>
      </c>
      <c r="H80" s="73" t="s">
        <v>118</v>
      </c>
      <c r="I80" s="74">
        <v>4077600</v>
      </c>
      <c r="J80" s="74" t="s">
        <v>400</v>
      </c>
      <c r="K80" s="100" t="s">
        <v>231</v>
      </c>
      <c r="L80" s="75"/>
    </row>
    <row r="81" spans="1:12" ht="15" hidden="1" customHeight="1">
      <c r="A81" s="178">
        <v>21</v>
      </c>
      <c r="B81" s="183">
        <v>44965</v>
      </c>
      <c r="C81" s="183">
        <v>44965</v>
      </c>
      <c r="D81" s="239" t="s">
        <v>272</v>
      </c>
      <c r="E81" s="239" t="s">
        <v>6</v>
      </c>
      <c r="F81" s="274" t="s">
        <v>49</v>
      </c>
      <c r="G81" s="73" t="s">
        <v>273</v>
      </c>
      <c r="H81" s="73" t="s">
        <v>274</v>
      </c>
      <c r="I81" s="74">
        <v>820000</v>
      </c>
      <c r="J81" s="74" t="s">
        <v>402</v>
      </c>
      <c r="K81" s="100" t="s">
        <v>275</v>
      </c>
      <c r="L81" s="75"/>
    </row>
    <row r="82" spans="1:12" ht="32.25" hidden="1" customHeight="1">
      <c r="A82" s="178">
        <v>22</v>
      </c>
      <c r="B82" s="183">
        <v>44965</v>
      </c>
      <c r="C82" s="183">
        <v>44965</v>
      </c>
      <c r="D82" s="239" t="s">
        <v>277</v>
      </c>
      <c r="E82" s="239" t="s">
        <v>6</v>
      </c>
      <c r="F82" s="274" t="s">
        <v>9</v>
      </c>
      <c r="G82" s="73" t="s">
        <v>278</v>
      </c>
      <c r="H82" s="73" t="s">
        <v>279</v>
      </c>
      <c r="I82" s="74">
        <v>4120000</v>
      </c>
      <c r="J82" s="74" t="s">
        <v>403</v>
      </c>
      <c r="K82" s="100" t="s">
        <v>275</v>
      </c>
      <c r="L82" s="75"/>
    </row>
    <row r="83" spans="1:12" ht="15" hidden="1" customHeight="1">
      <c r="A83" s="178">
        <v>44</v>
      </c>
      <c r="B83" s="183">
        <v>44977</v>
      </c>
      <c r="C83" s="183">
        <v>44977</v>
      </c>
      <c r="D83" s="239" t="s">
        <v>327</v>
      </c>
      <c r="E83" s="239" t="s">
        <v>3</v>
      </c>
      <c r="F83" s="274" t="s">
        <v>10</v>
      </c>
      <c r="G83" s="73" t="s">
        <v>372</v>
      </c>
      <c r="H83" s="73" t="s">
        <v>373</v>
      </c>
      <c r="I83" s="74">
        <v>2280000</v>
      </c>
      <c r="J83" s="74" t="s">
        <v>401</v>
      </c>
      <c r="K83" s="100" t="s">
        <v>275</v>
      </c>
      <c r="L83" s="75"/>
    </row>
    <row r="84" spans="1:12" ht="15" hidden="1" customHeight="1">
      <c r="A84" s="178">
        <v>11</v>
      </c>
      <c r="B84" s="183">
        <v>44964</v>
      </c>
      <c r="C84" s="183">
        <v>44957</v>
      </c>
      <c r="D84" s="239" t="s">
        <v>328</v>
      </c>
      <c r="E84" s="239" t="s">
        <v>5</v>
      </c>
      <c r="F84" s="274" t="s">
        <v>51</v>
      </c>
      <c r="G84" s="73" t="s">
        <v>374</v>
      </c>
      <c r="H84" s="73" t="s">
        <v>375</v>
      </c>
      <c r="I84" s="74">
        <v>2440000</v>
      </c>
      <c r="J84" s="74" t="s">
        <v>404</v>
      </c>
      <c r="K84" s="100" t="s">
        <v>242</v>
      </c>
      <c r="L84" s="75" t="s">
        <v>421</v>
      </c>
    </row>
    <row r="85" spans="1:12" ht="15" hidden="1" customHeight="1">
      <c r="A85" s="178">
        <v>12</v>
      </c>
      <c r="B85" s="183">
        <v>44964</v>
      </c>
      <c r="C85" s="183">
        <v>44957</v>
      </c>
      <c r="D85" s="239" t="s">
        <v>328</v>
      </c>
      <c r="E85" s="239" t="s">
        <v>5</v>
      </c>
      <c r="F85" s="274" t="s">
        <v>51</v>
      </c>
      <c r="G85" s="73" t="s">
        <v>374</v>
      </c>
      <c r="H85" s="73" t="s">
        <v>376</v>
      </c>
      <c r="I85" s="74">
        <v>2440000</v>
      </c>
      <c r="J85" s="74" t="s">
        <v>404</v>
      </c>
      <c r="K85" s="100" t="s">
        <v>242</v>
      </c>
      <c r="L85" s="75" t="s">
        <v>421</v>
      </c>
    </row>
    <row r="86" spans="1:12" ht="15" hidden="1" customHeight="1">
      <c r="A86" s="178">
        <v>13</v>
      </c>
      <c r="B86" s="183">
        <v>44964</v>
      </c>
      <c r="C86" s="183">
        <v>44957</v>
      </c>
      <c r="D86" s="239" t="s">
        <v>328</v>
      </c>
      <c r="E86" s="239" t="s">
        <v>5</v>
      </c>
      <c r="F86" s="274" t="s">
        <v>51</v>
      </c>
      <c r="G86" s="73" t="s">
        <v>374</v>
      </c>
      <c r="H86" s="73" t="s">
        <v>377</v>
      </c>
      <c r="I86" s="74">
        <v>2440000</v>
      </c>
      <c r="J86" s="74" t="s">
        <v>404</v>
      </c>
      <c r="K86" s="100" t="s">
        <v>242</v>
      </c>
      <c r="L86" s="75" t="s">
        <v>421</v>
      </c>
    </row>
    <row r="87" spans="1:12" ht="15" hidden="1" customHeight="1">
      <c r="A87" s="178">
        <v>42</v>
      </c>
      <c r="B87" s="183">
        <v>44977</v>
      </c>
      <c r="C87" s="183">
        <v>44966</v>
      </c>
      <c r="D87" s="239" t="s">
        <v>316</v>
      </c>
      <c r="E87" s="239" t="s">
        <v>5</v>
      </c>
      <c r="F87" s="274" t="s">
        <v>7</v>
      </c>
      <c r="G87" s="73" t="s">
        <v>354</v>
      </c>
      <c r="H87" s="73" t="s">
        <v>355</v>
      </c>
      <c r="I87" s="74">
        <v>127580000</v>
      </c>
      <c r="J87" s="74" t="s">
        <v>391</v>
      </c>
      <c r="K87" s="100"/>
      <c r="L87" s="75"/>
    </row>
    <row r="88" spans="1:12" ht="15" hidden="1" customHeight="1">
      <c r="A88" s="245">
        <v>48</v>
      </c>
      <c r="B88" s="246">
        <v>44982</v>
      </c>
      <c r="C88" s="246">
        <v>44974</v>
      </c>
      <c r="D88" s="184" t="s">
        <v>428</v>
      </c>
      <c r="E88" s="184" t="s">
        <v>3</v>
      </c>
      <c r="F88" s="275" t="s">
        <v>10</v>
      </c>
      <c r="G88" s="73" t="s">
        <v>432</v>
      </c>
      <c r="H88" s="73" t="s">
        <v>433</v>
      </c>
      <c r="I88" s="74">
        <v>2440000</v>
      </c>
      <c r="J88" s="74" t="s">
        <v>435</v>
      </c>
      <c r="K88" s="100"/>
      <c r="L88" s="75"/>
    </row>
    <row r="89" spans="1:12" s="71" customFormat="1" ht="12" hidden="1">
      <c r="A89" s="93">
        <v>25</v>
      </c>
      <c r="B89" s="251">
        <v>44987</v>
      </c>
      <c r="C89" s="72">
        <v>44970</v>
      </c>
      <c r="D89" s="73" t="s">
        <v>487</v>
      </c>
      <c r="E89" s="71" t="s">
        <v>140</v>
      </c>
      <c r="F89" s="276" t="s">
        <v>83</v>
      </c>
      <c r="G89" s="231" t="s">
        <v>488</v>
      </c>
      <c r="H89" s="73" t="s">
        <v>118</v>
      </c>
      <c r="I89" s="258"/>
      <c r="J89" s="259" t="s">
        <v>1</v>
      </c>
      <c r="K89" s="71" t="s">
        <v>489</v>
      </c>
      <c r="L89" s="75"/>
    </row>
    <row r="90" spans="1:12" s="71" customFormat="1" ht="12" hidden="1">
      <c r="A90" s="93">
        <v>1</v>
      </c>
      <c r="B90" s="251">
        <v>44988</v>
      </c>
      <c r="C90" s="72">
        <v>44985</v>
      </c>
      <c r="D90" s="73" t="s">
        <v>455</v>
      </c>
      <c r="E90" s="71" t="s">
        <v>6</v>
      </c>
      <c r="F90" s="276" t="s">
        <v>11</v>
      </c>
      <c r="G90" s="231" t="s">
        <v>456</v>
      </c>
      <c r="H90" s="73" t="s">
        <v>457</v>
      </c>
      <c r="I90" s="256"/>
      <c r="J90" s="75" t="s">
        <v>408</v>
      </c>
      <c r="K90" s="71" t="s">
        <v>458</v>
      </c>
      <c r="L90" s="75"/>
    </row>
    <row r="91" spans="1:12" s="71" customFormat="1" ht="12" hidden="1">
      <c r="A91" s="93">
        <v>26</v>
      </c>
      <c r="B91" s="251">
        <v>44988</v>
      </c>
      <c r="C91" s="72">
        <v>44982</v>
      </c>
      <c r="D91" s="73" t="s">
        <v>490</v>
      </c>
      <c r="E91" s="71" t="s">
        <v>4</v>
      </c>
      <c r="F91" s="276" t="s">
        <v>8</v>
      </c>
      <c r="G91" s="231" t="s">
        <v>491</v>
      </c>
      <c r="H91" s="73" t="s">
        <v>492</v>
      </c>
      <c r="I91" s="258"/>
      <c r="J91" s="259" t="s">
        <v>1</v>
      </c>
      <c r="K91" s="71" t="s">
        <v>493</v>
      </c>
      <c r="L91" s="75"/>
    </row>
    <row r="92" spans="1:12" s="71" customFormat="1" ht="12" hidden="1">
      <c r="A92" s="93">
        <v>27</v>
      </c>
      <c r="B92" s="251">
        <v>44988</v>
      </c>
      <c r="C92" s="72">
        <v>44982</v>
      </c>
      <c r="D92" s="73" t="s">
        <v>490</v>
      </c>
      <c r="E92" s="71" t="s">
        <v>4</v>
      </c>
      <c r="F92" s="276" t="s">
        <v>8</v>
      </c>
      <c r="G92" s="231" t="s">
        <v>491</v>
      </c>
      <c r="H92" s="73" t="s">
        <v>494</v>
      </c>
      <c r="I92" s="258"/>
      <c r="J92" s="259" t="s">
        <v>1</v>
      </c>
      <c r="K92" s="71" t="s">
        <v>493</v>
      </c>
      <c r="L92" s="75"/>
    </row>
    <row r="93" spans="1:12" s="71" customFormat="1" ht="15.75" hidden="1" customHeight="1">
      <c r="A93" s="93">
        <v>8</v>
      </c>
      <c r="B93" s="251">
        <v>44989</v>
      </c>
      <c r="C93" s="72">
        <v>44987</v>
      </c>
      <c r="D93" s="73" t="s">
        <v>463</v>
      </c>
      <c r="E93" s="71" t="s">
        <v>6</v>
      </c>
      <c r="F93" s="276" t="s">
        <v>49</v>
      </c>
      <c r="G93" s="231" t="s">
        <v>142</v>
      </c>
      <c r="H93" s="73" t="s">
        <v>118</v>
      </c>
      <c r="I93" s="256"/>
      <c r="J93" s="75" t="s">
        <v>461</v>
      </c>
      <c r="K93" s="71" t="s">
        <v>464</v>
      </c>
      <c r="L93" s="75"/>
    </row>
    <row r="94" spans="1:12" s="71" customFormat="1" ht="12" hidden="1">
      <c r="A94" s="93">
        <v>29</v>
      </c>
      <c r="B94" s="251">
        <v>44989</v>
      </c>
      <c r="C94" s="72">
        <v>44989</v>
      </c>
      <c r="D94" s="73" t="s">
        <v>495</v>
      </c>
      <c r="E94" s="71" t="s">
        <v>140</v>
      </c>
      <c r="F94" s="276" t="s">
        <v>83</v>
      </c>
      <c r="G94" s="231" t="s">
        <v>496</v>
      </c>
      <c r="H94" s="73" t="s">
        <v>497</v>
      </c>
      <c r="I94" s="258"/>
      <c r="J94" s="259" t="s">
        <v>400</v>
      </c>
      <c r="K94" s="71" t="s">
        <v>400</v>
      </c>
      <c r="L94" s="75"/>
    </row>
    <row r="95" spans="1:12" s="71" customFormat="1" ht="12" hidden="1">
      <c r="A95" s="93">
        <v>18</v>
      </c>
      <c r="B95" s="251">
        <v>44991</v>
      </c>
      <c r="C95" s="72">
        <v>44981</v>
      </c>
      <c r="D95" s="73" t="s">
        <v>476</v>
      </c>
      <c r="E95" s="71" t="s">
        <v>3</v>
      </c>
      <c r="F95" s="276" t="s">
        <v>7</v>
      </c>
      <c r="G95" s="231" t="s">
        <v>477</v>
      </c>
      <c r="H95" s="73" t="s">
        <v>118</v>
      </c>
      <c r="I95" s="256"/>
      <c r="J95" s="75" t="s">
        <v>12</v>
      </c>
      <c r="K95" s="71" t="s">
        <v>531</v>
      </c>
      <c r="L95" s="75"/>
    </row>
    <row r="96" spans="1:12" s="71" customFormat="1" ht="15" hidden="1">
      <c r="A96" s="93">
        <v>20</v>
      </c>
      <c r="B96" s="251">
        <v>44991</v>
      </c>
      <c r="C96" s="72">
        <v>44971</v>
      </c>
      <c r="D96" s="73" t="s">
        <v>478</v>
      </c>
      <c r="E96" s="71" t="s">
        <v>6</v>
      </c>
      <c r="F96" s="276" t="s">
        <v>11</v>
      </c>
      <c r="G96" s="231" t="s">
        <v>479</v>
      </c>
      <c r="H96" s="257" t="s">
        <v>480</v>
      </c>
      <c r="I96" s="253"/>
      <c r="J96" s="75" t="s">
        <v>12</v>
      </c>
      <c r="K96" s="71" t="s">
        <v>481</v>
      </c>
      <c r="L96" s="75"/>
    </row>
    <row r="97" spans="1:12" s="71" customFormat="1" ht="12" hidden="1">
      <c r="A97" s="93">
        <v>9</v>
      </c>
      <c r="B97" s="251">
        <v>44992</v>
      </c>
      <c r="C97" s="72">
        <v>44987</v>
      </c>
      <c r="D97" s="73" t="s">
        <v>466</v>
      </c>
      <c r="E97" s="71" t="s">
        <v>4</v>
      </c>
      <c r="F97" s="276" t="s">
        <v>51</v>
      </c>
      <c r="G97" s="231" t="s">
        <v>467</v>
      </c>
      <c r="H97" s="73" t="s">
        <v>118</v>
      </c>
      <c r="I97" s="256"/>
      <c r="J97" s="75" t="s">
        <v>535</v>
      </c>
      <c r="K97" s="71" t="s">
        <v>468</v>
      </c>
      <c r="L97" s="75"/>
    </row>
    <row r="98" spans="1:12" s="71" customFormat="1" ht="12" hidden="1">
      <c r="A98" s="93">
        <v>11</v>
      </c>
      <c r="B98" s="251">
        <v>44992</v>
      </c>
      <c r="C98" s="72">
        <v>44989</v>
      </c>
      <c r="D98" s="73" t="s">
        <v>482</v>
      </c>
      <c r="E98" s="71" t="s">
        <v>6</v>
      </c>
      <c r="F98" s="276" t="s">
        <v>49</v>
      </c>
      <c r="G98" s="257" t="s">
        <v>483</v>
      </c>
      <c r="H98" s="94" t="s">
        <v>484</v>
      </c>
      <c r="I98" s="256"/>
      <c r="J98" s="75" t="s">
        <v>12</v>
      </c>
      <c r="K98" s="71" t="s">
        <v>530</v>
      </c>
      <c r="L98" s="75"/>
    </row>
    <row r="99" spans="1:12" s="71" customFormat="1" ht="12" hidden="1">
      <c r="A99" s="93">
        <v>12</v>
      </c>
      <c r="B99" s="251">
        <v>44992</v>
      </c>
      <c r="C99" s="72">
        <v>44989</v>
      </c>
      <c r="D99" s="73" t="s">
        <v>482</v>
      </c>
      <c r="E99" s="71" t="s">
        <v>6</v>
      </c>
      <c r="F99" s="276" t="s">
        <v>49</v>
      </c>
      <c r="G99" s="257" t="s">
        <v>483</v>
      </c>
      <c r="H99" s="73" t="s">
        <v>485</v>
      </c>
      <c r="I99" s="256"/>
      <c r="J99" s="75" t="s">
        <v>12</v>
      </c>
      <c r="K99" s="71" t="s">
        <v>530</v>
      </c>
      <c r="L99" s="75"/>
    </row>
    <row r="100" spans="1:12" s="71" customFormat="1" ht="12" hidden="1">
      <c r="A100" s="93">
        <v>13</v>
      </c>
      <c r="B100" s="251">
        <v>44992</v>
      </c>
      <c r="C100" s="72">
        <v>44989</v>
      </c>
      <c r="D100" s="73" t="s">
        <v>482</v>
      </c>
      <c r="E100" s="71" t="s">
        <v>6</v>
      </c>
      <c r="F100" s="276" t="s">
        <v>49</v>
      </c>
      <c r="G100" s="257" t="s">
        <v>483</v>
      </c>
      <c r="H100" s="73" t="s">
        <v>486</v>
      </c>
      <c r="I100" s="256"/>
      <c r="J100" s="75" t="s">
        <v>12</v>
      </c>
      <c r="K100" s="71" t="s">
        <v>530</v>
      </c>
      <c r="L100" s="75"/>
    </row>
    <row r="101" spans="1:12" s="71" customFormat="1" ht="12" hidden="1">
      <c r="A101" s="93">
        <v>17</v>
      </c>
      <c r="B101" s="251">
        <v>44992</v>
      </c>
      <c r="C101" s="72">
        <v>44992</v>
      </c>
      <c r="D101" s="73" t="s">
        <v>472</v>
      </c>
      <c r="E101" s="71" t="s">
        <v>4</v>
      </c>
      <c r="F101" s="276" t="s">
        <v>10</v>
      </c>
      <c r="G101" s="231" t="s">
        <v>473</v>
      </c>
      <c r="H101" s="73" t="s">
        <v>474</v>
      </c>
      <c r="I101" s="256"/>
      <c r="J101" s="75" t="s">
        <v>12</v>
      </c>
      <c r="K101" s="71" t="s">
        <v>475</v>
      </c>
      <c r="L101" s="75"/>
    </row>
    <row r="102" spans="1:12" s="71" customFormat="1" ht="12" hidden="1">
      <c r="A102" s="93">
        <v>7</v>
      </c>
      <c r="B102" s="251">
        <v>44993</v>
      </c>
      <c r="C102" s="72">
        <v>44992</v>
      </c>
      <c r="D102" s="73" t="s">
        <v>459</v>
      </c>
      <c r="E102" s="71" t="s">
        <v>140</v>
      </c>
      <c r="F102" s="276" t="s">
        <v>83</v>
      </c>
      <c r="G102" s="231" t="s">
        <v>460</v>
      </c>
      <c r="H102" s="100" t="s">
        <v>118</v>
      </c>
      <c r="I102" s="256"/>
      <c r="J102" s="75" t="s">
        <v>461</v>
      </c>
      <c r="K102" s="71" t="s">
        <v>462</v>
      </c>
      <c r="L102" s="75"/>
    </row>
    <row r="103" spans="1:12" s="71" customFormat="1" hidden="1">
      <c r="A103" s="93">
        <v>24</v>
      </c>
      <c r="B103" s="251">
        <v>44993</v>
      </c>
      <c r="C103" s="72">
        <v>44993</v>
      </c>
      <c r="D103" s="73" t="s">
        <v>504</v>
      </c>
      <c r="E103" s="71" t="s">
        <v>3</v>
      </c>
      <c r="F103" s="276" t="s">
        <v>8</v>
      </c>
      <c r="G103" s="231" t="s">
        <v>510</v>
      </c>
      <c r="H103" s="73" t="s">
        <v>518</v>
      </c>
      <c r="I103" s="255"/>
      <c r="J103" s="75" t="s">
        <v>1</v>
      </c>
      <c r="K103" s="71" t="s">
        <v>529</v>
      </c>
      <c r="L103" s="75"/>
    </row>
    <row r="104" spans="1:12" s="71" customFormat="1" ht="12" hidden="1">
      <c r="A104" s="93">
        <v>14</v>
      </c>
      <c r="B104" s="251">
        <v>44994</v>
      </c>
      <c r="C104" s="72">
        <v>44994</v>
      </c>
      <c r="D104" s="73" t="s">
        <v>469</v>
      </c>
      <c r="E104" s="71" t="s">
        <v>6</v>
      </c>
      <c r="F104" s="276" t="s">
        <v>10</v>
      </c>
      <c r="G104" s="257" t="s">
        <v>470</v>
      </c>
      <c r="H104" s="94" t="s">
        <v>471</v>
      </c>
      <c r="I104" s="256"/>
      <c r="J104" s="75" t="s">
        <v>12</v>
      </c>
      <c r="K104" s="71" t="s">
        <v>392</v>
      </c>
      <c r="L104" s="75"/>
    </row>
    <row r="105" spans="1:12" s="71" customFormat="1" ht="12" hidden="1">
      <c r="A105" s="93">
        <v>10</v>
      </c>
      <c r="B105" s="251">
        <v>44995</v>
      </c>
      <c r="C105" s="72">
        <v>44985</v>
      </c>
      <c r="D105" s="73" t="s">
        <v>465</v>
      </c>
      <c r="E105" s="71" t="s">
        <v>6</v>
      </c>
      <c r="F105" s="276" t="s">
        <v>49</v>
      </c>
      <c r="G105" s="231" t="s">
        <v>142</v>
      </c>
      <c r="H105" s="73" t="s">
        <v>118</v>
      </c>
      <c r="I105" s="256"/>
      <c r="J105" s="75" t="s">
        <v>12</v>
      </c>
      <c r="K105" s="71" t="s">
        <v>448</v>
      </c>
      <c r="L105" s="75"/>
    </row>
    <row r="106" spans="1:12" s="71" customFormat="1" ht="12" hidden="1">
      <c r="A106" s="93">
        <v>15</v>
      </c>
      <c r="B106" s="251">
        <v>44998</v>
      </c>
      <c r="C106" s="72">
        <v>44994</v>
      </c>
      <c r="D106" s="73" t="s">
        <v>505</v>
      </c>
      <c r="E106" s="71" t="s">
        <v>4</v>
      </c>
      <c r="F106" s="276" t="s">
        <v>9</v>
      </c>
      <c r="G106" s="231" t="s">
        <v>511</v>
      </c>
      <c r="H106" s="73" t="s">
        <v>519</v>
      </c>
      <c r="I106" s="256"/>
      <c r="J106" s="75" t="s">
        <v>12</v>
      </c>
      <c r="K106" s="71" t="s">
        <v>392</v>
      </c>
      <c r="L106" s="75"/>
    </row>
    <row r="107" spans="1:12" s="71" customFormat="1" ht="12" hidden="1">
      <c r="A107" s="93">
        <v>16</v>
      </c>
      <c r="B107" s="251">
        <v>44998</v>
      </c>
      <c r="C107" s="72">
        <v>44994</v>
      </c>
      <c r="D107" s="73" t="s">
        <v>505</v>
      </c>
      <c r="E107" s="71" t="s">
        <v>4</v>
      </c>
      <c r="F107" s="276" t="s">
        <v>9</v>
      </c>
      <c r="G107" s="257" t="s">
        <v>511</v>
      </c>
      <c r="H107" s="94" t="s">
        <v>520</v>
      </c>
      <c r="I107" s="256"/>
      <c r="J107" s="75" t="s">
        <v>12</v>
      </c>
      <c r="K107" s="71" t="s">
        <v>392</v>
      </c>
      <c r="L107" s="75"/>
    </row>
    <row r="108" spans="1:12" s="71" customFormat="1" hidden="1">
      <c r="A108" s="93">
        <v>19</v>
      </c>
      <c r="B108" s="251">
        <v>44998</v>
      </c>
      <c r="C108" s="72">
        <v>44994</v>
      </c>
      <c r="D108" s="73" t="s">
        <v>506</v>
      </c>
      <c r="E108" s="231" t="s">
        <v>6</v>
      </c>
      <c r="F108" s="277" t="s">
        <v>11</v>
      </c>
      <c r="G108" s="231" t="s">
        <v>512</v>
      </c>
      <c r="H108" s="73" t="s">
        <v>521</v>
      </c>
      <c r="J108" s="75" t="s">
        <v>12</v>
      </c>
      <c r="K108" s="71" t="s">
        <v>532</v>
      </c>
      <c r="L108" s="75"/>
    </row>
    <row r="109" spans="1:12" s="71" customFormat="1" ht="12.75" hidden="1">
      <c r="A109" s="93">
        <v>21</v>
      </c>
      <c r="B109" s="251">
        <v>45000</v>
      </c>
      <c r="C109" s="72">
        <v>44996</v>
      </c>
      <c r="D109" s="73" t="s">
        <v>507</v>
      </c>
      <c r="E109" s="71" t="s">
        <v>6</v>
      </c>
      <c r="F109" s="276" t="s">
        <v>11</v>
      </c>
      <c r="G109" s="231" t="s">
        <v>512</v>
      </c>
      <c r="H109" s="73" t="s">
        <v>522</v>
      </c>
      <c r="I109" s="254"/>
      <c r="J109" s="75" t="s">
        <v>12</v>
      </c>
      <c r="K109" s="71" t="s">
        <v>533</v>
      </c>
      <c r="L109" s="75"/>
    </row>
    <row r="110" spans="1:12" s="71" customFormat="1" hidden="1">
      <c r="A110" s="93">
        <v>22</v>
      </c>
      <c r="B110" s="251">
        <v>45000</v>
      </c>
      <c r="C110" s="72">
        <v>44996</v>
      </c>
      <c r="D110" s="73" t="s">
        <v>507</v>
      </c>
      <c r="E110" s="71" t="s">
        <v>6</v>
      </c>
      <c r="F110" s="276" t="s">
        <v>11</v>
      </c>
      <c r="G110" s="257" t="s">
        <v>512</v>
      </c>
      <c r="H110" s="94" t="s">
        <v>523</v>
      </c>
      <c r="I110" s="255"/>
      <c r="J110" s="75" t="s">
        <v>12</v>
      </c>
      <c r="K110" s="71" t="s">
        <v>533</v>
      </c>
      <c r="L110" s="75"/>
    </row>
    <row r="111" spans="1:12" s="71" customFormat="1" ht="12" hidden="1">
      <c r="A111" s="93">
        <v>23</v>
      </c>
      <c r="B111" s="251">
        <v>45000</v>
      </c>
      <c r="C111" s="72">
        <v>44996</v>
      </c>
      <c r="D111" s="73" t="s">
        <v>507</v>
      </c>
      <c r="E111" s="71" t="s">
        <v>6</v>
      </c>
      <c r="F111" s="276" t="s">
        <v>11</v>
      </c>
      <c r="G111" s="257" t="s">
        <v>512</v>
      </c>
      <c r="H111" s="94" t="s">
        <v>524</v>
      </c>
      <c r="I111" s="258"/>
      <c r="J111" s="75" t="s">
        <v>12</v>
      </c>
      <c r="K111" s="71" t="s">
        <v>533</v>
      </c>
      <c r="L111" s="75"/>
    </row>
    <row r="112" spans="1:12" s="71" customFormat="1" hidden="1">
      <c r="A112" s="93">
        <v>2</v>
      </c>
      <c r="B112" s="251">
        <v>45002</v>
      </c>
      <c r="C112" s="72">
        <v>45002</v>
      </c>
      <c r="D112" s="73" t="s">
        <v>500</v>
      </c>
      <c r="E112" s="71" t="s">
        <v>3</v>
      </c>
      <c r="F112" s="276" t="s">
        <v>8</v>
      </c>
      <c r="G112" s="231" t="s">
        <v>491</v>
      </c>
      <c r="H112" s="73" t="s">
        <v>501</v>
      </c>
      <c r="I112" s="252"/>
      <c r="J112" s="75" t="s">
        <v>243</v>
      </c>
      <c r="K112" s="71" t="s">
        <v>502</v>
      </c>
      <c r="L112" s="75"/>
    </row>
    <row r="113" spans="1:14" s="71" customFormat="1" ht="12" hidden="1">
      <c r="A113" s="93">
        <v>28</v>
      </c>
      <c r="B113" s="251">
        <v>45002</v>
      </c>
      <c r="C113" s="72">
        <v>45000</v>
      </c>
      <c r="D113" s="73" t="s">
        <v>508</v>
      </c>
      <c r="E113" s="71" t="s">
        <v>4</v>
      </c>
      <c r="F113" s="276" t="s">
        <v>9</v>
      </c>
      <c r="G113" s="231" t="s">
        <v>513</v>
      </c>
      <c r="H113" s="73" t="s">
        <v>525</v>
      </c>
      <c r="I113" s="258"/>
      <c r="J113" s="259" t="s">
        <v>536</v>
      </c>
      <c r="K113" s="71" t="s">
        <v>534</v>
      </c>
      <c r="L113" s="75"/>
    </row>
    <row r="114" spans="1:14" s="71" customFormat="1" hidden="1">
      <c r="A114" s="93">
        <v>3</v>
      </c>
      <c r="B114" s="72">
        <v>45003</v>
      </c>
      <c r="C114" s="72">
        <v>45003</v>
      </c>
      <c r="D114" s="73" t="s">
        <v>503</v>
      </c>
      <c r="E114" s="71" t="s">
        <v>6</v>
      </c>
      <c r="F114" s="276" t="s">
        <v>11</v>
      </c>
      <c r="G114" s="231" t="s">
        <v>509</v>
      </c>
      <c r="H114" s="73" t="s">
        <v>514</v>
      </c>
      <c r="I114" s="252"/>
      <c r="J114" s="75" t="s">
        <v>243</v>
      </c>
      <c r="K114" s="71" t="s">
        <v>526</v>
      </c>
      <c r="L114" s="75"/>
    </row>
    <row r="115" spans="1:14" s="71" customFormat="1" hidden="1">
      <c r="A115" s="93">
        <v>4</v>
      </c>
      <c r="B115" s="72">
        <v>45003</v>
      </c>
      <c r="C115" s="72">
        <v>45003</v>
      </c>
      <c r="D115" s="73" t="s">
        <v>503</v>
      </c>
      <c r="E115" s="71" t="s">
        <v>6</v>
      </c>
      <c r="F115" s="276" t="s">
        <v>11</v>
      </c>
      <c r="G115" s="231" t="s">
        <v>509</v>
      </c>
      <c r="H115" s="73" t="s">
        <v>515</v>
      </c>
      <c r="I115" s="252"/>
      <c r="J115" s="75" t="s">
        <v>243</v>
      </c>
      <c r="K115" s="71" t="s">
        <v>526</v>
      </c>
      <c r="L115" s="75"/>
    </row>
    <row r="116" spans="1:14" s="71" customFormat="1" ht="15" hidden="1">
      <c r="A116" s="93">
        <v>5</v>
      </c>
      <c r="B116" s="72">
        <v>45003</v>
      </c>
      <c r="C116" s="72">
        <v>45003</v>
      </c>
      <c r="D116" s="73" t="s">
        <v>503</v>
      </c>
      <c r="E116" s="71" t="s">
        <v>6</v>
      </c>
      <c r="F116" s="276" t="s">
        <v>11</v>
      </c>
      <c r="G116" s="231" t="s">
        <v>509</v>
      </c>
      <c r="H116" s="73" t="s">
        <v>516</v>
      </c>
      <c r="I116" s="253"/>
      <c r="J116" s="75" t="s">
        <v>243</v>
      </c>
      <c r="K116" s="71" t="s">
        <v>527</v>
      </c>
      <c r="L116" s="75"/>
    </row>
    <row r="117" spans="1:14" s="71" customFormat="1" ht="12.75" hidden="1">
      <c r="A117" s="93">
        <v>6</v>
      </c>
      <c r="B117" s="72">
        <v>45003</v>
      </c>
      <c r="C117" s="72">
        <v>45003</v>
      </c>
      <c r="D117" s="73" t="s">
        <v>503</v>
      </c>
      <c r="E117" s="71" t="s">
        <v>6</v>
      </c>
      <c r="F117" s="276" t="s">
        <v>11</v>
      </c>
      <c r="G117" s="231" t="s">
        <v>509</v>
      </c>
      <c r="H117" s="73" t="s">
        <v>517</v>
      </c>
      <c r="I117" s="254"/>
      <c r="J117" s="75" t="s">
        <v>243</v>
      </c>
      <c r="K117" s="71" t="s">
        <v>528</v>
      </c>
      <c r="L117" s="75"/>
    </row>
    <row r="118" spans="1:14" ht="18" hidden="1" customHeight="1">
      <c r="A118" s="71"/>
      <c r="B118" s="251">
        <v>45008</v>
      </c>
      <c r="C118" s="251">
        <v>45008</v>
      </c>
      <c r="D118" s="71" t="s">
        <v>538</v>
      </c>
      <c r="E118" s="71" t="s">
        <v>6</v>
      </c>
      <c r="F118" s="276" t="s">
        <v>11</v>
      </c>
      <c r="G118" s="135" t="s">
        <v>546</v>
      </c>
      <c r="H118" s="261" t="s">
        <v>554</v>
      </c>
      <c r="I118" s="258"/>
      <c r="J118" s="75" t="s">
        <v>243</v>
      </c>
      <c r="K118" s="259" t="s">
        <v>559</v>
      </c>
      <c r="L118" s="75"/>
    </row>
    <row r="119" spans="1:14" ht="18" hidden="1" customHeight="1">
      <c r="A119" s="71"/>
      <c r="B119" s="251">
        <v>45008</v>
      </c>
      <c r="C119" s="251">
        <v>45005</v>
      </c>
      <c r="D119" s="71" t="s">
        <v>539</v>
      </c>
      <c r="E119" s="71" t="s">
        <v>6</v>
      </c>
      <c r="F119" s="276" t="s">
        <v>9</v>
      </c>
      <c r="G119" s="135" t="s">
        <v>547</v>
      </c>
      <c r="H119" s="261" t="s">
        <v>555</v>
      </c>
      <c r="I119" s="258"/>
      <c r="J119" s="75" t="s">
        <v>243</v>
      </c>
      <c r="K119" s="259" t="s">
        <v>562</v>
      </c>
      <c r="L119" s="75"/>
    </row>
    <row r="120" spans="1:14" ht="18" hidden="1" customHeight="1">
      <c r="A120" s="71"/>
      <c r="B120" s="251">
        <v>45008</v>
      </c>
      <c r="C120" s="251">
        <v>45006</v>
      </c>
      <c r="D120" s="71" t="s">
        <v>540</v>
      </c>
      <c r="E120" s="71" t="s">
        <v>4</v>
      </c>
      <c r="F120" s="276" t="s">
        <v>9</v>
      </c>
      <c r="G120" s="135" t="s">
        <v>548</v>
      </c>
      <c r="H120" s="261" t="s">
        <v>556</v>
      </c>
      <c r="I120" s="258"/>
      <c r="J120" s="75" t="s">
        <v>243</v>
      </c>
      <c r="K120" s="259" t="s">
        <v>562</v>
      </c>
      <c r="L120" s="75"/>
    </row>
    <row r="121" spans="1:14" ht="18" hidden="1" customHeight="1">
      <c r="A121" s="71"/>
      <c r="B121" s="251">
        <v>45008</v>
      </c>
      <c r="C121" s="251">
        <v>45006</v>
      </c>
      <c r="D121" s="71" t="s">
        <v>541</v>
      </c>
      <c r="E121" s="71" t="s">
        <v>4</v>
      </c>
      <c r="F121" s="276" t="s">
        <v>9</v>
      </c>
      <c r="G121" s="135" t="s">
        <v>549</v>
      </c>
      <c r="H121" s="261" t="s">
        <v>556</v>
      </c>
      <c r="I121" s="258"/>
      <c r="J121" s="75" t="s">
        <v>243</v>
      </c>
      <c r="K121" s="259" t="s">
        <v>562</v>
      </c>
      <c r="L121" s="75"/>
    </row>
    <row r="122" spans="1:14" ht="18" hidden="1" customHeight="1">
      <c r="A122" s="71"/>
      <c r="B122" s="251">
        <v>45008</v>
      </c>
      <c r="C122" s="251">
        <v>45006</v>
      </c>
      <c r="D122" s="71" t="s">
        <v>542</v>
      </c>
      <c r="E122" s="71" t="s">
        <v>4</v>
      </c>
      <c r="F122" s="276" t="s">
        <v>9</v>
      </c>
      <c r="G122" s="135" t="s">
        <v>550</v>
      </c>
      <c r="H122" s="261" t="s">
        <v>556</v>
      </c>
      <c r="I122" s="258"/>
      <c r="J122" s="75" t="s">
        <v>243</v>
      </c>
      <c r="K122" s="259" t="s">
        <v>562</v>
      </c>
      <c r="L122" s="75"/>
    </row>
    <row r="123" spans="1:14" ht="18" hidden="1" customHeight="1">
      <c r="A123" s="71"/>
      <c r="B123" s="251">
        <v>45008</v>
      </c>
      <c r="C123" s="251">
        <v>45006</v>
      </c>
      <c r="D123" s="71" t="s">
        <v>543</v>
      </c>
      <c r="E123" s="71" t="s">
        <v>4</v>
      </c>
      <c r="F123" s="276" t="s">
        <v>9</v>
      </c>
      <c r="G123" s="135" t="s">
        <v>551</v>
      </c>
      <c r="H123" s="261" t="s">
        <v>557</v>
      </c>
      <c r="I123" s="258"/>
      <c r="J123" s="75" t="s">
        <v>243</v>
      </c>
      <c r="K123" s="259" t="s">
        <v>562</v>
      </c>
      <c r="L123" s="75"/>
    </row>
    <row r="124" spans="1:14" ht="18" hidden="1" customHeight="1">
      <c r="A124" s="71"/>
      <c r="B124" s="251">
        <v>45008</v>
      </c>
      <c r="C124" s="251">
        <v>45002</v>
      </c>
      <c r="D124" s="71" t="s">
        <v>544</v>
      </c>
      <c r="E124" s="71" t="s">
        <v>6</v>
      </c>
      <c r="F124" s="276" t="s">
        <v>49</v>
      </c>
      <c r="G124" s="71" t="s">
        <v>552</v>
      </c>
      <c r="H124" s="135" t="s">
        <v>118</v>
      </c>
      <c r="I124" s="255"/>
      <c r="J124" s="262" t="s">
        <v>461</v>
      </c>
      <c r="K124" s="135" t="s">
        <v>560</v>
      </c>
      <c r="L124" s="75"/>
      <c r="M124" s="244"/>
      <c r="N124" s="244"/>
    </row>
    <row r="125" spans="1:14" ht="18" hidden="1" customHeight="1">
      <c r="A125" s="71"/>
      <c r="B125" s="251">
        <v>45008</v>
      </c>
      <c r="C125" s="251">
        <v>45008</v>
      </c>
      <c r="D125" s="71" t="s">
        <v>545</v>
      </c>
      <c r="E125" s="71" t="s">
        <v>3</v>
      </c>
      <c r="F125" s="276" t="s">
        <v>8</v>
      </c>
      <c r="G125" s="71" t="s">
        <v>553</v>
      </c>
      <c r="H125" s="135" t="s">
        <v>558</v>
      </c>
      <c r="I125" s="255"/>
      <c r="J125" s="262" t="s">
        <v>12</v>
      </c>
      <c r="K125" s="135" t="s">
        <v>561</v>
      </c>
      <c r="L125" s="75"/>
    </row>
    <row r="126" spans="1:14" hidden="1">
      <c r="G126" s="71"/>
      <c r="H126" s="71"/>
      <c r="I126" s="255"/>
      <c r="J126" s="255"/>
      <c r="K126" s="75"/>
      <c r="L126" s="75"/>
    </row>
    <row r="127" spans="1:14" hidden="1">
      <c r="G127" s="71"/>
      <c r="H127" s="71"/>
      <c r="I127" s="255"/>
      <c r="J127" s="255"/>
      <c r="K127" s="75"/>
      <c r="L127" s="75"/>
    </row>
    <row r="128" spans="1:14" hidden="1">
      <c r="A128" s="266">
        <v>1</v>
      </c>
      <c r="B128" s="267">
        <v>45017</v>
      </c>
      <c r="C128" s="267">
        <v>45016</v>
      </c>
      <c r="D128" s="266" t="s">
        <v>573</v>
      </c>
      <c r="E128" s="266" t="s">
        <v>4</v>
      </c>
      <c r="F128" s="278" t="s">
        <v>51</v>
      </c>
      <c r="G128" s="71" t="s">
        <v>574</v>
      </c>
      <c r="H128" s="71" t="s">
        <v>575</v>
      </c>
      <c r="I128" s="74">
        <v>1140000</v>
      </c>
      <c r="J128" s="75" t="s">
        <v>45</v>
      </c>
      <c r="K128" s="71" t="s">
        <v>135</v>
      </c>
      <c r="L128" s="71" t="s">
        <v>135</v>
      </c>
    </row>
    <row r="129" spans="1:12" hidden="1">
      <c r="A129" s="106">
        <v>2</v>
      </c>
      <c r="B129" s="151">
        <v>45017</v>
      </c>
      <c r="C129" s="151">
        <v>45017</v>
      </c>
      <c r="D129" s="106" t="s">
        <v>643</v>
      </c>
      <c r="E129" s="106" t="s">
        <v>3</v>
      </c>
      <c r="F129" s="242" t="s">
        <v>8</v>
      </c>
      <c r="G129" s="71" t="s">
        <v>136</v>
      </c>
      <c r="H129" s="71" t="s">
        <v>644</v>
      </c>
      <c r="I129" s="252">
        <v>24600000</v>
      </c>
      <c r="J129" s="75" t="s">
        <v>45</v>
      </c>
      <c r="K129" s="71" t="s">
        <v>644</v>
      </c>
      <c r="L129" s="71" t="s">
        <v>243</v>
      </c>
    </row>
    <row r="130" spans="1:12" hidden="1">
      <c r="A130" s="106">
        <v>3</v>
      </c>
      <c r="B130" s="151">
        <v>45017</v>
      </c>
      <c r="C130" s="151">
        <v>45017</v>
      </c>
      <c r="D130" s="106" t="s">
        <v>645</v>
      </c>
      <c r="E130" s="106" t="s">
        <v>3</v>
      </c>
      <c r="F130" s="242" t="s">
        <v>8</v>
      </c>
      <c r="G130" s="71" t="s">
        <v>136</v>
      </c>
      <c r="H130" s="71" t="s">
        <v>644</v>
      </c>
      <c r="I130" s="252">
        <v>405900000</v>
      </c>
      <c r="J130" s="75" t="s">
        <v>45</v>
      </c>
      <c r="K130" s="71" t="s">
        <v>644</v>
      </c>
      <c r="L130" s="71" t="s">
        <v>243</v>
      </c>
    </row>
    <row r="131" spans="1:12" hidden="1">
      <c r="A131" s="106">
        <v>4</v>
      </c>
      <c r="B131" s="151">
        <v>45019</v>
      </c>
      <c r="C131" s="240">
        <v>45006</v>
      </c>
      <c r="D131" s="239" t="s">
        <v>540</v>
      </c>
      <c r="E131" s="106" t="s">
        <v>4</v>
      </c>
      <c r="F131" s="242" t="s">
        <v>9</v>
      </c>
      <c r="G131" s="231" t="s">
        <v>548</v>
      </c>
      <c r="H131" s="71" t="s">
        <v>646</v>
      </c>
      <c r="I131" s="74">
        <v>13000000</v>
      </c>
      <c r="J131" s="75" t="s">
        <v>45</v>
      </c>
      <c r="K131" s="71" t="s">
        <v>647</v>
      </c>
      <c r="L131" s="71" t="s">
        <v>243</v>
      </c>
    </row>
    <row r="132" spans="1:12" hidden="1">
      <c r="A132" s="106">
        <v>5</v>
      </c>
      <c r="B132" s="151">
        <v>45019</v>
      </c>
      <c r="C132" s="240">
        <v>45006</v>
      </c>
      <c r="D132" s="239" t="s">
        <v>541</v>
      </c>
      <c r="E132" s="106" t="s">
        <v>4</v>
      </c>
      <c r="F132" s="242" t="s">
        <v>9</v>
      </c>
      <c r="G132" s="231" t="s">
        <v>549</v>
      </c>
      <c r="H132" s="71" t="s">
        <v>646</v>
      </c>
      <c r="I132" s="74">
        <v>5200000</v>
      </c>
      <c r="J132" s="75" t="s">
        <v>45</v>
      </c>
      <c r="K132" s="71" t="s">
        <v>647</v>
      </c>
      <c r="L132" s="71" t="s">
        <v>243</v>
      </c>
    </row>
    <row r="133" spans="1:12" hidden="1">
      <c r="A133" s="106">
        <v>6</v>
      </c>
      <c r="B133" s="151">
        <v>45022</v>
      </c>
      <c r="C133" s="151">
        <v>45022</v>
      </c>
      <c r="D133" s="106" t="s">
        <v>576</v>
      </c>
      <c r="E133" s="106" t="s">
        <v>3</v>
      </c>
      <c r="F133" s="242" t="s">
        <v>8</v>
      </c>
      <c r="G133" s="71" t="s">
        <v>577</v>
      </c>
      <c r="H133" s="71" t="s">
        <v>578</v>
      </c>
      <c r="I133" s="74">
        <v>597500</v>
      </c>
      <c r="J133" s="75" t="s">
        <v>45</v>
      </c>
      <c r="K133" s="71" t="s">
        <v>12</v>
      </c>
      <c r="L133" s="71" t="s">
        <v>12</v>
      </c>
    </row>
    <row r="134" spans="1:12" hidden="1">
      <c r="A134" s="106">
        <v>7</v>
      </c>
      <c r="B134" s="151">
        <v>45022</v>
      </c>
      <c r="C134" s="151">
        <v>45022</v>
      </c>
      <c r="D134" s="106" t="s">
        <v>569</v>
      </c>
      <c r="E134" s="106" t="s">
        <v>3</v>
      </c>
      <c r="F134" s="242" t="s">
        <v>8</v>
      </c>
      <c r="G134" s="71" t="s">
        <v>570</v>
      </c>
      <c r="H134" s="71" t="s">
        <v>571</v>
      </c>
      <c r="I134" s="74">
        <v>31925000</v>
      </c>
      <c r="J134" s="75" t="s">
        <v>45</v>
      </c>
      <c r="K134" s="71" t="s">
        <v>572</v>
      </c>
      <c r="L134" s="71" t="s">
        <v>243</v>
      </c>
    </row>
    <row r="135" spans="1:12" hidden="1">
      <c r="A135" s="106">
        <v>8</v>
      </c>
      <c r="B135" s="151">
        <v>45026</v>
      </c>
      <c r="C135" s="151">
        <v>45024</v>
      </c>
      <c r="D135" s="106" t="s">
        <v>609</v>
      </c>
      <c r="E135" s="106" t="s">
        <v>6</v>
      </c>
      <c r="F135" s="242" t="s">
        <v>11</v>
      </c>
      <c r="G135" s="71" t="s">
        <v>619</v>
      </c>
      <c r="H135" s="71" t="s">
        <v>632</v>
      </c>
      <c r="I135" s="74">
        <v>309000000</v>
      </c>
      <c r="J135" s="75" t="s">
        <v>45</v>
      </c>
      <c r="K135" s="71" t="s">
        <v>641</v>
      </c>
      <c r="L135" s="71" t="s">
        <v>12</v>
      </c>
    </row>
    <row r="136" spans="1:12" hidden="1">
      <c r="A136" s="106">
        <v>9</v>
      </c>
      <c r="B136" s="151">
        <v>45026</v>
      </c>
      <c r="C136" s="151">
        <v>45022</v>
      </c>
      <c r="D136" s="106" t="s">
        <v>608</v>
      </c>
      <c r="E136" s="106" t="s">
        <v>4</v>
      </c>
      <c r="F136" s="242" t="s">
        <v>9</v>
      </c>
      <c r="G136" s="71" t="s">
        <v>618</v>
      </c>
      <c r="H136" s="71" t="s">
        <v>631</v>
      </c>
      <c r="I136" s="252">
        <v>1700000</v>
      </c>
      <c r="J136" s="75" t="s">
        <v>45</v>
      </c>
      <c r="K136" s="71" t="s">
        <v>640</v>
      </c>
      <c r="L136" s="71" t="s">
        <v>12</v>
      </c>
    </row>
    <row r="137" spans="1:12" hidden="1">
      <c r="A137" s="106">
        <v>10</v>
      </c>
      <c r="B137" s="151">
        <v>45026</v>
      </c>
      <c r="C137" s="151">
        <v>45022</v>
      </c>
      <c r="D137" s="106" t="s">
        <v>601</v>
      </c>
      <c r="E137" s="106" t="s">
        <v>6</v>
      </c>
      <c r="F137" s="242" t="s">
        <v>11</v>
      </c>
      <c r="G137" s="71" t="s">
        <v>129</v>
      </c>
      <c r="H137" s="71" t="s">
        <v>648</v>
      </c>
      <c r="I137" s="252">
        <v>160000000</v>
      </c>
      <c r="J137" s="75" t="s">
        <v>45</v>
      </c>
      <c r="K137" s="71" t="s">
        <v>649</v>
      </c>
      <c r="L137" s="71" t="s">
        <v>12</v>
      </c>
    </row>
    <row r="138" spans="1:12" hidden="1">
      <c r="A138" s="106">
        <v>11</v>
      </c>
      <c r="B138" s="151">
        <v>45026</v>
      </c>
      <c r="C138" s="151">
        <v>45026</v>
      </c>
      <c r="D138" s="106" t="s">
        <v>650</v>
      </c>
      <c r="E138" s="106" t="s">
        <v>6</v>
      </c>
      <c r="F138" s="242" t="s">
        <v>11</v>
      </c>
      <c r="G138" s="71" t="s">
        <v>651</v>
      </c>
      <c r="H138" s="71" t="s">
        <v>652</v>
      </c>
      <c r="I138" s="252">
        <v>120000000</v>
      </c>
      <c r="J138" s="75" t="s">
        <v>45</v>
      </c>
      <c r="K138" s="71" t="s">
        <v>649</v>
      </c>
      <c r="L138" s="71" t="s">
        <v>15</v>
      </c>
    </row>
    <row r="139" spans="1:12" hidden="1">
      <c r="A139" s="106">
        <v>12</v>
      </c>
      <c r="B139" s="151">
        <v>45027</v>
      </c>
      <c r="C139" s="151">
        <v>45022</v>
      </c>
      <c r="D139" s="106" t="s">
        <v>610</v>
      </c>
      <c r="E139" s="106" t="s">
        <v>3</v>
      </c>
      <c r="F139" s="242" t="s">
        <v>8</v>
      </c>
      <c r="G139" s="71" t="s">
        <v>620</v>
      </c>
      <c r="H139" s="71" t="s">
        <v>633</v>
      </c>
      <c r="I139" s="74">
        <v>36595000</v>
      </c>
      <c r="J139" s="75" t="s">
        <v>45</v>
      </c>
      <c r="K139" s="71" t="s">
        <v>642</v>
      </c>
      <c r="L139" s="71" t="s">
        <v>1</v>
      </c>
    </row>
    <row r="140" spans="1:12" hidden="1">
      <c r="A140" s="106">
        <v>13</v>
      </c>
      <c r="B140" s="151">
        <v>45027</v>
      </c>
      <c r="C140" s="151">
        <v>45022</v>
      </c>
      <c r="D140" s="106" t="s">
        <v>610</v>
      </c>
      <c r="E140" s="106" t="s">
        <v>3</v>
      </c>
      <c r="F140" s="242" t="s">
        <v>8</v>
      </c>
      <c r="G140" s="71" t="s">
        <v>620</v>
      </c>
      <c r="H140" s="71" t="s">
        <v>653</v>
      </c>
      <c r="I140" s="74">
        <v>36595000</v>
      </c>
      <c r="J140" s="75" t="s">
        <v>45</v>
      </c>
      <c r="K140" s="71" t="s">
        <v>642</v>
      </c>
      <c r="L140" s="71" t="s">
        <v>1</v>
      </c>
    </row>
    <row r="141" spans="1:12" hidden="1">
      <c r="A141" s="106">
        <v>14</v>
      </c>
      <c r="B141" s="151">
        <v>45027</v>
      </c>
      <c r="C141" s="151">
        <v>45026</v>
      </c>
      <c r="D141" s="106" t="s">
        <v>603</v>
      </c>
      <c r="E141" s="106" t="s">
        <v>6</v>
      </c>
      <c r="F141" s="242" t="s">
        <v>9</v>
      </c>
      <c r="G141" s="71" t="s">
        <v>616</v>
      </c>
      <c r="H141" s="71" t="s">
        <v>627</v>
      </c>
      <c r="I141" s="74">
        <v>1235000</v>
      </c>
      <c r="J141" s="75" t="s">
        <v>45</v>
      </c>
      <c r="K141" s="71" t="s">
        <v>638</v>
      </c>
      <c r="L141" s="71" t="s">
        <v>12</v>
      </c>
    </row>
    <row r="142" spans="1:12" hidden="1">
      <c r="A142" s="106">
        <v>15</v>
      </c>
      <c r="B142" s="151">
        <v>45028</v>
      </c>
      <c r="C142" s="151">
        <v>45027</v>
      </c>
      <c r="D142" s="106" t="s">
        <v>612</v>
      </c>
      <c r="E142" s="106" t="s">
        <v>3</v>
      </c>
      <c r="F142" s="242" t="s">
        <v>8</v>
      </c>
      <c r="G142" s="71" t="s">
        <v>622</v>
      </c>
      <c r="H142" s="71" t="s">
        <v>635</v>
      </c>
      <c r="I142" s="252">
        <v>375000</v>
      </c>
      <c r="J142" s="75" t="s">
        <v>45</v>
      </c>
      <c r="K142" s="71" t="s">
        <v>443</v>
      </c>
      <c r="L142" s="71" t="s">
        <v>16</v>
      </c>
    </row>
    <row r="143" spans="1:12" hidden="1">
      <c r="A143" s="106">
        <v>16</v>
      </c>
      <c r="B143" s="151">
        <v>45028</v>
      </c>
      <c r="C143" s="240">
        <v>45028</v>
      </c>
      <c r="D143" s="239" t="s">
        <v>599</v>
      </c>
      <c r="E143" s="106" t="s">
        <v>3</v>
      </c>
      <c r="F143" s="242" t="s">
        <v>8</v>
      </c>
      <c r="G143" s="73" t="s">
        <v>614</v>
      </c>
      <c r="H143" s="73" t="s">
        <v>624</v>
      </c>
      <c r="I143" s="74">
        <v>4970000</v>
      </c>
      <c r="J143" s="75" t="s">
        <v>45</v>
      </c>
      <c r="K143" s="71" t="s">
        <v>654</v>
      </c>
      <c r="L143" s="71" t="s">
        <v>243</v>
      </c>
    </row>
    <row r="144" spans="1:12" hidden="1">
      <c r="A144" s="106">
        <v>17</v>
      </c>
      <c r="B144" s="151">
        <v>45029</v>
      </c>
      <c r="C144" s="151">
        <v>45027</v>
      </c>
      <c r="D144" s="106" t="s">
        <v>604</v>
      </c>
      <c r="E144" s="106" t="s">
        <v>6</v>
      </c>
      <c r="F144" s="242" t="s">
        <v>9</v>
      </c>
      <c r="G144" s="71" t="s">
        <v>446</v>
      </c>
      <c r="H144" s="71" t="s">
        <v>628</v>
      </c>
      <c r="I144" s="74">
        <v>14600000</v>
      </c>
      <c r="J144" s="75" t="s">
        <v>45</v>
      </c>
      <c r="K144" s="71" t="s">
        <v>638</v>
      </c>
      <c r="L144" s="71" t="s">
        <v>12</v>
      </c>
    </row>
    <row r="145" spans="1:12" hidden="1">
      <c r="A145" s="106">
        <v>18</v>
      </c>
      <c r="B145" s="151">
        <v>45029</v>
      </c>
      <c r="C145" s="151">
        <v>45029</v>
      </c>
      <c r="D145" s="106" t="s">
        <v>602</v>
      </c>
      <c r="E145" s="106" t="s">
        <v>4</v>
      </c>
      <c r="F145" s="242" t="s">
        <v>7</v>
      </c>
      <c r="G145" s="71" t="s">
        <v>361</v>
      </c>
      <c r="H145" s="71" t="s">
        <v>626</v>
      </c>
      <c r="I145" s="74">
        <v>206000000</v>
      </c>
      <c r="J145" s="75" t="s">
        <v>45</v>
      </c>
      <c r="K145" s="71" t="s">
        <v>637</v>
      </c>
      <c r="L145" s="71" t="s">
        <v>655</v>
      </c>
    </row>
    <row r="146" spans="1:12" hidden="1">
      <c r="A146" s="106">
        <v>19</v>
      </c>
      <c r="B146" s="151">
        <v>45029</v>
      </c>
      <c r="C146" s="151">
        <v>45027</v>
      </c>
      <c r="D146" s="106" t="s">
        <v>606</v>
      </c>
      <c r="E146" s="106" t="s">
        <v>4</v>
      </c>
      <c r="F146" s="242" t="s">
        <v>7</v>
      </c>
      <c r="G146" s="71" t="s">
        <v>564</v>
      </c>
      <c r="H146" s="71" t="s">
        <v>630</v>
      </c>
      <c r="I146" s="74">
        <v>80000000</v>
      </c>
      <c r="J146" s="75" t="s">
        <v>45</v>
      </c>
      <c r="K146" s="71" t="s">
        <v>656</v>
      </c>
      <c r="L146" s="71" t="s">
        <v>12</v>
      </c>
    </row>
    <row r="147" spans="1:12" hidden="1">
      <c r="A147" s="106">
        <v>20</v>
      </c>
      <c r="B147" s="151">
        <v>45029</v>
      </c>
      <c r="C147" s="151">
        <v>45028</v>
      </c>
      <c r="D147" s="106" t="s">
        <v>607</v>
      </c>
      <c r="E147" s="106" t="s">
        <v>4</v>
      </c>
      <c r="F147" s="242" t="s">
        <v>7</v>
      </c>
      <c r="G147" s="71" t="s">
        <v>330</v>
      </c>
      <c r="H147" s="71" t="s">
        <v>630</v>
      </c>
      <c r="I147" s="74">
        <v>80000000</v>
      </c>
      <c r="J147" s="75" t="s">
        <v>45</v>
      </c>
      <c r="K147" s="71" t="s">
        <v>656</v>
      </c>
      <c r="L147" s="71" t="s">
        <v>12</v>
      </c>
    </row>
    <row r="148" spans="1:12" hidden="1">
      <c r="A148" s="106">
        <v>21</v>
      </c>
      <c r="B148" s="151">
        <v>45029</v>
      </c>
      <c r="C148" s="151">
        <v>45028</v>
      </c>
      <c r="D148" s="106" t="s">
        <v>657</v>
      </c>
      <c r="E148" s="106" t="s">
        <v>4</v>
      </c>
      <c r="F148" s="242" t="s">
        <v>9</v>
      </c>
      <c r="G148" s="71" t="s">
        <v>563</v>
      </c>
      <c r="H148" s="71" t="s">
        <v>658</v>
      </c>
      <c r="I148" s="74">
        <v>48000000</v>
      </c>
      <c r="J148" s="75" t="s">
        <v>45</v>
      </c>
      <c r="K148" s="71" t="s">
        <v>659</v>
      </c>
      <c r="L148" s="71" t="s">
        <v>15</v>
      </c>
    </row>
    <row r="149" spans="1:12" hidden="1">
      <c r="A149" s="106">
        <v>22</v>
      </c>
      <c r="B149" s="151">
        <v>45030</v>
      </c>
      <c r="C149" s="151">
        <v>45024</v>
      </c>
      <c r="D149" s="106" t="s">
        <v>605</v>
      </c>
      <c r="E149" s="106" t="s">
        <v>6</v>
      </c>
      <c r="F149" s="242" t="s">
        <v>9</v>
      </c>
      <c r="G149" s="71" t="s">
        <v>617</v>
      </c>
      <c r="H149" s="71" t="s">
        <v>629</v>
      </c>
      <c r="I149" s="74">
        <v>24400000</v>
      </c>
      <c r="J149" s="75" t="s">
        <v>45</v>
      </c>
      <c r="K149" s="71" t="s">
        <v>639</v>
      </c>
      <c r="L149" s="71" t="s">
        <v>12</v>
      </c>
    </row>
    <row r="150" spans="1:12" hidden="1">
      <c r="A150" s="266">
        <v>1</v>
      </c>
      <c r="B150" s="267">
        <v>45017</v>
      </c>
      <c r="C150" s="267">
        <v>45012</v>
      </c>
      <c r="D150" s="266" t="s">
        <v>579</v>
      </c>
      <c r="E150" s="266" t="s">
        <v>3</v>
      </c>
      <c r="F150" s="278" t="s">
        <v>8</v>
      </c>
      <c r="G150" s="71" t="s">
        <v>580</v>
      </c>
      <c r="H150" s="71" t="s">
        <v>447</v>
      </c>
      <c r="I150" s="252">
        <v>3550000</v>
      </c>
      <c r="J150" s="75" t="s">
        <v>581</v>
      </c>
      <c r="K150" s="71" t="s">
        <v>15</v>
      </c>
      <c r="L150" s="71" t="s">
        <v>15</v>
      </c>
    </row>
    <row r="151" spans="1:12" hidden="1">
      <c r="A151" s="106">
        <v>2</v>
      </c>
      <c r="B151" s="151">
        <v>45019</v>
      </c>
      <c r="C151" s="151">
        <v>45015</v>
      </c>
      <c r="D151" s="106" t="s">
        <v>582</v>
      </c>
      <c r="E151" s="106" t="s">
        <v>4</v>
      </c>
      <c r="F151" s="242" t="s">
        <v>10</v>
      </c>
      <c r="G151" s="71" t="s">
        <v>583</v>
      </c>
      <c r="H151" s="71" t="s">
        <v>118</v>
      </c>
      <c r="I151" s="252">
        <v>8820000</v>
      </c>
      <c r="J151" s="75" t="s">
        <v>584</v>
      </c>
      <c r="K151" s="71" t="s">
        <v>443</v>
      </c>
      <c r="L151" s="71" t="s">
        <v>443</v>
      </c>
    </row>
    <row r="152" spans="1:12" hidden="1">
      <c r="A152" s="106">
        <v>3</v>
      </c>
      <c r="B152" s="151">
        <v>45019</v>
      </c>
      <c r="C152" s="151">
        <v>45016</v>
      </c>
      <c r="D152" s="106" t="s">
        <v>585</v>
      </c>
      <c r="E152" s="106" t="s">
        <v>4</v>
      </c>
      <c r="F152" s="242" t="s">
        <v>9</v>
      </c>
      <c r="G152" s="71" t="s">
        <v>586</v>
      </c>
      <c r="H152" s="71" t="s">
        <v>587</v>
      </c>
      <c r="I152" s="252">
        <v>5675000</v>
      </c>
      <c r="J152" s="75" t="s">
        <v>587</v>
      </c>
      <c r="K152" s="71" t="s">
        <v>441</v>
      </c>
      <c r="L152" s="71" t="s">
        <v>441</v>
      </c>
    </row>
    <row r="153" spans="1:12" hidden="1">
      <c r="A153" s="106">
        <v>4</v>
      </c>
      <c r="B153" s="151">
        <v>45021</v>
      </c>
      <c r="C153" s="151">
        <v>45019</v>
      </c>
      <c r="D153" s="106" t="s">
        <v>588</v>
      </c>
      <c r="E153" s="106" t="s">
        <v>4</v>
      </c>
      <c r="F153" s="242" t="s">
        <v>7</v>
      </c>
      <c r="G153" s="71" t="s">
        <v>141</v>
      </c>
      <c r="H153" s="71" t="s">
        <v>589</v>
      </c>
      <c r="I153" s="252">
        <v>6000000</v>
      </c>
      <c r="J153" s="75" t="s">
        <v>589</v>
      </c>
      <c r="K153" s="71" t="s">
        <v>440</v>
      </c>
      <c r="L153" s="71" t="s">
        <v>440</v>
      </c>
    </row>
    <row r="154" spans="1:12" hidden="1">
      <c r="A154" s="106">
        <v>5</v>
      </c>
      <c r="B154" s="151">
        <v>45021</v>
      </c>
      <c r="C154" s="151">
        <v>45014</v>
      </c>
      <c r="D154" s="106" t="s">
        <v>590</v>
      </c>
      <c r="E154" s="106" t="s">
        <v>3</v>
      </c>
      <c r="F154" s="242" t="s">
        <v>8</v>
      </c>
      <c r="G154" s="71" t="s">
        <v>591</v>
      </c>
      <c r="H154" s="71" t="s">
        <v>592</v>
      </c>
      <c r="I154" s="252">
        <v>117500000</v>
      </c>
      <c r="J154" s="75" t="s">
        <v>592</v>
      </c>
      <c r="K154" s="71" t="s">
        <v>660</v>
      </c>
      <c r="L154" s="71" t="s">
        <v>660</v>
      </c>
    </row>
    <row r="155" spans="1:12" hidden="1">
      <c r="A155" s="106">
        <v>6</v>
      </c>
      <c r="B155" s="151">
        <v>45022</v>
      </c>
      <c r="C155" s="151">
        <v>45017</v>
      </c>
      <c r="D155" s="106" t="s">
        <v>593</v>
      </c>
      <c r="E155" s="106" t="s">
        <v>6</v>
      </c>
      <c r="F155" s="242" t="s">
        <v>49</v>
      </c>
      <c r="G155" s="71" t="s">
        <v>594</v>
      </c>
      <c r="H155" s="71" t="s">
        <v>595</v>
      </c>
      <c r="I155" s="252">
        <v>22910000</v>
      </c>
      <c r="J155" s="75" t="s">
        <v>595</v>
      </c>
      <c r="K155" s="71" t="s">
        <v>661</v>
      </c>
      <c r="L155" s="71" t="s">
        <v>661</v>
      </c>
    </row>
    <row r="156" spans="1:12" hidden="1">
      <c r="A156" s="106">
        <v>7</v>
      </c>
      <c r="B156" s="151">
        <v>45022</v>
      </c>
      <c r="C156" s="240">
        <v>45010</v>
      </c>
      <c r="D156" s="239" t="s">
        <v>596</v>
      </c>
      <c r="E156" s="106" t="s">
        <v>4</v>
      </c>
      <c r="F156" s="242" t="s">
        <v>10</v>
      </c>
      <c r="G156" s="231" t="s">
        <v>597</v>
      </c>
      <c r="H156" s="74" t="s">
        <v>598</v>
      </c>
      <c r="I156" s="74">
        <v>29000000</v>
      </c>
      <c r="J156" s="75" t="s">
        <v>598</v>
      </c>
      <c r="K156" s="71" t="s">
        <v>15</v>
      </c>
      <c r="L156" s="71" t="s">
        <v>15</v>
      </c>
    </row>
    <row r="157" spans="1:12" hidden="1">
      <c r="A157" s="106">
        <v>8</v>
      </c>
      <c r="B157" s="151">
        <v>45026</v>
      </c>
      <c r="C157" s="151">
        <v>45000</v>
      </c>
      <c r="D157" s="106" t="s">
        <v>611</v>
      </c>
      <c r="E157" s="106" t="s">
        <v>4</v>
      </c>
      <c r="F157" s="242" t="s">
        <v>7</v>
      </c>
      <c r="G157" s="71" t="s">
        <v>621</v>
      </c>
      <c r="H157" s="71" t="s">
        <v>634</v>
      </c>
      <c r="I157" s="252">
        <v>351000000</v>
      </c>
      <c r="J157" s="75" t="s">
        <v>634</v>
      </c>
      <c r="K157" s="71" t="s">
        <v>15</v>
      </c>
      <c r="L157" s="71" t="s">
        <v>15</v>
      </c>
    </row>
    <row r="158" spans="1:12" hidden="1">
      <c r="A158" s="106">
        <v>9</v>
      </c>
      <c r="B158" s="151">
        <v>45026</v>
      </c>
      <c r="C158" s="151">
        <v>45022</v>
      </c>
      <c r="D158" s="106" t="s">
        <v>601</v>
      </c>
      <c r="E158" s="106" t="s">
        <v>6</v>
      </c>
      <c r="F158" s="242" t="s">
        <v>11</v>
      </c>
      <c r="G158" s="71" t="s">
        <v>129</v>
      </c>
      <c r="H158" s="71" t="s">
        <v>625</v>
      </c>
      <c r="I158" s="252">
        <v>520000000</v>
      </c>
      <c r="J158" s="75" t="s">
        <v>625</v>
      </c>
      <c r="K158" s="71" t="s">
        <v>15</v>
      </c>
      <c r="L158" s="71" t="s">
        <v>15</v>
      </c>
    </row>
    <row r="159" spans="1:12" hidden="1">
      <c r="A159" s="106">
        <v>10</v>
      </c>
      <c r="B159" s="151">
        <v>45027</v>
      </c>
      <c r="C159" s="151">
        <v>45024</v>
      </c>
      <c r="D159" s="106" t="s">
        <v>600</v>
      </c>
      <c r="E159" s="106" t="s">
        <v>4</v>
      </c>
      <c r="F159" s="242" t="s">
        <v>51</v>
      </c>
      <c r="G159" s="71" t="s">
        <v>615</v>
      </c>
      <c r="H159" s="71" t="s">
        <v>625</v>
      </c>
      <c r="I159" s="252">
        <v>6800000</v>
      </c>
      <c r="J159" s="75" t="s">
        <v>625</v>
      </c>
      <c r="K159" s="71" t="s">
        <v>15</v>
      </c>
      <c r="L159" s="71" t="s">
        <v>15</v>
      </c>
    </row>
    <row r="160" spans="1:12" hidden="1">
      <c r="A160" s="106">
        <v>11</v>
      </c>
      <c r="B160" s="151">
        <v>45030</v>
      </c>
      <c r="C160" s="151">
        <v>45026</v>
      </c>
      <c r="D160" s="106" t="s">
        <v>613</v>
      </c>
      <c r="E160" s="106" t="s">
        <v>4</v>
      </c>
      <c r="F160" s="242" t="s">
        <v>51</v>
      </c>
      <c r="G160" s="71" t="s">
        <v>623</v>
      </c>
      <c r="H160" s="71" t="s">
        <v>636</v>
      </c>
      <c r="I160" s="252">
        <v>11400000</v>
      </c>
      <c r="J160" s="75" t="s">
        <v>636</v>
      </c>
      <c r="K160" s="71" t="s">
        <v>661</v>
      </c>
      <c r="L160" s="71" t="s">
        <v>661</v>
      </c>
    </row>
    <row r="161" spans="1:12" hidden="1">
      <c r="A161" s="106">
        <v>12</v>
      </c>
      <c r="B161" s="151">
        <v>45034</v>
      </c>
      <c r="C161" s="151">
        <v>45030</v>
      </c>
      <c r="D161" s="106" t="s">
        <v>662</v>
      </c>
      <c r="E161" s="106" t="s">
        <v>6</v>
      </c>
      <c r="F161" s="242" t="s">
        <v>10</v>
      </c>
      <c r="G161" s="71" t="s">
        <v>663</v>
      </c>
      <c r="H161" s="71" t="s">
        <v>664</v>
      </c>
      <c r="I161" s="252">
        <v>1517000</v>
      </c>
      <c r="J161" s="75" t="s">
        <v>664</v>
      </c>
      <c r="K161" s="71" t="s">
        <v>443</v>
      </c>
      <c r="L161" s="71" t="s">
        <v>443</v>
      </c>
    </row>
    <row r="162" spans="1:12" hidden="1">
      <c r="A162" s="106">
        <v>13</v>
      </c>
      <c r="B162" s="151">
        <v>45044</v>
      </c>
      <c r="C162" s="151">
        <v>45043</v>
      </c>
      <c r="D162" s="106" t="s">
        <v>665</v>
      </c>
      <c r="E162" s="106" t="s">
        <v>6</v>
      </c>
      <c r="F162" s="242" t="s">
        <v>11</v>
      </c>
      <c r="G162" s="71" t="s">
        <v>666</v>
      </c>
      <c r="H162" s="71" t="s">
        <v>625</v>
      </c>
      <c r="I162" s="252">
        <v>14000000</v>
      </c>
      <c r="J162" s="75" t="s">
        <v>625</v>
      </c>
      <c r="K162" s="71" t="s">
        <v>15</v>
      </c>
      <c r="L162" s="71" t="s">
        <v>15</v>
      </c>
    </row>
    <row r="163" spans="1:12" hidden="1">
      <c r="A163" s="269">
        <v>14</v>
      </c>
      <c r="B163" s="268">
        <v>45045</v>
      </c>
      <c r="C163" s="268">
        <v>45033</v>
      </c>
      <c r="D163" s="269" t="s">
        <v>667</v>
      </c>
      <c r="E163" s="269" t="s">
        <v>4</v>
      </c>
      <c r="F163" s="279" t="s">
        <v>51</v>
      </c>
      <c r="G163" s="71" t="s">
        <v>668</v>
      </c>
      <c r="H163" s="71" t="s">
        <v>669</v>
      </c>
      <c r="I163" s="252">
        <v>3375000</v>
      </c>
      <c r="J163" s="75" t="s">
        <v>669</v>
      </c>
      <c r="K163" s="71" t="s">
        <v>15</v>
      </c>
      <c r="L163" s="71" t="s">
        <v>15</v>
      </c>
    </row>
    <row r="164" spans="1:12" hidden="1">
      <c r="A164" s="93">
        <v>1</v>
      </c>
      <c r="B164" s="251">
        <v>45052</v>
      </c>
      <c r="C164" s="251">
        <v>45051</v>
      </c>
      <c r="D164" s="71" t="s">
        <v>676</v>
      </c>
      <c r="E164" s="71" t="s">
        <v>3</v>
      </c>
      <c r="F164" s="71" t="s">
        <v>10</v>
      </c>
      <c r="G164" s="71" t="s">
        <v>705</v>
      </c>
      <c r="H164" s="71" t="s">
        <v>706</v>
      </c>
      <c r="I164" s="252"/>
      <c r="J164" s="252"/>
      <c r="K164" s="71" t="s">
        <v>443</v>
      </c>
      <c r="L164" s="75" t="s">
        <v>443</v>
      </c>
    </row>
    <row r="165" spans="1:12" hidden="1">
      <c r="A165" s="93">
        <v>2</v>
      </c>
      <c r="B165" s="251">
        <v>45051</v>
      </c>
      <c r="C165" s="251">
        <v>45051</v>
      </c>
      <c r="D165" s="71" t="s">
        <v>674</v>
      </c>
      <c r="E165" s="71" t="s">
        <v>3</v>
      </c>
      <c r="F165" s="71" t="s">
        <v>10</v>
      </c>
      <c r="G165" s="71" t="s">
        <v>702</v>
      </c>
      <c r="H165" s="71" t="s">
        <v>703</v>
      </c>
      <c r="I165" s="252"/>
      <c r="J165" s="252"/>
      <c r="K165" s="71" t="s">
        <v>443</v>
      </c>
      <c r="L165" s="75" t="s">
        <v>443</v>
      </c>
    </row>
    <row r="166" spans="1:12" hidden="1">
      <c r="A166" s="93">
        <v>3</v>
      </c>
      <c r="B166" s="251">
        <v>45059</v>
      </c>
      <c r="C166" s="251">
        <v>45059</v>
      </c>
      <c r="D166" s="71" t="s">
        <v>690</v>
      </c>
      <c r="E166" s="71" t="s">
        <v>6</v>
      </c>
      <c r="F166" s="71" t="s">
        <v>9</v>
      </c>
      <c r="G166" s="71" t="s">
        <v>728</v>
      </c>
      <c r="H166" s="71" t="s">
        <v>729</v>
      </c>
      <c r="I166" s="252"/>
      <c r="J166" s="252"/>
      <c r="K166" s="71" t="s">
        <v>47</v>
      </c>
      <c r="L166" s="75" t="s">
        <v>443</v>
      </c>
    </row>
    <row r="167" spans="1:12" hidden="1">
      <c r="A167" s="93">
        <v>4</v>
      </c>
      <c r="B167" s="251">
        <v>45055</v>
      </c>
      <c r="C167" s="251">
        <v>45052</v>
      </c>
      <c r="D167" s="71" t="s">
        <v>681</v>
      </c>
      <c r="E167" s="71" t="s">
        <v>4</v>
      </c>
      <c r="F167" s="71" t="s">
        <v>9</v>
      </c>
      <c r="G167" s="71" t="s">
        <v>714</v>
      </c>
      <c r="H167" s="71" t="s">
        <v>715</v>
      </c>
      <c r="I167" s="252"/>
      <c r="J167" s="252"/>
      <c r="K167" s="71" t="s">
        <v>737</v>
      </c>
      <c r="L167" s="75" t="s">
        <v>408</v>
      </c>
    </row>
    <row r="168" spans="1:12" hidden="1">
      <c r="A168" s="93">
        <v>5</v>
      </c>
      <c r="B168" s="251">
        <v>45057</v>
      </c>
      <c r="C168" s="251">
        <v>45055</v>
      </c>
      <c r="D168" s="71" t="s">
        <v>684</v>
      </c>
      <c r="E168" s="71" t="s">
        <v>4</v>
      </c>
      <c r="F168" s="71" t="s">
        <v>7</v>
      </c>
      <c r="G168" s="71" t="s">
        <v>718</v>
      </c>
      <c r="H168" s="71" t="s">
        <v>719</v>
      </c>
      <c r="I168" s="252"/>
      <c r="J168" s="252"/>
      <c r="K168" s="71" t="s">
        <v>719</v>
      </c>
      <c r="L168" s="75" t="s">
        <v>243</v>
      </c>
    </row>
    <row r="169" spans="1:12" hidden="1">
      <c r="A169" s="93">
        <v>6</v>
      </c>
      <c r="B169" s="251">
        <v>45054</v>
      </c>
      <c r="C169" s="251">
        <v>45052</v>
      </c>
      <c r="D169" s="71" t="s">
        <v>677</v>
      </c>
      <c r="E169" s="71" t="s">
        <v>3</v>
      </c>
      <c r="F169" s="71" t="s">
        <v>7</v>
      </c>
      <c r="G169" s="71" t="s">
        <v>707</v>
      </c>
      <c r="H169" s="71" t="s">
        <v>708</v>
      </c>
      <c r="I169" s="252"/>
      <c r="J169" s="252"/>
      <c r="K169" s="71"/>
      <c r="L169" s="75" t="s">
        <v>243</v>
      </c>
    </row>
    <row r="170" spans="1:12" hidden="1">
      <c r="A170" s="93">
        <v>7</v>
      </c>
      <c r="B170" s="251">
        <v>45055</v>
      </c>
      <c r="C170" s="251">
        <v>45055</v>
      </c>
      <c r="D170" s="71" t="s">
        <v>682</v>
      </c>
      <c r="E170" s="71" t="s">
        <v>3</v>
      </c>
      <c r="F170" s="71" t="s">
        <v>10</v>
      </c>
      <c r="G170" s="71" t="s">
        <v>716</v>
      </c>
      <c r="H170" s="71" t="s">
        <v>717</v>
      </c>
      <c r="I170" s="252"/>
      <c r="J170" s="252"/>
      <c r="K170" s="71" t="s">
        <v>734</v>
      </c>
      <c r="L170" s="75" t="s">
        <v>243</v>
      </c>
    </row>
    <row r="171" spans="1:12" hidden="1">
      <c r="A171" s="93">
        <v>8</v>
      </c>
      <c r="B171" s="251">
        <v>45061</v>
      </c>
      <c r="C171" s="251">
        <v>45061</v>
      </c>
      <c r="D171" s="71" t="s">
        <v>692</v>
      </c>
      <c r="E171" s="71" t="s">
        <v>3</v>
      </c>
      <c r="F171" s="71" t="s">
        <v>7</v>
      </c>
      <c r="G171" s="71" t="s">
        <v>731</v>
      </c>
      <c r="H171" s="71" t="s">
        <v>730</v>
      </c>
      <c r="I171" s="252"/>
      <c r="J171" s="252"/>
      <c r="K171" s="71"/>
      <c r="L171" s="75" t="s">
        <v>741</v>
      </c>
    </row>
    <row r="172" spans="1:12" hidden="1">
      <c r="A172" s="93">
        <v>9</v>
      </c>
      <c r="B172" s="251">
        <v>45061</v>
      </c>
      <c r="C172" s="251">
        <v>45061</v>
      </c>
      <c r="D172" s="71" t="s">
        <v>691</v>
      </c>
      <c r="E172" s="71" t="s">
        <v>3</v>
      </c>
      <c r="F172" s="71" t="s">
        <v>7</v>
      </c>
      <c r="G172" s="71" t="s">
        <v>330</v>
      </c>
      <c r="H172" s="71" t="s">
        <v>730</v>
      </c>
      <c r="I172" s="252"/>
      <c r="J172" s="252"/>
      <c r="K172" s="71"/>
      <c r="L172" s="75" t="s">
        <v>741</v>
      </c>
    </row>
    <row r="173" spans="1:12" hidden="1">
      <c r="A173" s="93">
        <v>10</v>
      </c>
      <c r="B173" s="251">
        <v>45050</v>
      </c>
      <c r="C173" s="251">
        <v>45050</v>
      </c>
      <c r="D173" s="71" t="s">
        <v>670</v>
      </c>
      <c r="E173" s="71" t="s">
        <v>6</v>
      </c>
      <c r="F173" s="71" t="s">
        <v>10</v>
      </c>
      <c r="G173" s="71" t="s">
        <v>696</v>
      </c>
      <c r="H173" s="71" t="s">
        <v>697</v>
      </c>
      <c r="I173" s="252"/>
      <c r="J173" s="252"/>
      <c r="K173" s="71"/>
      <c r="L173" s="75" t="s">
        <v>15</v>
      </c>
    </row>
    <row r="174" spans="1:12" hidden="1">
      <c r="A174" s="93">
        <v>11</v>
      </c>
      <c r="B174" s="251">
        <v>45051</v>
      </c>
      <c r="C174" s="251">
        <v>45050</v>
      </c>
      <c r="D174" s="71" t="s">
        <v>673</v>
      </c>
      <c r="E174" s="71" t="s">
        <v>4</v>
      </c>
      <c r="F174" s="71" t="s">
        <v>9</v>
      </c>
      <c r="G174" s="71" t="s">
        <v>563</v>
      </c>
      <c r="H174" s="71" t="s">
        <v>701</v>
      </c>
      <c r="I174" s="252"/>
      <c r="J174" s="252"/>
      <c r="K174" s="71" t="s">
        <v>739</v>
      </c>
      <c r="L174" s="75" t="s">
        <v>12</v>
      </c>
    </row>
    <row r="175" spans="1:12" hidden="1">
      <c r="A175" s="93">
        <v>12</v>
      </c>
      <c r="B175" s="251">
        <v>45059</v>
      </c>
      <c r="C175" s="251">
        <v>45051</v>
      </c>
      <c r="D175" s="71" t="s">
        <v>689</v>
      </c>
      <c r="E175" s="71" t="s">
        <v>3</v>
      </c>
      <c r="F175" s="71" t="s">
        <v>51</v>
      </c>
      <c r="G175" s="71" t="s">
        <v>727</v>
      </c>
      <c r="H175" s="71" t="s">
        <v>625</v>
      </c>
      <c r="I175" s="252"/>
      <c r="J175" s="252"/>
      <c r="K175" s="71"/>
      <c r="L175" s="75" t="s">
        <v>12</v>
      </c>
    </row>
    <row r="176" spans="1:12" hidden="1">
      <c r="A176" s="93">
        <v>13</v>
      </c>
      <c r="B176" s="251">
        <v>45055</v>
      </c>
      <c r="C176" s="251">
        <v>45054</v>
      </c>
      <c r="D176" s="71" t="s">
        <v>680</v>
      </c>
      <c r="E176" s="71" t="s">
        <v>3</v>
      </c>
      <c r="F176" s="71" t="s">
        <v>7</v>
      </c>
      <c r="G176" s="71" t="s">
        <v>712</v>
      </c>
      <c r="H176" s="71" t="s">
        <v>713</v>
      </c>
      <c r="I176" s="252"/>
      <c r="J176" s="252"/>
      <c r="K176" s="71"/>
      <c r="L176" s="75" t="s">
        <v>12</v>
      </c>
    </row>
    <row r="177" spans="1:12" hidden="1">
      <c r="A177" s="93">
        <v>14</v>
      </c>
      <c r="B177" s="251">
        <v>45058</v>
      </c>
      <c r="C177" s="251">
        <v>45057</v>
      </c>
      <c r="D177" s="71" t="s">
        <v>688</v>
      </c>
      <c r="E177" s="71" t="s">
        <v>3</v>
      </c>
      <c r="F177" s="71" t="s">
        <v>10</v>
      </c>
      <c r="G177" s="71" t="s">
        <v>725</v>
      </c>
      <c r="H177" s="71" t="s">
        <v>726</v>
      </c>
      <c r="I177" s="252"/>
      <c r="J177" s="252"/>
      <c r="K177" s="71" t="s">
        <v>736</v>
      </c>
      <c r="L177" s="75" t="s">
        <v>12</v>
      </c>
    </row>
    <row r="178" spans="1:12" hidden="1">
      <c r="A178" s="93">
        <v>15</v>
      </c>
      <c r="B178" s="251">
        <v>45050</v>
      </c>
      <c r="C178" s="251">
        <v>45044</v>
      </c>
      <c r="D178" s="71" t="s">
        <v>671</v>
      </c>
      <c r="E178" s="71" t="s">
        <v>4</v>
      </c>
      <c r="F178" s="71" t="s">
        <v>9</v>
      </c>
      <c r="G178" s="71" t="s">
        <v>170</v>
      </c>
      <c r="H178" s="71" t="s">
        <v>698</v>
      </c>
      <c r="I178" s="252"/>
      <c r="J178" s="252"/>
      <c r="K178" s="71" t="s">
        <v>1</v>
      </c>
      <c r="L178" s="75" t="s">
        <v>1</v>
      </c>
    </row>
    <row r="179" spans="1:12" hidden="1">
      <c r="A179" s="93">
        <v>16</v>
      </c>
      <c r="B179" s="251">
        <v>45057</v>
      </c>
      <c r="C179" s="251">
        <v>45050</v>
      </c>
      <c r="D179" s="71" t="s">
        <v>683</v>
      </c>
      <c r="E179" s="71" t="s">
        <v>4</v>
      </c>
      <c r="F179" s="71" t="s">
        <v>10</v>
      </c>
      <c r="G179" s="71" t="s">
        <v>287</v>
      </c>
      <c r="H179" s="71" t="s">
        <v>567</v>
      </c>
      <c r="I179" s="252"/>
      <c r="J179" s="252"/>
      <c r="K179" s="71" t="s">
        <v>567</v>
      </c>
      <c r="L179" s="75" t="s">
        <v>1</v>
      </c>
    </row>
    <row r="180" spans="1:12" hidden="1">
      <c r="A180" s="93">
        <v>17</v>
      </c>
      <c r="B180" s="251">
        <v>45058</v>
      </c>
      <c r="C180" s="251">
        <v>45029</v>
      </c>
      <c r="D180" s="71" t="s">
        <v>687</v>
      </c>
      <c r="E180" s="71" t="s">
        <v>6</v>
      </c>
      <c r="F180" s="71" t="s">
        <v>49</v>
      </c>
      <c r="G180" s="71" t="s">
        <v>695</v>
      </c>
      <c r="H180" s="71" t="s">
        <v>724</v>
      </c>
      <c r="I180" s="252"/>
      <c r="J180" s="252"/>
      <c r="K180" s="71" t="s">
        <v>1</v>
      </c>
      <c r="L180" s="75" t="s">
        <v>1</v>
      </c>
    </row>
    <row r="181" spans="1:12" hidden="1">
      <c r="A181" s="93">
        <v>18</v>
      </c>
      <c r="B181" s="251">
        <v>45051</v>
      </c>
      <c r="C181" s="251">
        <v>45051</v>
      </c>
      <c r="D181" s="71" t="s">
        <v>675</v>
      </c>
      <c r="E181" s="71" t="s">
        <v>3</v>
      </c>
      <c r="F181" s="71" t="s">
        <v>10</v>
      </c>
      <c r="G181" s="71" t="s">
        <v>473</v>
      </c>
      <c r="H181" s="71" t="s">
        <v>704</v>
      </c>
      <c r="I181" s="252"/>
      <c r="J181" s="252"/>
      <c r="K181" s="71" t="s">
        <v>453</v>
      </c>
      <c r="L181" s="75" t="s">
        <v>275</v>
      </c>
    </row>
    <row r="182" spans="1:12" hidden="1">
      <c r="A182" s="93">
        <v>19</v>
      </c>
      <c r="B182" s="251">
        <v>45057</v>
      </c>
      <c r="C182" s="251">
        <v>45056</v>
      </c>
      <c r="D182" s="71" t="s">
        <v>686</v>
      </c>
      <c r="E182" s="71" t="s">
        <v>3</v>
      </c>
      <c r="F182" s="71" t="s">
        <v>51</v>
      </c>
      <c r="G182" s="71" t="s">
        <v>722</v>
      </c>
      <c r="H182" s="71" t="s">
        <v>723</v>
      </c>
      <c r="I182" s="252"/>
      <c r="J182" s="252"/>
      <c r="K182" s="71" t="s">
        <v>723</v>
      </c>
      <c r="L182" s="75" t="s">
        <v>740</v>
      </c>
    </row>
    <row r="183" spans="1:12" hidden="1">
      <c r="A183" s="93">
        <v>20</v>
      </c>
      <c r="B183" s="251">
        <v>45054</v>
      </c>
      <c r="C183" s="251">
        <v>45052</v>
      </c>
      <c r="D183" s="71" t="s">
        <v>678</v>
      </c>
      <c r="E183" s="71" t="s">
        <v>6</v>
      </c>
      <c r="F183" s="71" t="s">
        <v>11</v>
      </c>
      <c r="G183" s="71" t="s">
        <v>449</v>
      </c>
      <c r="H183" s="71" t="s">
        <v>709</v>
      </c>
      <c r="I183" s="252"/>
      <c r="J183" s="252"/>
      <c r="K183" s="71" t="s">
        <v>744</v>
      </c>
      <c r="L183" s="75" t="s">
        <v>740</v>
      </c>
    </row>
    <row r="184" spans="1:12" hidden="1">
      <c r="A184" s="93">
        <v>21</v>
      </c>
      <c r="B184" s="251">
        <v>45063</v>
      </c>
      <c r="C184" s="251">
        <v>45063</v>
      </c>
      <c r="D184" s="71" t="s">
        <v>693</v>
      </c>
      <c r="E184" s="71" t="s">
        <v>5</v>
      </c>
      <c r="F184" s="71" t="s">
        <v>51</v>
      </c>
      <c r="G184" s="71" t="s">
        <v>566</v>
      </c>
      <c r="H184" s="71" t="s">
        <v>732</v>
      </c>
      <c r="I184" s="252"/>
      <c r="J184" s="252"/>
      <c r="K184" s="71" t="s">
        <v>738</v>
      </c>
      <c r="L184" s="75" t="s">
        <v>740</v>
      </c>
    </row>
    <row r="185" spans="1:12" hidden="1">
      <c r="A185" s="93">
        <v>22</v>
      </c>
      <c r="B185" s="251">
        <v>45054</v>
      </c>
      <c r="C185" s="251">
        <v>45034</v>
      </c>
      <c r="D185" s="71" t="s">
        <v>679</v>
      </c>
      <c r="E185" s="71" t="s">
        <v>6</v>
      </c>
      <c r="F185" s="71" t="s">
        <v>7</v>
      </c>
      <c r="G185" s="71" t="s">
        <v>710</v>
      </c>
      <c r="H185" s="71" t="s">
        <v>711</v>
      </c>
      <c r="I185" s="252"/>
      <c r="J185" s="252"/>
      <c r="K185" s="71" t="s">
        <v>735</v>
      </c>
      <c r="L185" s="75" t="s">
        <v>742</v>
      </c>
    </row>
    <row r="186" spans="1:12" hidden="1">
      <c r="A186" s="93">
        <v>23</v>
      </c>
      <c r="B186" s="251">
        <v>45051</v>
      </c>
      <c r="C186" s="251">
        <v>45050</v>
      </c>
      <c r="D186" s="71" t="s">
        <v>672</v>
      </c>
      <c r="E186" s="71" t="s">
        <v>6</v>
      </c>
      <c r="F186" s="71" t="s">
        <v>8</v>
      </c>
      <c r="G186" s="71" t="s">
        <v>699</v>
      </c>
      <c r="H186" s="71" t="s">
        <v>700</v>
      </c>
      <c r="I186" s="252"/>
      <c r="J186" s="252"/>
      <c r="K186" s="71" t="s">
        <v>743</v>
      </c>
      <c r="L186" s="75" t="s">
        <v>742</v>
      </c>
    </row>
    <row r="187" spans="1:12" hidden="1">
      <c r="A187" s="93">
        <v>24</v>
      </c>
      <c r="B187" s="251">
        <v>45057</v>
      </c>
      <c r="C187" s="251">
        <v>45055</v>
      </c>
      <c r="D187" s="71" t="s">
        <v>685</v>
      </c>
      <c r="E187" s="71" t="s">
        <v>6</v>
      </c>
      <c r="F187" s="71" t="s">
        <v>8</v>
      </c>
      <c r="G187" s="71" t="s">
        <v>720</v>
      </c>
      <c r="H187" s="71" t="s">
        <v>721</v>
      </c>
      <c r="I187" s="252"/>
      <c r="J187" s="252"/>
      <c r="K187" s="71" t="s">
        <v>721</v>
      </c>
      <c r="L187" s="75" t="s">
        <v>742</v>
      </c>
    </row>
    <row r="188" spans="1:12" hidden="1">
      <c r="A188" s="93">
        <v>25</v>
      </c>
      <c r="B188" s="251">
        <v>45066</v>
      </c>
      <c r="C188" s="251">
        <v>45066</v>
      </c>
      <c r="D188" s="71" t="s">
        <v>694</v>
      </c>
      <c r="E188" s="71" t="s">
        <v>6</v>
      </c>
      <c r="F188" s="71" t="s">
        <v>8</v>
      </c>
      <c r="G188" s="71" t="s">
        <v>136</v>
      </c>
      <c r="H188" s="71" t="s">
        <v>733</v>
      </c>
      <c r="I188" s="255"/>
      <c r="J188" s="255"/>
      <c r="K188" s="71" t="s">
        <v>748</v>
      </c>
      <c r="L188" s="71" t="s">
        <v>453</v>
      </c>
    </row>
    <row r="189" spans="1:12" hidden="1">
      <c r="A189" s="93">
        <v>26</v>
      </c>
      <c r="B189" s="251">
        <v>45066</v>
      </c>
      <c r="C189" s="251">
        <v>45066</v>
      </c>
      <c r="D189" s="71" t="s">
        <v>745</v>
      </c>
      <c r="E189" s="71" t="s">
        <v>4</v>
      </c>
      <c r="F189" s="71" t="s">
        <v>9</v>
      </c>
      <c r="G189" s="71" t="s">
        <v>746</v>
      </c>
      <c r="H189" s="71" t="s">
        <v>747</v>
      </c>
      <c r="I189" s="252"/>
      <c r="J189" s="252"/>
      <c r="K189" s="71" t="s">
        <v>749</v>
      </c>
      <c r="L189" s="71" t="s">
        <v>453</v>
      </c>
    </row>
    <row r="190" spans="1:12" hidden="1">
      <c r="B190" s="118">
        <v>45070</v>
      </c>
      <c r="C190" s="118">
        <v>45070</v>
      </c>
      <c r="D190" s="284" t="s">
        <v>750</v>
      </c>
      <c r="E190" s="53" t="s">
        <v>5</v>
      </c>
      <c r="F190" s="53" t="s">
        <v>51</v>
      </c>
      <c r="G190" s="284" t="s">
        <v>760</v>
      </c>
      <c r="H190" s="284" t="s">
        <v>765</v>
      </c>
      <c r="K190" s="286" t="s">
        <v>771</v>
      </c>
      <c r="L190" s="54" t="s">
        <v>776</v>
      </c>
    </row>
    <row r="191" spans="1:12" hidden="1">
      <c r="B191" s="118">
        <v>45071</v>
      </c>
      <c r="C191" s="120">
        <v>45071</v>
      </c>
      <c r="D191" s="117" t="s">
        <v>751</v>
      </c>
      <c r="E191" s="53" t="s">
        <v>4</v>
      </c>
      <c r="F191" s="53" t="s">
        <v>49</v>
      </c>
      <c r="G191" s="117" t="s">
        <v>761</v>
      </c>
      <c r="H191" s="117" t="s">
        <v>118</v>
      </c>
      <c r="K191" s="202" t="s">
        <v>131</v>
      </c>
      <c r="L191" s="54" t="s">
        <v>131</v>
      </c>
    </row>
    <row r="192" spans="1:12" hidden="1">
      <c r="B192" s="118">
        <v>45072</v>
      </c>
      <c r="C192" s="120">
        <v>45055</v>
      </c>
      <c r="D192" s="117" t="s">
        <v>752</v>
      </c>
      <c r="E192" s="53" t="s">
        <v>4</v>
      </c>
      <c r="F192" s="53" t="s">
        <v>7</v>
      </c>
      <c r="G192" s="117" t="s">
        <v>564</v>
      </c>
      <c r="H192" s="125" t="s">
        <v>766</v>
      </c>
      <c r="K192" s="202" t="s">
        <v>772</v>
      </c>
      <c r="L192" s="54" t="s">
        <v>742</v>
      </c>
    </row>
    <row r="193" spans="1:12" hidden="1">
      <c r="B193" s="118">
        <v>45070</v>
      </c>
      <c r="C193" s="120">
        <v>45063</v>
      </c>
      <c r="D193" s="117" t="s">
        <v>753</v>
      </c>
      <c r="E193" s="53" t="s">
        <v>3</v>
      </c>
      <c r="F193" s="53" t="s">
        <v>10</v>
      </c>
      <c r="G193" s="117" t="s">
        <v>762</v>
      </c>
      <c r="H193" s="117" t="s">
        <v>118</v>
      </c>
      <c r="K193" s="202" t="s">
        <v>773</v>
      </c>
      <c r="L193" s="54" t="s">
        <v>15</v>
      </c>
    </row>
    <row r="194" spans="1:12" hidden="1">
      <c r="B194" s="118">
        <v>45068</v>
      </c>
      <c r="C194" s="120">
        <v>45009</v>
      </c>
      <c r="D194" s="117" t="s">
        <v>754</v>
      </c>
      <c r="E194" s="53" t="s">
        <v>6</v>
      </c>
      <c r="F194" s="53" t="s">
        <v>11</v>
      </c>
      <c r="G194" s="117" t="s">
        <v>763</v>
      </c>
      <c r="H194" s="117" t="s">
        <v>767</v>
      </c>
      <c r="K194" s="202" t="s">
        <v>399</v>
      </c>
      <c r="L194" s="54" t="s">
        <v>12</v>
      </c>
    </row>
    <row r="195" spans="1:12" ht="12" hidden="1" thickBot="1">
      <c r="B195" s="282">
        <v>45070</v>
      </c>
      <c r="C195" s="283">
        <v>45068</v>
      </c>
      <c r="D195" s="285" t="s">
        <v>755</v>
      </c>
      <c r="E195" s="53" t="s">
        <v>5</v>
      </c>
      <c r="F195" s="53" t="s">
        <v>7</v>
      </c>
      <c r="G195" s="285" t="s">
        <v>354</v>
      </c>
      <c r="H195" s="285" t="s">
        <v>768</v>
      </c>
      <c r="K195" s="287" t="s">
        <v>399</v>
      </c>
      <c r="L195" s="54" t="s">
        <v>12</v>
      </c>
    </row>
    <row r="196" spans="1:12" hidden="1">
      <c r="B196" s="118">
        <v>45072</v>
      </c>
      <c r="C196" s="120">
        <v>45065</v>
      </c>
      <c r="D196" s="117" t="s">
        <v>756</v>
      </c>
      <c r="E196" s="53" t="s">
        <v>3</v>
      </c>
      <c r="F196" s="53" t="s">
        <v>10</v>
      </c>
      <c r="G196" s="117" t="s">
        <v>762</v>
      </c>
      <c r="H196" s="117" t="s">
        <v>769</v>
      </c>
      <c r="K196" s="202" t="s">
        <v>450</v>
      </c>
      <c r="L196" s="54" t="s">
        <v>1</v>
      </c>
    </row>
    <row r="197" spans="1:12" hidden="1">
      <c r="B197" s="118">
        <v>45068</v>
      </c>
      <c r="C197" s="120">
        <v>44897</v>
      </c>
      <c r="D197" s="117" t="s">
        <v>757</v>
      </c>
      <c r="F197" s="53" t="s">
        <v>51</v>
      </c>
      <c r="G197" s="117" t="s">
        <v>764</v>
      </c>
      <c r="H197" s="117" t="s">
        <v>118</v>
      </c>
      <c r="K197" s="202" t="s">
        <v>774</v>
      </c>
      <c r="L197" s="54" t="s">
        <v>1</v>
      </c>
    </row>
    <row r="198" spans="1:12" ht="12" hidden="1" thickBot="1">
      <c r="B198" s="282">
        <v>45071</v>
      </c>
      <c r="C198" s="283">
        <v>45066</v>
      </c>
      <c r="D198" s="285" t="s">
        <v>758</v>
      </c>
      <c r="E198" s="53" t="s">
        <v>4</v>
      </c>
      <c r="F198" s="53" t="s">
        <v>9</v>
      </c>
      <c r="G198" s="285" t="s">
        <v>549</v>
      </c>
      <c r="H198" s="285" t="s">
        <v>353</v>
      </c>
      <c r="K198" s="287" t="s">
        <v>775</v>
      </c>
      <c r="L198" s="54" t="s">
        <v>1</v>
      </c>
    </row>
    <row r="199" spans="1:12" hidden="1">
      <c r="B199" s="118">
        <v>45071</v>
      </c>
      <c r="C199" s="120">
        <v>45071</v>
      </c>
      <c r="D199" s="117" t="s">
        <v>759</v>
      </c>
      <c r="E199" s="53" t="s">
        <v>6</v>
      </c>
      <c r="F199" s="53" t="s">
        <v>11</v>
      </c>
      <c r="G199" s="117" t="s">
        <v>229</v>
      </c>
      <c r="H199" s="117" t="s">
        <v>770</v>
      </c>
      <c r="K199" s="286" t="s">
        <v>442</v>
      </c>
      <c r="L199" s="54" t="s">
        <v>275</v>
      </c>
    </row>
    <row r="200" spans="1:12" ht="12" hidden="1" thickBot="1">
      <c r="A200" s="53">
        <v>1</v>
      </c>
      <c r="B200" s="118">
        <v>45087</v>
      </c>
      <c r="C200" s="283">
        <v>45086</v>
      </c>
      <c r="D200" s="285" t="s">
        <v>783</v>
      </c>
      <c r="G200" s="285" t="s">
        <v>130</v>
      </c>
      <c r="H200" s="285" t="s">
        <v>784</v>
      </c>
      <c r="I200" s="290">
        <v>65887500</v>
      </c>
      <c r="K200" s="287" t="s">
        <v>785</v>
      </c>
    </row>
    <row r="201" spans="1:12" hidden="1">
      <c r="A201" s="53">
        <v>2</v>
      </c>
      <c r="B201" s="118">
        <v>45083</v>
      </c>
      <c r="C201" s="118">
        <v>45082</v>
      </c>
      <c r="D201" s="284" t="s">
        <v>786</v>
      </c>
      <c r="G201" s="284" t="s">
        <v>141</v>
      </c>
      <c r="H201" s="284" t="s">
        <v>787</v>
      </c>
      <c r="I201" s="291">
        <v>2520000</v>
      </c>
      <c r="K201" s="286" t="s">
        <v>788</v>
      </c>
    </row>
    <row r="202" spans="1:12" ht="12" hidden="1" thickBot="1">
      <c r="A202" s="53">
        <v>3</v>
      </c>
      <c r="B202" s="282">
        <v>45082</v>
      </c>
      <c r="C202" s="283">
        <v>45066</v>
      </c>
      <c r="D202" s="285" t="s">
        <v>789</v>
      </c>
      <c r="G202" s="285" t="s">
        <v>790</v>
      </c>
      <c r="H202" s="285" t="s">
        <v>118</v>
      </c>
      <c r="I202" s="290">
        <v>1860000</v>
      </c>
      <c r="K202" s="287" t="s">
        <v>791</v>
      </c>
    </row>
    <row r="203" spans="1:12" hidden="1">
      <c r="A203" s="53">
        <v>4</v>
      </c>
      <c r="B203" s="118">
        <v>45079</v>
      </c>
      <c r="C203" s="118">
        <v>45079</v>
      </c>
      <c r="D203" s="284" t="s">
        <v>792</v>
      </c>
      <c r="G203" s="284" t="s">
        <v>793</v>
      </c>
      <c r="H203" s="284" t="s">
        <v>148</v>
      </c>
      <c r="I203" s="291">
        <v>5900000</v>
      </c>
      <c r="K203" s="286" t="s">
        <v>794</v>
      </c>
    </row>
    <row r="204" spans="1:12" hidden="1">
      <c r="A204" s="53">
        <v>5</v>
      </c>
      <c r="B204" s="118">
        <v>45084</v>
      </c>
      <c r="C204" s="120">
        <v>45084</v>
      </c>
      <c r="D204" s="117" t="s">
        <v>795</v>
      </c>
      <c r="G204" s="117" t="s">
        <v>796</v>
      </c>
      <c r="H204" s="117" t="s">
        <v>732</v>
      </c>
      <c r="I204" s="124">
        <v>24689800</v>
      </c>
      <c r="K204" s="202" t="s">
        <v>797</v>
      </c>
    </row>
    <row r="205" spans="1:12" hidden="1">
      <c r="A205" s="53">
        <v>6</v>
      </c>
      <c r="B205" s="118">
        <v>45085</v>
      </c>
      <c r="C205" s="120">
        <v>45083</v>
      </c>
      <c r="D205" s="117" t="s">
        <v>798</v>
      </c>
      <c r="G205" s="117" t="s">
        <v>549</v>
      </c>
      <c r="H205" s="117" t="s">
        <v>118</v>
      </c>
      <c r="I205" s="124">
        <v>725000</v>
      </c>
      <c r="K205" s="202" t="s">
        <v>399</v>
      </c>
    </row>
    <row r="206" spans="1:12" ht="12" hidden="1" thickBot="1">
      <c r="A206" s="53">
        <v>7</v>
      </c>
      <c r="B206" s="282">
        <v>45086</v>
      </c>
      <c r="C206" s="283">
        <v>45085</v>
      </c>
      <c r="D206" s="285" t="s">
        <v>799</v>
      </c>
      <c r="G206" s="285" t="s">
        <v>800</v>
      </c>
      <c r="H206" s="285" t="s">
        <v>565</v>
      </c>
      <c r="I206" s="290">
        <v>41800000</v>
      </c>
      <c r="K206" s="287" t="s">
        <v>399</v>
      </c>
    </row>
    <row r="207" spans="1:12" hidden="1">
      <c r="A207" s="53">
        <v>8</v>
      </c>
      <c r="B207" s="120">
        <v>45082</v>
      </c>
      <c r="C207" s="120">
        <v>45072</v>
      </c>
      <c r="D207" s="117" t="s">
        <v>801</v>
      </c>
      <c r="G207" s="117" t="s">
        <v>802</v>
      </c>
      <c r="H207" s="117" t="s">
        <v>803</v>
      </c>
      <c r="I207" s="124">
        <v>3150000</v>
      </c>
      <c r="K207" s="286" t="s">
        <v>1</v>
      </c>
    </row>
    <row r="208" spans="1:12" hidden="1">
      <c r="A208" s="53">
        <v>9</v>
      </c>
      <c r="B208" s="120">
        <v>45079</v>
      </c>
      <c r="C208" s="120">
        <v>45077</v>
      </c>
      <c r="D208" s="117" t="s">
        <v>804</v>
      </c>
      <c r="G208" s="117" t="s">
        <v>563</v>
      </c>
      <c r="H208" s="284" t="s">
        <v>805</v>
      </c>
      <c r="I208" s="124">
        <v>612000</v>
      </c>
      <c r="K208" s="286" t="s">
        <v>442</v>
      </c>
    </row>
    <row r="209" spans="1:12" hidden="1">
      <c r="A209" s="53">
        <v>10</v>
      </c>
      <c r="B209" s="118">
        <v>45082</v>
      </c>
      <c r="C209" s="118">
        <v>45082</v>
      </c>
      <c r="D209" s="284" t="s">
        <v>806</v>
      </c>
      <c r="G209" s="284" t="s">
        <v>807</v>
      </c>
      <c r="H209" s="284" t="s">
        <v>808</v>
      </c>
      <c r="I209" s="291">
        <v>2840000</v>
      </c>
      <c r="K209" s="286" t="s">
        <v>809</v>
      </c>
    </row>
    <row r="210" spans="1:12" hidden="1">
      <c r="A210" s="53">
        <v>11</v>
      </c>
      <c r="B210" s="120">
        <v>45087</v>
      </c>
      <c r="C210" s="120">
        <v>45083</v>
      </c>
      <c r="D210" s="117" t="s">
        <v>810</v>
      </c>
      <c r="G210" s="117" t="s">
        <v>811</v>
      </c>
      <c r="H210" s="117" t="s">
        <v>812</v>
      </c>
      <c r="I210" s="124">
        <v>8845000</v>
      </c>
      <c r="K210" s="202" t="s">
        <v>813</v>
      </c>
    </row>
    <row r="211" spans="1:12" hidden="1">
      <c r="B211" s="241">
        <v>45091</v>
      </c>
      <c r="C211" s="241">
        <v>45091</v>
      </c>
      <c r="D211" s="53" t="s">
        <v>814</v>
      </c>
      <c r="G211" s="53" t="s">
        <v>564</v>
      </c>
      <c r="H211" s="53" t="s">
        <v>118</v>
      </c>
      <c r="K211" s="53" t="s">
        <v>823</v>
      </c>
    </row>
    <row r="212" spans="1:12" hidden="1">
      <c r="B212" s="241">
        <v>45092</v>
      </c>
      <c r="C212" s="241">
        <v>45092</v>
      </c>
      <c r="D212" s="53" t="s">
        <v>815</v>
      </c>
      <c r="G212" s="53" t="s">
        <v>819</v>
      </c>
      <c r="H212" s="53" t="s">
        <v>118</v>
      </c>
      <c r="K212" s="53" t="s">
        <v>824</v>
      </c>
    </row>
    <row r="213" spans="1:12" hidden="1">
      <c r="B213" s="241">
        <v>45092</v>
      </c>
      <c r="C213" s="241">
        <v>45091</v>
      </c>
      <c r="D213" s="53" t="s">
        <v>816</v>
      </c>
      <c r="G213" s="53" t="s">
        <v>288</v>
      </c>
      <c r="H213" s="53" t="s">
        <v>820</v>
      </c>
      <c r="K213" s="53" t="s">
        <v>296</v>
      </c>
    </row>
    <row r="214" spans="1:12" hidden="1">
      <c r="B214" s="241">
        <v>45090</v>
      </c>
      <c r="C214" s="241">
        <v>45086</v>
      </c>
      <c r="D214" s="53" t="s">
        <v>817</v>
      </c>
      <c r="G214" s="53" t="s">
        <v>811</v>
      </c>
      <c r="H214" s="53" t="s">
        <v>821</v>
      </c>
      <c r="K214" s="53" t="s">
        <v>444</v>
      </c>
    </row>
    <row r="215" spans="1:12" hidden="1">
      <c r="B215" s="241">
        <v>45090</v>
      </c>
      <c r="C215" s="241">
        <v>45089</v>
      </c>
      <c r="D215" s="53" t="s">
        <v>818</v>
      </c>
      <c r="G215" s="53" t="s">
        <v>354</v>
      </c>
      <c r="H215" s="53" t="s">
        <v>822</v>
      </c>
      <c r="K215" s="53" t="s">
        <v>400</v>
      </c>
    </row>
    <row r="216" spans="1:12" hidden="1">
      <c r="A216" s="53">
        <v>3</v>
      </c>
      <c r="B216" s="118">
        <v>45100</v>
      </c>
      <c r="C216" s="118">
        <v>45100</v>
      </c>
      <c r="D216" s="284" t="s">
        <v>825</v>
      </c>
      <c r="G216" s="284" t="s">
        <v>834</v>
      </c>
      <c r="H216" s="284" t="s">
        <v>842</v>
      </c>
      <c r="K216" s="292" t="s">
        <v>243</v>
      </c>
      <c r="L216" s="286" t="s">
        <v>849</v>
      </c>
    </row>
    <row r="217" spans="1:12" hidden="1">
      <c r="B217" s="118">
        <v>45099</v>
      </c>
      <c r="C217" s="118">
        <v>45099</v>
      </c>
      <c r="D217" s="284" t="s">
        <v>826</v>
      </c>
      <c r="G217" s="284" t="s">
        <v>835</v>
      </c>
      <c r="H217" s="284" t="s">
        <v>843</v>
      </c>
      <c r="K217" s="292" t="s">
        <v>243</v>
      </c>
      <c r="L217" s="286" t="s">
        <v>850</v>
      </c>
    </row>
    <row r="218" spans="1:12" hidden="1">
      <c r="B218" s="118">
        <v>45101</v>
      </c>
      <c r="C218" s="120">
        <v>45100</v>
      </c>
      <c r="D218" s="117" t="s">
        <v>827</v>
      </c>
      <c r="G218" s="117" t="s">
        <v>836</v>
      </c>
      <c r="H218" s="117" t="s">
        <v>118</v>
      </c>
      <c r="K218" s="293" t="s">
        <v>454</v>
      </c>
      <c r="L218" s="286" t="s">
        <v>851</v>
      </c>
    </row>
    <row r="219" spans="1:12" hidden="1">
      <c r="B219" s="118">
        <v>45099</v>
      </c>
      <c r="C219" s="120">
        <v>45098</v>
      </c>
      <c r="D219" s="117" t="s">
        <v>828</v>
      </c>
      <c r="G219" s="117" t="s">
        <v>837</v>
      </c>
      <c r="H219" s="117" t="s">
        <v>844</v>
      </c>
      <c r="K219" s="293" t="s">
        <v>12</v>
      </c>
      <c r="L219" s="286" t="s">
        <v>852</v>
      </c>
    </row>
    <row r="220" spans="1:12" hidden="1">
      <c r="B220" s="118">
        <v>45099</v>
      </c>
      <c r="C220" s="120">
        <v>45091</v>
      </c>
      <c r="D220" s="117" t="s">
        <v>829</v>
      </c>
      <c r="G220" s="117" t="s">
        <v>838</v>
      </c>
      <c r="H220" s="117" t="s">
        <v>845</v>
      </c>
      <c r="K220" s="293" t="s">
        <v>12</v>
      </c>
      <c r="L220" s="286" t="s">
        <v>853</v>
      </c>
    </row>
    <row r="221" spans="1:12" hidden="1">
      <c r="B221" s="118">
        <v>45098</v>
      </c>
      <c r="C221" s="120">
        <v>45098</v>
      </c>
      <c r="D221" s="117" t="s">
        <v>830</v>
      </c>
      <c r="G221" s="117" t="s">
        <v>839</v>
      </c>
      <c r="H221" s="117" t="s">
        <v>846</v>
      </c>
      <c r="K221" s="293" t="s">
        <v>12</v>
      </c>
      <c r="L221" s="286" t="s">
        <v>854</v>
      </c>
    </row>
    <row r="222" spans="1:12" hidden="1">
      <c r="B222" s="118">
        <v>45096</v>
      </c>
      <c r="C222" s="120">
        <v>45094</v>
      </c>
      <c r="D222" s="117" t="s">
        <v>831</v>
      </c>
      <c r="G222" s="117" t="s">
        <v>840</v>
      </c>
      <c r="H222" s="117" t="s">
        <v>847</v>
      </c>
      <c r="K222" s="293" t="s">
        <v>12</v>
      </c>
      <c r="L222" s="286" t="s">
        <v>399</v>
      </c>
    </row>
    <row r="223" spans="1:12" hidden="1">
      <c r="B223" s="118">
        <v>45096</v>
      </c>
      <c r="C223" s="120">
        <v>45090</v>
      </c>
      <c r="D223" s="117" t="s">
        <v>832</v>
      </c>
      <c r="G223" s="117" t="s">
        <v>141</v>
      </c>
      <c r="H223" s="117" t="s">
        <v>848</v>
      </c>
      <c r="K223" s="293" t="s">
        <v>1</v>
      </c>
      <c r="L223" s="286" t="s">
        <v>855</v>
      </c>
    </row>
    <row r="224" spans="1:12" hidden="1">
      <c r="B224" s="118">
        <v>45097</v>
      </c>
      <c r="C224" s="118">
        <v>45096</v>
      </c>
      <c r="D224" s="284" t="s">
        <v>833</v>
      </c>
      <c r="G224" s="284" t="s">
        <v>841</v>
      </c>
      <c r="H224" s="284" t="s">
        <v>118</v>
      </c>
      <c r="K224" s="292" t="s">
        <v>444</v>
      </c>
      <c r="L224" s="286" t="s">
        <v>856</v>
      </c>
    </row>
    <row r="225" spans="2:12" hidden="1"/>
    <row r="226" spans="2:12" hidden="1"/>
    <row r="227" spans="2:12" s="299" customFormat="1" ht="12" hidden="1" thickBot="1">
      <c r="B227" s="296">
        <v>45113</v>
      </c>
      <c r="C227" s="297">
        <v>45113</v>
      </c>
      <c r="D227" s="298" t="s">
        <v>858</v>
      </c>
      <c r="E227" s="299" t="s">
        <v>3</v>
      </c>
      <c r="F227" s="299" t="s">
        <v>10</v>
      </c>
      <c r="G227" s="298" t="s">
        <v>153</v>
      </c>
      <c r="H227" s="298" t="s">
        <v>859</v>
      </c>
      <c r="I227" s="300">
        <v>7177500</v>
      </c>
      <c r="J227" s="301"/>
      <c r="K227" s="302" t="s">
        <v>875</v>
      </c>
      <c r="L227" s="303" t="s">
        <v>47</v>
      </c>
    </row>
    <row r="228" spans="2:12" hidden="1">
      <c r="B228" s="118">
        <v>45110</v>
      </c>
      <c r="C228" s="120">
        <v>45105</v>
      </c>
      <c r="D228" s="117" t="s">
        <v>860</v>
      </c>
      <c r="E228" s="53" t="s">
        <v>3</v>
      </c>
      <c r="F228" s="53" t="s">
        <v>10</v>
      </c>
      <c r="G228" s="117" t="s">
        <v>861</v>
      </c>
      <c r="H228" s="117" t="s">
        <v>118</v>
      </c>
      <c r="I228" s="124">
        <v>1780000</v>
      </c>
      <c r="K228" s="202" t="s">
        <v>777</v>
      </c>
      <c r="L228" s="54" t="s">
        <v>880</v>
      </c>
    </row>
    <row r="229" spans="2:12" hidden="1">
      <c r="B229" s="118">
        <v>45110</v>
      </c>
      <c r="C229" s="120">
        <v>45103</v>
      </c>
      <c r="D229" s="117" t="s">
        <v>862</v>
      </c>
      <c r="E229" s="53" t="s">
        <v>5</v>
      </c>
      <c r="F229" s="53" t="s">
        <v>51</v>
      </c>
      <c r="G229" s="117" t="s">
        <v>863</v>
      </c>
      <c r="H229" s="117" t="s">
        <v>864</v>
      </c>
      <c r="I229" s="124">
        <v>15129500</v>
      </c>
      <c r="K229" s="202" t="s">
        <v>876</v>
      </c>
      <c r="L229" s="54" t="s">
        <v>881</v>
      </c>
    </row>
    <row r="230" spans="2:12" ht="12" hidden="1" thickBot="1">
      <c r="B230" s="282">
        <v>45110</v>
      </c>
      <c r="C230" s="283">
        <v>45110</v>
      </c>
      <c r="D230" s="285" t="s">
        <v>865</v>
      </c>
      <c r="E230" s="53" t="s">
        <v>3</v>
      </c>
      <c r="F230" s="53" t="s">
        <v>51</v>
      </c>
      <c r="G230" s="285" t="s">
        <v>866</v>
      </c>
      <c r="H230" s="285" t="s">
        <v>867</v>
      </c>
      <c r="I230" s="290">
        <v>1500000</v>
      </c>
      <c r="K230" s="287" t="s">
        <v>877</v>
      </c>
      <c r="L230" s="54" t="s">
        <v>881</v>
      </c>
    </row>
    <row r="231" spans="2:12" hidden="1">
      <c r="B231" s="120">
        <v>45108</v>
      </c>
      <c r="C231" s="118">
        <v>45107</v>
      </c>
      <c r="D231" s="284" t="s">
        <v>868</v>
      </c>
      <c r="E231" s="53" t="s">
        <v>6</v>
      </c>
      <c r="F231" s="53" t="s">
        <v>11</v>
      </c>
      <c r="G231" s="284" t="s">
        <v>509</v>
      </c>
      <c r="H231" s="284" t="s">
        <v>869</v>
      </c>
      <c r="I231" s="291">
        <v>82000000</v>
      </c>
      <c r="K231" s="286" t="s">
        <v>878</v>
      </c>
      <c r="L231" s="54" t="s">
        <v>878</v>
      </c>
    </row>
    <row r="232" spans="2:12" hidden="1">
      <c r="B232" s="120">
        <v>45114</v>
      </c>
      <c r="C232" s="120">
        <v>45114</v>
      </c>
      <c r="D232" s="117" t="s">
        <v>870</v>
      </c>
      <c r="E232" s="53" t="s">
        <v>3</v>
      </c>
      <c r="F232" s="53" t="s">
        <v>10</v>
      </c>
      <c r="G232" s="117" t="s">
        <v>871</v>
      </c>
      <c r="H232" s="117" t="s">
        <v>118</v>
      </c>
      <c r="I232" s="124">
        <v>330000</v>
      </c>
      <c r="K232" s="202" t="s">
        <v>879</v>
      </c>
      <c r="L232" s="54" t="s">
        <v>878</v>
      </c>
    </row>
    <row r="233" spans="2:12" ht="12" hidden="1" thickBot="1">
      <c r="B233" s="282">
        <v>45113</v>
      </c>
      <c r="C233" s="283">
        <v>45113</v>
      </c>
      <c r="D233" s="285" t="s">
        <v>872</v>
      </c>
      <c r="E233" s="53" t="s">
        <v>6</v>
      </c>
      <c r="F233" s="53" t="s">
        <v>49</v>
      </c>
      <c r="G233" s="285" t="s">
        <v>873</v>
      </c>
      <c r="H233" s="285" t="s">
        <v>874</v>
      </c>
      <c r="I233" s="290">
        <v>25800000</v>
      </c>
      <c r="K233" s="287" t="s">
        <v>442</v>
      </c>
      <c r="L233" s="54" t="s">
        <v>275</v>
      </c>
    </row>
    <row r="234" spans="2:12" hidden="1">
      <c r="B234" s="241">
        <v>45120</v>
      </c>
      <c r="C234" s="241">
        <v>45118</v>
      </c>
      <c r="D234" s="53" t="s">
        <v>882</v>
      </c>
      <c r="E234" s="53" t="s">
        <v>5</v>
      </c>
      <c r="F234" s="53" t="s">
        <v>8</v>
      </c>
      <c r="G234" s="53" t="s">
        <v>891</v>
      </c>
      <c r="H234" s="53" t="s">
        <v>892</v>
      </c>
      <c r="K234" s="54" t="s">
        <v>903</v>
      </c>
      <c r="L234" s="54" t="s">
        <v>408</v>
      </c>
    </row>
    <row r="235" spans="2:12" hidden="1">
      <c r="B235" s="241">
        <v>45122</v>
      </c>
      <c r="C235" s="241">
        <v>45121</v>
      </c>
      <c r="D235" s="53" t="s">
        <v>883</v>
      </c>
      <c r="E235" s="53" t="s">
        <v>6</v>
      </c>
      <c r="F235" s="53" t="s">
        <v>11</v>
      </c>
      <c r="G235" s="53" t="s">
        <v>893</v>
      </c>
      <c r="H235" s="53" t="s">
        <v>894</v>
      </c>
      <c r="K235" s="54" t="s">
        <v>47</v>
      </c>
      <c r="L235" s="54" t="s">
        <v>47</v>
      </c>
    </row>
    <row r="236" spans="2:12" hidden="1">
      <c r="B236" s="241">
        <v>45121</v>
      </c>
      <c r="C236" s="241">
        <v>45114</v>
      </c>
      <c r="D236" s="53" t="s">
        <v>884</v>
      </c>
      <c r="E236" s="53" t="s">
        <v>140</v>
      </c>
      <c r="F236" s="53" t="s">
        <v>83</v>
      </c>
      <c r="G236" s="53" t="s">
        <v>895</v>
      </c>
      <c r="H236" s="53" t="s">
        <v>118</v>
      </c>
      <c r="K236" s="54" t="s">
        <v>904</v>
      </c>
      <c r="L236" s="54" t="s">
        <v>904</v>
      </c>
    </row>
    <row r="237" spans="2:12" hidden="1">
      <c r="B237" s="241">
        <v>45117</v>
      </c>
      <c r="C237" s="241">
        <v>45117</v>
      </c>
      <c r="D237" s="53" t="s">
        <v>885</v>
      </c>
      <c r="E237" s="53" t="s">
        <v>5</v>
      </c>
      <c r="F237" s="53" t="s">
        <v>8</v>
      </c>
      <c r="G237" s="53" t="s">
        <v>896</v>
      </c>
      <c r="H237" s="53" t="s">
        <v>897</v>
      </c>
      <c r="K237" s="54" t="s">
        <v>905</v>
      </c>
      <c r="L237" s="54" t="s">
        <v>2</v>
      </c>
    </row>
    <row r="238" spans="2:12" hidden="1">
      <c r="B238" s="241">
        <v>45121</v>
      </c>
      <c r="C238" s="241">
        <v>45112</v>
      </c>
      <c r="D238" s="53" t="s">
        <v>886</v>
      </c>
      <c r="E238" s="53" t="s">
        <v>4</v>
      </c>
      <c r="F238" s="53" t="s">
        <v>9</v>
      </c>
      <c r="G238" s="53" t="s">
        <v>898</v>
      </c>
      <c r="H238" s="53" t="s">
        <v>118</v>
      </c>
      <c r="K238" s="54" t="s">
        <v>906</v>
      </c>
      <c r="L238" s="54" t="s">
        <v>881</v>
      </c>
    </row>
    <row r="239" spans="2:12" hidden="1">
      <c r="B239" s="241">
        <v>45127</v>
      </c>
      <c r="C239" s="241">
        <v>45120</v>
      </c>
      <c r="D239" s="53" t="s">
        <v>887</v>
      </c>
      <c r="E239" s="53" t="s">
        <v>6</v>
      </c>
      <c r="F239" s="53" t="s">
        <v>9</v>
      </c>
      <c r="G239" s="53" t="s">
        <v>548</v>
      </c>
      <c r="H239" s="53" t="s">
        <v>118</v>
      </c>
      <c r="K239" s="54" t="s">
        <v>907</v>
      </c>
      <c r="L239" s="54" t="s">
        <v>878</v>
      </c>
    </row>
    <row r="240" spans="2:12" hidden="1">
      <c r="B240" s="241">
        <v>45120</v>
      </c>
      <c r="C240" s="241">
        <v>45117</v>
      </c>
      <c r="D240" s="53" t="s">
        <v>888</v>
      </c>
      <c r="E240" s="53" t="s">
        <v>6</v>
      </c>
      <c r="F240" s="53" t="s">
        <v>11</v>
      </c>
      <c r="G240" s="53" t="s">
        <v>512</v>
      </c>
      <c r="H240" s="53" t="s">
        <v>899</v>
      </c>
      <c r="K240" s="54" t="s">
        <v>135</v>
      </c>
      <c r="L240" s="54" t="s">
        <v>12</v>
      </c>
    </row>
    <row r="241" spans="2:12" hidden="1">
      <c r="B241" s="241">
        <v>45119</v>
      </c>
      <c r="C241" s="241">
        <v>45115</v>
      </c>
      <c r="D241" s="53" t="s">
        <v>889</v>
      </c>
      <c r="E241" s="53" t="s">
        <v>4</v>
      </c>
      <c r="F241" s="53" t="s">
        <v>9</v>
      </c>
      <c r="G241" s="53" t="s">
        <v>356</v>
      </c>
      <c r="H241" s="53" t="s">
        <v>900</v>
      </c>
      <c r="K241" s="54" t="s">
        <v>908</v>
      </c>
      <c r="L241" s="54" t="s">
        <v>12</v>
      </c>
    </row>
    <row r="242" spans="2:12" hidden="1">
      <c r="B242" s="241">
        <v>45119</v>
      </c>
      <c r="C242" s="241">
        <v>45119</v>
      </c>
      <c r="D242" s="53" t="s">
        <v>890</v>
      </c>
      <c r="E242" s="53" t="s">
        <v>4</v>
      </c>
      <c r="F242" s="53" t="s">
        <v>9</v>
      </c>
      <c r="G242" s="53" t="s">
        <v>901</v>
      </c>
      <c r="H242" s="53" t="s">
        <v>902</v>
      </c>
      <c r="K242" s="54" t="s">
        <v>399</v>
      </c>
      <c r="L242" s="54" t="s">
        <v>12</v>
      </c>
    </row>
    <row r="243" spans="2:12" hidden="1"/>
    <row r="244" spans="2:12" hidden="1">
      <c r="B244" s="241">
        <v>45132</v>
      </c>
      <c r="C244" s="241">
        <v>45132</v>
      </c>
      <c r="D244" s="53" t="s">
        <v>911</v>
      </c>
      <c r="G244" s="53" t="s">
        <v>918</v>
      </c>
      <c r="H244" s="53" t="s">
        <v>924</v>
      </c>
      <c r="K244" s="54" t="s">
        <v>530</v>
      </c>
      <c r="L244" s="54" t="s">
        <v>12</v>
      </c>
    </row>
    <row r="245" spans="2:12" hidden="1">
      <c r="B245" s="241">
        <v>45133</v>
      </c>
      <c r="C245" s="241">
        <v>44894</v>
      </c>
      <c r="D245" s="53" t="s">
        <v>912</v>
      </c>
      <c r="G245" s="53" t="s">
        <v>919</v>
      </c>
      <c r="H245" s="53" t="s">
        <v>118</v>
      </c>
      <c r="K245" s="54" t="s">
        <v>450</v>
      </c>
      <c r="L245" s="54" t="s">
        <v>1</v>
      </c>
    </row>
    <row r="246" spans="2:12" hidden="1">
      <c r="B246" s="241">
        <v>45133</v>
      </c>
      <c r="C246" s="241">
        <v>45119</v>
      </c>
      <c r="D246" s="53" t="s">
        <v>914</v>
      </c>
      <c r="G246" s="53" t="s">
        <v>921</v>
      </c>
      <c r="H246" s="53" t="s">
        <v>926</v>
      </c>
      <c r="K246" s="54" t="s">
        <v>450</v>
      </c>
      <c r="L246" s="54" t="s">
        <v>1</v>
      </c>
    </row>
    <row r="247" spans="2:12" hidden="1">
      <c r="B247" s="241">
        <v>45133</v>
      </c>
      <c r="C247" s="241">
        <v>45133</v>
      </c>
      <c r="D247" s="53" t="s">
        <v>915</v>
      </c>
      <c r="G247" s="53" t="s">
        <v>922</v>
      </c>
      <c r="H247" s="53" t="s">
        <v>927</v>
      </c>
      <c r="K247" s="54" t="s">
        <v>931</v>
      </c>
      <c r="L247" s="54" t="s">
        <v>12</v>
      </c>
    </row>
    <row r="248" spans="2:12" hidden="1">
      <c r="B248" s="241">
        <v>45134</v>
      </c>
      <c r="C248" s="241">
        <v>45133</v>
      </c>
      <c r="D248" s="53" t="s">
        <v>916</v>
      </c>
      <c r="G248" s="53" t="s">
        <v>129</v>
      </c>
      <c r="H248" s="53" t="s">
        <v>928</v>
      </c>
      <c r="K248" s="54" t="s">
        <v>932</v>
      </c>
      <c r="L248" s="54" t="s">
        <v>881</v>
      </c>
    </row>
    <row r="249" spans="2:12" hidden="1"/>
    <row r="250" spans="2:12" hidden="1">
      <c r="B250" s="241">
        <v>45131</v>
      </c>
      <c r="C250" s="241">
        <v>45127</v>
      </c>
      <c r="D250" s="53" t="s">
        <v>910</v>
      </c>
      <c r="G250" s="53" t="s">
        <v>917</v>
      </c>
      <c r="H250" s="53" t="s">
        <v>923</v>
      </c>
      <c r="K250" s="54" t="s">
        <v>929</v>
      </c>
      <c r="L250" s="54" t="s">
        <v>933</v>
      </c>
    </row>
    <row r="251" spans="2:12" hidden="1">
      <c r="B251" s="241">
        <v>45133</v>
      </c>
      <c r="C251" s="241">
        <v>45132</v>
      </c>
      <c r="D251" s="53" t="s">
        <v>913</v>
      </c>
      <c r="G251" s="53" t="s">
        <v>920</v>
      </c>
      <c r="H251" s="53" t="s">
        <v>925</v>
      </c>
      <c r="K251" s="54" t="s">
        <v>930</v>
      </c>
      <c r="L251" s="54" t="s">
        <v>933</v>
      </c>
    </row>
    <row r="252" spans="2:12" hidden="1">
      <c r="B252" s="118">
        <v>45139</v>
      </c>
      <c r="C252" s="118">
        <v>45139</v>
      </c>
      <c r="D252" s="284" t="s">
        <v>937</v>
      </c>
      <c r="E252" s="53" t="s">
        <v>3</v>
      </c>
      <c r="F252" s="53" t="s">
        <v>8</v>
      </c>
      <c r="G252" s="53" t="s">
        <v>938</v>
      </c>
      <c r="H252" s="53" t="s">
        <v>118</v>
      </c>
      <c r="I252" s="312">
        <v>1824000</v>
      </c>
      <c r="J252" s="284" t="s">
        <v>966</v>
      </c>
      <c r="K252" s="291" t="s">
        <v>939</v>
      </c>
      <c r="L252" s="286" t="s">
        <v>966</v>
      </c>
    </row>
    <row r="253" spans="2:12" hidden="1">
      <c r="B253" s="118">
        <v>45150</v>
      </c>
      <c r="C253" s="120">
        <v>45141</v>
      </c>
      <c r="D253" s="117" t="s">
        <v>976</v>
      </c>
      <c r="E253" s="53" t="s">
        <v>4</v>
      </c>
      <c r="F253" s="53" t="s">
        <v>49</v>
      </c>
      <c r="G253" s="53" t="s">
        <v>977</v>
      </c>
      <c r="H253" s="53" t="s">
        <v>118</v>
      </c>
      <c r="I253" s="313">
        <v>31500000</v>
      </c>
      <c r="J253" s="284" t="s">
        <v>979</v>
      </c>
      <c r="K253" s="121" t="s">
        <v>978</v>
      </c>
      <c r="L253" s="286" t="s">
        <v>979</v>
      </c>
    </row>
    <row r="254" spans="2:12" hidden="1">
      <c r="B254" s="118">
        <v>45142</v>
      </c>
      <c r="C254" s="120">
        <v>45135</v>
      </c>
      <c r="D254" s="117" t="s">
        <v>949</v>
      </c>
      <c r="E254" s="53" t="s">
        <v>4</v>
      </c>
      <c r="F254" s="53" t="s">
        <v>9</v>
      </c>
      <c r="G254" s="53" t="s">
        <v>950</v>
      </c>
      <c r="H254" s="53" t="s">
        <v>951</v>
      </c>
      <c r="I254" s="313">
        <v>12450000</v>
      </c>
      <c r="J254" s="117" t="s">
        <v>969</v>
      </c>
      <c r="K254" s="247" t="s">
        <v>399</v>
      </c>
      <c r="L254" s="286" t="s">
        <v>135</v>
      </c>
    </row>
    <row r="255" spans="2:12" hidden="1">
      <c r="B255" s="118">
        <v>45142</v>
      </c>
      <c r="C255" s="120">
        <v>45140</v>
      </c>
      <c r="D255" s="117" t="s">
        <v>952</v>
      </c>
      <c r="E255" s="53" t="s">
        <v>4</v>
      </c>
      <c r="F255" s="53" t="s">
        <v>9</v>
      </c>
      <c r="G255" s="53" t="s">
        <v>950</v>
      </c>
      <c r="H255" s="53" t="s">
        <v>118</v>
      </c>
      <c r="I255" s="313">
        <v>97110000</v>
      </c>
      <c r="J255" s="117" t="s">
        <v>969</v>
      </c>
      <c r="K255" s="124" t="s">
        <v>399</v>
      </c>
      <c r="L255" s="286" t="s">
        <v>135</v>
      </c>
    </row>
    <row r="256" spans="2:12" hidden="1">
      <c r="B256" s="118">
        <v>45140</v>
      </c>
      <c r="C256" s="120">
        <v>45138</v>
      </c>
      <c r="D256" s="117" t="s">
        <v>940</v>
      </c>
      <c r="E256" s="53" t="s">
        <v>6</v>
      </c>
      <c r="F256" s="53" t="s">
        <v>8</v>
      </c>
      <c r="G256" s="53" t="s">
        <v>941</v>
      </c>
      <c r="H256" s="53" t="s">
        <v>942</v>
      </c>
      <c r="I256" s="313">
        <v>2975000</v>
      </c>
      <c r="J256" s="117" t="s">
        <v>969</v>
      </c>
      <c r="K256" s="124" t="s">
        <v>399</v>
      </c>
      <c r="L256" s="286" t="s">
        <v>135</v>
      </c>
    </row>
    <row r="257" spans="2:12" hidden="1">
      <c r="B257" s="118">
        <v>45152</v>
      </c>
      <c r="C257" s="118">
        <v>45146</v>
      </c>
      <c r="D257" s="284" t="s">
        <v>990</v>
      </c>
      <c r="E257" s="53" t="s">
        <v>5</v>
      </c>
      <c r="F257" s="53" t="s">
        <v>9</v>
      </c>
      <c r="G257" s="53" t="s">
        <v>901</v>
      </c>
      <c r="H257" s="53" t="s">
        <v>991</v>
      </c>
      <c r="I257" s="312">
        <v>5600000</v>
      </c>
      <c r="J257" s="284" t="s">
        <v>969</v>
      </c>
      <c r="K257" s="291" t="s">
        <v>530</v>
      </c>
      <c r="L257" s="286" t="s">
        <v>135</v>
      </c>
    </row>
    <row r="258" spans="2:12" hidden="1">
      <c r="B258" s="118">
        <v>45152</v>
      </c>
      <c r="C258" s="120">
        <v>45146</v>
      </c>
      <c r="D258" s="117" t="s">
        <v>990</v>
      </c>
      <c r="E258" s="53" t="s">
        <v>5</v>
      </c>
      <c r="F258" s="53" t="s">
        <v>9</v>
      </c>
      <c r="G258" s="53" t="s">
        <v>901</v>
      </c>
      <c r="H258" s="53" t="s">
        <v>992</v>
      </c>
      <c r="I258" s="313">
        <v>5600000</v>
      </c>
      <c r="J258" s="117" t="s">
        <v>969</v>
      </c>
      <c r="K258" s="121" t="s">
        <v>530</v>
      </c>
      <c r="L258" s="286" t="s">
        <v>135</v>
      </c>
    </row>
    <row r="259" spans="2:12" hidden="1">
      <c r="B259" s="118">
        <v>45152</v>
      </c>
      <c r="C259" s="120">
        <v>45146</v>
      </c>
      <c r="D259" s="117" t="s">
        <v>990</v>
      </c>
      <c r="E259" s="53" t="s">
        <v>5</v>
      </c>
      <c r="F259" s="53" t="s">
        <v>9</v>
      </c>
      <c r="G259" s="53" t="s">
        <v>901</v>
      </c>
      <c r="H259" s="53" t="s">
        <v>993</v>
      </c>
      <c r="I259" s="313">
        <v>5600000</v>
      </c>
      <c r="J259" s="117" t="s">
        <v>969</v>
      </c>
      <c r="K259" s="124" t="s">
        <v>530</v>
      </c>
      <c r="L259" s="286" t="s">
        <v>135</v>
      </c>
    </row>
    <row r="260" spans="2:12" ht="12" hidden="1" thickBot="1">
      <c r="B260" s="282">
        <v>45152</v>
      </c>
      <c r="C260" s="283">
        <v>45146</v>
      </c>
      <c r="D260" s="285" t="s">
        <v>990</v>
      </c>
      <c r="E260" s="53" t="s">
        <v>5</v>
      </c>
      <c r="F260" s="53" t="s">
        <v>9</v>
      </c>
      <c r="G260" s="53" t="s">
        <v>901</v>
      </c>
      <c r="H260" s="53" t="s">
        <v>994</v>
      </c>
      <c r="I260" s="314">
        <v>5600000</v>
      </c>
      <c r="J260" s="285" t="s">
        <v>969</v>
      </c>
      <c r="K260" s="290" t="s">
        <v>530</v>
      </c>
      <c r="L260" s="286" t="s">
        <v>135</v>
      </c>
    </row>
    <row r="261" spans="2:12" ht="12" hidden="1" thickBot="1">
      <c r="B261" s="308">
        <v>45152</v>
      </c>
      <c r="C261" s="308">
        <v>45146</v>
      </c>
      <c r="D261" s="309" t="s">
        <v>990</v>
      </c>
      <c r="E261" s="53" t="s">
        <v>5</v>
      </c>
      <c r="F261" s="53" t="s">
        <v>9</v>
      </c>
      <c r="G261" s="53" t="s">
        <v>901</v>
      </c>
      <c r="H261" s="53" t="s">
        <v>995</v>
      </c>
      <c r="I261" s="315">
        <v>5600000</v>
      </c>
      <c r="J261" s="309" t="s">
        <v>969</v>
      </c>
      <c r="K261" s="310" t="s">
        <v>530</v>
      </c>
      <c r="L261" s="286" t="s">
        <v>135</v>
      </c>
    </row>
    <row r="262" spans="2:12" hidden="1">
      <c r="B262" s="118">
        <v>45150</v>
      </c>
      <c r="C262" s="118">
        <v>45150</v>
      </c>
      <c r="D262" s="284" t="s">
        <v>980</v>
      </c>
      <c r="E262" s="53" t="s">
        <v>5</v>
      </c>
      <c r="F262" s="53" t="s">
        <v>10</v>
      </c>
      <c r="G262" s="53" t="s">
        <v>981</v>
      </c>
      <c r="H262" s="53" t="s">
        <v>118</v>
      </c>
      <c r="I262" s="312">
        <v>3600000</v>
      </c>
      <c r="J262" s="53" t="s">
        <v>965</v>
      </c>
      <c r="K262" s="243" t="s">
        <v>982</v>
      </c>
      <c r="L262" s="286" t="s">
        <v>965</v>
      </c>
    </row>
    <row r="263" spans="2:12" hidden="1">
      <c r="B263" s="118">
        <v>45154</v>
      </c>
      <c r="C263" s="120">
        <v>45154</v>
      </c>
      <c r="D263" s="117" t="s">
        <v>1000</v>
      </c>
      <c r="E263" s="53" t="s">
        <v>5</v>
      </c>
      <c r="F263" s="53" t="s">
        <v>7</v>
      </c>
      <c r="G263" s="53" t="s">
        <v>141</v>
      </c>
      <c r="H263" s="53" t="s">
        <v>148</v>
      </c>
      <c r="I263" s="313">
        <v>52500000</v>
      </c>
      <c r="J263" s="117" t="s">
        <v>878</v>
      </c>
      <c r="K263" s="243" t="s">
        <v>1001</v>
      </c>
      <c r="L263" s="318" t="s">
        <v>878</v>
      </c>
    </row>
    <row r="264" spans="2:12" ht="12" hidden="1" thickBot="1">
      <c r="B264" s="282">
        <v>45142</v>
      </c>
      <c r="C264" s="283">
        <v>45141</v>
      </c>
      <c r="D264" s="285" t="s">
        <v>946</v>
      </c>
      <c r="E264" s="53" t="s">
        <v>4</v>
      </c>
      <c r="F264" s="53" t="s">
        <v>11</v>
      </c>
      <c r="G264" s="53" t="s">
        <v>947</v>
      </c>
      <c r="H264" s="53" t="s">
        <v>948</v>
      </c>
      <c r="I264" s="314">
        <v>4512000</v>
      </c>
      <c r="J264" s="285" t="s">
        <v>135</v>
      </c>
      <c r="K264" s="290" t="s">
        <v>399</v>
      </c>
      <c r="L264" s="311" t="s">
        <v>135</v>
      </c>
    </row>
    <row r="265" spans="2:12" hidden="1">
      <c r="B265" s="118">
        <v>45150</v>
      </c>
      <c r="C265" s="118">
        <v>45148</v>
      </c>
      <c r="D265" s="284" t="s">
        <v>983</v>
      </c>
      <c r="E265" s="53" t="s">
        <v>3</v>
      </c>
      <c r="F265" s="53" t="s">
        <v>8</v>
      </c>
      <c r="G265" s="53" t="s">
        <v>984</v>
      </c>
      <c r="H265" s="53" t="s">
        <v>985</v>
      </c>
      <c r="I265" s="312">
        <v>8480000</v>
      </c>
      <c r="J265" s="284" t="s">
        <v>135</v>
      </c>
      <c r="K265" s="243" t="s">
        <v>986</v>
      </c>
      <c r="L265" s="286" t="s">
        <v>135</v>
      </c>
    </row>
    <row r="266" spans="2:12" hidden="1">
      <c r="B266" s="118">
        <v>45140</v>
      </c>
      <c r="C266" s="120">
        <v>45132</v>
      </c>
      <c r="D266" s="117" t="s">
        <v>945</v>
      </c>
      <c r="E266" s="53" t="s">
        <v>6</v>
      </c>
      <c r="F266" s="53" t="s">
        <v>11</v>
      </c>
      <c r="G266" s="53" t="s">
        <v>944</v>
      </c>
      <c r="H266" s="53" t="s">
        <v>118</v>
      </c>
      <c r="I266" s="313">
        <v>21000000</v>
      </c>
      <c r="J266" s="117" t="s">
        <v>135</v>
      </c>
      <c r="K266" s="121" t="s">
        <v>399</v>
      </c>
      <c r="L266" s="202" t="s">
        <v>135</v>
      </c>
    </row>
    <row r="267" spans="2:12" hidden="1">
      <c r="B267" s="118">
        <v>45140</v>
      </c>
      <c r="C267" s="120">
        <v>45134</v>
      </c>
      <c r="D267" s="117" t="s">
        <v>943</v>
      </c>
      <c r="E267" s="53" t="s">
        <v>6</v>
      </c>
      <c r="F267" s="53" t="s">
        <v>11</v>
      </c>
      <c r="G267" s="53" t="s">
        <v>944</v>
      </c>
      <c r="H267" s="53" t="s">
        <v>118</v>
      </c>
      <c r="I267" s="313">
        <v>4512000</v>
      </c>
      <c r="J267" s="117" t="s">
        <v>135</v>
      </c>
      <c r="K267" s="124" t="s">
        <v>399</v>
      </c>
      <c r="L267" s="202" t="s">
        <v>135</v>
      </c>
    </row>
    <row r="268" spans="2:12" hidden="1">
      <c r="B268" s="118">
        <v>45150</v>
      </c>
      <c r="C268" s="120">
        <v>45140</v>
      </c>
      <c r="D268" s="117" t="s">
        <v>987</v>
      </c>
      <c r="E268" s="53" t="s">
        <v>4</v>
      </c>
      <c r="F268" s="53" t="s">
        <v>10</v>
      </c>
      <c r="G268" s="53" t="s">
        <v>988</v>
      </c>
      <c r="H268" s="53" t="s">
        <v>519</v>
      </c>
      <c r="I268" s="313">
        <v>1692000</v>
      </c>
      <c r="J268" s="117" t="s">
        <v>1</v>
      </c>
      <c r="K268" s="124" t="s">
        <v>989</v>
      </c>
      <c r="L268" s="202" t="s">
        <v>1</v>
      </c>
    </row>
    <row r="269" spans="2:12" hidden="1">
      <c r="B269" s="118">
        <v>45139</v>
      </c>
      <c r="C269" s="120">
        <v>45134</v>
      </c>
      <c r="D269" s="117" t="s">
        <v>953</v>
      </c>
      <c r="E269" s="53" t="s">
        <v>4</v>
      </c>
      <c r="F269" s="53" t="s">
        <v>9</v>
      </c>
      <c r="G269" s="53" t="s">
        <v>513</v>
      </c>
      <c r="H269" s="53" t="s">
        <v>954</v>
      </c>
      <c r="I269" s="313">
        <v>55937500</v>
      </c>
      <c r="J269" s="117" t="s">
        <v>968</v>
      </c>
      <c r="K269" s="124" t="s">
        <v>967</v>
      </c>
      <c r="L269" s="202" t="s">
        <v>968</v>
      </c>
    </row>
    <row r="270" spans="2:12" hidden="1">
      <c r="B270" s="241">
        <v>45147</v>
      </c>
      <c r="C270" s="241">
        <v>45147</v>
      </c>
      <c r="D270" s="53" t="s">
        <v>955</v>
      </c>
      <c r="E270" s="53" t="s">
        <v>6</v>
      </c>
      <c r="F270" s="53" t="s">
        <v>11</v>
      </c>
      <c r="G270" s="53" t="s">
        <v>956</v>
      </c>
      <c r="H270" s="53" t="s">
        <v>957</v>
      </c>
      <c r="I270" s="316">
        <v>23465000</v>
      </c>
      <c r="J270" s="53" t="s">
        <v>968</v>
      </c>
      <c r="K270" s="243" t="s">
        <v>958</v>
      </c>
      <c r="L270" s="53" t="s">
        <v>968</v>
      </c>
    </row>
    <row r="271" spans="2:12" hidden="1">
      <c r="B271" s="241">
        <v>45149</v>
      </c>
      <c r="C271" s="241">
        <v>45148</v>
      </c>
      <c r="D271" s="53" t="s">
        <v>959</v>
      </c>
      <c r="F271" s="53" t="s">
        <v>9</v>
      </c>
      <c r="G271" s="53" t="s">
        <v>586</v>
      </c>
      <c r="H271" s="53" t="s">
        <v>960</v>
      </c>
      <c r="I271" s="316">
        <v>1200000</v>
      </c>
      <c r="J271" s="53" t="s">
        <v>971</v>
      </c>
      <c r="K271" s="243" t="s">
        <v>970</v>
      </c>
      <c r="L271" s="53" t="s">
        <v>971</v>
      </c>
    </row>
    <row r="272" spans="2:12" hidden="1">
      <c r="B272" s="241">
        <v>45149</v>
      </c>
      <c r="C272" s="241">
        <v>45149</v>
      </c>
      <c r="D272" s="53" t="s">
        <v>972</v>
      </c>
      <c r="E272" s="53" t="s">
        <v>3</v>
      </c>
      <c r="F272" s="53" t="s">
        <v>8</v>
      </c>
      <c r="G272" s="53" t="s">
        <v>973</v>
      </c>
      <c r="H272" s="53" t="s">
        <v>974</v>
      </c>
      <c r="I272" s="316">
        <v>2100000</v>
      </c>
      <c r="J272" s="317" t="s">
        <v>780</v>
      </c>
      <c r="K272" s="214" t="s">
        <v>975</v>
      </c>
      <c r="L272" s="53" t="s">
        <v>780</v>
      </c>
    </row>
    <row r="273" spans="1:12" hidden="1">
      <c r="B273" s="241">
        <v>45154</v>
      </c>
      <c r="C273" s="241">
        <v>45154</v>
      </c>
      <c r="D273" s="53" t="s">
        <v>1002</v>
      </c>
      <c r="E273" s="53" t="s">
        <v>3</v>
      </c>
      <c r="F273" s="53" t="s">
        <v>8</v>
      </c>
      <c r="G273" s="53" t="s">
        <v>1003</v>
      </c>
      <c r="H273" s="53" t="s">
        <v>1004</v>
      </c>
      <c r="I273" s="316">
        <v>14540000</v>
      </c>
      <c r="J273" s="53" t="s">
        <v>780</v>
      </c>
      <c r="K273" s="243" t="s">
        <v>47</v>
      </c>
      <c r="L273" s="243" t="s">
        <v>780</v>
      </c>
    </row>
    <row r="274" spans="1:12" hidden="1">
      <c r="B274" s="241">
        <v>45152</v>
      </c>
      <c r="C274" s="241">
        <v>45152</v>
      </c>
      <c r="D274" s="53" t="s">
        <v>996</v>
      </c>
      <c r="E274" s="53" t="s">
        <v>6</v>
      </c>
      <c r="F274" s="53" t="s">
        <v>49</v>
      </c>
      <c r="G274" s="53" t="s">
        <v>997</v>
      </c>
      <c r="H274" s="53" t="s">
        <v>998</v>
      </c>
      <c r="I274" s="316">
        <v>11967500</v>
      </c>
      <c r="J274" s="53" t="s">
        <v>780</v>
      </c>
      <c r="K274" s="243" t="s">
        <v>999</v>
      </c>
      <c r="L274" s="243" t="s">
        <v>780</v>
      </c>
    </row>
    <row r="275" spans="1:12" hidden="1">
      <c r="B275" s="241">
        <v>45146</v>
      </c>
      <c r="C275" s="241">
        <v>45146</v>
      </c>
      <c r="D275" s="53" t="s">
        <v>961</v>
      </c>
      <c r="E275" s="53" t="s">
        <v>5</v>
      </c>
      <c r="F275" s="53" t="s">
        <v>51</v>
      </c>
      <c r="G275" s="53" t="s">
        <v>962</v>
      </c>
      <c r="H275" s="53" t="s">
        <v>963</v>
      </c>
      <c r="I275" s="316">
        <v>11550000</v>
      </c>
      <c r="J275" s="53" t="s">
        <v>72</v>
      </c>
      <c r="K275" s="243" t="s">
        <v>964</v>
      </c>
      <c r="L275" s="53" t="s">
        <v>968</v>
      </c>
    </row>
    <row r="276" spans="1:12" hidden="1">
      <c r="B276" s="241">
        <v>45156</v>
      </c>
      <c r="C276" s="241">
        <v>45149</v>
      </c>
      <c r="D276" s="53" t="s">
        <v>1005</v>
      </c>
      <c r="E276" s="53" t="s">
        <v>5</v>
      </c>
      <c r="F276" s="53" t="s">
        <v>10</v>
      </c>
      <c r="G276" s="53" t="s">
        <v>1006</v>
      </c>
      <c r="H276" s="53" t="s">
        <v>1007</v>
      </c>
      <c r="I276" s="316">
        <v>675000</v>
      </c>
      <c r="J276" s="53" t="s">
        <v>72</v>
      </c>
      <c r="K276" s="243" t="s">
        <v>131</v>
      </c>
      <c r="L276" s="243" t="s">
        <v>72</v>
      </c>
    </row>
    <row r="277" spans="1:12" hidden="1">
      <c r="A277" s="233">
        <v>8</v>
      </c>
      <c r="B277" s="241">
        <v>45180</v>
      </c>
      <c r="C277" s="241">
        <v>45162</v>
      </c>
      <c r="D277" s="53" t="s">
        <v>1013</v>
      </c>
      <c r="E277" s="53" t="s">
        <v>6</v>
      </c>
      <c r="F277" s="53" t="s">
        <v>49</v>
      </c>
      <c r="G277" s="53" t="s">
        <v>1029</v>
      </c>
      <c r="H277" s="53" t="s">
        <v>118</v>
      </c>
      <c r="I277" s="243">
        <v>106000000</v>
      </c>
      <c r="J277" s="243" t="s">
        <v>979</v>
      </c>
      <c r="K277" s="53" t="s">
        <v>1051</v>
      </c>
    </row>
    <row r="278" spans="1:12" hidden="1">
      <c r="A278" s="233">
        <v>13</v>
      </c>
      <c r="B278" s="241">
        <v>45175</v>
      </c>
      <c r="C278" s="241">
        <v>45168</v>
      </c>
      <c r="D278" s="53" t="s">
        <v>1014</v>
      </c>
      <c r="E278" s="53" t="s">
        <v>5</v>
      </c>
      <c r="F278" s="53" t="s">
        <v>7</v>
      </c>
      <c r="G278" s="53" t="s">
        <v>710</v>
      </c>
      <c r="H278" s="53" t="s">
        <v>118</v>
      </c>
      <c r="I278" s="243">
        <v>20400000</v>
      </c>
      <c r="J278" s="243" t="s">
        <v>1065</v>
      </c>
      <c r="K278" s="53" t="s">
        <v>1052</v>
      </c>
    </row>
    <row r="279" spans="1:12" hidden="1">
      <c r="A279" s="233">
        <v>11</v>
      </c>
      <c r="B279" s="241">
        <v>45178</v>
      </c>
      <c r="C279" s="241">
        <v>45177</v>
      </c>
      <c r="D279" s="53" t="s">
        <v>1016</v>
      </c>
      <c r="E279" s="53" t="s">
        <v>6</v>
      </c>
      <c r="F279" s="53" t="s">
        <v>11</v>
      </c>
      <c r="G279" s="53" t="s">
        <v>129</v>
      </c>
      <c r="H279" s="53" t="s">
        <v>1041</v>
      </c>
      <c r="I279" s="243">
        <v>470460000</v>
      </c>
      <c r="J279" s="243" t="s">
        <v>965</v>
      </c>
      <c r="K279" s="53" t="s">
        <v>1053</v>
      </c>
    </row>
    <row r="280" spans="1:12" hidden="1">
      <c r="A280" s="233">
        <v>9</v>
      </c>
      <c r="B280" s="241">
        <v>45175</v>
      </c>
      <c r="C280" s="241">
        <v>45175</v>
      </c>
      <c r="D280" s="53" t="s">
        <v>1017</v>
      </c>
      <c r="E280" s="53" t="s">
        <v>6</v>
      </c>
      <c r="F280" s="53" t="s">
        <v>11</v>
      </c>
      <c r="G280" s="53" t="s">
        <v>956</v>
      </c>
      <c r="H280" s="53" t="s">
        <v>1042</v>
      </c>
      <c r="I280" s="243">
        <v>30000000</v>
      </c>
      <c r="J280" s="243" t="s">
        <v>243</v>
      </c>
      <c r="K280" s="53" t="s">
        <v>1054</v>
      </c>
    </row>
    <row r="281" spans="1:12" hidden="1">
      <c r="A281" s="233">
        <v>2</v>
      </c>
      <c r="B281" s="241">
        <v>45177</v>
      </c>
      <c r="C281" s="241">
        <v>45177</v>
      </c>
      <c r="D281" s="53" t="s">
        <v>1015</v>
      </c>
      <c r="E281" s="53" t="s">
        <v>140</v>
      </c>
      <c r="F281" s="53" t="s">
        <v>83</v>
      </c>
      <c r="G281" s="53" t="s">
        <v>1030</v>
      </c>
      <c r="H281" s="53" t="s">
        <v>1040</v>
      </c>
      <c r="I281" s="243">
        <v>22579000</v>
      </c>
      <c r="J281" s="243" t="s">
        <v>135</v>
      </c>
      <c r="K281" s="53" t="s">
        <v>392</v>
      </c>
    </row>
    <row r="282" spans="1:12" hidden="1">
      <c r="A282" s="233">
        <v>7</v>
      </c>
      <c r="B282" s="241">
        <v>45183</v>
      </c>
      <c r="C282" s="241">
        <v>45178</v>
      </c>
      <c r="D282" s="53" t="s">
        <v>1018</v>
      </c>
      <c r="E282" s="53" t="s">
        <v>3</v>
      </c>
      <c r="F282" s="53" t="s">
        <v>9</v>
      </c>
      <c r="G282" s="53" t="s">
        <v>1031</v>
      </c>
      <c r="H282" s="53" t="s">
        <v>1043</v>
      </c>
      <c r="I282" s="243">
        <v>3800000</v>
      </c>
      <c r="J282" s="243" t="s">
        <v>12</v>
      </c>
      <c r="K282" s="53" t="s">
        <v>1055</v>
      </c>
    </row>
    <row r="283" spans="1:12" hidden="1">
      <c r="A283" s="233">
        <v>12</v>
      </c>
      <c r="B283" s="241">
        <v>45175</v>
      </c>
      <c r="C283" s="241">
        <v>45160</v>
      </c>
      <c r="D283" s="53" t="s">
        <v>1019</v>
      </c>
      <c r="E283" s="53" t="s">
        <v>5</v>
      </c>
      <c r="F283" s="53" t="s">
        <v>7</v>
      </c>
      <c r="G283" s="53" t="s">
        <v>1008</v>
      </c>
      <c r="H283" s="53" t="s">
        <v>1044</v>
      </c>
      <c r="I283" s="243">
        <v>61000000</v>
      </c>
      <c r="J283" s="243" t="s">
        <v>399</v>
      </c>
      <c r="K283" s="53" t="s">
        <v>1056</v>
      </c>
    </row>
    <row r="284" spans="1:12" hidden="1">
      <c r="A284" s="233">
        <v>6</v>
      </c>
      <c r="B284" s="241">
        <v>45174</v>
      </c>
      <c r="C284" s="241">
        <v>45163</v>
      </c>
      <c r="D284" s="53" t="s">
        <v>1012</v>
      </c>
      <c r="E284" s="53" t="s">
        <v>3</v>
      </c>
      <c r="F284" s="53" t="s">
        <v>8</v>
      </c>
      <c r="G284" s="53" t="s">
        <v>491</v>
      </c>
      <c r="H284" s="53" t="s">
        <v>118</v>
      </c>
      <c r="I284" s="243">
        <v>1200000</v>
      </c>
      <c r="J284" s="243" t="s">
        <v>1</v>
      </c>
      <c r="K284" s="53" t="s">
        <v>1</v>
      </c>
    </row>
    <row r="285" spans="1:12" hidden="1">
      <c r="A285" s="233">
        <v>10</v>
      </c>
      <c r="B285" s="241">
        <v>45181</v>
      </c>
      <c r="C285" s="241">
        <v>45176</v>
      </c>
      <c r="D285" s="53" t="s">
        <v>1021</v>
      </c>
      <c r="E285" s="53" t="s">
        <v>6</v>
      </c>
      <c r="F285" s="53" t="s">
        <v>8</v>
      </c>
      <c r="G285" s="53" t="s">
        <v>1009</v>
      </c>
      <c r="H285" s="53" t="s">
        <v>1045</v>
      </c>
      <c r="I285" s="243">
        <v>16800000</v>
      </c>
      <c r="J285" s="243" t="s">
        <v>1</v>
      </c>
      <c r="K285" s="53" t="s">
        <v>1058</v>
      </c>
    </row>
    <row r="286" spans="1:12" hidden="1">
      <c r="A286" s="233">
        <v>16</v>
      </c>
      <c r="B286" s="241">
        <v>45176</v>
      </c>
      <c r="C286" s="241">
        <v>45050</v>
      </c>
      <c r="D286" s="53" t="s">
        <v>1020</v>
      </c>
      <c r="F286" s="53" t="s">
        <v>8</v>
      </c>
      <c r="G286" s="53" t="s">
        <v>1032</v>
      </c>
      <c r="H286" s="53" t="s">
        <v>118</v>
      </c>
      <c r="I286" s="243">
        <v>4500000</v>
      </c>
      <c r="J286" s="243" t="s">
        <v>1</v>
      </c>
      <c r="K286" s="53" t="s">
        <v>1057</v>
      </c>
    </row>
    <row r="287" spans="1:12" hidden="1">
      <c r="A287" s="233">
        <v>1</v>
      </c>
      <c r="B287" s="241">
        <v>45176</v>
      </c>
      <c r="C287" s="241">
        <v>45162</v>
      </c>
      <c r="D287" s="53" t="s">
        <v>1022</v>
      </c>
      <c r="E287" s="53" t="s">
        <v>140</v>
      </c>
      <c r="F287" s="53" t="s">
        <v>83</v>
      </c>
      <c r="G287" s="53" t="s">
        <v>1033</v>
      </c>
      <c r="H287" s="53" t="s">
        <v>353</v>
      </c>
      <c r="I287" s="243">
        <v>102350</v>
      </c>
      <c r="J287" s="243" t="s">
        <v>1066</v>
      </c>
      <c r="K287" s="53" t="s">
        <v>1059</v>
      </c>
    </row>
    <row r="288" spans="1:12" hidden="1">
      <c r="A288" s="233">
        <v>17</v>
      </c>
      <c r="B288" s="241">
        <v>45180</v>
      </c>
      <c r="C288" s="241">
        <v>45175</v>
      </c>
      <c r="D288" s="53" t="s">
        <v>1023</v>
      </c>
      <c r="F288" s="53" t="s">
        <v>49</v>
      </c>
      <c r="G288" s="53" t="s">
        <v>1034</v>
      </c>
      <c r="H288" s="53" t="s">
        <v>118</v>
      </c>
      <c r="I288" s="243">
        <v>11150000</v>
      </c>
      <c r="J288" s="243" t="s">
        <v>1066</v>
      </c>
      <c r="K288" s="53" t="s">
        <v>1060</v>
      </c>
    </row>
    <row r="289" spans="1:11" hidden="1">
      <c r="A289" s="233">
        <v>5</v>
      </c>
      <c r="B289" s="241">
        <v>45184</v>
      </c>
      <c r="C289" s="241">
        <v>45176</v>
      </c>
      <c r="D289" s="53" t="s">
        <v>1024</v>
      </c>
      <c r="E289" s="53" t="s">
        <v>4</v>
      </c>
      <c r="F289" s="53" t="s">
        <v>9</v>
      </c>
      <c r="G289" s="53" t="s">
        <v>1035</v>
      </c>
      <c r="H289" s="53" t="s">
        <v>1046</v>
      </c>
      <c r="I289" s="243">
        <v>8000000</v>
      </c>
      <c r="J289" s="243" t="s">
        <v>1067</v>
      </c>
      <c r="K289" s="53" t="s">
        <v>1061</v>
      </c>
    </row>
    <row r="290" spans="1:11" hidden="1">
      <c r="A290" s="233">
        <v>4</v>
      </c>
      <c r="B290" s="241">
        <v>45176</v>
      </c>
      <c r="C290" s="241">
        <v>45176</v>
      </c>
      <c r="D290" s="53" t="s">
        <v>1026</v>
      </c>
      <c r="E290" s="53" t="s">
        <v>4</v>
      </c>
      <c r="F290" s="53" t="s">
        <v>9</v>
      </c>
      <c r="G290" s="53" t="s">
        <v>1037</v>
      </c>
      <c r="H290" s="53" t="s">
        <v>1048</v>
      </c>
      <c r="I290" s="243">
        <v>19200000</v>
      </c>
      <c r="J290" s="243" t="s">
        <v>780</v>
      </c>
      <c r="K290" s="53" t="s">
        <v>857</v>
      </c>
    </row>
    <row r="291" spans="1:11" hidden="1">
      <c r="A291" s="233">
        <v>15</v>
      </c>
      <c r="B291" s="241">
        <v>45184</v>
      </c>
      <c r="C291" s="241">
        <v>45184</v>
      </c>
      <c r="D291" s="53" t="s">
        <v>1027</v>
      </c>
      <c r="E291" s="53" t="s">
        <v>5</v>
      </c>
      <c r="F291" s="53" t="s">
        <v>51</v>
      </c>
      <c r="G291" s="53" t="s">
        <v>1038</v>
      </c>
      <c r="H291" s="53" t="s">
        <v>1049</v>
      </c>
      <c r="I291" s="243">
        <v>5110700</v>
      </c>
      <c r="J291" s="243" t="s">
        <v>780</v>
      </c>
      <c r="K291" s="53" t="s">
        <v>1063</v>
      </c>
    </row>
    <row r="292" spans="1:11" hidden="1">
      <c r="A292" s="233">
        <v>18</v>
      </c>
      <c r="B292" s="241">
        <v>45176</v>
      </c>
      <c r="C292" s="241">
        <v>45174</v>
      </c>
      <c r="D292" s="53" t="s">
        <v>1025</v>
      </c>
      <c r="E292" s="53" t="s">
        <v>6</v>
      </c>
      <c r="F292" s="53" t="s">
        <v>8</v>
      </c>
      <c r="G292" s="53" t="s">
        <v>1036</v>
      </c>
      <c r="H292" s="53" t="s">
        <v>1047</v>
      </c>
      <c r="I292" s="243">
        <v>3330000</v>
      </c>
      <c r="J292" s="243" t="s">
        <v>780</v>
      </c>
      <c r="K292" s="53" t="s">
        <v>1062</v>
      </c>
    </row>
    <row r="293" spans="1:11" hidden="1">
      <c r="A293" s="233">
        <v>3</v>
      </c>
      <c r="B293" s="241">
        <v>45170</v>
      </c>
      <c r="C293" s="241">
        <v>45170</v>
      </c>
      <c r="D293" s="53" t="s">
        <v>1028</v>
      </c>
      <c r="E293" s="53" t="s">
        <v>4</v>
      </c>
      <c r="F293" s="53" t="s">
        <v>51</v>
      </c>
      <c r="G293" s="53" t="s">
        <v>1039</v>
      </c>
      <c r="H293" s="53" t="s">
        <v>1050</v>
      </c>
      <c r="I293" s="243">
        <v>2750000</v>
      </c>
      <c r="J293" s="243" t="s">
        <v>1068</v>
      </c>
      <c r="K293" s="53" t="s">
        <v>1064</v>
      </c>
    </row>
    <row r="294" spans="1:11" hidden="1">
      <c r="B294" s="241">
        <v>45187</v>
      </c>
      <c r="C294" s="241">
        <v>45183</v>
      </c>
      <c r="D294" s="53" t="s">
        <v>1069</v>
      </c>
      <c r="E294" s="53" t="s">
        <v>5</v>
      </c>
      <c r="F294" s="53" t="s">
        <v>7</v>
      </c>
      <c r="G294" s="53" t="s">
        <v>981</v>
      </c>
      <c r="H294" s="53" t="s">
        <v>1070</v>
      </c>
      <c r="I294" s="243">
        <v>3500000</v>
      </c>
      <c r="J294" s="243" t="s">
        <v>243</v>
      </c>
      <c r="K294" s="53" t="s">
        <v>1080</v>
      </c>
    </row>
    <row r="295" spans="1:11" hidden="1">
      <c r="B295" s="241">
        <v>45189</v>
      </c>
      <c r="C295" s="241">
        <v>45189</v>
      </c>
      <c r="D295" s="53" t="s">
        <v>1071</v>
      </c>
      <c r="E295" s="53" t="s">
        <v>3</v>
      </c>
      <c r="F295" s="53" t="s">
        <v>7</v>
      </c>
      <c r="G295" s="53" t="s">
        <v>1072</v>
      </c>
      <c r="H295" s="53" t="s">
        <v>1073</v>
      </c>
      <c r="I295" s="243">
        <v>5510000</v>
      </c>
      <c r="J295" s="243" t="s">
        <v>243</v>
      </c>
      <c r="K295" s="53" t="s">
        <v>1082</v>
      </c>
    </row>
    <row r="296" spans="1:11" hidden="1">
      <c r="B296" s="241">
        <v>45189</v>
      </c>
      <c r="C296" s="241">
        <v>45189</v>
      </c>
      <c r="D296" s="53" t="s">
        <v>1074</v>
      </c>
      <c r="E296" s="53" t="s">
        <v>4</v>
      </c>
      <c r="F296" s="53" t="s">
        <v>49</v>
      </c>
      <c r="G296" s="53" t="s">
        <v>1075</v>
      </c>
      <c r="H296" s="53" t="s">
        <v>1076</v>
      </c>
      <c r="I296" s="243">
        <v>6280000</v>
      </c>
      <c r="J296" s="243" t="s">
        <v>72</v>
      </c>
      <c r="K296" s="53" t="s">
        <v>1064</v>
      </c>
    </row>
    <row r="297" spans="1:11" hidden="1">
      <c r="B297" s="241">
        <v>45189</v>
      </c>
      <c r="C297" s="241">
        <v>45189</v>
      </c>
      <c r="D297" s="53" t="s">
        <v>1077</v>
      </c>
      <c r="E297" s="53" t="s">
        <v>5</v>
      </c>
      <c r="F297" s="53" t="s">
        <v>7</v>
      </c>
      <c r="G297" s="53" t="s">
        <v>1078</v>
      </c>
      <c r="H297" s="53" t="s">
        <v>1079</v>
      </c>
      <c r="I297" s="243">
        <v>3875000</v>
      </c>
      <c r="J297" s="243" t="s">
        <v>442</v>
      </c>
      <c r="K297" s="53" t="s">
        <v>1081</v>
      </c>
    </row>
    <row r="298" spans="1:11" hidden="1">
      <c r="A298" s="53">
        <v>10</v>
      </c>
      <c r="B298" s="118">
        <v>45217</v>
      </c>
      <c r="C298" s="120">
        <v>45212</v>
      </c>
      <c r="D298" s="117" t="s">
        <v>1126</v>
      </c>
      <c r="E298" s="129" t="s">
        <v>5</v>
      </c>
      <c r="F298" s="53" t="s">
        <v>7</v>
      </c>
      <c r="G298" s="117" t="s">
        <v>212</v>
      </c>
      <c r="H298" s="117" t="s">
        <v>1137</v>
      </c>
      <c r="I298" s="124">
        <v>9112000</v>
      </c>
      <c r="J298" s="129" t="s">
        <v>445</v>
      </c>
      <c r="K298" s="202" t="s">
        <v>1146</v>
      </c>
    </row>
    <row r="299" spans="1:11" hidden="1">
      <c r="A299" s="53">
        <v>1</v>
      </c>
      <c r="B299" s="118">
        <v>45203</v>
      </c>
      <c r="C299" s="120">
        <v>45196</v>
      </c>
      <c r="D299" s="117" t="s">
        <v>1088</v>
      </c>
      <c r="E299" s="129" t="s">
        <v>4</v>
      </c>
      <c r="F299" s="129" t="s">
        <v>9</v>
      </c>
      <c r="G299" s="117" t="s">
        <v>1089</v>
      </c>
      <c r="H299" s="117" t="s">
        <v>118</v>
      </c>
      <c r="I299" s="124">
        <v>3100000</v>
      </c>
      <c r="J299" s="129" t="s">
        <v>979</v>
      </c>
      <c r="K299" s="286" t="s">
        <v>1111</v>
      </c>
    </row>
    <row r="300" spans="1:11" hidden="1">
      <c r="A300" s="53">
        <v>2</v>
      </c>
      <c r="B300" s="118">
        <v>45210</v>
      </c>
      <c r="C300" s="120">
        <v>45208</v>
      </c>
      <c r="D300" s="117" t="s">
        <v>1094</v>
      </c>
      <c r="E300" s="129" t="s">
        <v>6</v>
      </c>
      <c r="F300" s="129" t="s">
        <v>9</v>
      </c>
      <c r="G300" s="117" t="s">
        <v>1086</v>
      </c>
      <c r="H300" s="117" t="s">
        <v>1095</v>
      </c>
      <c r="I300" s="124">
        <v>1620000</v>
      </c>
      <c r="J300" s="129" t="s">
        <v>979</v>
      </c>
      <c r="K300" s="286" t="s">
        <v>1113</v>
      </c>
    </row>
    <row r="301" spans="1:11" hidden="1">
      <c r="A301" s="53">
        <v>11</v>
      </c>
      <c r="B301" s="118">
        <v>45213</v>
      </c>
      <c r="C301" s="120">
        <v>45194</v>
      </c>
      <c r="D301" s="117" t="s">
        <v>1124</v>
      </c>
      <c r="E301" s="53" t="s">
        <v>6</v>
      </c>
      <c r="F301" s="53" t="s">
        <v>11</v>
      </c>
      <c r="G301" s="117" t="s">
        <v>1084</v>
      </c>
      <c r="H301" s="117" t="s">
        <v>118</v>
      </c>
      <c r="I301" s="124">
        <v>124800000</v>
      </c>
      <c r="J301" s="129" t="s">
        <v>777</v>
      </c>
      <c r="K301" s="202" t="s">
        <v>1144</v>
      </c>
    </row>
    <row r="302" spans="1:11" ht="12" hidden="1" thickBot="1">
      <c r="A302" s="53">
        <v>4</v>
      </c>
      <c r="B302" s="282">
        <v>45209</v>
      </c>
      <c r="C302" s="283">
        <v>45206</v>
      </c>
      <c r="D302" s="285" t="s">
        <v>1093</v>
      </c>
      <c r="E302" s="324" t="s">
        <v>5</v>
      </c>
      <c r="F302" s="324" t="s">
        <v>51</v>
      </c>
      <c r="G302" s="285" t="s">
        <v>920</v>
      </c>
      <c r="H302" s="285" t="s">
        <v>118</v>
      </c>
      <c r="I302" s="290">
        <v>43800000</v>
      </c>
      <c r="J302" s="322" t="s">
        <v>1109</v>
      </c>
      <c r="K302" s="287" t="s">
        <v>1112</v>
      </c>
    </row>
    <row r="303" spans="1:11" hidden="1">
      <c r="A303" s="53">
        <v>5</v>
      </c>
      <c r="B303" s="118">
        <v>45209</v>
      </c>
      <c r="C303" s="118">
        <v>45183</v>
      </c>
      <c r="D303" s="284" t="s">
        <v>1096</v>
      </c>
      <c r="E303" s="53" t="s">
        <v>5</v>
      </c>
      <c r="F303" s="53" t="s">
        <v>7</v>
      </c>
      <c r="G303" s="284" t="s">
        <v>1097</v>
      </c>
      <c r="H303" s="284" t="s">
        <v>1098</v>
      </c>
      <c r="I303" s="294">
        <v>34720000</v>
      </c>
      <c r="J303" s="323" t="s">
        <v>243</v>
      </c>
      <c r="K303" s="286" t="s">
        <v>1118</v>
      </c>
    </row>
    <row r="304" spans="1:11" hidden="1">
      <c r="A304" s="53">
        <v>20</v>
      </c>
      <c r="B304" s="118">
        <v>45222</v>
      </c>
      <c r="C304" s="118">
        <v>45222</v>
      </c>
      <c r="D304" s="284" t="s">
        <v>1151</v>
      </c>
      <c r="E304" s="53" t="s">
        <v>5</v>
      </c>
      <c r="F304" s="53" t="s">
        <v>7</v>
      </c>
      <c r="G304" s="284" t="s">
        <v>1159</v>
      </c>
      <c r="H304" s="284" t="s">
        <v>1160</v>
      </c>
      <c r="I304" s="291">
        <v>8500000</v>
      </c>
      <c r="J304" s="326" t="s">
        <v>243</v>
      </c>
      <c r="K304" s="286" t="s">
        <v>1170</v>
      </c>
    </row>
    <row r="305" spans="1:11" hidden="1">
      <c r="A305" s="53">
        <v>21</v>
      </c>
      <c r="B305" s="118">
        <v>45223</v>
      </c>
      <c r="C305" s="120">
        <v>45223</v>
      </c>
      <c r="D305" s="117" t="s">
        <v>1152</v>
      </c>
      <c r="E305" s="53" t="s">
        <v>1176</v>
      </c>
      <c r="F305" s="53" t="s">
        <v>1176</v>
      </c>
      <c r="G305" s="117" t="s">
        <v>1161</v>
      </c>
      <c r="H305" s="284" t="s">
        <v>1162</v>
      </c>
      <c r="I305" s="124">
        <v>28875000</v>
      </c>
      <c r="J305" s="327" t="s">
        <v>243</v>
      </c>
      <c r="K305" s="202" t="s">
        <v>1171</v>
      </c>
    </row>
    <row r="306" spans="1:11" ht="12" hidden="1" thickBot="1">
      <c r="A306" s="53">
        <v>12</v>
      </c>
      <c r="B306" s="282">
        <v>45217</v>
      </c>
      <c r="C306" s="283">
        <v>45216</v>
      </c>
      <c r="D306" s="285" t="s">
        <v>1121</v>
      </c>
      <c r="E306" s="324" t="s">
        <v>3</v>
      </c>
      <c r="F306" s="324" t="s">
        <v>7</v>
      </c>
      <c r="G306" s="285" t="s">
        <v>1129</v>
      </c>
      <c r="H306" s="321" t="s">
        <v>118</v>
      </c>
      <c r="I306" s="290">
        <v>17000000</v>
      </c>
      <c r="J306" s="322" t="s">
        <v>878</v>
      </c>
      <c r="K306" s="287" t="s">
        <v>1141</v>
      </c>
    </row>
    <row r="307" spans="1:11" hidden="1">
      <c r="A307" s="53">
        <v>13</v>
      </c>
      <c r="B307" s="241">
        <v>45219</v>
      </c>
      <c r="C307" s="241">
        <v>45217</v>
      </c>
      <c r="D307" s="117" t="s">
        <v>1125</v>
      </c>
      <c r="E307" s="53" t="s">
        <v>6</v>
      </c>
      <c r="F307" s="53" t="s">
        <v>9</v>
      </c>
      <c r="G307" s="117" t="s">
        <v>1132</v>
      </c>
      <c r="H307" s="117" t="s">
        <v>118</v>
      </c>
      <c r="I307" s="124">
        <v>17400000</v>
      </c>
      <c r="J307" s="129" t="s">
        <v>878</v>
      </c>
      <c r="K307" s="202" t="s">
        <v>1145</v>
      </c>
    </row>
    <row r="308" spans="1:11" hidden="1">
      <c r="A308" s="53">
        <v>22</v>
      </c>
      <c r="B308" s="241">
        <v>45223</v>
      </c>
      <c r="C308" s="241">
        <v>45223</v>
      </c>
      <c r="D308" s="117" t="s">
        <v>1153</v>
      </c>
      <c r="E308" s="53" t="s">
        <v>6</v>
      </c>
      <c r="F308" s="53" t="s">
        <v>11</v>
      </c>
      <c r="G308" s="117" t="s">
        <v>361</v>
      </c>
      <c r="H308" s="117" t="s">
        <v>1163</v>
      </c>
      <c r="I308" s="124">
        <v>105000000</v>
      </c>
      <c r="J308" s="327" t="s">
        <v>878</v>
      </c>
      <c r="K308" s="202" t="s">
        <v>1172</v>
      </c>
    </row>
    <row r="309" spans="1:11" hidden="1">
      <c r="A309" s="53">
        <v>3</v>
      </c>
      <c r="B309" s="241">
        <v>45201</v>
      </c>
      <c r="C309" s="241">
        <v>45199</v>
      </c>
      <c r="D309" s="117" t="s">
        <v>1090</v>
      </c>
      <c r="E309" s="53" t="s">
        <v>4</v>
      </c>
      <c r="G309" s="117" t="s">
        <v>1091</v>
      </c>
      <c r="H309" s="117" t="s">
        <v>1092</v>
      </c>
      <c r="I309" s="124">
        <v>1760000</v>
      </c>
      <c r="J309" s="129" t="s">
        <v>12</v>
      </c>
      <c r="K309" s="202" t="s">
        <v>392</v>
      </c>
    </row>
    <row r="310" spans="1:11" ht="12" hidden="1" thickBot="1">
      <c r="A310" s="53">
        <v>19</v>
      </c>
      <c r="B310" s="241">
        <v>45225</v>
      </c>
      <c r="C310" s="241">
        <v>45222</v>
      </c>
      <c r="D310" s="285" t="s">
        <v>1150</v>
      </c>
      <c r="E310" s="324" t="s">
        <v>4</v>
      </c>
      <c r="F310" s="324" t="s">
        <v>8</v>
      </c>
      <c r="G310" s="285" t="s">
        <v>491</v>
      </c>
      <c r="H310" s="285" t="s">
        <v>1158</v>
      </c>
      <c r="I310" s="290">
        <v>850000</v>
      </c>
      <c r="J310" s="325" t="s">
        <v>135</v>
      </c>
      <c r="K310" s="287" t="s">
        <v>1169</v>
      </c>
    </row>
    <row r="311" spans="1:11" hidden="1">
      <c r="A311" s="53">
        <v>23</v>
      </c>
      <c r="B311" s="241">
        <v>45224</v>
      </c>
      <c r="C311" s="241">
        <v>45223</v>
      </c>
      <c r="D311" s="117" t="s">
        <v>1154</v>
      </c>
      <c r="E311" s="129" t="s">
        <v>6</v>
      </c>
      <c r="F311" s="129" t="s">
        <v>11</v>
      </c>
      <c r="G311" s="117" t="s">
        <v>1161</v>
      </c>
      <c r="H311" s="117" t="s">
        <v>1164</v>
      </c>
      <c r="I311" s="124">
        <v>26800000</v>
      </c>
      <c r="J311" s="327" t="s">
        <v>135</v>
      </c>
      <c r="K311" s="202" t="s">
        <v>392</v>
      </c>
    </row>
    <row r="312" spans="1:11" hidden="1">
      <c r="A312" s="53">
        <v>24</v>
      </c>
      <c r="B312" s="241">
        <v>45224</v>
      </c>
      <c r="C312" s="241">
        <v>45224</v>
      </c>
      <c r="D312" s="117" t="s">
        <v>1155</v>
      </c>
      <c r="E312" s="129" t="s">
        <v>6</v>
      </c>
      <c r="F312" s="129" t="s">
        <v>11</v>
      </c>
      <c r="G312" s="117" t="s">
        <v>778</v>
      </c>
      <c r="H312" s="117" t="s">
        <v>1165</v>
      </c>
      <c r="I312" s="124">
        <v>225060000</v>
      </c>
      <c r="J312" s="327" t="s">
        <v>135</v>
      </c>
      <c r="K312" s="202" t="s">
        <v>1173</v>
      </c>
    </row>
    <row r="313" spans="1:11" hidden="1">
      <c r="A313" s="53">
        <v>14</v>
      </c>
      <c r="B313" s="241">
        <v>45215</v>
      </c>
      <c r="C313" s="241">
        <v>45211</v>
      </c>
      <c r="D313" s="117" t="s">
        <v>1119</v>
      </c>
      <c r="E313" s="53" t="s">
        <v>4</v>
      </c>
      <c r="F313" s="53" t="s">
        <v>8</v>
      </c>
      <c r="G313" s="117" t="s">
        <v>491</v>
      </c>
      <c r="H313" s="117" t="s">
        <v>1133</v>
      </c>
      <c r="I313" s="124">
        <v>4377500</v>
      </c>
      <c r="J313" s="129" t="s">
        <v>1</v>
      </c>
      <c r="K313" s="202" t="s">
        <v>1139</v>
      </c>
    </row>
    <row r="314" spans="1:11" hidden="1">
      <c r="A314" s="53">
        <v>25</v>
      </c>
      <c r="B314" s="241">
        <v>45227</v>
      </c>
      <c r="C314" s="241">
        <v>45222</v>
      </c>
      <c r="D314" s="117" t="s">
        <v>1156</v>
      </c>
      <c r="E314" s="53" t="s">
        <v>6</v>
      </c>
      <c r="F314" s="53" t="s">
        <v>1177</v>
      </c>
      <c r="G314" s="117" t="s">
        <v>1166</v>
      </c>
      <c r="H314" s="117" t="s">
        <v>1167</v>
      </c>
      <c r="I314" s="124">
        <v>18217500</v>
      </c>
      <c r="J314" s="327" t="s">
        <v>1</v>
      </c>
      <c r="K314" s="202" t="s">
        <v>1174</v>
      </c>
    </row>
    <row r="315" spans="1:11" hidden="1">
      <c r="A315" s="53">
        <v>6</v>
      </c>
      <c r="B315" s="241">
        <v>45201</v>
      </c>
      <c r="C315" s="241">
        <v>45189</v>
      </c>
      <c r="D315" s="117" t="s">
        <v>1099</v>
      </c>
      <c r="E315" s="53" t="s">
        <v>5</v>
      </c>
      <c r="G315" s="117" t="s">
        <v>1010</v>
      </c>
      <c r="H315" s="117" t="s">
        <v>1100</v>
      </c>
      <c r="I315" s="124">
        <v>2800000</v>
      </c>
      <c r="J315" s="129" t="s">
        <v>1110</v>
      </c>
      <c r="K315" s="202" t="s">
        <v>1114</v>
      </c>
    </row>
    <row r="316" spans="1:11" hidden="1">
      <c r="A316" s="53">
        <v>7</v>
      </c>
      <c r="B316" s="241">
        <v>45208</v>
      </c>
      <c r="C316" s="241">
        <v>45208</v>
      </c>
      <c r="D316" s="53" t="s">
        <v>1101</v>
      </c>
      <c r="E316" s="53" t="s">
        <v>5</v>
      </c>
      <c r="F316" s="53" t="s">
        <v>7</v>
      </c>
      <c r="G316" s="53" t="s">
        <v>1102</v>
      </c>
      <c r="H316" s="53" t="s">
        <v>1103</v>
      </c>
      <c r="I316" s="243">
        <v>131300000</v>
      </c>
      <c r="J316" s="53" t="s">
        <v>968</v>
      </c>
      <c r="K316" s="53" t="s">
        <v>1115</v>
      </c>
    </row>
    <row r="317" spans="1:11" hidden="1">
      <c r="A317" s="53">
        <v>8</v>
      </c>
      <c r="B317" s="241">
        <v>45209</v>
      </c>
      <c r="C317" s="241">
        <v>45209</v>
      </c>
      <c r="D317" s="53" t="s">
        <v>1104</v>
      </c>
      <c r="E317" s="53" t="s">
        <v>5</v>
      </c>
      <c r="F317" s="53" t="s">
        <v>7</v>
      </c>
      <c r="G317" s="53" t="s">
        <v>1105</v>
      </c>
      <c r="H317" s="53" t="s">
        <v>1106</v>
      </c>
      <c r="I317" s="243">
        <v>6188000</v>
      </c>
      <c r="J317" s="53" t="s">
        <v>968</v>
      </c>
      <c r="K317" s="53" t="s">
        <v>1116</v>
      </c>
    </row>
    <row r="318" spans="1:11" hidden="1">
      <c r="A318" s="53">
        <v>15</v>
      </c>
      <c r="B318" s="241">
        <v>45215</v>
      </c>
      <c r="C318" s="241">
        <v>45215</v>
      </c>
      <c r="D318" s="53" t="s">
        <v>1120</v>
      </c>
      <c r="E318" s="53" t="s">
        <v>3</v>
      </c>
      <c r="F318" s="53" t="s">
        <v>51</v>
      </c>
      <c r="G318" s="53" t="s">
        <v>1128</v>
      </c>
      <c r="H318" s="53" t="s">
        <v>1134</v>
      </c>
      <c r="I318" s="243">
        <v>8400000</v>
      </c>
      <c r="J318" s="53" t="s">
        <v>968</v>
      </c>
      <c r="K318" s="53" t="s">
        <v>1140</v>
      </c>
    </row>
    <row r="319" spans="1:11" hidden="1">
      <c r="A319" s="53">
        <v>26</v>
      </c>
      <c r="B319" s="241">
        <v>45224</v>
      </c>
      <c r="C319" s="241">
        <v>45223</v>
      </c>
      <c r="D319" s="53" t="s">
        <v>1157</v>
      </c>
      <c r="E319" s="53" t="s">
        <v>4</v>
      </c>
      <c r="F319" s="53" t="s">
        <v>8</v>
      </c>
      <c r="G319" s="53" t="s">
        <v>510</v>
      </c>
      <c r="H319" s="53" t="s">
        <v>1168</v>
      </c>
      <c r="I319" s="243">
        <v>844000</v>
      </c>
      <c r="J319" s="243" t="s">
        <v>968</v>
      </c>
      <c r="K319" s="53" t="s">
        <v>1175</v>
      </c>
    </row>
    <row r="320" spans="1:11" hidden="1">
      <c r="A320" s="53">
        <v>16</v>
      </c>
      <c r="B320" s="241">
        <v>45218</v>
      </c>
      <c r="C320" s="241">
        <v>45217</v>
      </c>
      <c r="D320" s="53" t="s">
        <v>1122</v>
      </c>
      <c r="E320" s="53" t="s">
        <v>3</v>
      </c>
      <c r="F320" s="53" t="s">
        <v>7</v>
      </c>
      <c r="G320" s="53" t="s">
        <v>1130</v>
      </c>
      <c r="H320" s="53" t="s">
        <v>1135</v>
      </c>
      <c r="I320" s="243">
        <v>1875000</v>
      </c>
      <c r="J320" s="53" t="s">
        <v>1148</v>
      </c>
      <c r="K320" s="53" t="s">
        <v>1142</v>
      </c>
    </row>
    <row r="321" spans="1:15" hidden="1">
      <c r="A321" s="53">
        <v>17</v>
      </c>
      <c r="B321" s="241">
        <v>45218</v>
      </c>
      <c r="C321" s="241">
        <v>45215</v>
      </c>
      <c r="D321" s="53" t="s">
        <v>1127</v>
      </c>
      <c r="E321" s="53" t="s">
        <v>5</v>
      </c>
      <c r="F321" s="53" t="s">
        <v>51</v>
      </c>
      <c r="G321" s="53" t="s">
        <v>666</v>
      </c>
      <c r="H321" s="53" t="s">
        <v>1138</v>
      </c>
      <c r="I321" s="243">
        <v>5645000</v>
      </c>
      <c r="J321" s="53" t="s">
        <v>780</v>
      </c>
      <c r="K321" s="53" t="s">
        <v>1147</v>
      </c>
    </row>
    <row r="322" spans="1:15" hidden="1">
      <c r="A322" s="53">
        <v>9</v>
      </c>
      <c r="B322" s="241">
        <v>45205</v>
      </c>
      <c r="C322" s="241">
        <v>45202</v>
      </c>
      <c r="D322" s="53" t="s">
        <v>1107</v>
      </c>
      <c r="E322" s="53" t="s">
        <v>4</v>
      </c>
      <c r="F322" s="53" t="s">
        <v>8</v>
      </c>
      <c r="G322" s="53" t="s">
        <v>1108</v>
      </c>
      <c r="H322" s="53" t="s">
        <v>118</v>
      </c>
      <c r="I322" s="243">
        <v>2622500</v>
      </c>
      <c r="J322" s="53" t="s">
        <v>72</v>
      </c>
      <c r="K322" s="53" t="s">
        <v>1117</v>
      </c>
    </row>
    <row r="323" spans="1:15" hidden="1">
      <c r="A323" s="53">
        <v>18</v>
      </c>
      <c r="B323" s="241">
        <v>45217</v>
      </c>
      <c r="C323" s="241">
        <v>45217</v>
      </c>
      <c r="D323" s="53" t="s">
        <v>1123</v>
      </c>
      <c r="E323" s="53" t="s">
        <v>3</v>
      </c>
      <c r="F323" s="53" t="s">
        <v>7</v>
      </c>
      <c r="G323" s="53" t="s">
        <v>1131</v>
      </c>
      <c r="H323" s="53" t="s">
        <v>1136</v>
      </c>
      <c r="I323" s="243">
        <v>4840000</v>
      </c>
      <c r="J323" s="53" t="s">
        <v>1064</v>
      </c>
      <c r="K323" s="53" t="s">
        <v>1143</v>
      </c>
    </row>
    <row r="324" spans="1:15" hidden="1"/>
    <row r="325" spans="1:15" hidden="1"/>
    <row r="326" spans="1:15" s="328" customFormat="1" ht="12" hidden="1" thickBot="1">
      <c r="A326" s="328">
        <v>1</v>
      </c>
      <c r="B326" s="334">
        <v>45232</v>
      </c>
      <c r="C326" s="335">
        <v>45227</v>
      </c>
      <c r="D326" s="336" t="s">
        <v>1182</v>
      </c>
      <c r="E326" s="337" t="s">
        <v>6</v>
      </c>
      <c r="F326" s="337" t="s">
        <v>11</v>
      </c>
      <c r="G326" s="336" t="s">
        <v>1183</v>
      </c>
      <c r="H326" s="336" t="s">
        <v>118</v>
      </c>
      <c r="I326" s="338">
        <v>16200000</v>
      </c>
      <c r="J326" s="339"/>
      <c r="K326" s="340" t="s">
        <v>1184</v>
      </c>
      <c r="L326" s="341" t="s">
        <v>777</v>
      </c>
    </row>
    <row r="327" spans="1:15" s="328" customFormat="1" hidden="1">
      <c r="A327" s="53">
        <v>3</v>
      </c>
      <c r="B327" s="120">
        <v>45231</v>
      </c>
      <c r="C327" s="120">
        <v>45231</v>
      </c>
      <c r="D327" s="117" t="s">
        <v>1188</v>
      </c>
      <c r="E327" s="53" t="s">
        <v>6</v>
      </c>
      <c r="F327" s="53" t="s">
        <v>11</v>
      </c>
      <c r="G327" s="117" t="s">
        <v>512</v>
      </c>
      <c r="H327" s="117" t="s">
        <v>1189</v>
      </c>
      <c r="I327" s="124">
        <v>305000000</v>
      </c>
      <c r="J327" s="293"/>
      <c r="K327" s="202" t="s">
        <v>1171</v>
      </c>
      <c r="L327" s="129" t="s">
        <v>243</v>
      </c>
      <c r="M327" s="53"/>
      <c r="N327" s="53"/>
      <c r="O327" s="53"/>
    </row>
    <row r="328" spans="1:15" hidden="1">
      <c r="B328" s="120">
        <v>45241</v>
      </c>
      <c r="C328" s="120">
        <v>45238</v>
      </c>
      <c r="D328" s="117" t="s">
        <v>1203</v>
      </c>
      <c r="E328" s="53" t="s">
        <v>6</v>
      </c>
      <c r="F328" s="53" t="s">
        <v>11</v>
      </c>
      <c r="G328" s="117" t="s">
        <v>917</v>
      </c>
      <c r="H328" s="117" t="s">
        <v>118</v>
      </c>
      <c r="I328" s="124">
        <v>16250000</v>
      </c>
      <c r="J328" s="327"/>
      <c r="K328" s="202" t="s">
        <v>1247</v>
      </c>
      <c r="L328" s="129" t="s">
        <v>135</v>
      </c>
    </row>
    <row r="329" spans="1:15" hidden="1">
      <c r="B329" s="241">
        <v>45243</v>
      </c>
      <c r="C329" s="120">
        <v>45211</v>
      </c>
      <c r="D329" s="117" t="s">
        <v>1205</v>
      </c>
      <c r="E329" s="53" t="s">
        <v>6</v>
      </c>
      <c r="F329" s="53" t="s">
        <v>11</v>
      </c>
      <c r="G329" s="117" t="s">
        <v>1226</v>
      </c>
      <c r="H329" s="117" t="s">
        <v>1227</v>
      </c>
      <c r="I329" s="124">
        <v>3600000</v>
      </c>
      <c r="J329" s="327"/>
      <c r="K329" s="202" t="s">
        <v>1249</v>
      </c>
      <c r="L329" s="129" t="s">
        <v>1249</v>
      </c>
    </row>
    <row r="330" spans="1:15" hidden="1">
      <c r="C330" s="305"/>
      <c r="D330" s="306"/>
      <c r="K330" s="53"/>
      <c r="L330" s="53"/>
    </row>
    <row r="331" spans="1:15" ht="22.5" hidden="1">
      <c r="A331" s="150" t="s">
        <v>60</v>
      </c>
      <c r="B331" s="150" t="s">
        <v>40</v>
      </c>
      <c r="C331" s="150" t="s">
        <v>41</v>
      </c>
      <c r="D331" s="150" t="s">
        <v>42</v>
      </c>
      <c r="E331" s="150" t="s">
        <v>132</v>
      </c>
      <c r="F331" s="270" t="s">
        <v>13</v>
      </c>
      <c r="G331" s="105" t="s">
        <v>43</v>
      </c>
      <c r="H331" s="105" t="s">
        <v>44</v>
      </c>
      <c r="I331" s="105" t="s">
        <v>0</v>
      </c>
      <c r="J331" s="105" t="s">
        <v>14</v>
      </c>
      <c r="K331" s="105" t="s">
        <v>439</v>
      </c>
      <c r="L331" s="105"/>
    </row>
    <row r="332" spans="1:15" hidden="1">
      <c r="B332" s="241">
        <v>45246</v>
      </c>
      <c r="C332" s="120">
        <v>45245</v>
      </c>
      <c r="D332" s="117" t="s">
        <v>1200</v>
      </c>
      <c r="E332" s="53" t="s">
        <v>6</v>
      </c>
      <c r="F332" s="53" t="s">
        <v>1149</v>
      </c>
      <c r="G332" s="117" t="s">
        <v>1220</v>
      </c>
      <c r="H332" s="117" t="s">
        <v>1221</v>
      </c>
      <c r="I332" s="124">
        <v>43000000</v>
      </c>
      <c r="J332" s="327"/>
      <c r="K332" s="202" t="s">
        <v>1244</v>
      </c>
      <c r="L332" s="129" t="s">
        <v>243</v>
      </c>
    </row>
    <row r="333" spans="1:15" hidden="1">
      <c r="C333" s="120"/>
      <c r="D333" s="117"/>
      <c r="G333" s="117"/>
      <c r="H333" s="117"/>
      <c r="I333" s="124"/>
      <c r="K333" s="53"/>
      <c r="L333" s="53"/>
    </row>
    <row r="334" spans="1:15" ht="22.5" hidden="1">
      <c r="A334" s="150" t="s">
        <v>60</v>
      </c>
      <c r="B334" s="150" t="s">
        <v>40</v>
      </c>
      <c r="C334" s="150" t="s">
        <v>41</v>
      </c>
      <c r="D334" s="150" t="s">
        <v>42</v>
      </c>
      <c r="E334" s="150" t="s">
        <v>132</v>
      </c>
      <c r="F334" s="270" t="s">
        <v>13</v>
      </c>
      <c r="G334" s="105" t="s">
        <v>43</v>
      </c>
      <c r="H334" s="105" t="s">
        <v>44</v>
      </c>
      <c r="I334" s="105" t="s">
        <v>0</v>
      </c>
      <c r="J334" s="105" t="s">
        <v>14</v>
      </c>
      <c r="K334" s="105" t="s">
        <v>439</v>
      </c>
      <c r="L334" s="105"/>
    </row>
    <row r="335" spans="1:15" hidden="1">
      <c r="A335" s="328"/>
      <c r="B335" s="329">
        <v>45237</v>
      </c>
      <c r="C335" s="329">
        <v>45237</v>
      </c>
      <c r="D335" s="330" t="s">
        <v>1198</v>
      </c>
      <c r="E335" s="328" t="s">
        <v>3</v>
      </c>
      <c r="F335" s="328" t="s">
        <v>51</v>
      </c>
      <c r="G335" s="330" t="s">
        <v>1010</v>
      </c>
      <c r="H335" s="330" t="s">
        <v>1217</v>
      </c>
      <c r="I335" s="331">
        <v>1360000</v>
      </c>
      <c r="J335" s="342"/>
      <c r="K335" s="328" t="s">
        <v>392</v>
      </c>
      <c r="L335" s="328" t="s">
        <v>12</v>
      </c>
      <c r="M335" s="328"/>
      <c r="N335" s="328"/>
      <c r="O335" s="328"/>
    </row>
    <row r="336" spans="1:15" hidden="1">
      <c r="B336" s="118">
        <v>45239</v>
      </c>
      <c r="C336" s="120">
        <v>45239</v>
      </c>
      <c r="D336" s="117" t="s">
        <v>1202</v>
      </c>
      <c r="E336" s="53" t="s">
        <v>3</v>
      </c>
      <c r="F336" s="53" t="s">
        <v>51</v>
      </c>
      <c r="G336" s="117" t="s">
        <v>1223</v>
      </c>
      <c r="H336" s="117" t="s">
        <v>1224</v>
      </c>
      <c r="I336" s="124">
        <v>41000000</v>
      </c>
      <c r="K336" s="202" t="s">
        <v>1246</v>
      </c>
      <c r="L336" s="129" t="s">
        <v>12</v>
      </c>
    </row>
    <row r="337" spans="1:15" hidden="1">
      <c r="B337" s="118">
        <v>45240</v>
      </c>
      <c r="C337" s="118">
        <v>45240</v>
      </c>
      <c r="D337" s="284" t="s">
        <v>1199</v>
      </c>
      <c r="E337" s="53" t="s">
        <v>3</v>
      </c>
      <c r="F337" s="53" t="s">
        <v>7</v>
      </c>
      <c r="G337" s="284" t="s">
        <v>1218</v>
      </c>
      <c r="H337" s="284" t="s">
        <v>1219</v>
      </c>
      <c r="I337" s="291">
        <v>1351000</v>
      </c>
      <c r="K337" s="286" t="s">
        <v>1243</v>
      </c>
      <c r="L337" s="323" t="s">
        <v>965</v>
      </c>
    </row>
    <row r="338" spans="1:15" hidden="1">
      <c r="B338" s="118">
        <v>45243</v>
      </c>
      <c r="C338" s="120">
        <v>45239</v>
      </c>
      <c r="D338" s="117" t="s">
        <v>1207</v>
      </c>
      <c r="E338" s="53" t="s">
        <v>3</v>
      </c>
      <c r="F338" s="53" t="s">
        <v>7</v>
      </c>
      <c r="G338" s="117" t="s">
        <v>936</v>
      </c>
      <c r="H338" s="117" t="s">
        <v>1229</v>
      </c>
      <c r="I338" s="121">
        <v>41540000</v>
      </c>
      <c r="K338" s="202" t="s">
        <v>1251</v>
      </c>
      <c r="L338" s="129" t="s">
        <v>243</v>
      </c>
    </row>
    <row r="339" spans="1:15" hidden="1">
      <c r="B339" s="118"/>
      <c r="C339" s="120">
        <v>45245</v>
      </c>
      <c r="D339" s="117" t="s">
        <v>1201</v>
      </c>
      <c r="E339" s="53" t="s">
        <v>3</v>
      </c>
      <c r="F339" s="53" t="s">
        <v>7</v>
      </c>
      <c r="G339" s="117" t="s">
        <v>1222</v>
      </c>
      <c r="H339" s="117" t="s">
        <v>118</v>
      </c>
      <c r="I339" s="124">
        <v>5482500</v>
      </c>
      <c r="K339" s="202" t="s">
        <v>1245</v>
      </c>
      <c r="L339" s="129" t="s">
        <v>243</v>
      </c>
    </row>
    <row r="340" spans="1:15" hidden="1">
      <c r="B340" s="118">
        <v>45251</v>
      </c>
      <c r="C340" s="120">
        <v>45251</v>
      </c>
      <c r="D340" s="117" t="s">
        <v>1266</v>
      </c>
      <c r="E340" s="53" t="s">
        <v>3</v>
      </c>
      <c r="F340" s="53" t="s">
        <v>7</v>
      </c>
      <c r="G340" s="117" t="s">
        <v>1234</v>
      </c>
      <c r="H340" s="117" t="s">
        <v>118</v>
      </c>
      <c r="I340" s="124">
        <v>32800000</v>
      </c>
      <c r="K340" s="202" t="s">
        <v>1301</v>
      </c>
      <c r="L340" s="129" t="s">
        <v>1178</v>
      </c>
    </row>
    <row r="341" spans="1:15" hidden="1">
      <c r="A341" s="53">
        <v>6</v>
      </c>
      <c r="B341" s="118">
        <v>45234</v>
      </c>
      <c r="C341" s="120">
        <v>45234</v>
      </c>
      <c r="D341" s="117" t="s">
        <v>1195</v>
      </c>
      <c r="E341" s="53" t="s">
        <v>3</v>
      </c>
      <c r="F341" s="53" t="s">
        <v>7</v>
      </c>
      <c r="G341" s="117" t="s">
        <v>1159</v>
      </c>
      <c r="H341" s="117" t="s">
        <v>1196</v>
      </c>
      <c r="I341" s="124">
        <v>84000000</v>
      </c>
      <c r="K341" s="202" t="s">
        <v>1178</v>
      </c>
      <c r="L341" s="129" t="s">
        <v>1197</v>
      </c>
    </row>
    <row r="342" spans="1:15" hidden="1">
      <c r="B342" s="118">
        <v>45254</v>
      </c>
      <c r="C342" s="120">
        <v>45254</v>
      </c>
      <c r="D342" s="117" t="s">
        <v>1268</v>
      </c>
      <c r="E342" s="53" t="s">
        <v>3</v>
      </c>
      <c r="F342" s="53" t="s">
        <v>7</v>
      </c>
      <c r="G342" s="117" t="s">
        <v>1128</v>
      </c>
      <c r="H342" s="117" t="s">
        <v>118</v>
      </c>
      <c r="I342" s="124">
        <v>35875000</v>
      </c>
      <c r="K342" s="202" t="s">
        <v>390</v>
      </c>
      <c r="L342" s="129" t="s">
        <v>878</v>
      </c>
    </row>
    <row r="343" spans="1:15" hidden="1">
      <c r="B343" s="118">
        <v>45241</v>
      </c>
      <c r="C343" s="120">
        <v>45223</v>
      </c>
      <c r="D343" s="117" t="s">
        <v>1204</v>
      </c>
      <c r="E343" s="53" t="s">
        <v>3</v>
      </c>
      <c r="F343" s="53" t="s">
        <v>7</v>
      </c>
      <c r="G343" s="117" t="s">
        <v>88</v>
      </c>
      <c r="H343" s="117" t="s">
        <v>1225</v>
      </c>
      <c r="I343" s="124">
        <v>100000000</v>
      </c>
      <c r="K343" s="202" t="s">
        <v>1248</v>
      </c>
      <c r="L343" s="129" t="s">
        <v>12</v>
      </c>
    </row>
    <row r="344" spans="1:15" s="328" customFormat="1" hidden="1">
      <c r="A344" s="53"/>
      <c r="B344" s="118">
        <v>45253</v>
      </c>
      <c r="C344" s="120">
        <v>45251</v>
      </c>
      <c r="D344" s="117" t="s">
        <v>1264</v>
      </c>
      <c r="E344" s="53" t="s">
        <v>3</v>
      </c>
      <c r="F344" s="53" t="s">
        <v>7</v>
      </c>
      <c r="G344" s="117" t="s">
        <v>1282</v>
      </c>
      <c r="H344" s="117" t="s">
        <v>1283</v>
      </c>
      <c r="I344" s="124">
        <v>4550000</v>
      </c>
      <c r="J344" s="243"/>
      <c r="K344" s="202" t="s">
        <v>1299</v>
      </c>
      <c r="L344" s="129" t="s">
        <v>135</v>
      </c>
      <c r="M344" s="53"/>
      <c r="N344" s="53"/>
      <c r="O344" s="53"/>
    </row>
    <row r="345" spans="1:15" s="328" customFormat="1" ht="12" hidden="1" thickBot="1">
      <c r="B345" s="334">
        <v>45251</v>
      </c>
      <c r="C345" s="335">
        <v>45251</v>
      </c>
      <c r="D345" s="336" t="s">
        <v>1265</v>
      </c>
      <c r="E345" s="337" t="s">
        <v>3</v>
      </c>
      <c r="F345" s="337" t="s">
        <v>7</v>
      </c>
      <c r="G345" s="336" t="s">
        <v>513</v>
      </c>
      <c r="H345" s="336" t="s">
        <v>1284</v>
      </c>
      <c r="I345" s="338">
        <v>34750000</v>
      </c>
      <c r="J345" s="342"/>
      <c r="K345" s="340" t="s">
        <v>1300</v>
      </c>
      <c r="L345" s="343" t="s">
        <v>135</v>
      </c>
    </row>
    <row r="346" spans="1:15" hidden="1">
      <c r="B346" s="118">
        <v>45252</v>
      </c>
      <c r="C346" s="118">
        <v>45252</v>
      </c>
      <c r="D346" s="284" t="s">
        <v>1267</v>
      </c>
      <c r="E346" s="53" t="s">
        <v>3</v>
      </c>
      <c r="F346" s="53" t="s">
        <v>7</v>
      </c>
      <c r="G346" s="284" t="s">
        <v>1285</v>
      </c>
      <c r="H346" s="284" t="s">
        <v>118</v>
      </c>
      <c r="I346" s="291">
        <v>3000000</v>
      </c>
      <c r="K346" s="286" t="s">
        <v>1302</v>
      </c>
      <c r="L346" s="323" t="s">
        <v>12</v>
      </c>
    </row>
    <row r="347" spans="1:15" hidden="1">
      <c r="B347" s="118">
        <v>45244</v>
      </c>
      <c r="C347" s="120">
        <v>45225</v>
      </c>
      <c r="D347" s="117" t="s">
        <v>1206</v>
      </c>
      <c r="E347" s="53" t="s">
        <v>5</v>
      </c>
      <c r="F347" s="53" t="s">
        <v>7</v>
      </c>
      <c r="G347" s="117" t="s">
        <v>221</v>
      </c>
      <c r="H347" s="117" t="s">
        <v>1228</v>
      </c>
      <c r="I347" s="121">
        <v>21642500</v>
      </c>
      <c r="K347" s="202" t="s">
        <v>1250</v>
      </c>
      <c r="L347" s="323" t="s">
        <v>1250</v>
      </c>
    </row>
    <row r="348" spans="1:15" hidden="1">
      <c r="B348" s="118">
        <v>45244</v>
      </c>
      <c r="C348" s="120">
        <v>45244</v>
      </c>
      <c r="D348" s="117" t="s">
        <v>1212</v>
      </c>
      <c r="E348" s="53" t="s">
        <v>1242</v>
      </c>
      <c r="F348" s="53" t="s">
        <v>7</v>
      </c>
      <c r="G348" s="117" t="s">
        <v>936</v>
      </c>
      <c r="H348" s="117" t="s">
        <v>1233</v>
      </c>
      <c r="I348" s="124">
        <v>10950000</v>
      </c>
      <c r="K348" s="202" t="s">
        <v>1254</v>
      </c>
      <c r="L348" s="129" t="s">
        <v>781</v>
      </c>
    </row>
    <row r="349" spans="1:15" hidden="1">
      <c r="A349" s="53">
        <v>5</v>
      </c>
      <c r="B349" s="118">
        <v>45234</v>
      </c>
      <c r="C349" s="120">
        <v>45234</v>
      </c>
      <c r="D349" s="117" t="s">
        <v>1191</v>
      </c>
      <c r="E349" s="53" t="s">
        <v>1194</v>
      </c>
      <c r="F349" s="53" t="s">
        <v>7</v>
      </c>
      <c r="G349" s="117" t="s">
        <v>1159</v>
      </c>
      <c r="H349" s="117" t="s">
        <v>1192</v>
      </c>
      <c r="I349" s="124">
        <v>4518000.0000297297</v>
      </c>
      <c r="J349" s="54"/>
      <c r="K349" s="202" t="s">
        <v>1193</v>
      </c>
      <c r="L349" s="129" t="s">
        <v>781</v>
      </c>
    </row>
    <row r="350" spans="1:15" hidden="1">
      <c r="B350" s="118"/>
      <c r="C350" s="120">
        <v>45246</v>
      </c>
      <c r="D350" s="117" t="s">
        <v>1215</v>
      </c>
      <c r="E350" s="53" t="s">
        <v>3</v>
      </c>
      <c r="F350" s="53" t="s">
        <v>7</v>
      </c>
      <c r="G350" s="117" t="s">
        <v>1238</v>
      </c>
      <c r="H350" s="117" t="s">
        <v>1239</v>
      </c>
      <c r="I350" s="124">
        <v>1575000</v>
      </c>
      <c r="K350" s="202" t="s">
        <v>47</v>
      </c>
      <c r="L350" s="129" t="s">
        <v>1148</v>
      </c>
    </row>
    <row r="351" spans="1:15" ht="12" hidden="1" thickBot="1">
      <c r="B351" s="282">
        <v>45246</v>
      </c>
      <c r="C351" s="283">
        <v>45246</v>
      </c>
      <c r="D351" s="285" t="s">
        <v>1214</v>
      </c>
      <c r="E351" s="324" t="s">
        <v>3</v>
      </c>
      <c r="F351" s="324" t="s">
        <v>7</v>
      </c>
      <c r="G351" s="285" t="s">
        <v>1236</v>
      </c>
      <c r="H351" s="285" t="s">
        <v>1237</v>
      </c>
      <c r="I351" s="290">
        <v>1140000</v>
      </c>
      <c r="K351" s="287" t="s">
        <v>47</v>
      </c>
      <c r="L351" s="322" t="s">
        <v>780</v>
      </c>
    </row>
    <row r="352" spans="1:15" s="328" customFormat="1" hidden="1">
      <c r="A352" s="53"/>
      <c r="B352" s="118">
        <v>45243</v>
      </c>
      <c r="C352" s="118">
        <v>45243</v>
      </c>
      <c r="D352" s="284" t="s">
        <v>1213</v>
      </c>
      <c r="E352" s="53" t="s">
        <v>3</v>
      </c>
      <c r="F352" s="53" t="s">
        <v>7</v>
      </c>
      <c r="G352" s="284" t="s">
        <v>1234</v>
      </c>
      <c r="H352" s="284" t="s">
        <v>1235</v>
      </c>
      <c r="I352" s="291">
        <v>247500</v>
      </c>
      <c r="J352" s="243"/>
      <c r="K352" s="286" t="s">
        <v>1255</v>
      </c>
      <c r="L352" s="323" t="s">
        <v>1148</v>
      </c>
      <c r="M352" s="53"/>
      <c r="N352" s="53"/>
      <c r="O352" s="53"/>
    </row>
    <row r="353" spans="1:15" hidden="1">
      <c r="B353" s="120">
        <v>45244</v>
      </c>
      <c r="C353" s="120">
        <v>45240</v>
      </c>
      <c r="D353" s="117" t="s">
        <v>1208</v>
      </c>
      <c r="E353" s="53" t="s">
        <v>3</v>
      </c>
      <c r="F353" s="53" t="s">
        <v>7</v>
      </c>
      <c r="G353" s="117" t="s">
        <v>1230</v>
      </c>
      <c r="H353" s="117" t="s">
        <v>118</v>
      </c>
      <c r="I353" s="124">
        <v>6420000</v>
      </c>
      <c r="K353" s="202" t="s">
        <v>1252</v>
      </c>
      <c r="L353" s="129" t="s">
        <v>444</v>
      </c>
    </row>
    <row r="354" spans="1:15" hidden="1">
      <c r="B354" s="120">
        <v>45244</v>
      </c>
      <c r="C354" s="120">
        <v>45240</v>
      </c>
      <c r="D354" s="117" t="s">
        <v>1210</v>
      </c>
      <c r="E354" s="53" t="s">
        <v>3</v>
      </c>
      <c r="F354" s="53" t="s">
        <v>7</v>
      </c>
      <c r="G354" s="117" t="s">
        <v>1230</v>
      </c>
      <c r="H354" s="117" t="s">
        <v>118</v>
      </c>
      <c r="I354" s="124">
        <v>6250000</v>
      </c>
      <c r="K354" s="202" t="s">
        <v>1252</v>
      </c>
      <c r="L354" s="129" t="s">
        <v>444</v>
      </c>
    </row>
    <row r="355" spans="1:15" hidden="1">
      <c r="B355" s="241">
        <v>45244</v>
      </c>
      <c r="C355" s="241">
        <v>45240</v>
      </c>
      <c r="D355" s="53" t="s">
        <v>1209</v>
      </c>
      <c r="E355" s="53" t="s">
        <v>3</v>
      </c>
      <c r="F355" s="53" t="s">
        <v>7</v>
      </c>
      <c r="G355" s="53" t="s">
        <v>1230</v>
      </c>
      <c r="H355" s="53" t="s">
        <v>118</v>
      </c>
      <c r="I355" s="243">
        <v>1175000</v>
      </c>
      <c r="K355" s="202" t="s">
        <v>1252</v>
      </c>
      <c r="L355" s="129" t="s">
        <v>444</v>
      </c>
    </row>
    <row r="356" spans="1:15" hidden="1">
      <c r="A356" s="328">
        <v>2</v>
      </c>
      <c r="B356" s="344">
        <v>45233</v>
      </c>
      <c r="C356" s="344">
        <v>45233</v>
      </c>
      <c r="D356" s="328" t="s">
        <v>1185</v>
      </c>
      <c r="E356" s="328" t="s">
        <v>5</v>
      </c>
      <c r="F356" s="328" t="s">
        <v>8</v>
      </c>
      <c r="G356" s="328" t="s">
        <v>1186</v>
      </c>
      <c r="H356" s="328" t="s">
        <v>118</v>
      </c>
      <c r="I356" s="342">
        <v>2150000</v>
      </c>
      <c r="J356" s="345"/>
      <c r="K356" s="332" t="s">
        <v>1187</v>
      </c>
      <c r="L356" s="333" t="s">
        <v>1257</v>
      </c>
      <c r="M356" s="328"/>
      <c r="N356" s="328"/>
      <c r="O356" s="328"/>
    </row>
    <row r="357" spans="1:15" ht="12" hidden="1" thickBot="1">
      <c r="A357" s="53">
        <v>4</v>
      </c>
      <c r="B357" s="241">
        <v>45234</v>
      </c>
      <c r="C357" s="241">
        <v>45233</v>
      </c>
      <c r="D357" s="53" t="s">
        <v>1190</v>
      </c>
      <c r="E357" s="53" t="s">
        <v>5</v>
      </c>
      <c r="F357" s="53" t="s">
        <v>8</v>
      </c>
      <c r="G357" s="53" t="s">
        <v>510</v>
      </c>
      <c r="H357" s="53" t="s">
        <v>118</v>
      </c>
      <c r="I357" s="243">
        <v>132000</v>
      </c>
      <c r="J357" s="54"/>
      <c r="K357" s="287" t="s">
        <v>1305</v>
      </c>
      <c r="L357" s="322" t="s">
        <v>454</v>
      </c>
    </row>
    <row r="358" spans="1:15" hidden="1">
      <c r="B358" s="241">
        <v>45239</v>
      </c>
      <c r="C358" s="241">
        <v>45236</v>
      </c>
      <c r="D358" s="53" t="s">
        <v>1211</v>
      </c>
      <c r="E358" s="53" t="s">
        <v>5</v>
      </c>
      <c r="F358" s="53" t="s">
        <v>8</v>
      </c>
      <c r="G358" s="53" t="s">
        <v>1231</v>
      </c>
      <c r="H358" s="53" t="s">
        <v>1232</v>
      </c>
      <c r="I358" s="243">
        <v>60000000</v>
      </c>
      <c r="K358" s="202" t="s">
        <v>1253</v>
      </c>
      <c r="L358" s="129" t="s">
        <v>454</v>
      </c>
    </row>
    <row r="359" spans="1:15" hidden="1">
      <c r="A359" s="328"/>
      <c r="B359" s="344">
        <v>45251</v>
      </c>
      <c r="C359" s="344">
        <v>45251</v>
      </c>
      <c r="D359" s="328" t="s">
        <v>1271</v>
      </c>
      <c r="E359" s="328" t="s">
        <v>5</v>
      </c>
      <c r="F359" s="328" t="s">
        <v>8</v>
      </c>
      <c r="G359" s="328" t="s">
        <v>1290</v>
      </c>
      <c r="H359" s="328" t="s">
        <v>118</v>
      </c>
      <c r="I359" s="342">
        <v>1260000</v>
      </c>
      <c r="J359" s="342"/>
      <c r="K359" s="332" t="s">
        <v>1306</v>
      </c>
      <c r="L359" s="333" t="s">
        <v>878</v>
      </c>
      <c r="M359" s="328"/>
      <c r="N359" s="328"/>
      <c r="O359" s="328"/>
    </row>
    <row r="360" spans="1:15" hidden="1">
      <c r="B360" s="241">
        <v>45248</v>
      </c>
      <c r="C360" s="241">
        <v>45245</v>
      </c>
      <c r="D360" s="53" t="s">
        <v>1258</v>
      </c>
      <c r="E360" s="53" t="s">
        <v>4</v>
      </c>
      <c r="F360" s="53" t="s">
        <v>9</v>
      </c>
      <c r="G360" s="53" t="s">
        <v>1091</v>
      </c>
      <c r="H360" s="53" t="s">
        <v>1273</v>
      </c>
      <c r="I360" s="243">
        <v>9295000</v>
      </c>
      <c r="K360" s="202" t="s">
        <v>1293</v>
      </c>
      <c r="L360" s="129" t="s">
        <v>243</v>
      </c>
    </row>
    <row r="361" spans="1:15" hidden="1">
      <c r="B361" s="241">
        <v>45252</v>
      </c>
      <c r="C361" s="241">
        <v>45252</v>
      </c>
      <c r="D361" s="53" t="s">
        <v>1262</v>
      </c>
      <c r="E361" s="53" t="s">
        <v>4</v>
      </c>
      <c r="F361" s="53" t="s">
        <v>9</v>
      </c>
      <c r="G361" s="53" t="s">
        <v>1279</v>
      </c>
      <c r="H361" s="53" t="s">
        <v>768</v>
      </c>
      <c r="I361" s="243">
        <v>20625000</v>
      </c>
      <c r="K361" s="202" t="s">
        <v>1297</v>
      </c>
      <c r="L361" s="129" t="s">
        <v>1178</v>
      </c>
    </row>
    <row r="362" spans="1:15" hidden="1">
      <c r="A362" s="328"/>
      <c r="B362" s="344">
        <v>45248</v>
      </c>
      <c r="C362" s="344">
        <v>45246</v>
      </c>
      <c r="D362" s="328" t="s">
        <v>1259</v>
      </c>
      <c r="E362" s="328" t="s">
        <v>4</v>
      </c>
      <c r="F362" s="328" t="s">
        <v>9</v>
      </c>
      <c r="G362" s="328" t="s">
        <v>935</v>
      </c>
      <c r="H362" s="328" t="s">
        <v>1274</v>
      </c>
      <c r="I362" s="342">
        <v>184500000</v>
      </c>
      <c r="J362" s="342"/>
      <c r="K362" s="332" t="s">
        <v>1294</v>
      </c>
      <c r="L362" s="333" t="s">
        <v>12</v>
      </c>
      <c r="M362" s="328"/>
      <c r="N362" s="328"/>
      <c r="O362" s="328"/>
    </row>
    <row r="363" spans="1:15" hidden="1">
      <c r="B363" s="241">
        <v>45252</v>
      </c>
      <c r="C363" s="241">
        <v>45251</v>
      </c>
      <c r="D363" s="53" t="s">
        <v>1260</v>
      </c>
      <c r="E363" s="53" t="s">
        <v>4</v>
      </c>
      <c r="F363" s="53" t="s">
        <v>9</v>
      </c>
      <c r="G363" s="53" t="s">
        <v>1275</v>
      </c>
      <c r="H363" s="53" t="s">
        <v>1276</v>
      </c>
      <c r="I363" s="243">
        <v>1800000</v>
      </c>
      <c r="K363" s="202" t="s">
        <v>1295</v>
      </c>
      <c r="L363" s="129" t="s">
        <v>12</v>
      </c>
    </row>
    <row r="364" spans="1:15" ht="12" hidden="1" thickBot="1">
      <c r="B364" s="241">
        <v>45254</v>
      </c>
      <c r="C364" s="241">
        <v>45252</v>
      </c>
      <c r="D364" s="53" t="s">
        <v>1261</v>
      </c>
      <c r="E364" s="53" t="s">
        <v>4</v>
      </c>
      <c r="F364" s="53" t="s">
        <v>9</v>
      </c>
      <c r="G364" s="53" t="s">
        <v>1277</v>
      </c>
      <c r="H364" s="53" t="s">
        <v>1278</v>
      </c>
      <c r="I364" s="243">
        <v>6500000</v>
      </c>
      <c r="K364" s="287" t="s">
        <v>1296</v>
      </c>
      <c r="L364" s="322" t="s">
        <v>12</v>
      </c>
    </row>
    <row r="365" spans="1:15" hidden="1">
      <c r="B365" s="241">
        <v>45252</v>
      </c>
      <c r="C365" s="241">
        <v>45252</v>
      </c>
      <c r="D365" s="53" t="s">
        <v>1272</v>
      </c>
      <c r="E365" s="53" t="s">
        <v>5</v>
      </c>
      <c r="F365" s="53" t="s">
        <v>8</v>
      </c>
      <c r="G365" s="53" t="s">
        <v>1291</v>
      </c>
      <c r="H365" s="53" t="s">
        <v>1292</v>
      </c>
      <c r="I365" s="243">
        <v>990250</v>
      </c>
      <c r="K365" s="202" t="s">
        <v>442</v>
      </c>
      <c r="L365" s="129" t="s">
        <v>968</v>
      </c>
    </row>
    <row r="366" spans="1:15" hidden="1">
      <c r="B366" s="241">
        <v>45254</v>
      </c>
      <c r="C366" s="241">
        <v>45253</v>
      </c>
      <c r="D366" s="53" t="s">
        <v>1263</v>
      </c>
      <c r="E366" s="53" t="s">
        <v>4</v>
      </c>
      <c r="F366" s="53" t="s">
        <v>9</v>
      </c>
      <c r="G366" s="53" t="s">
        <v>1280</v>
      </c>
      <c r="H366" s="53" t="s">
        <v>1281</v>
      </c>
      <c r="I366" s="243">
        <v>51320000</v>
      </c>
      <c r="K366" s="202" t="s">
        <v>1298</v>
      </c>
      <c r="L366" s="129" t="s">
        <v>968</v>
      </c>
    </row>
    <row r="367" spans="1:15" ht="12" hidden="1" thickBot="1">
      <c r="B367" s="241">
        <v>45251</v>
      </c>
      <c r="C367" s="241">
        <v>45251</v>
      </c>
      <c r="D367" s="53" t="s">
        <v>1270</v>
      </c>
      <c r="E367" s="53" t="s">
        <v>5</v>
      </c>
      <c r="F367" s="53" t="s">
        <v>8</v>
      </c>
      <c r="G367" s="53" t="s">
        <v>1288</v>
      </c>
      <c r="H367" s="53" t="s">
        <v>1289</v>
      </c>
      <c r="I367" s="243">
        <v>4804500</v>
      </c>
      <c r="K367" s="287" t="s">
        <v>1304</v>
      </c>
      <c r="L367" s="322" t="s">
        <v>1148</v>
      </c>
    </row>
    <row r="368" spans="1:15" hidden="1">
      <c r="C368" s="241">
        <v>45243</v>
      </c>
      <c r="D368" s="53" t="s">
        <v>1269</v>
      </c>
      <c r="E368" s="53" t="s">
        <v>6</v>
      </c>
      <c r="F368" s="53" t="s">
        <v>9</v>
      </c>
      <c r="G368" s="53" t="s">
        <v>1286</v>
      </c>
      <c r="H368" s="53" t="s">
        <v>1287</v>
      </c>
      <c r="I368" s="243">
        <v>4620000</v>
      </c>
      <c r="K368" s="286" t="s">
        <v>1303</v>
      </c>
      <c r="L368" s="323" t="s">
        <v>1064</v>
      </c>
    </row>
    <row r="369" spans="2:12" hidden="1">
      <c r="B369" s="241">
        <v>45246</v>
      </c>
      <c r="C369" s="241">
        <v>45246</v>
      </c>
      <c r="D369" s="53" t="s">
        <v>1216</v>
      </c>
      <c r="E369" s="53" t="s">
        <v>5</v>
      </c>
      <c r="F369" s="53" t="s">
        <v>8</v>
      </c>
      <c r="G369" s="53" t="s">
        <v>1240</v>
      </c>
      <c r="H369" s="53" t="s">
        <v>1241</v>
      </c>
      <c r="I369" s="243">
        <v>1799000</v>
      </c>
      <c r="K369" s="202" t="s">
        <v>442</v>
      </c>
      <c r="L369" s="129" t="s">
        <v>1256</v>
      </c>
    </row>
    <row r="370" spans="2:12">
      <c r="B370" s="118">
        <v>45272</v>
      </c>
      <c r="C370" s="120">
        <v>45267</v>
      </c>
      <c r="D370" s="117" t="s">
        <v>1351</v>
      </c>
      <c r="E370" s="53" t="s">
        <v>3</v>
      </c>
      <c r="F370" s="53" t="s">
        <v>8</v>
      </c>
      <c r="G370" s="117" t="s">
        <v>1186</v>
      </c>
      <c r="H370" s="284" t="s">
        <v>1352</v>
      </c>
      <c r="I370" s="124">
        <v>3091500</v>
      </c>
      <c r="J370" s="293"/>
      <c r="K370" s="286" t="s">
        <v>1353</v>
      </c>
      <c r="L370" s="129" t="s">
        <v>1085</v>
      </c>
    </row>
    <row r="371" spans="2:12" ht="12" thickBot="1">
      <c r="B371" s="282">
        <v>45275</v>
      </c>
      <c r="C371" s="283">
        <v>45271</v>
      </c>
      <c r="D371" s="285" t="s">
        <v>1334</v>
      </c>
      <c r="E371" s="324" t="s">
        <v>6</v>
      </c>
      <c r="F371" s="324" t="s">
        <v>9</v>
      </c>
      <c r="G371" s="285" t="s">
        <v>170</v>
      </c>
      <c r="H371" s="285" t="s">
        <v>1335</v>
      </c>
      <c r="I371" s="290">
        <v>2563200</v>
      </c>
      <c r="J371" s="397"/>
      <c r="K371" s="287" t="s">
        <v>1336</v>
      </c>
      <c r="L371" s="322" t="s">
        <v>1337</v>
      </c>
    </row>
    <row r="372" spans="2:12">
      <c r="B372" s="118">
        <v>45275</v>
      </c>
      <c r="C372" s="118">
        <v>45274</v>
      </c>
      <c r="D372" s="284" t="s">
        <v>1373</v>
      </c>
      <c r="E372" s="53" t="s">
        <v>5</v>
      </c>
      <c r="F372" s="53" t="s">
        <v>7</v>
      </c>
      <c r="G372" s="284" t="s">
        <v>1374</v>
      </c>
      <c r="H372" s="284" t="s">
        <v>118</v>
      </c>
      <c r="I372" s="291">
        <v>5540000</v>
      </c>
      <c r="J372" s="292"/>
      <c r="K372" s="286" t="s">
        <v>905</v>
      </c>
      <c r="L372" s="323" t="s">
        <v>1337</v>
      </c>
    </row>
    <row r="373" spans="2:12">
      <c r="B373" s="399">
        <v>45261</v>
      </c>
      <c r="C373" s="399">
        <v>45252</v>
      </c>
      <c r="D373" s="398" t="s">
        <v>1316</v>
      </c>
      <c r="E373" s="53" t="s">
        <v>4</v>
      </c>
      <c r="F373" s="53" t="s">
        <v>9</v>
      </c>
      <c r="G373" s="398" t="s">
        <v>1089</v>
      </c>
      <c r="H373" s="398" t="s">
        <v>118</v>
      </c>
      <c r="I373" s="400">
        <v>3100000</v>
      </c>
      <c r="J373" s="289" t="s">
        <v>96</v>
      </c>
      <c r="K373" s="401" t="s">
        <v>1317</v>
      </c>
      <c r="L373" s="402" t="s">
        <v>777</v>
      </c>
    </row>
    <row r="374" spans="2:12" ht="12" thickBot="1">
      <c r="B374" s="282">
        <v>45261</v>
      </c>
      <c r="C374" s="283">
        <v>45252</v>
      </c>
      <c r="D374" s="285" t="s">
        <v>1318</v>
      </c>
      <c r="E374" s="324" t="s">
        <v>4</v>
      </c>
      <c r="F374" s="324" t="s">
        <v>9</v>
      </c>
      <c r="G374" s="285" t="s">
        <v>1089</v>
      </c>
      <c r="H374" s="285" t="s">
        <v>118</v>
      </c>
      <c r="I374" s="290">
        <v>1387500</v>
      </c>
      <c r="J374" s="397" t="s">
        <v>96</v>
      </c>
      <c r="K374" s="287" t="s">
        <v>1317</v>
      </c>
      <c r="L374" s="322" t="s">
        <v>777</v>
      </c>
    </row>
    <row r="375" spans="2:12">
      <c r="B375" s="118">
        <v>45272</v>
      </c>
      <c r="C375" s="118">
        <v>45272</v>
      </c>
      <c r="D375" s="284" t="s">
        <v>1370</v>
      </c>
      <c r="E375" s="53" t="s">
        <v>5</v>
      </c>
      <c r="F375" s="53" t="s">
        <v>7</v>
      </c>
      <c r="G375" s="284" t="s">
        <v>141</v>
      </c>
      <c r="H375" s="284" t="s">
        <v>1371</v>
      </c>
      <c r="I375" s="291">
        <v>16100000</v>
      </c>
      <c r="J375" s="292"/>
      <c r="K375" s="286" t="s">
        <v>1372</v>
      </c>
      <c r="L375" s="323" t="s">
        <v>243</v>
      </c>
    </row>
    <row r="376" spans="2:12">
      <c r="B376" s="118">
        <v>45267</v>
      </c>
      <c r="C376" s="120">
        <v>45266</v>
      </c>
      <c r="D376" s="117" t="s">
        <v>1326</v>
      </c>
      <c r="E376" s="53" t="s">
        <v>4</v>
      </c>
      <c r="F376" s="53" t="s">
        <v>9</v>
      </c>
      <c r="G376" s="117" t="s">
        <v>1327</v>
      </c>
      <c r="H376" s="117" t="s">
        <v>1328</v>
      </c>
      <c r="I376" s="124">
        <v>49200000</v>
      </c>
      <c r="J376" s="293"/>
      <c r="K376" s="286" t="s">
        <v>1329</v>
      </c>
      <c r="L376" s="129" t="s">
        <v>779</v>
      </c>
    </row>
    <row r="377" spans="2:12">
      <c r="B377" s="118">
        <v>45268</v>
      </c>
      <c r="C377" s="120">
        <v>45267</v>
      </c>
      <c r="D377" s="117" t="s">
        <v>1330</v>
      </c>
      <c r="E377" s="53" t="s">
        <v>4</v>
      </c>
      <c r="F377" s="53" t="s">
        <v>9</v>
      </c>
      <c r="G377" s="117" t="s">
        <v>1331</v>
      </c>
      <c r="H377" s="117" t="s">
        <v>1332</v>
      </c>
      <c r="I377" s="124">
        <v>4550000</v>
      </c>
      <c r="J377" s="293"/>
      <c r="K377" s="286" t="s">
        <v>1333</v>
      </c>
      <c r="L377" s="129" t="s">
        <v>135</v>
      </c>
    </row>
    <row r="378" spans="2:12">
      <c r="B378" s="118">
        <v>45266</v>
      </c>
      <c r="C378" s="120">
        <v>45266</v>
      </c>
      <c r="D378" s="117" t="s">
        <v>1345</v>
      </c>
      <c r="E378" s="53" t="s">
        <v>3</v>
      </c>
      <c r="F378" s="53" t="s">
        <v>8</v>
      </c>
      <c r="G378" s="117" t="s">
        <v>1346</v>
      </c>
      <c r="H378" s="117" t="s">
        <v>1347</v>
      </c>
      <c r="I378" s="124">
        <v>750000</v>
      </c>
      <c r="J378" s="293"/>
      <c r="K378" s="286" t="s">
        <v>135</v>
      </c>
      <c r="L378" s="129" t="s">
        <v>135</v>
      </c>
    </row>
    <row r="379" spans="2:12">
      <c r="B379" s="118">
        <v>45262</v>
      </c>
      <c r="C379" s="120">
        <v>45259</v>
      </c>
      <c r="D379" s="117" t="s">
        <v>1319</v>
      </c>
      <c r="E379" s="53" t="s">
        <v>4</v>
      </c>
      <c r="F379" s="53" t="s">
        <v>9</v>
      </c>
      <c r="G379" s="117" t="s">
        <v>1320</v>
      </c>
      <c r="H379" s="117" t="s">
        <v>118</v>
      </c>
      <c r="I379" s="124">
        <v>3400000</v>
      </c>
      <c r="J379" s="293"/>
      <c r="K379" s="202" t="s">
        <v>1321</v>
      </c>
      <c r="L379" s="129" t="s">
        <v>1322</v>
      </c>
    </row>
    <row r="380" spans="2:12">
      <c r="B380" s="118">
        <v>45268</v>
      </c>
      <c r="C380" s="305">
        <v>45264</v>
      </c>
      <c r="D380" s="306" t="s">
        <v>1358</v>
      </c>
      <c r="E380" s="53" t="s">
        <v>6</v>
      </c>
      <c r="F380" s="53" t="s">
        <v>51</v>
      </c>
      <c r="G380" s="306" t="s">
        <v>1359</v>
      </c>
      <c r="H380" s="306" t="s">
        <v>118</v>
      </c>
      <c r="I380" s="307">
        <v>13500000</v>
      </c>
      <c r="J380" s="403"/>
      <c r="K380" s="404" t="s">
        <v>1360</v>
      </c>
      <c r="L380" s="319" t="s">
        <v>1360</v>
      </c>
    </row>
    <row r="381" spans="2:12">
      <c r="B381" s="118">
        <v>45266</v>
      </c>
      <c r="C381" s="305">
        <v>45266</v>
      </c>
      <c r="D381" s="306" t="s">
        <v>1312</v>
      </c>
      <c r="E381" s="53" t="s">
        <v>140</v>
      </c>
      <c r="F381" s="53" t="s">
        <v>83</v>
      </c>
      <c r="G381" s="306" t="s">
        <v>1313</v>
      </c>
      <c r="H381" s="306" t="s">
        <v>1314</v>
      </c>
      <c r="I381" s="307">
        <v>272500</v>
      </c>
      <c r="J381" s="403"/>
      <c r="K381" s="404" t="s">
        <v>1315</v>
      </c>
      <c r="L381" s="319" t="s">
        <v>968</v>
      </c>
    </row>
    <row r="382" spans="2:12" ht="12" thickBot="1">
      <c r="B382" s="282">
        <v>45261</v>
      </c>
      <c r="C382" s="283">
        <v>45261</v>
      </c>
      <c r="D382" s="285" t="s">
        <v>1323</v>
      </c>
      <c r="E382" s="322" t="s">
        <v>4</v>
      </c>
      <c r="F382" s="322" t="s">
        <v>9</v>
      </c>
      <c r="G382" s="285" t="s">
        <v>1280</v>
      </c>
      <c r="H382" s="285" t="s">
        <v>1324</v>
      </c>
      <c r="I382" s="290">
        <v>75350000</v>
      </c>
      <c r="J382" s="397"/>
      <c r="K382" s="287" t="s">
        <v>1325</v>
      </c>
      <c r="L382" s="322" t="s">
        <v>968</v>
      </c>
    </row>
    <row r="383" spans="2:12">
      <c r="B383" s="118">
        <v>45268</v>
      </c>
      <c r="C383" s="118">
        <v>45265</v>
      </c>
      <c r="D383" s="284" t="s">
        <v>1341</v>
      </c>
      <c r="E383" s="53" t="s">
        <v>3</v>
      </c>
      <c r="F383" s="53" t="s">
        <v>8</v>
      </c>
      <c r="G383" s="284" t="s">
        <v>1342</v>
      </c>
      <c r="H383" s="284" t="s">
        <v>1343</v>
      </c>
      <c r="I383" s="291">
        <v>1550000</v>
      </c>
      <c r="J383" s="292"/>
      <c r="K383" s="286" t="s">
        <v>1344</v>
      </c>
      <c r="L383" s="323" t="s">
        <v>968</v>
      </c>
    </row>
    <row r="384" spans="2:12">
      <c r="B384" s="118">
        <v>45267</v>
      </c>
      <c r="C384" s="120">
        <v>45267</v>
      </c>
      <c r="D384" s="117" t="s">
        <v>1348</v>
      </c>
      <c r="E384" s="53" t="s">
        <v>3</v>
      </c>
      <c r="F384" s="53" t="s">
        <v>8</v>
      </c>
      <c r="G384" s="117" t="s">
        <v>1186</v>
      </c>
      <c r="H384" s="117" t="s">
        <v>1349</v>
      </c>
      <c r="I384" s="124">
        <v>3210000</v>
      </c>
      <c r="J384" s="293"/>
      <c r="K384" s="202" t="s">
        <v>1350</v>
      </c>
      <c r="L384" s="129" t="s">
        <v>968</v>
      </c>
    </row>
    <row r="385" spans="2:12" ht="12" thickBot="1">
      <c r="B385" s="282">
        <v>45273</v>
      </c>
      <c r="C385" s="283">
        <v>45273</v>
      </c>
      <c r="D385" s="285" t="s">
        <v>1354</v>
      </c>
      <c r="E385" s="324" t="s">
        <v>3</v>
      </c>
      <c r="F385" s="324" t="s">
        <v>8</v>
      </c>
      <c r="G385" s="285" t="s">
        <v>1355</v>
      </c>
      <c r="H385" s="285" t="s">
        <v>1356</v>
      </c>
      <c r="I385" s="290">
        <v>26678000</v>
      </c>
      <c r="J385" s="397"/>
      <c r="K385" s="287" t="s">
        <v>1357</v>
      </c>
      <c r="L385" s="322" t="s">
        <v>968</v>
      </c>
    </row>
    <row r="386" spans="2:12">
      <c r="B386" s="120">
        <v>45235</v>
      </c>
      <c r="C386" s="120">
        <v>45265</v>
      </c>
      <c r="D386" s="117" t="s">
        <v>1366</v>
      </c>
      <c r="E386" s="53" t="s">
        <v>5</v>
      </c>
      <c r="F386" s="53" t="s">
        <v>7</v>
      </c>
      <c r="G386" s="117" t="s">
        <v>1367</v>
      </c>
      <c r="H386" s="117" t="s">
        <v>1368</v>
      </c>
      <c r="I386" s="124">
        <v>5883000</v>
      </c>
      <c r="J386" s="293"/>
      <c r="K386" s="202" t="s">
        <v>1369</v>
      </c>
      <c r="L386" s="129" t="s">
        <v>968</v>
      </c>
    </row>
    <row r="387" spans="2:12" hidden="1">
      <c r="B387" s="120">
        <v>45268</v>
      </c>
      <c r="C387" s="120">
        <v>45268</v>
      </c>
      <c r="D387" s="117" t="s">
        <v>1361</v>
      </c>
      <c r="E387" s="53" t="s">
        <v>6</v>
      </c>
      <c r="F387" s="53" t="s">
        <v>81</v>
      </c>
      <c r="G387" s="117" t="s">
        <v>782</v>
      </c>
      <c r="H387" s="117" t="s">
        <v>1362</v>
      </c>
      <c r="I387" s="124">
        <v>240000</v>
      </c>
      <c r="J387" s="293"/>
      <c r="K387" s="405" t="s">
        <v>1176</v>
      </c>
      <c r="L387" s="405" t="s">
        <v>1176</v>
      </c>
    </row>
    <row r="388" spans="2:12">
      <c r="B388" s="120">
        <v>45235</v>
      </c>
      <c r="C388" s="120">
        <v>45265</v>
      </c>
      <c r="D388" s="117" t="s">
        <v>1363</v>
      </c>
      <c r="E388" s="53" t="s">
        <v>5</v>
      </c>
      <c r="F388" s="53" t="s">
        <v>7</v>
      </c>
      <c r="G388" s="117" t="s">
        <v>1364</v>
      </c>
      <c r="H388" s="117" t="s">
        <v>118</v>
      </c>
      <c r="I388" s="124">
        <v>11080000</v>
      </c>
      <c r="J388" s="293" t="s">
        <v>96</v>
      </c>
      <c r="K388" s="202" t="s">
        <v>1365</v>
      </c>
      <c r="L388" s="129" t="s">
        <v>1148</v>
      </c>
    </row>
    <row r="389" spans="2:12">
      <c r="B389" s="120">
        <v>45274</v>
      </c>
      <c r="C389" s="120">
        <v>45273</v>
      </c>
      <c r="D389" s="117" t="s">
        <v>1338</v>
      </c>
      <c r="E389" s="53" t="s">
        <v>4</v>
      </c>
      <c r="F389" s="53" t="s">
        <v>9</v>
      </c>
      <c r="G389" s="117" t="s">
        <v>935</v>
      </c>
      <c r="H389" s="117" t="s">
        <v>1339</v>
      </c>
      <c r="I389" s="124">
        <v>30900000</v>
      </c>
      <c r="J389" s="293"/>
      <c r="K389" s="202" t="s">
        <v>1340</v>
      </c>
      <c r="L389" s="129" t="s">
        <v>72</v>
      </c>
    </row>
    <row r="390" spans="2:12">
      <c r="J390" s="54"/>
      <c r="K390" s="53"/>
      <c r="L390" s="53"/>
    </row>
    <row r="391" spans="2:12">
      <c r="B391" s="241">
        <v>45280</v>
      </c>
      <c r="C391" s="241">
        <v>45279</v>
      </c>
      <c r="D391" s="53" t="s">
        <v>1376</v>
      </c>
      <c r="E391" s="53" t="s">
        <v>4</v>
      </c>
      <c r="F391" s="53" t="s">
        <v>9</v>
      </c>
      <c r="G391" s="53" t="s">
        <v>1386</v>
      </c>
      <c r="H391" s="53" t="s">
        <v>1387</v>
      </c>
      <c r="I391" s="243">
        <v>5490000</v>
      </c>
      <c r="K391" s="53" t="s">
        <v>1399</v>
      </c>
      <c r="L391" s="53" t="s">
        <v>969</v>
      </c>
    </row>
    <row r="392" spans="2:12">
      <c r="B392" s="241">
        <v>45281</v>
      </c>
      <c r="C392" s="241">
        <v>45280</v>
      </c>
      <c r="D392" s="53" t="s">
        <v>1377</v>
      </c>
      <c r="E392" s="53" t="s">
        <v>4</v>
      </c>
      <c r="F392" s="53" t="s">
        <v>11</v>
      </c>
      <c r="G392" s="53" t="s">
        <v>546</v>
      </c>
      <c r="H392" s="53" t="s">
        <v>1388</v>
      </c>
      <c r="I392" s="243">
        <v>142500000</v>
      </c>
      <c r="K392" s="53" t="s">
        <v>1399</v>
      </c>
      <c r="L392" s="53" t="s">
        <v>969</v>
      </c>
    </row>
    <row r="393" spans="2:12">
      <c r="B393" s="241">
        <v>45280</v>
      </c>
      <c r="C393" s="241">
        <v>45272</v>
      </c>
      <c r="D393" s="53" t="s">
        <v>1378</v>
      </c>
      <c r="E393" s="53" t="s">
        <v>4</v>
      </c>
      <c r="F393" s="53" t="s">
        <v>9</v>
      </c>
      <c r="G393" s="53" t="s">
        <v>1389</v>
      </c>
      <c r="H393" s="53" t="s">
        <v>118</v>
      </c>
      <c r="I393" s="243">
        <v>2500000</v>
      </c>
      <c r="K393" s="53" t="s">
        <v>1310</v>
      </c>
      <c r="L393" s="53" t="s">
        <v>878</v>
      </c>
    </row>
    <row r="394" spans="2:12">
      <c r="B394" s="241">
        <v>45281</v>
      </c>
      <c r="C394" s="241">
        <v>45280</v>
      </c>
      <c r="D394" s="53" t="s">
        <v>1379</v>
      </c>
      <c r="E394" s="53" t="s">
        <v>4</v>
      </c>
      <c r="F394" s="53" t="s">
        <v>11</v>
      </c>
      <c r="G394" s="53" t="s">
        <v>621</v>
      </c>
      <c r="H394" s="53" t="s">
        <v>118</v>
      </c>
      <c r="I394" s="243">
        <v>61200000</v>
      </c>
      <c r="K394" s="53" t="s">
        <v>390</v>
      </c>
      <c r="L394" s="53" t="s">
        <v>878</v>
      </c>
    </row>
    <row r="395" spans="2:12">
      <c r="B395" s="241">
        <v>45282</v>
      </c>
      <c r="C395" s="241">
        <v>45281</v>
      </c>
      <c r="D395" s="53" t="s">
        <v>1380</v>
      </c>
      <c r="E395" s="53" t="s">
        <v>5</v>
      </c>
      <c r="F395" s="53" t="s">
        <v>7</v>
      </c>
      <c r="G395" s="53" t="s">
        <v>1390</v>
      </c>
      <c r="H395" s="53" t="s">
        <v>118</v>
      </c>
      <c r="I395" s="243">
        <v>2750000</v>
      </c>
      <c r="K395" s="53" t="s">
        <v>390</v>
      </c>
      <c r="L395" s="53" t="s">
        <v>878</v>
      </c>
    </row>
    <row r="396" spans="2:12">
      <c r="B396" s="241">
        <v>45282</v>
      </c>
      <c r="C396" s="241">
        <v>45282</v>
      </c>
      <c r="D396" s="53" t="s">
        <v>1381</v>
      </c>
      <c r="E396" s="53" t="s">
        <v>5</v>
      </c>
      <c r="F396" s="53" t="s">
        <v>7</v>
      </c>
      <c r="G396" s="53" t="s">
        <v>1391</v>
      </c>
      <c r="H396" s="53" t="s">
        <v>118</v>
      </c>
      <c r="I396" s="243">
        <v>4875000</v>
      </c>
      <c r="K396" s="53" t="s">
        <v>390</v>
      </c>
      <c r="L396" s="53" t="s">
        <v>878</v>
      </c>
    </row>
    <row r="397" spans="2:12">
      <c r="B397" s="241">
        <v>45278</v>
      </c>
      <c r="C397" s="241">
        <v>45278</v>
      </c>
      <c r="D397" s="53" t="s">
        <v>1382</v>
      </c>
      <c r="E397" s="53" t="s">
        <v>5</v>
      </c>
      <c r="F397" s="53" t="s">
        <v>7</v>
      </c>
      <c r="G397" s="53" t="s">
        <v>1392</v>
      </c>
      <c r="H397" s="53" t="s">
        <v>1393</v>
      </c>
      <c r="I397" s="243">
        <v>1140000</v>
      </c>
      <c r="K397" s="53" t="s">
        <v>1400</v>
      </c>
      <c r="L397" s="53" t="s">
        <v>779</v>
      </c>
    </row>
    <row r="398" spans="2:12">
      <c r="B398" s="241">
        <v>45278</v>
      </c>
      <c r="C398" s="241">
        <v>45278</v>
      </c>
      <c r="D398" s="53" t="s">
        <v>1383</v>
      </c>
      <c r="E398" s="53" t="s">
        <v>4</v>
      </c>
      <c r="F398" s="53" t="s">
        <v>11</v>
      </c>
      <c r="G398" s="53" t="s">
        <v>1083</v>
      </c>
      <c r="H398" s="53" t="s">
        <v>118</v>
      </c>
      <c r="I398" s="243">
        <v>9950000</v>
      </c>
      <c r="K398" s="53" t="s">
        <v>47</v>
      </c>
      <c r="L398" s="53" t="s">
        <v>1148</v>
      </c>
    </row>
    <row r="399" spans="2:12">
      <c r="B399" s="241">
        <v>45281</v>
      </c>
      <c r="C399" s="241">
        <v>45275</v>
      </c>
      <c r="D399" s="53" t="s">
        <v>1384</v>
      </c>
      <c r="E399" s="53" t="s">
        <v>6</v>
      </c>
      <c r="F399" s="53" t="s">
        <v>8</v>
      </c>
      <c r="G399" s="53" t="s">
        <v>136</v>
      </c>
      <c r="H399" s="53" t="s">
        <v>1394</v>
      </c>
      <c r="I399" s="243">
        <v>9480000</v>
      </c>
      <c r="K399" s="53" t="s">
        <v>47</v>
      </c>
      <c r="L399" s="53" t="s">
        <v>780</v>
      </c>
    </row>
    <row r="400" spans="2:12">
      <c r="B400" s="241">
        <v>45276</v>
      </c>
      <c r="C400" s="241">
        <v>45275</v>
      </c>
      <c r="D400" s="53" t="s">
        <v>1375</v>
      </c>
      <c r="E400" s="53" t="s">
        <v>6</v>
      </c>
      <c r="F400" s="53" t="s">
        <v>1149</v>
      </c>
      <c r="G400" s="53" t="s">
        <v>1395</v>
      </c>
      <c r="H400" s="53" t="s">
        <v>1396</v>
      </c>
      <c r="I400" s="243">
        <v>32434000</v>
      </c>
      <c r="K400" s="53" t="s">
        <v>1401</v>
      </c>
      <c r="L400" s="53" t="s">
        <v>1148</v>
      </c>
    </row>
    <row r="401" spans="2:12">
      <c r="B401" s="241">
        <v>45278</v>
      </c>
      <c r="C401" s="241">
        <v>45278</v>
      </c>
      <c r="D401" s="53" t="s">
        <v>1385</v>
      </c>
      <c r="E401" s="53" t="s">
        <v>5</v>
      </c>
      <c r="F401" s="53" t="s">
        <v>7</v>
      </c>
      <c r="G401" s="53" t="s">
        <v>1397</v>
      </c>
      <c r="H401" s="53" t="s">
        <v>1398</v>
      </c>
      <c r="I401" s="243">
        <v>16232200</v>
      </c>
      <c r="K401" s="53" t="s">
        <v>1402</v>
      </c>
      <c r="L401" s="53" t="s">
        <v>780</v>
      </c>
    </row>
  </sheetData>
  <sortState ref="A370:O389">
    <sortCondition ref="L370:L389"/>
  </sortState>
  <pageMargins left="0.2" right="0.2" top="0.25" bottom="0.25" header="0.05" footer="0.05"/>
  <pageSetup paperSize="10000" scale="8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57"/>
  <sheetViews>
    <sheetView topLeftCell="F25" workbookViewId="0">
      <selection activeCell="B391" sqref="B391"/>
    </sheetView>
  </sheetViews>
  <sheetFormatPr defaultColWidth="9.140625" defaultRowHeight="18" customHeight="1"/>
  <cols>
    <col min="1" max="1" width="4.85546875" style="348" customWidth="1"/>
    <col min="2" max="3" width="9.28515625" style="393" bestFit="1" customWidth="1"/>
    <col min="4" max="4" width="10.85546875" style="348" customWidth="1"/>
    <col min="5" max="6" width="6.85546875" style="348" bestFit="1" customWidth="1"/>
    <col min="7" max="7" width="28.85546875" style="348" customWidth="1"/>
    <col min="8" max="8" width="46.85546875" style="348" customWidth="1"/>
    <col min="9" max="9" width="19.140625" style="394" customWidth="1"/>
    <col min="10" max="10" width="44.28515625" style="394" hidden="1" customWidth="1"/>
    <col min="11" max="11" width="53" style="395" customWidth="1"/>
    <col min="12" max="12" width="37.140625" style="395" customWidth="1"/>
    <col min="13" max="13" width="27.85546875" style="348" customWidth="1"/>
    <col min="14" max="16384" width="9.140625" style="348"/>
  </cols>
  <sheetData>
    <row r="1" spans="1:12" ht="31.5" customHeight="1">
      <c r="A1" s="346" t="s">
        <v>60</v>
      </c>
      <c r="B1" s="346" t="s">
        <v>40</v>
      </c>
      <c r="C1" s="346" t="s">
        <v>41</v>
      </c>
      <c r="D1" s="346" t="s">
        <v>42</v>
      </c>
      <c r="E1" s="346" t="s">
        <v>132</v>
      </c>
      <c r="F1" s="346" t="s">
        <v>13</v>
      </c>
      <c r="G1" s="347" t="s">
        <v>43</v>
      </c>
      <c r="H1" s="347" t="s">
        <v>44</v>
      </c>
      <c r="I1" s="347" t="s">
        <v>0</v>
      </c>
      <c r="J1" s="347" t="s">
        <v>14</v>
      </c>
      <c r="K1" s="347" t="s">
        <v>439</v>
      </c>
      <c r="L1" s="347" t="s">
        <v>14</v>
      </c>
    </row>
    <row r="2" spans="1:12" ht="18" customHeight="1">
      <c r="A2" s="349">
        <v>1</v>
      </c>
      <c r="B2" s="350">
        <v>45232</v>
      </c>
      <c r="C2" s="350">
        <v>45227</v>
      </c>
      <c r="D2" s="351" t="s">
        <v>1182</v>
      </c>
      <c r="E2" s="351" t="s">
        <v>6</v>
      </c>
      <c r="F2" s="351" t="s">
        <v>11</v>
      </c>
      <c r="G2" s="351" t="s">
        <v>1183</v>
      </c>
      <c r="H2" s="351" t="s">
        <v>118</v>
      </c>
      <c r="I2" s="352">
        <v>16200000</v>
      </c>
      <c r="J2" s="353"/>
      <c r="K2" s="351" t="s">
        <v>1184</v>
      </c>
      <c r="L2" s="351" t="s">
        <v>777</v>
      </c>
    </row>
    <row r="3" spans="1:12" ht="18" customHeight="1">
      <c r="A3" s="349">
        <v>2</v>
      </c>
      <c r="B3" s="350">
        <v>45231</v>
      </c>
      <c r="C3" s="350">
        <v>45231</v>
      </c>
      <c r="D3" s="351" t="s">
        <v>1188</v>
      </c>
      <c r="E3" s="351" t="s">
        <v>6</v>
      </c>
      <c r="F3" s="351" t="s">
        <v>11</v>
      </c>
      <c r="G3" s="351" t="s">
        <v>512</v>
      </c>
      <c r="H3" s="351" t="s">
        <v>1189</v>
      </c>
      <c r="I3" s="352">
        <v>305000000</v>
      </c>
      <c r="J3" s="353"/>
      <c r="K3" s="351" t="s">
        <v>1171</v>
      </c>
      <c r="L3" s="351" t="s">
        <v>243</v>
      </c>
    </row>
    <row r="4" spans="1:12" ht="18" customHeight="1">
      <c r="A4" s="349">
        <v>3</v>
      </c>
      <c r="B4" s="350">
        <v>45241</v>
      </c>
      <c r="C4" s="350">
        <v>45238</v>
      </c>
      <c r="D4" s="351" t="s">
        <v>1203</v>
      </c>
      <c r="E4" s="351" t="s">
        <v>6</v>
      </c>
      <c r="F4" s="351" t="s">
        <v>11</v>
      </c>
      <c r="G4" s="351" t="s">
        <v>917</v>
      </c>
      <c r="H4" s="351" t="s">
        <v>118</v>
      </c>
      <c r="I4" s="352">
        <v>16250000</v>
      </c>
      <c r="J4" s="352"/>
      <c r="K4" s="351" t="s">
        <v>1247</v>
      </c>
      <c r="L4" s="351" t="s">
        <v>135</v>
      </c>
    </row>
    <row r="5" spans="1:12" ht="18" customHeight="1">
      <c r="A5" s="349">
        <v>4</v>
      </c>
      <c r="B5" s="350">
        <v>45243</v>
      </c>
      <c r="C5" s="350">
        <v>45211</v>
      </c>
      <c r="D5" s="351" t="s">
        <v>1205</v>
      </c>
      <c r="E5" s="351" t="s">
        <v>6</v>
      </c>
      <c r="F5" s="351" t="s">
        <v>11</v>
      </c>
      <c r="G5" s="351" t="s">
        <v>1226</v>
      </c>
      <c r="H5" s="351" t="s">
        <v>1227</v>
      </c>
      <c r="I5" s="352">
        <v>3600000</v>
      </c>
      <c r="J5" s="352"/>
      <c r="K5" s="351" t="s">
        <v>1249</v>
      </c>
      <c r="L5" s="351" t="s">
        <v>1</v>
      </c>
    </row>
    <row r="6" spans="1:12" ht="18" customHeight="1">
      <c r="A6" s="354"/>
      <c r="B6" s="355"/>
      <c r="C6" s="356"/>
      <c r="D6" s="357"/>
      <c r="E6" s="354"/>
      <c r="F6" s="354"/>
      <c r="G6" s="354"/>
      <c r="H6" s="354"/>
      <c r="I6" s="358"/>
      <c r="J6" s="358"/>
      <c r="K6" s="354"/>
      <c r="L6" s="354"/>
    </row>
    <row r="7" spans="1:12" ht="24">
      <c r="A7" s="359" t="s">
        <v>60</v>
      </c>
      <c r="B7" s="359" t="s">
        <v>40</v>
      </c>
      <c r="C7" s="359" t="s">
        <v>41</v>
      </c>
      <c r="D7" s="359" t="s">
        <v>42</v>
      </c>
      <c r="E7" s="359" t="s">
        <v>132</v>
      </c>
      <c r="F7" s="359" t="s">
        <v>13</v>
      </c>
      <c r="G7" s="360" t="s">
        <v>43</v>
      </c>
      <c r="H7" s="360" t="s">
        <v>44</v>
      </c>
      <c r="I7" s="360" t="s">
        <v>0</v>
      </c>
      <c r="J7" s="360" t="s">
        <v>14</v>
      </c>
      <c r="K7" s="360" t="s">
        <v>439</v>
      </c>
      <c r="L7" s="360" t="s">
        <v>14</v>
      </c>
    </row>
    <row r="8" spans="1:12" ht="18" customHeight="1">
      <c r="A8" s="361">
        <v>1</v>
      </c>
      <c r="B8" s="362">
        <v>45246</v>
      </c>
      <c r="C8" s="362">
        <v>45245</v>
      </c>
      <c r="D8" s="363" t="s">
        <v>1200</v>
      </c>
      <c r="E8" s="363" t="s">
        <v>6</v>
      </c>
      <c r="F8" s="363" t="s">
        <v>1149</v>
      </c>
      <c r="G8" s="363" t="s">
        <v>1220</v>
      </c>
      <c r="H8" s="363" t="s">
        <v>1221</v>
      </c>
      <c r="I8" s="364">
        <v>43000000</v>
      </c>
      <c r="J8" s="364"/>
      <c r="K8" s="363" t="s">
        <v>1244</v>
      </c>
      <c r="L8" s="363" t="s">
        <v>243</v>
      </c>
    </row>
    <row r="9" spans="1:12" ht="18" customHeight="1">
      <c r="A9" s="354"/>
      <c r="B9" s="355"/>
      <c r="C9" s="356"/>
      <c r="D9" s="357"/>
      <c r="E9" s="354"/>
      <c r="F9" s="354"/>
      <c r="G9" s="357"/>
      <c r="H9" s="357"/>
      <c r="I9" s="365"/>
      <c r="J9" s="358"/>
      <c r="K9" s="354"/>
      <c r="L9" s="354"/>
    </row>
    <row r="10" spans="1:12" ht="24">
      <c r="A10" s="366" t="s">
        <v>60</v>
      </c>
      <c r="B10" s="366" t="s">
        <v>40</v>
      </c>
      <c r="C10" s="366" t="s">
        <v>41</v>
      </c>
      <c r="D10" s="366" t="s">
        <v>42</v>
      </c>
      <c r="E10" s="366" t="s">
        <v>132</v>
      </c>
      <c r="F10" s="366" t="s">
        <v>13</v>
      </c>
      <c r="G10" s="367" t="s">
        <v>43</v>
      </c>
      <c r="H10" s="367" t="s">
        <v>44</v>
      </c>
      <c r="I10" s="367" t="s">
        <v>0</v>
      </c>
      <c r="J10" s="367" t="s">
        <v>14</v>
      </c>
      <c r="K10" s="367" t="s">
        <v>439</v>
      </c>
      <c r="L10" s="367" t="s">
        <v>14</v>
      </c>
    </row>
    <row r="11" spans="1:12" ht="18" customHeight="1">
      <c r="A11" s="368">
        <v>1</v>
      </c>
      <c r="B11" s="369">
        <v>45237</v>
      </c>
      <c r="C11" s="369">
        <v>45237</v>
      </c>
      <c r="D11" s="370" t="s">
        <v>1198</v>
      </c>
      <c r="E11" s="370" t="s">
        <v>3</v>
      </c>
      <c r="F11" s="370" t="s">
        <v>51</v>
      </c>
      <c r="G11" s="370" t="s">
        <v>1010</v>
      </c>
      <c r="H11" s="370" t="s">
        <v>1217</v>
      </c>
      <c r="I11" s="371">
        <v>1360000</v>
      </c>
      <c r="J11" s="371"/>
      <c r="K11" s="370" t="s">
        <v>392</v>
      </c>
      <c r="L11" s="370" t="s">
        <v>12</v>
      </c>
    </row>
    <row r="12" spans="1:12" ht="18" customHeight="1">
      <c r="A12" s="368">
        <v>2</v>
      </c>
      <c r="B12" s="369">
        <v>45239</v>
      </c>
      <c r="C12" s="369">
        <v>45239</v>
      </c>
      <c r="D12" s="370" t="s">
        <v>1202</v>
      </c>
      <c r="E12" s="370" t="s">
        <v>3</v>
      </c>
      <c r="F12" s="370" t="s">
        <v>51</v>
      </c>
      <c r="G12" s="370" t="s">
        <v>1223</v>
      </c>
      <c r="H12" s="370" t="s">
        <v>1224</v>
      </c>
      <c r="I12" s="371">
        <v>41000000</v>
      </c>
      <c r="J12" s="371"/>
      <c r="K12" s="370" t="s">
        <v>1246</v>
      </c>
      <c r="L12" s="370" t="s">
        <v>12</v>
      </c>
    </row>
    <row r="13" spans="1:12" ht="18" customHeight="1">
      <c r="A13" s="354"/>
      <c r="B13" s="356"/>
      <c r="C13" s="356"/>
      <c r="D13" s="357"/>
      <c r="E13" s="354"/>
      <c r="F13" s="354"/>
      <c r="G13" s="357"/>
      <c r="H13" s="357"/>
      <c r="I13" s="365"/>
      <c r="J13" s="358"/>
      <c r="K13" s="372"/>
      <c r="L13" s="373"/>
    </row>
    <row r="14" spans="1:12" ht="24">
      <c r="A14" s="374" t="s">
        <v>60</v>
      </c>
      <c r="B14" s="374" t="s">
        <v>40</v>
      </c>
      <c r="C14" s="374" t="s">
        <v>41</v>
      </c>
      <c r="D14" s="374" t="s">
        <v>42</v>
      </c>
      <c r="E14" s="374" t="s">
        <v>132</v>
      </c>
      <c r="F14" s="374" t="s">
        <v>13</v>
      </c>
      <c r="G14" s="375" t="s">
        <v>43</v>
      </c>
      <c r="H14" s="375" t="s">
        <v>44</v>
      </c>
      <c r="I14" s="375" t="s">
        <v>0</v>
      </c>
      <c r="J14" s="375" t="s">
        <v>14</v>
      </c>
      <c r="K14" s="375" t="s">
        <v>439</v>
      </c>
      <c r="L14" s="375" t="s">
        <v>14</v>
      </c>
    </row>
    <row r="15" spans="1:12" ht="18" customHeight="1">
      <c r="A15" s="376">
        <v>1</v>
      </c>
      <c r="B15" s="377">
        <v>45240</v>
      </c>
      <c r="C15" s="377">
        <v>45240</v>
      </c>
      <c r="D15" s="378" t="s">
        <v>1199</v>
      </c>
      <c r="E15" s="378" t="s">
        <v>3</v>
      </c>
      <c r="F15" s="378" t="s">
        <v>7</v>
      </c>
      <c r="G15" s="378" t="s">
        <v>1218</v>
      </c>
      <c r="H15" s="378" t="s">
        <v>1219</v>
      </c>
      <c r="I15" s="379">
        <v>1351000</v>
      </c>
      <c r="J15" s="379"/>
      <c r="K15" s="378" t="s">
        <v>1243</v>
      </c>
      <c r="L15" s="378" t="s">
        <v>965</v>
      </c>
    </row>
    <row r="16" spans="1:12" ht="18" customHeight="1">
      <c r="A16" s="376">
        <v>2</v>
      </c>
      <c r="B16" s="377">
        <v>45243</v>
      </c>
      <c r="C16" s="377">
        <v>45239</v>
      </c>
      <c r="D16" s="378" t="s">
        <v>1207</v>
      </c>
      <c r="E16" s="378" t="s">
        <v>3</v>
      </c>
      <c r="F16" s="378" t="s">
        <v>7</v>
      </c>
      <c r="G16" s="378" t="s">
        <v>936</v>
      </c>
      <c r="H16" s="378" t="s">
        <v>1229</v>
      </c>
      <c r="I16" s="379">
        <v>41540000</v>
      </c>
      <c r="J16" s="379"/>
      <c r="K16" s="378" t="s">
        <v>1251</v>
      </c>
      <c r="L16" s="378" t="s">
        <v>243</v>
      </c>
    </row>
    <row r="17" spans="1:12" ht="18" customHeight="1">
      <c r="A17" s="376">
        <v>3</v>
      </c>
      <c r="B17" s="377"/>
      <c r="C17" s="377">
        <v>45245</v>
      </c>
      <c r="D17" s="378" t="s">
        <v>1201</v>
      </c>
      <c r="E17" s="378" t="s">
        <v>3</v>
      </c>
      <c r="F17" s="378" t="s">
        <v>7</v>
      </c>
      <c r="G17" s="378" t="s">
        <v>1222</v>
      </c>
      <c r="H17" s="378" t="s">
        <v>118</v>
      </c>
      <c r="I17" s="379">
        <v>5482500</v>
      </c>
      <c r="J17" s="379"/>
      <c r="K17" s="378" t="s">
        <v>1245</v>
      </c>
      <c r="L17" s="378" t="s">
        <v>243</v>
      </c>
    </row>
    <row r="18" spans="1:12" ht="18" customHeight="1">
      <c r="A18" s="376">
        <v>4</v>
      </c>
      <c r="B18" s="377">
        <v>45251</v>
      </c>
      <c r="C18" s="377">
        <v>45251</v>
      </c>
      <c r="D18" s="378" t="s">
        <v>1266</v>
      </c>
      <c r="E18" s="378" t="s">
        <v>3</v>
      </c>
      <c r="F18" s="378" t="s">
        <v>7</v>
      </c>
      <c r="G18" s="378" t="s">
        <v>1234</v>
      </c>
      <c r="H18" s="378" t="s">
        <v>118</v>
      </c>
      <c r="I18" s="379">
        <v>32800000</v>
      </c>
      <c r="J18" s="379"/>
      <c r="K18" s="378" t="s">
        <v>1301</v>
      </c>
      <c r="L18" s="378" t="s">
        <v>1178</v>
      </c>
    </row>
    <row r="19" spans="1:12" ht="18" customHeight="1">
      <c r="A19" s="376">
        <v>5</v>
      </c>
      <c r="B19" s="377">
        <v>45234</v>
      </c>
      <c r="C19" s="377">
        <v>45234</v>
      </c>
      <c r="D19" s="378" t="s">
        <v>1195</v>
      </c>
      <c r="E19" s="378" t="s">
        <v>3</v>
      </c>
      <c r="F19" s="378" t="s">
        <v>7</v>
      </c>
      <c r="G19" s="378" t="s">
        <v>1159</v>
      </c>
      <c r="H19" s="378" t="s">
        <v>1196</v>
      </c>
      <c r="I19" s="379">
        <v>84000000</v>
      </c>
      <c r="J19" s="379"/>
      <c r="K19" s="378" t="s">
        <v>1178</v>
      </c>
      <c r="L19" s="378" t="s">
        <v>1197</v>
      </c>
    </row>
    <row r="20" spans="1:12" ht="18" customHeight="1">
      <c r="A20" s="376">
        <v>6</v>
      </c>
      <c r="B20" s="377">
        <v>45254</v>
      </c>
      <c r="C20" s="377">
        <v>45254</v>
      </c>
      <c r="D20" s="378" t="s">
        <v>1268</v>
      </c>
      <c r="E20" s="378" t="s">
        <v>3</v>
      </c>
      <c r="F20" s="378" t="s">
        <v>7</v>
      </c>
      <c r="G20" s="378" t="s">
        <v>1128</v>
      </c>
      <c r="H20" s="378" t="s">
        <v>118</v>
      </c>
      <c r="I20" s="379">
        <v>35875000</v>
      </c>
      <c r="J20" s="379"/>
      <c r="K20" s="378" t="s">
        <v>390</v>
      </c>
      <c r="L20" s="378" t="s">
        <v>878</v>
      </c>
    </row>
    <row r="21" spans="1:12" ht="18" customHeight="1">
      <c r="A21" s="376">
        <v>7</v>
      </c>
      <c r="B21" s="377">
        <v>45241</v>
      </c>
      <c r="C21" s="377">
        <v>45223</v>
      </c>
      <c r="D21" s="378" t="s">
        <v>1204</v>
      </c>
      <c r="E21" s="378" t="s">
        <v>3</v>
      </c>
      <c r="F21" s="378" t="s">
        <v>7</v>
      </c>
      <c r="G21" s="378" t="s">
        <v>88</v>
      </c>
      <c r="H21" s="378" t="s">
        <v>1225</v>
      </c>
      <c r="I21" s="379">
        <v>100000000</v>
      </c>
      <c r="J21" s="379"/>
      <c r="K21" s="378" t="s">
        <v>1248</v>
      </c>
      <c r="L21" s="378" t="s">
        <v>12</v>
      </c>
    </row>
    <row r="22" spans="1:12" ht="18" customHeight="1">
      <c r="A22" s="376">
        <v>8</v>
      </c>
      <c r="B22" s="377">
        <v>45253</v>
      </c>
      <c r="C22" s="377">
        <v>45251</v>
      </c>
      <c r="D22" s="378" t="s">
        <v>1264</v>
      </c>
      <c r="E22" s="378" t="s">
        <v>3</v>
      </c>
      <c r="F22" s="378" t="s">
        <v>7</v>
      </c>
      <c r="G22" s="378" t="s">
        <v>1282</v>
      </c>
      <c r="H22" s="378" t="s">
        <v>1283</v>
      </c>
      <c r="I22" s="379">
        <v>4550000</v>
      </c>
      <c r="J22" s="379"/>
      <c r="K22" s="378" t="s">
        <v>1299</v>
      </c>
      <c r="L22" s="378" t="s">
        <v>135</v>
      </c>
    </row>
    <row r="23" spans="1:12" ht="18" customHeight="1">
      <c r="A23" s="376">
        <v>9</v>
      </c>
      <c r="B23" s="377">
        <v>45251</v>
      </c>
      <c r="C23" s="377">
        <v>45251</v>
      </c>
      <c r="D23" s="378" t="s">
        <v>1265</v>
      </c>
      <c r="E23" s="378" t="s">
        <v>3</v>
      </c>
      <c r="F23" s="378" t="s">
        <v>7</v>
      </c>
      <c r="G23" s="378" t="s">
        <v>513</v>
      </c>
      <c r="H23" s="378" t="s">
        <v>1284</v>
      </c>
      <c r="I23" s="379">
        <v>34750000</v>
      </c>
      <c r="J23" s="379"/>
      <c r="K23" s="378" t="s">
        <v>1300</v>
      </c>
      <c r="L23" s="378" t="s">
        <v>135</v>
      </c>
    </row>
    <row r="24" spans="1:12" ht="18" customHeight="1">
      <c r="A24" s="376">
        <v>10</v>
      </c>
      <c r="B24" s="377">
        <v>45252</v>
      </c>
      <c r="C24" s="377">
        <v>45252</v>
      </c>
      <c r="D24" s="378" t="s">
        <v>1267</v>
      </c>
      <c r="E24" s="378" t="s">
        <v>3</v>
      </c>
      <c r="F24" s="378" t="s">
        <v>7</v>
      </c>
      <c r="G24" s="378" t="s">
        <v>1285</v>
      </c>
      <c r="H24" s="378" t="s">
        <v>118</v>
      </c>
      <c r="I24" s="379">
        <v>3000000</v>
      </c>
      <c r="J24" s="379"/>
      <c r="K24" s="378" t="s">
        <v>1302</v>
      </c>
      <c r="L24" s="378" t="s">
        <v>12</v>
      </c>
    </row>
    <row r="25" spans="1:12" ht="18" customHeight="1">
      <c r="A25" s="376">
        <v>11</v>
      </c>
      <c r="B25" s="377">
        <v>45244</v>
      </c>
      <c r="C25" s="377">
        <v>45225</v>
      </c>
      <c r="D25" s="378" t="s">
        <v>1206</v>
      </c>
      <c r="E25" s="378" t="s">
        <v>5</v>
      </c>
      <c r="F25" s="378" t="s">
        <v>7</v>
      </c>
      <c r="G25" s="378" t="s">
        <v>221</v>
      </c>
      <c r="H25" s="378" t="s">
        <v>1228</v>
      </c>
      <c r="I25" s="379">
        <v>21642500</v>
      </c>
      <c r="J25" s="379"/>
      <c r="K25" s="378" t="s">
        <v>1250</v>
      </c>
      <c r="L25" s="378" t="s">
        <v>1250</v>
      </c>
    </row>
    <row r="26" spans="1:12" ht="18" customHeight="1">
      <c r="A26" s="376">
        <v>12</v>
      </c>
      <c r="B26" s="377">
        <v>45244</v>
      </c>
      <c r="C26" s="377">
        <v>45240</v>
      </c>
      <c r="D26" s="378" t="s">
        <v>1208</v>
      </c>
      <c r="E26" s="378" t="s">
        <v>3</v>
      </c>
      <c r="F26" s="378" t="s">
        <v>7</v>
      </c>
      <c r="G26" s="378" t="s">
        <v>1230</v>
      </c>
      <c r="H26" s="378" t="s">
        <v>118</v>
      </c>
      <c r="I26" s="379">
        <v>6420000</v>
      </c>
      <c r="J26" s="379"/>
      <c r="K26" s="378" t="s">
        <v>1252</v>
      </c>
      <c r="L26" s="378" t="s">
        <v>444</v>
      </c>
    </row>
    <row r="27" spans="1:12" ht="18" customHeight="1">
      <c r="A27" s="376">
        <v>13</v>
      </c>
      <c r="B27" s="377">
        <v>45244</v>
      </c>
      <c r="C27" s="377">
        <v>45240</v>
      </c>
      <c r="D27" s="378" t="s">
        <v>1210</v>
      </c>
      <c r="E27" s="378" t="s">
        <v>3</v>
      </c>
      <c r="F27" s="378" t="s">
        <v>7</v>
      </c>
      <c r="G27" s="378" t="s">
        <v>1230</v>
      </c>
      <c r="H27" s="378" t="s">
        <v>118</v>
      </c>
      <c r="I27" s="379">
        <v>6250000</v>
      </c>
      <c r="J27" s="379"/>
      <c r="K27" s="378" t="s">
        <v>1252</v>
      </c>
      <c r="L27" s="378" t="s">
        <v>444</v>
      </c>
    </row>
    <row r="28" spans="1:12" ht="18" customHeight="1">
      <c r="A28" s="376">
        <v>14</v>
      </c>
      <c r="B28" s="377">
        <v>45244</v>
      </c>
      <c r="C28" s="377">
        <v>45240</v>
      </c>
      <c r="D28" s="378" t="s">
        <v>1209</v>
      </c>
      <c r="E28" s="378" t="s">
        <v>3</v>
      </c>
      <c r="F28" s="378" t="s">
        <v>7</v>
      </c>
      <c r="G28" s="378" t="s">
        <v>1230</v>
      </c>
      <c r="H28" s="378" t="s">
        <v>118</v>
      </c>
      <c r="I28" s="379">
        <v>1175000</v>
      </c>
      <c r="J28" s="379"/>
      <c r="K28" s="378" t="s">
        <v>1252</v>
      </c>
      <c r="L28" s="378" t="s">
        <v>444</v>
      </c>
    </row>
    <row r="29" spans="1:12" ht="18" customHeight="1">
      <c r="A29" s="354"/>
      <c r="B29" s="355"/>
      <c r="C29" s="355"/>
      <c r="D29" s="354"/>
      <c r="E29" s="354"/>
      <c r="F29" s="354"/>
      <c r="G29" s="354"/>
      <c r="H29" s="354"/>
      <c r="I29" s="358"/>
      <c r="J29" s="358"/>
      <c r="K29" s="372"/>
      <c r="L29" s="373"/>
    </row>
    <row r="30" spans="1:12" ht="24">
      <c r="A30" s="380" t="s">
        <v>60</v>
      </c>
      <c r="B30" s="380" t="s">
        <v>40</v>
      </c>
      <c r="C30" s="380" t="s">
        <v>41</v>
      </c>
      <c r="D30" s="380" t="s">
        <v>42</v>
      </c>
      <c r="E30" s="380" t="s">
        <v>132</v>
      </c>
      <c r="F30" s="380" t="s">
        <v>13</v>
      </c>
      <c r="G30" s="381" t="s">
        <v>43</v>
      </c>
      <c r="H30" s="381" t="s">
        <v>44</v>
      </c>
      <c r="I30" s="381" t="s">
        <v>0</v>
      </c>
      <c r="J30" s="381" t="s">
        <v>14</v>
      </c>
      <c r="K30" s="381" t="s">
        <v>439</v>
      </c>
      <c r="L30" s="381" t="s">
        <v>14</v>
      </c>
    </row>
    <row r="31" spans="1:12" ht="18" customHeight="1">
      <c r="A31" s="382">
        <v>1</v>
      </c>
      <c r="B31" s="383">
        <v>45233</v>
      </c>
      <c r="C31" s="383">
        <v>45233</v>
      </c>
      <c r="D31" s="384" t="s">
        <v>1185</v>
      </c>
      <c r="E31" s="384" t="s">
        <v>5</v>
      </c>
      <c r="F31" s="384" t="s">
        <v>8</v>
      </c>
      <c r="G31" s="384" t="s">
        <v>1186</v>
      </c>
      <c r="H31" s="384" t="s">
        <v>118</v>
      </c>
      <c r="I31" s="385">
        <v>2150000</v>
      </c>
      <c r="J31" s="386"/>
      <c r="K31" s="384" t="s">
        <v>1187</v>
      </c>
      <c r="L31" s="384" t="s">
        <v>1257</v>
      </c>
    </row>
    <row r="32" spans="1:12" ht="18" customHeight="1">
      <c r="A32" s="382">
        <v>2</v>
      </c>
      <c r="B32" s="383">
        <v>45234</v>
      </c>
      <c r="C32" s="383">
        <v>45233</v>
      </c>
      <c r="D32" s="384" t="s">
        <v>1190</v>
      </c>
      <c r="E32" s="384" t="s">
        <v>5</v>
      </c>
      <c r="F32" s="384" t="s">
        <v>8</v>
      </c>
      <c r="G32" s="384" t="s">
        <v>510</v>
      </c>
      <c r="H32" s="384" t="s">
        <v>118</v>
      </c>
      <c r="I32" s="385">
        <v>132000</v>
      </c>
      <c r="J32" s="386"/>
      <c r="K32" s="384" t="s">
        <v>1305</v>
      </c>
      <c r="L32" s="384" t="s">
        <v>454</v>
      </c>
    </row>
    <row r="33" spans="1:12" ht="18" customHeight="1">
      <c r="A33" s="382">
        <v>3</v>
      </c>
      <c r="B33" s="383">
        <v>45239</v>
      </c>
      <c r="C33" s="383">
        <v>45236</v>
      </c>
      <c r="D33" s="384" t="s">
        <v>1211</v>
      </c>
      <c r="E33" s="384" t="s">
        <v>5</v>
      </c>
      <c r="F33" s="384" t="s">
        <v>8</v>
      </c>
      <c r="G33" s="384" t="s">
        <v>1231</v>
      </c>
      <c r="H33" s="384" t="s">
        <v>1232</v>
      </c>
      <c r="I33" s="385">
        <v>60000000</v>
      </c>
      <c r="J33" s="385"/>
      <c r="K33" s="384" t="s">
        <v>1253</v>
      </c>
      <c r="L33" s="384" t="s">
        <v>454</v>
      </c>
    </row>
    <row r="34" spans="1:12" ht="18" customHeight="1">
      <c r="A34" s="382">
        <v>4</v>
      </c>
      <c r="B34" s="383">
        <v>45251</v>
      </c>
      <c r="C34" s="383">
        <v>45251</v>
      </c>
      <c r="D34" s="384" t="s">
        <v>1271</v>
      </c>
      <c r="E34" s="384" t="s">
        <v>5</v>
      </c>
      <c r="F34" s="384" t="s">
        <v>8</v>
      </c>
      <c r="G34" s="384" t="s">
        <v>1290</v>
      </c>
      <c r="H34" s="384" t="s">
        <v>118</v>
      </c>
      <c r="I34" s="385">
        <v>1260000</v>
      </c>
      <c r="J34" s="385"/>
      <c r="K34" s="384" t="s">
        <v>1306</v>
      </c>
      <c r="L34" s="384" t="s">
        <v>878</v>
      </c>
    </row>
    <row r="35" spans="1:12" ht="18" customHeight="1">
      <c r="A35" s="382">
        <v>5</v>
      </c>
      <c r="B35" s="383">
        <v>45252</v>
      </c>
      <c r="C35" s="383">
        <v>45252</v>
      </c>
      <c r="D35" s="384" t="s">
        <v>1272</v>
      </c>
      <c r="E35" s="384" t="s">
        <v>5</v>
      </c>
      <c r="F35" s="384" t="s">
        <v>8</v>
      </c>
      <c r="G35" s="384" t="s">
        <v>1291</v>
      </c>
      <c r="H35" s="384" t="s">
        <v>1292</v>
      </c>
      <c r="I35" s="385">
        <v>990250</v>
      </c>
      <c r="J35" s="385"/>
      <c r="K35" s="384" t="s">
        <v>442</v>
      </c>
      <c r="L35" s="384" t="s">
        <v>968</v>
      </c>
    </row>
    <row r="36" spans="1:12" ht="18" customHeight="1">
      <c r="A36" s="382">
        <v>6</v>
      </c>
      <c r="B36" s="383">
        <v>45246</v>
      </c>
      <c r="C36" s="383">
        <v>45246</v>
      </c>
      <c r="D36" s="384" t="s">
        <v>1216</v>
      </c>
      <c r="E36" s="384" t="s">
        <v>5</v>
      </c>
      <c r="F36" s="384" t="s">
        <v>8</v>
      </c>
      <c r="G36" s="384" t="s">
        <v>1240</v>
      </c>
      <c r="H36" s="384" t="s">
        <v>1241</v>
      </c>
      <c r="I36" s="385">
        <v>1799000</v>
      </c>
      <c r="J36" s="385"/>
      <c r="K36" s="384" t="s">
        <v>442</v>
      </c>
      <c r="L36" s="384" t="s">
        <v>1256</v>
      </c>
    </row>
    <row r="37" spans="1:12" ht="18" customHeight="1">
      <c r="A37" s="354"/>
      <c r="B37" s="355"/>
      <c r="C37" s="355"/>
      <c r="D37" s="354"/>
      <c r="E37" s="354"/>
      <c r="F37" s="354"/>
      <c r="G37" s="354"/>
      <c r="H37" s="354"/>
      <c r="I37" s="358"/>
      <c r="J37" s="358"/>
      <c r="K37" s="372"/>
      <c r="L37" s="373"/>
    </row>
    <row r="38" spans="1:12" ht="24">
      <c r="A38" s="387" t="s">
        <v>60</v>
      </c>
      <c r="B38" s="387" t="s">
        <v>40</v>
      </c>
      <c r="C38" s="387" t="s">
        <v>41</v>
      </c>
      <c r="D38" s="387" t="s">
        <v>42</v>
      </c>
      <c r="E38" s="387" t="s">
        <v>132</v>
      </c>
      <c r="F38" s="387" t="s">
        <v>13</v>
      </c>
      <c r="G38" s="388" t="s">
        <v>43</v>
      </c>
      <c r="H38" s="388" t="s">
        <v>44</v>
      </c>
      <c r="I38" s="388" t="s">
        <v>0</v>
      </c>
      <c r="J38" s="388" t="s">
        <v>14</v>
      </c>
      <c r="K38" s="388" t="s">
        <v>439</v>
      </c>
      <c r="L38" s="388" t="s">
        <v>14</v>
      </c>
    </row>
    <row r="39" spans="1:12" ht="18" customHeight="1">
      <c r="A39" s="389">
        <v>1</v>
      </c>
      <c r="B39" s="390">
        <v>45248</v>
      </c>
      <c r="C39" s="390">
        <v>45245</v>
      </c>
      <c r="D39" s="391" t="s">
        <v>1258</v>
      </c>
      <c r="E39" s="391" t="s">
        <v>4</v>
      </c>
      <c r="F39" s="391" t="s">
        <v>9</v>
      </c>
      <c r="G39" s="391" t="s">
        <v>1091</v>
      </c>
      <c r="H39" s="391" t="s">
        <v>1273</v>
      </c>
      <c r="I39" s="392">
        <v>9295000</v>
      </c>
      <c r="J39" s="392"/>
      <c r="K39" s="391" t="s">
        <v>1293</v>
      </c>
      <c r="L39" s="391" t="s">
        <v>243</v>
      </c>
    </row>
    <row r="40" spans="1:12" ht="18" customHeight="1">
      <c r="A40" s="389">
        <v>2</v>
      </c>
      <c r="B40" s="390">
        <v>45252</v>
      </c>
      <c r="C40" s="390">
        <v>45252</v>
      </c>
      <c r="D40" s="391" t="s">
        <v>1262</v>
      </c>
      <c r="E40" s="391" t="s">
        <v>4</v>
      </c>
      <c r="F40" s="391" t="s">
        <v>9</v>
      </c>
      <c r="G40" s="391" t="s">
        <v>1279</v>
      </c>
      <c r="H40" s="391" t="s">
        <v>768</v>
      </c>
      <c r="I40" s="392">
        <v>20625000</v>
      </c>
      <c r="J40" s="392"/>
      <c r="K40" s="391" t="s">
        <v>1297</v>
      </c>
      <c r="L40" s="391" t="s">
        <v>1178</v>
      </c>
    </row>
    <row r="41" spans="1:12" ht="18" customHeight="1">
      <c r="A41" s="389">
        <v>3</v>
      </c>
      <c r="B41" s="390">
        <v>45248</v>
      </c>
      <c r="C41" s="390">
        <v>45246</v>
      </c>
      <c r="D41" s="391" t="s">
        <v>1259</v>
      </c>
      <c r="E41" s="391" t="s">
        <v>4</v>
      </c>
      <c r="F41" s="391" t="s">
        <v>9</v>
      </c>
      <c r="G41" s="391" t="s">
        <v>935</v>
      </c>
      <c r="H41" s="391" t="s">
        <v>1274</v>
      </c>
      <c r="I41" s="392">
        <v>184500000</v>
      </c>
      <c r="J41" s="392"/>
      <c r="K41" s="391" t="s">
        <v>1294</v>
      </c>
      <c r="L41" s="391" t="s">
        <v>12</v>
      </c>
    </row>
    <row r="42" spans="1:12" ht="18" customHeight="1">
      <c r="A42" s="389">
        <v>4</v>
      </c>
      <c r="B42" s="390">
        <v>45252</v>
      </c>
      <c r="C42" s="390">
        <v>45251</v>
      </c>
      <c r="D42" s="391" t="s">
        <v>1260</v>
      </c>
      <c r="E42" s="391" t="s">
        <v>4</v>
      </c>
      <c r="F42" s="391" t="s">
        <v>9</v>
      </c>
      <c r="G42" s="391" t="s">
        <v>1275</v>
      </c>
      <c r="H42" s="391" t="s">
        <v>1276</v>
      </c>
      <c r="I42" s="392">
        <v>1800000</v>
      </c>
      <c r="J42" s="392"/>
      <c r="K42" s="391" t="s">
        <v>1295</v>
      </c>
      <c r="L42" s="391" t="s">
        <v>12</v>
      </c>
    </row>
    <row r="43" spans="1:12" ht="18" customHeight="1">
      <c r="A43" s="389">
        <v>5</v>
      </c>
      <c r="B43" s="390">
        <v>45254</v>
      </c>
      <c r="C43" s="390">
        <v>45252</v>
      </c>
      <c r="D43" s="391" t="s">
        <v>1261</v>
      </c>
      <c r="E43" s="391" t="s">
        <v>4</v>
      </c>
      <c r="F43" s="391" t="s">
        <v>9</v>
      </c>
      <c r="G43" s="391" t="s">
        <v>1277</v>
      </c>
      <c r="H43" s="391" t="s">
        <v>1278</v>
      </c>
      <c r="I43" s="392">
        <v>6500000</v>
      </c>
      <c r="J43" s="392"/>
      <c r="K43" s="391" t="s">
        <v>1296</v>
      </c>
      <c r="L43" s="391" t="s">
        <v>12</v>
      </c>
    </row>
    <row r="44" spans="1:12" ht="18" customHeight="1">
      <c r="A44" s="389">
        <v>6</v>
      </c>
      <c r="B44" s="390">
        <v>45254</v>
      </c>
      <c r="C44" s="390">
        <v>45253</v>
      </c>
      <c r="D44" s="391" t="s">
        <v>1263</v>
      </c>
      <c r="E44" s="391" t="s">
        <v>4</v>
      </c>
      <c r="F44" s="391" t="s">
        <v>9</v>
      </c>
      <c r="G44" s="391" t="s">
        <v>1280</v>
      </c>
      <c r="H44" s="391" t="s">
        <v>1281</v>
      </c>
      <c r="I44" s="392">
        <v>51320000</v>
      </c>
      <c r="J44" s="392"/>
      <c r="K44" s="391" t="s">
        <v>1298</v>
      </c>
      <c r="L44" s="391" t="s">
        <v>968</v>
      </c>
    </row>
    <row r="45" spans="1:12" ht="18" customHeight="1">
      <c r="A45" s="389">
        <v>7</v>
      </c>
      <c r="B45" s="390"/>
      <c r="C45" s="390">
        <v>45243</v>
      </c>
      <c r="D45" s="391" t="s">
        <v>1269</v>
      </c>
      <c r="E45" s="391" t="s">
        <v>6</v>
      </c>
      <c r="F45" s="391" t="s">
        <v>9</v>
      </c>
      <c r="G45" s="391" t="s">
        <v>1286</v>
      </c>
      <c r="H45" s="391" t="s">
        <v>1287</v>
      </c>
      <c r="I45" s="392">
        <v>4620000</v>
      </c>
      <c r="J45" s="392"/>
      <c r="K45" s="391" t="s">
        <v>1303</v>
      </c>
      <c r="L45" s="391" t="s">
        <v>1064</v>
      </c>
    </row>
    <row r="47" spans="1:12" s="117" customFormat="1" ht="15">
      <c r="A47" s="176" t="s">
        <v>452</v>
      </c>
      <c r="B47"/>
      <c r="C47"/>
      <c r="D47"/>
      <c r="E47"/>
      <c r="F47"/>
      <c r="G47"/>
      <c r="H47"/>
      <c r="I47"/>
      <c r="J47"/>
      <c r="K47"/>
      <c r="L47" s="119"/>
    </row>
    <row r="48" spans="1:12" s="117" customFormat="1" ht="24">
      <c r="A48" s="387" t="s">
        <v>89</v>
      </c>
      <c r="B48" s="387" t="s">
        <v>40</v>
      </c>
      <c r="C48" s="387" t="s">
        <v>41</v>
      </c>
      <c r="D48" s="387" t="s">
        <v>42</v>
      </c>
      <c r="E48" s="387" t="s">
        <v>48</v>
      </c>
      <c r="F48" s="387" t="s">
        <v>13</v>
      </c>
      <c r="G48" s="388" t="s">
        <v>43</v>
      </c>
      <c r="H48" s="388" t="s">
        <v>44</v>
      </c>
      <c r="I48" s="388" t="s">
        <v>0</v>
      </c>
      <c r="J48" s="388" t="s">
        <v>45</v>
      </c>
      <c r="K48" s="388" t="s">
        <v>46</v>
      </c>
      <c r="L48" s="388"/>
    </row>
    <row r="49" spans="1:13" s="53" customFormat="1" ht="15" customHeight="1">
      <c r="A49" s="389">
        <v>1</v>
      </c>
      <c r="B49" s="390">
        <v>45248</v>
      </c>
      <c r="C49" s="390">
        <v>45246</v>
      </c>
      <c r="D49" s="391" t="s">
        <v>1215</v>
      </c>
      <c r="E49" s="391" t="s">
        <v>3</v>
      </c>
      <c r="F49" s="391" t="s">
        <v>7</v>
      </c>
      <c r="G49" s="396" t="s">
        <v>1238</v>
      </c>
      <c r="H49" s="391" t="s">
        <v>1239</v>
      </c>
      <c r="I49" s="392">
        <v>1575000</v>
      </c>
      <c r="J49" s="392"/>
      <c r="K49" s="391" t="s">
        <v>47</v>
      </c>
      <c r="L49" s="391" t="s">
        <v>1148</v>
      </c>
    </row>
    <row r="50" spans="1:13" s="53" customFormat="1" ht="15" customHeight="1">
      <c r="A50" s="389">
        <v>2</v>
      </c>
      <c r="B50" s="390">
        <v>45246</v>
      </c>
      <c r="C50" s="390">
        <v>45246</v>
      </c>
      <c r="D50" s="391" t="s">
        <v>1214</v>
      </c>
      <c r="E50" s="391" t="s">
        <v>3</v>
      </c>
      <c r="F50" s="391" t="s">
        <v>7</v>
      </c>
      <c r="G50" s="396" t="s">
        <v>1236</v>
      </c>
      <c r="H50" s="391" t="s">
        <v>1237</v>
      </c>
      <c r="I50" s="392">
        <v>1140000</v>
      </c>
      <c r="J50" s="392"/>
      <c r="K50" s="391" t="s">
        <v>47</v>
      </c>
      <c r="L50" s="391" t="s">
        <v>780</v>
      </c>
    </row>
    <row r="51" spans="1:13" s="53" customFormat="1" ht="15" customHeight="1">
      <c r="A51" s="389">
        <v>3</v>
      </c>
      <c r="B51" s="390">
        <v>45243</v>
      </c>
      <c r="C51" s="390">
        <v>45243</v>
      </c>
      <c r="D51" s="391" t="s">
        <v>1213</v>
      </c>
      <c r="E51" s="391" t="s">
        <v>3</v>
      </c>
      <c r="F51" s="391" t="s">
        <v>7</v>
      </c>
      <c r="G51" s="396" t="s">
        <v>1234</v>
      </c>
      <c r="H51" s="391" t="s">
        <v>1235</v>
      </c>
      <c r="I51" s="392">
        <v>247500</v>
      </c>
      <c r="J51" s="392"/>
      <c r="K51" s="391" t="s">
        <v>1255</v>
      </c>
      <c r="L51" s="391" t="s">
        <v>1148</v>
      </c>
    </row>
    <row r="52" spans="1:13" s="53" customFormat="1" ht="15" customHeight="1">
      <c r="A52" s="389">
        <v>4</v>
      </c>
      <c r="B52" s="390">
        <v>45251</v>
      </c>
      <c r="C52" s="390">
        <v>45251</v>
      </c>
      <c r="D52" s="391" t="s">
        <v>1270</v>
      </c>
      <c r="E52" s="391" t="s">
        <v>5</v>
      </c>
      <c r="F52" s="391" t="s">
        <v>8</v>
      </c>
      <c r="G52" s="396" t="s">
        <v>1288</v>
      </c>
      <c r="H52" s="391" t="s">
        <v>1289</v>
      </c>
      <c r="I52" s="392">
        <v>4804500</v>
      </c>
      <c r="J52" s="392"/>
      <c r="K52" s="391" t="s">
        <v>1304</v>
      </c>
      <c r="L52" s="391" t="s">
        <v>1148</v>
      </c>
    </row>
    <row r="54" spans="1:13" ht="18" customHeight="1">
      <c r="A54" s="395" t="s">
        <v>1307</v>
      </c>
    </row>
    <row r="55" spans="1:13" ht="24">
      <c r="A55" s="387" t="s">
        <v>89</v>
      </c>
      <c r="B55" s="387" t="s">
        <v>40</v>
      </c>
      <c r="C55" s="387" t="s">
        <v>41</v>
      </c>
      <c r="D55" s="387" t="s">
        <v>42</v>
      </c>
      <c r="E55" s="387" t="s">
        <v>48</v>
      </c>
      <c r="F55" s="387" t="s">
        <v>13</v>
      </c>
      <c r="G55" s="388" t="s">
        <v>43</v>
      </c>
      <c r="H55" s="388" t="s">
        <v>44</v>
      </c>
      <c r="I55" s="388" t="s">
        <v>0</v>
      </c>
      <c r="J55" s="388" t="s">
        <v>45</v>
      </c>
      <c r="K55" s="388" t="s">
        <v>46</v>
      </c>
      <c r="L55" s="388"/>
    </row>
    <row r="56" spans="1:13" s="53" customFormat="1" ht="12">
      <c r="A56" s="389">
        <v>1</v>
      </c>
      <c r="B56" s="390">
        <v>45244</v>
      </c>
      <c r="C56" s="390">
        <v>45244</v>
      </c>
      <c r="D56" s="391" t="s">
        <v>1212</v>
      </c>
      <c r="E56" s="391" t="s">
        <v>1242</v>
      </c>
      <c r="F56" s="391" t="s">
        <v>7</v>
      </c>
      <c r="G56" s="391" t="s">
        <v>936</v>
      </c>
      <c r="H56" s="391" t="s">
        <v>1233</v>
      </c>
      <c r="I56" s="392">
        <v>10950000</v>
      </c>
      <c r="J56" s="392"/>
      <c r="K56" s="391" t="s">
        <v>1254</v>
      </c>
      <c r="L56" s="391" t="s">
        <v>781</v>
      </c>
      <c r="M56" s="53" t="s">
        <v>1308</v>
      </c>
    </row>
    <row r="57" spans="1:13" s="53" customFormat="1" ht="60" customHeight="1">
      <c r="A57" s="389">
        <v>2</v>
      </c>
      <c r="B57" s="390">
        <v>45234</v>
      </c>
      <c r="C57" s="390">
        <v>45234</v>
      </c>
      <c r="D57" s="391" t="s">
        <v>1191</v>
      </c>
      <c r="E57" s="391" t="s">
        <v>1194</v>
      </c>
      <c r="F57" s="391" t="s">
        <v>7</v>
      </c>
      <c r="G57" s="391" t="s">
        <v>1159</v>
      </c>
      <c r="H57" s="391" t="s">
        <v>1192</v>
      </c>
      <c r="I57" s="392">
        <v>4518000.0000297297</v>
      </c>
      <c r="J57" s="392"/>
      <c r="K57" s="391" t="s">
        <v>1193</v>
      </c>
      <c r="L57" s="391" t="s">
        <v>781</v>
      </c>
      <c r="M57" s="137" t="s">
        <v>1309</v>
      </c>
    </row>
  </sheetData>
  <pageMargins left="0.2" right="0.2" top="0.25" bottom="0.25" header="0.05" footer="0.05"/>
  <pageSetup paperSize="10000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REVISI FAKTUR SC</vt:lpstr>
      <vt:lpstr>REVISI Per Brg ADM SC</vt:lpstr>
      <vt:lpstr>REVISI PER FAKTUR ADM SC</vt:lpstr>
      <vt:lpstr>REVISI FAKTUR LOG</vt:lpstr>
      <vt:lpstr>REKAP (Faktur)</vt:lpstr>
      <vt:lpstr>Data (Per Faktur)</vt:lpstr>
      <vt:lpstr>REKAP (Per Barang)</vt:lpstr>
      <vt:lpstr>DATA (Per Barang)</vt:lpstr>
      <vt:lpstr>Sheet1</vt:lpstr>
      <vt:lpstr>Update Revisi Faktur Harian</vt:lpstr>
      <vt:lpstr>Rincian November</vt:lpstr>
      <vt:lpstr>'REKAP (Per Barang)'!Print_Area</vt:lpstr>
      <vt:lpstr>'REVISI Per Brg ADM SC'!Print_Area</vt:lpstr>
      <vt:lpstr>'REVISI PER FAKTUR ADM SC'!Print_Area</vt:lpstr>
      <vt:lpstr>'Rincian November'!Print_Area</vt:lpstr>
      <vt:lpstr>Sheet1!Print_Area</vt:lpstr>
      <vt:lpstr>'Update Revisi Faktur Harian'!Print_Area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</dc:creator>
  <cp:lastModifiedBy>Arfinila Mazidah</cp:lastModifiedBy>
  <cp:lastPrinted>2026-03-05T03:02:12Z</cp:lastPrinted>
  <dcterms:created xsi:type="dcterms:W3CDTF">2021-11-04T02:09:29Z</dcterms:created>
  <dcterms:modified xsi:type="dcterms:W3CDTF">2026-06-03T08:20:46Z</dcterms:modified>
</cp:coreProperties>
</file>