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Kiuserver\kpi\SALES\2026\SC\"/>
    </mc:Choice>
  </mc:AlternateContent>
  <xr:revisionPtr revIDLastSave="0" documentId="13_ncr:1_{808F17BC-B33B-492A-9E33-6335E9381308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Evi" sheetId="10" state="hidden" r:id="rId1"/>
    <sheet name="Arasy" sheetId="1" state="hidden" r:id="rId2"/>
    <sheet name="Ariyani1 (2)" sheetId="13" state="hidden" r:id="rId3"/>
    <sheet name="Nonik" sheetId="17" r:id="rId4"/>
    <sheet name="Jan" sheetId="16" state="hidden" r:id="rId5"/>
  </sheets>
  <definedNames>
    <definedName name="_xlnm._FilterDatabase" localSheetId="4" hidden="1">Jan!#REF!</definedName>
  </definedNames>
  <calcPr calcId="181029"/>
</workbook>
</file>

<file path=xl/calcChain.xml><?xml version="1.0" encoding="utf-8"?>
<calcChain xmlns="http://schemas.openxmlformats.org/spreadsheetml/2006/main">
  <c r="V20" i="16" l="1"/>
  <c r="U20" i="16"/>
  <c r="T20" i="16"/>
  <c r="S20" i="16"/>
  <c r="V19" i="16"/>
  <c r="U19" i="16"/>
  <c r="T19" i="16"/>
  <c r="S19" i="16"/>
  <c r="V18" i="16"/>
  <c r="U18" i="16"/>
  <c r="T18" i="16"/>
  <c r="S18" i="16"/>
  <c r="V17" i="16"/>
  <c r="U17" i="16"/>
  <c r="T17" i="16"/>
  <c r="S17" i="16"/>
  <c r="V16" i="16"/>
  <c r="U16" i="16"/>
  <c r="T16" i="16"/>
  <c r="S16" i="16"/>
  <c r="V15" i="16"/>
  <c r="V23" i="16" s="1"/>
  <c r="U15" i="16"/>
  <c r="U23" i="16" s="1"/>
  <c r="T15" i="16"/>
  <c r="T23" i="16" s="1"/>
  <c r="S15" i="16"/>
  <c r="S23" i="16" s="1"/>
  <c r="Q22" i="16"/>
  <c r="P22" i="16"/>
  <c r="O22" i="16"/>
  <c r="N22" i="16"/>
  <c r="Q21" i="16"/>
  <c r="P21" i="16"/>
  <c r="O21" i="16"/>
  <c r="N21" i="16"/>
  <c r="Q20" i="16"/>
  <c r="P20" i="16"/>
  <c r="O20" i="16"/>
  <c r="N20" i="16"/>
  <c r="Q19" i="16"/>
  <c r="P19" i="16"/>
  <c r="O19" i="16"/>
  <c r="N19" i="16"/>
  <c r="Q18" i="16"/>
  <c r="P18" i="16"/>
  <c r="O18" i="16"/>
  <c r="N18" i="16"/>
  <c r="Q17" i="16"/>
  <c r="P17" i="16"/>
  <c r="O17" i="16"/>
  <c r="N17" i="16"/>
  <c r="Q16" i="16"/>
  <c r="P16" i="16"/>
  <c r="O16" i="16"/>
  <c r="N16" i="16"/>
  <c r="Q15" i="16"/>
  <c r="P15" i="16"/>
  <c r="O15" i="16"/>
  <c r="O23" i="16" s="1"/>
  <c r="N15" i="16"/>
  <c r="N23" i="16" s="1"/>
  <c r="L21" i="16"/>
  <c r="K21" i="16"/>
  <c r="J21" i="16"/>
  <c r="I21" i="16"/>
  <c r="L20" i="16"/>
  <c r="K20" i="16"/>
  <c r="J20" i="16"/>
  <c r="I20" i="16"/>
  <c r="L19" i="16"/>
  <c r="K19" i="16"/>
  <c r="J19" i="16"/>
  <c r="I19" i="16"/>
  <c r="L18" i="16"/>
  <c r="K18" i="16"/>
  <c r="J18" i="16"/>
  <c r="I18" i="16"/>
  <c r="L17" i="16"/>
  <c r="K17" i="16"/>
  <c r="J17" i="16"/>
  <c r="I17" i="16"/>
  <c r="L16" i="16"/>
  <c r="K16" i="16"/>
  <c r="J16" i="16"/>
  <c r="I16" i="16"/>
  <c r="L15" i="16"/>
  <c r="K15" i="16"/>
  <c r="J15" i="16"/>
  <c r="I15" i="16"/>
  <c r="L9" i="16"/>
  <c r="K9" i="16"/>
  <c r="J9" i="16"/>
  <c r="I9" i="16"/>
  <c r="L8" i="16"/>
  <c r="K8" i="16"/>
  <c r="J8" i="16"/>
  <c r="I8" i="16"/>
  <c r="L7" i="16"/>
  <c r="K7" i="16"/>
  <c r="J7" i="16"/>
  <c r="I7" i="16"/>
  <c r="L5" i="16"/>
  <c r="K5" i="16"/>
  <c r="J5" i="16"/>
  <c r="I5" i="16"/>
  <c r="L4" i="16"/>
  <c r="K4" i="16"/>
  <c r="J4" i="16"/>
  <c r="I4" i="16"/>
  <c r="V10" i="16"/>
  <c r="U10" i="16"/>
  <c r="T10" i="16"/>
  <c r="S10" i="16"/>
  <c r="V9" i="16"/>
  <c r="U9" i="16"/>
  <c r="T9" i="16"/>
  <c r="S9" i="16"/>
  <c r="V8" i="16"/>
  <c r="U8" i="16"/>
  <c r="T8" i="16"/>
  <c r="S8" i="16"/>
  <c r="V7" i="16"/>
  <c r="U7" i="16"/>
  <c r="T7" i="16"/>
  <c r="S7" i="16"/>
  <c r="V6" i="16"/>
  <c r="U6" i="16"/>
  <c r="T6" i="16"/>
  <c r="S6" i="16"/>
  <c r="V5" i="16"/>
  <c r="U5" i="16"/>
  <c r="T5" i="16"/>
  <c r="S5" i="16"/>
  <c r="V4" i="16"/>
  <c r="U4" i="16"/>
  <c r="T4" i="16"/>
  <c r="S4" i="16"/>
  <c r="Q9" i="16"/>
  <c r="P9" i="16"/>
  <c r="O9" i="16"/>
  <c r="N9" i="16"/>
  <c r="Q8" i="16"/>
  <c r="P8" i="16"/>
  <c r="O8" i="16"/>
  <c r="N8" i="16"/>
  <c r="Q7" i="16"/>
  <c r="P7" i="16"/>
  <c r="O7" i="16"/>
  <c r="N7" i="16"/>
  <c r="Q6" i="16"/>
  <c r="P6" i="16"/>
  <c r="O6" i="16"/>
  <c r="N6" i="16"/>
  <c r="Q5" i="16"/>
  <c r="P5" i="16"/>
  <c r="O5" i="16"/>
  <c r="N5" i="16"/>
  <c r="Q4" i="16"/>
  <c r="Q11" i="16" s="1"/>
  <c r="P4" i="16"/>
  <c r="P11" i="16" s="1"/>
  <c r="O4" i="16"/>
  <c r="O11" i="16" s="1"/>
  <c r="N4" i="16"/>
  <c r="N11" i="16" s="1"/>
  <c r="K6" i="16"/>
  <c r="I6" i="16"/>
  <c r="L6" i="16"/>
  <c r="J6" i="16"/>
  <c r="Q23" i="16" l="1"/>
  <c r="P23" i="16"/>
  <c r="L23" i="16"/>
  <c r="J23" i="16"/>
  <c r="I23" i="16"/>
  <c r="K11" i="16"/>
  <c r="V11" i="16"/>
  <c r="U11" i="16"/>
  <c r="T11" i="16"/>
  <c r="S11" i="16"/>
  <c r="L11" i="16"/>
  <c r="K23" i="16"/>
  <c r="I11" i="16"/>
  <c r="J11" i="16"/>
  <c r="C27" i="13"/>
  <c r="C26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D30" i="10" l="1"/>
  <c r="D29" i="10"/>
  <c r="D28" i="10"/>
  <c r="D27" i="10"/>
  <c r="D26" i="10"/>
  <c r="D25" i="10"/>
  <c r="D24" i="10"/>
  <c r="D23" i="10"/>
  <c r="D22" i="10"/>
  <c r="D21" i="10"/>
  <c r="D20" i="10"/>
  <c r="D19" i="10"/>
  <c r="H24" i="1" l="1"/>
  <c r="H23" i="1"/>
  <c r="H22" i="1"/>
  <c r="H20" i="1"/>
  <c r="H21" i="1"/>
  <c r="H19" i="1"/>
  <c r="K31" i="1" l="1"/>
  <c r="I20" i="1" l="1"/>
  <c r="G31" i="1"/>
  <c r="F31" i="1"/>
  <c r="H16" i="1" l="1"/>
  <c r="L31" i="1" l="1"/>
  <c r="O31" i="1" l="1"/>
  <c r="N31" i="1"/>
  <c r="M31" i="1"/>
  <c r="J31" i="1"/>
  <c r="I31" i="1"/>
  <c r="H31" i="1"/>
  <c r="E31" i="1"/>
  <c r="L16" i="1"/>
  <c r="K16" i="1"/>
  <c r="J16" i="1"/>
  <c r="I16" i="1"/>
  <c r="G16" i="1"/>
  <c r="F16" i="1"/>
  <c r="E16" i="1"/>
  <c r="D30" i="1"/>
  <c r="D29" i="1"/>
  <c r="D28" i="1"/>
  <c r="D27" i="1"/>
  <c r="D26" i="1"/>
  <c r="D25" i="1"/>
  <c r="D24" i="1"/>
  <c r="D23" i="1"/>
  <c r="D22" i="1"/>
  <c r="D21" i="1"/>
  <c r="D20" i="1"/>
  <c r="D19" i="1"/>
  <c r="D16" i="1"/>
  <c r="D31" i="1" l="1"/>
</calcChain>
</file>

<file path=xl/sharedStrings.xml><?xml version="1.0" encoding="utf-8"?>
<sst xmlns="http://schemas.openxmlformats.org/spreadsheetml/2006/main" count="490" uniqueCount="138">
  <si>
    <t>Data Untuk KPI</t>
  </si>
  <si>
    <t>What</t>
  </si>
  <si>
    <t>Bulan</t>
  </si>
  <si>
    <t>Feb</t>
  </si>
  <si>
    <t>Mar</t>
  </si>
  <si>
    <t>Jan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</si>
  <si>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</si>
  <si>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</si>
  <si>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</si>
  <si>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</si>
  <si>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</si>
  <si>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</si>
  <si>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</si>
  <si>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</si>
  <si>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</si>
  <si>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Total</t>
  </si>
  <si>
    <t>How</t>
  </si>
  <si>
    <t>Target All Omset</t>
  </si>
  <si>
    <t>SC</t>
  </si>
  <si>
    <t>Arasy</t>
  </si>
  <si>
    <t>Target P1 All Omset</t>
  </si>
  <si>
    <t>Actual All Omset</t>
  </si>
  <si>
    <t>Actual P1 All Omset</t>
  </si>
  <si>
    <t>Jumlah closing telfon kios</t>
  </si>
  <si>
    <t>Jumlah closing item produk</t>
  </si>
  <si>
    <t>Target Omset ABC</t>
  </si>
  <si>
    <t>Actual Omset ABC</t>
  </si>
  <si>
    <t>OD &lt;30</t>
  </si>
  <si>
    <t>OD 90</t>
  </si>
  <si>
    <t>Penyelesaian OD 90</t>
  </si>
  <si>
    <t>Retur</t>
  </si>
  <si>
    <t>Kios Transfer</t>
  </si>
  <si>
    <t>tdk ada penambahan kios tf ke tunai</t>
  </si>
  <si>
    <t>absensi</t>
  </si>
  <si>
    <t>Nol terlambat masuk kantor</t>
  </si>
  <si>
    <t>nol terlambat brifing</t>
  </si>
  <si>
    <t>Faris</t>
  </si>
  <si>
    <t>Reni</t>
  </si>
  <si>
    <t>Yuyun</t>
  </si>
  <si>
    <t>Zakia</t>
  </si>
  <si>
    <t>Kontrol Kios Open plafon OD &gt; 60</t>
  </si>
  <si>
    <t>Tdk ada tambahan kios OD 90</t>
  </si>
  <si>
    <t>Rata2 Actual Harian Omset ABC</t>
  </si>
  <si>
    <t>Rata2 Target Harian Omset ABC</t>
  </si>
  <si>
    <t>Evi</t>
  </si>
  <si>
    <t>all Omset P1 2024</t>
  </si>
  <si>
    <t xml:space="preserve">Mencapai target Retur &lt;0.03% </t>
  </si>
  <si>
    <t>Mencapai OD90 NOL</t>
  </si>
  <si>
    <t>Menyelesaikan potensi OD90 100%</t>
  </si>
  <si>
    <t>Tidak ada penambahan toko baru OD90</t>
  </si>
  <si>
    <t>Mencapai kios transfer 97%</t>
  </si>
  <si>
    <t>Ariyani</t>
  </si>
  <si>
    <t>Act all Omset P1 2025</t>
  </si>
  <si>
    <t>Rata2 closing tin 50 tlp</t>
  </si>
  <si>
    <t>Rata2 item produk yg closing tim 64 item</t>
  </si>
  <si>
    <t>Target omset ABC bulanan</t>
  </si>
  <si>
    <t>C/H 0.25%</t>
  </si>
  <si>
    <t>Rata2 Tonase 5 Ton</t>
  </si>
  <si>
    <t>Rata2 kubikasi 9 Ton</t>
  </si>
  <si>
    <t>Lama Pengiriman 4 hari</t>
  </si>
  <si>
    <t>Tercapai OD&lt;30 94%</t>
  </si>
  <si>
    <t>Absensi Tim</t>
  </si>
  <si>
    <t>Safira</t>
  </si>
  <si>
    <t>Jumlah telfon kios 50</t>
  </si>
  <si>
    <t>Target Harian Omset ABC</t>
  </si>
  <si>
    <t>Actual Harian Omset ABC</t>
  </si>
  <si>
    <t>Kios Open Plafon tiap bulan (Over Limit dan OD)</t>
  </si>
  <si>
    <t>Menarik Pembayaran Kios di OD &lt; 30</t>
  </si>
  <si>
    <t>penyelesaian OD90</t>
  </si>
  <si>
    <t>Tidak ada tambahan kios OD 90</t>
  </si>
  <si>
    <t xml:space="preserve">kios transfer </t>
  </si>
  <si>
    <t>Tidak ada penambahan kios dari transfer ke tunai</t>
  </si>
  <si>
    <t>Kios Transfer/BG tidak melakukan pembayaran tunai minimal 25% Tunai dari total pembayaran</t>
  </si>
  <si>
    <t>Rata2 Tonase KK tercapai 4 Ton</t>
  </si>
  <si>
    <t>Waktu Pengiriman Terlama 4 Hari</t>
  </si>
  <si>
    <t>Lama Pengiriman 0-2 hari &gt;90%</t>
  </si>
  <si>
    <t>Mencapai nol absensi</t>
  </si>
  <si>
    <t xml:space="preserve"> Item Produk ABC yang bisa closing 8</t>
  </si>
  <si>
    <t>Jumlah closing item produk 25</t>
  </si>
  <si>
    <t xml:space="preserve">Jumlah Closing telfon </t>
  </si>
  <si>
    <t>%</t>
  </si>
  <si>
    <t>No</t>
  </si>
  <si>
    <t>WHAT</t>
  </si>
  <si>
    <t>HOW</t>
  </si>
  <si>
    <t>Prosentase</t>
  </si>
  <si>
    <t>Jalur</t>
  </si>
  <si>
    <t>Faktur Terlama (hari)</t>
  </si>
  <si>
    <t>≤ 2 hari</t>
  </si>
  <si>
    <t>3 - 4 hari</t>
  </si>
  <si>
    <t>Rata-rata tonase / bulan</t>
  </si>
  <si>
    <t>BLI-1</t>
  </si>
  <si>
    <t>BLI-2</t>
  </si>
  <si>
    <t>KD-1</t>
  </si>
  <si>
    <t>KD-2</t>
  </si>
  <si>
    <t>MD-1</t>
  </si>
  <si>
    <t>MD-2</t>
  </si>
  <si>
    <t>MLG</t>
  </si>
  <si>
    <t>P-1</t>
  </si>
  <si>
    <t>P-2</t>
  </si>
  <si>
    <t>SBY</t>
  </si>
  <si>
    <t>MDR</t>
  </si>
  <si>
    <t>BWI-1</t>
  </si>
  <si>
    <t>BWI-2</t>
  </si>
  <si>
    <t>JWS</t>
  </si>
  <si>
    <t>JUT</t>
  </si>
  <si>
    <t>JLS</t>
  </si>
  <si>
    <t>LMJ</t>
  </si>
  <si>
    <t>STB</t>
  </si>
  <si>
    <t>PRB</t>
  </si>
  <si>
    <t>KRS</t>
  </si>
  <si>
    <t>Nonik</t>
  </si>
  <si>
    <t xml:space="preserve">Mencapai Value kontrak progam 100% </t>
  </si>
  <si>
    <t>Act</t>
  </si>
  <si>
    <t xml:space="preserve">Mencapai Volume kontrak program 100% </t>
  </si>
  <si>
    <t xml:space="preserve">Mencapai jumlah kontrak program per semester 100% </t>
  </si>
  <si>
    <t xml:space="preserve">Administrasi Pencairan Bonus </t>
  </si>
  <si>
    <t>H+0</t>
  </si>
  <si>
    <t xml:space="preserve">Nol Kesalahan Pencaiaran Bonus (TTBP Terbit) YTD </t>
  </si>
  <si>
    <t xml:space="preserve">Nol Revisi Permintaan Data Pihak External (YTD) </t>
  </si>
  <si>
    <t xml:space="preserve">Mencapai Nol absen selama 1 tahun </t>
  </si>
  <si>
    <t xml:space="preserve">Merekap Kontrak yang masuk di Excel H+0 setelah menerima info dari SE/SC </t>
  </si>
  <si>
    <t>4x</t>
  </si>
  <si>
    <t xml:space="preserve">Update Pencapaian Kontrak Program ke SE &amp; SC satu bulan minimal 4 kali di WAG </t>
  </si>
  <si>
    <t xml:space="preserve">Update Progress Pencapaian Kontrak Program ke Manager SC minimal satu bulan sekali untuk didiskusikan &amp; menggali Issue &amp; membuat next stepnya </t>
  </si>
  <si>
    <t>tdk pernah</t>
  </si>
  <si>
    <t xml:space="preserve">Cek secara berkala kontrak program dengan pelunasan </t>
  </si>
  <si>
    <t xml:space="preserve">Membuat Lampiran Pencairan Bonus H+0 STLH mendapat info dr SC/SE/KEU </t>
  </si>
  <si>
    <t xml:space="preserve">Melakukan Dobel Cek setelah print TTBP dengan menginput di data Excel </t>
  </si>
  <si>
    <t xml:space="preserve">Memastikan data dr pihak External di cek ulang/verifikasi </t>
  </si>
  <si>
    <t>tdk cek</t>
  </si>
  <si>
    <t xml:space="preserve">Permintaan Data harus sesuai SOP </t>
  </si>
  <si>
    <t xml:space="preserve">Hadir Briefing Tepat Waktu </t>
  </si>
  <si>
    <t xml:space="preserve">Menjalankan SOP Ijin tidak masuk </t>
  </si>
  <si>
    <t xml:space="preserve">Tidak pernah absen Briefing </t>
  </si>
  <si>
    <t xml:space="preserve">Tidak pernah absen Senam sabtu </t>
  </si>
  <si>
    <t>1 x</t>
  </si>
  <si>
    <t>&gt;4x seminggu</t>
  </si>
  <si>
    <t>&gt;4x seminggu + ada proges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</si>
</sst>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Arial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3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2" fillId="2" borderId="1" xfId="1" applyFont="1" applyFill="1" applyBorder="1"/>
    <xf numFmtId="164" fontId="2" fillId="3" borderId="1" xfId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9" fontId="3" fillId="0" borderId="0" xfId="0" applyNumberFormat="1" applyFont="1"/>
    <xf numFmtId="14" fontId="3" fillId="0" borderId="0" xfId="0" applyNumberFormat="1" applyFont="1"/>
    <xf numFmtId="164" fontId="3" fillId="0" borderId="0" xfId="0" applyNumberFormat="1" applyFont="1"/>
    <xf numFmtId="164" fontId="1" fillId="0" borderId="1" xfId="1" applyFont="1" applyBorder="1"/>
    <xf numFmtId="10" fontId="1" fillId="0" borderId="1" xfId="2" applyNumberFormat="1" applyFont="1" applyBorder="1"/>
    <xf numFmtId="9" fontId="1" fillId="0" borderId="1" xfId="2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164" fontId="3" fillId="5" borderId="1" xfId="1" applyFont="1" applyFill="1" applyBorder="1"/>
    <xf numFmtId="165" fontId="1" fillId="0" borderId="1" xfId="3" applyNumberFormat="1" applyFont="1" applyBorder="1"/>
    <xf numFmtId="165" fontId="1" fillId="0" borderId="1" xfId="3" applyNumberFormat="1" applyFont="1" applyFill="1" applyBorder="1"/>
    <xf numFmtId="165" fontId="1" fillId="5" borderId="1" xfId="3" applyNumberFormat="1" applyFont="1" applyFill="1" applyBorder="1"/>
    <xf numFmtId="165" fontId="0" fillId="0" borderId="1" xfId="3" applyNumberFormat="1" applyFont="1" applyBorder="1"/>
    <xf numFmtId="165" fontId="2" fillId="3" borderId="1" xfId="3" applyNumberFormat="1" applyFont="1" applyFill="1" applyBorder="1"/>
    <xf numFmtId="10" fontId="2" fillId="2" borderId="1" xfId="2" applyNumberFormat="1" applyFont="1" applyFill="1" applyBorder="1"/>
    <xf numFmtId="41" fontId="0" fillId="0" borderId="1" xfId="3" applyFont="1" applyBorder="1"/>
    <xf numFmtId="41" fontId="2" fillId="3" borderId="1" xfId="1" applyNumberFormat="1" applyFont="1" applyFill="1" applyBorder="1"/>
    <xf numFmtId="41" fontId="1" fillId="0" borderId="1" xfId="3" applyFont="1" applyFill="1" applyBorder="1"/>
    <xf numFmtId="41" fontId="1" fillId="0" borderId="1" xfId="3" applyFont="1" applyBorder="1"/>
    <xf numFmtId="166" fontId="7" fillId="4" borderId="1" xfId="1" applyNumberFormat="1" applyFont="1" applyFill="1" applyBorder="1"/>
    <xf numFmtId="166" fontId="1" fillId="0" borderId="1" xfId="3" applyNumberFormat="1" applyFont="1" applyBorder="1"/>
    <xf numFmtId="166" fontId="1" fillId="4" borderId="1" xfId="3" applyNumberFormat="1" applyFont="1" applyFill="1" applyBorder="1"/>
    <xf numFmtId="9" fontId="2" fillId="3" borderId="1" xfId="2" applyFont="1" applyFill="1" applyBorder="1"/>
    <xf numFmtId="9" fontId="3" fillId="0" borderId="0" xfId="2" applyFont="1"/>
    <xf numFmtId="9" fontId="2" fillId="3" borderId="1" xfId="2" applyFont="1" applyFill="1" applyBorder="1" applyAlignment="1">
      <alignment horizontal="center" vertical="center" wrapText="1"/>
    </xf>
    <xf numFmtId="9" fontId="0" fillId="0" borderId="1" xfId="2" applyFont="1" applyBorder="1"/>
    <xf numFmtId="41" fontId="2" fillId="3" borderId="1" xfId="3" applyFont="1" applyFill="1" applyBorder="1"/>
    <xf numFmtId="10" fontId="2" fillId="2" borderId="1" xfId="1" applyNumberFormat="1" applyFont="1" applyFill="1" applyBorder="1"/>
    <xf numFmtId="9" fontId="1" fillId="0" borderId="1" xfId="2" applyFont="1" applyFill="1" applyBorder="1"/>
    <xf numFmtId="164" fontId="1" fillId="0" borderId="1" xfId="1" applyFont="1" applyFill="1" applyBorder="1"/>
    <xf numFmtId="164" fontId="3" fillId="0" borderId="0" xfId="1" applyFont="1"/>
    <xf numFmtId="164" fontId="1" fillId="0" borderId="1" xfId="3" applyNumberFormat="1" applyFont="1" applyBorder="1"/>
    <xf numFmtId="0" fontId="7" fillId="2" borderId="1" xfId="0" applyFont="1" applyFill="1" applyBorder="1" applyAlignment="1">
      <alignment horizontal="center" vertical="center" wrapText="1"/>
    </xf>
    <xf numFmtId="9" fontId="2" fillId="2" borderId="1" xfId="2" applyFont="1" applyFill="1" applyBorder="1"/>
    <xf numFmtId="164" fontId="0" fillId="0" borderId="1" xfId="1" applyFont="1" applyBorder="1"/>
    <xf numFmtId="164" fontId="7" fillId="2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1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2" borderId="3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166" fontId="1" fillId="0" borderId="1" xfId="1" applyNumberFormat="1" applyFont="1" applyFill="1" applyBorder="1"/>
    <xf numFmtId="166" fontId="1" fillId="0" borderId="1" xfId="1" applyNumberFormat="1" applyFont="1" applyBorder="1"/>
    <xf numFmtId="166" fontId="2" fillId="2" borderId="1" xfId="1" applyNumberFormat="1" applyFont="1" applyFill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166" fontId="9" fillId="8" borderId="1" xfId="1" applyNumberFormat="1" applyFont="1" applyFill="1" applyBorder="1" applyAlignment="1">
      <alignment vertical="center"/>
    </xf>
    <xf numFmtId="166" fontId="10" fillId="8" borderId="1" xfId="1" applyNumberFormat="1" applyFont="1" applyFill="1" applyBorder="1" applyAlignment="1">
      <alignment vertical="center"/>
    </xf>
    <xf numFmtId="10" fontId="8" fillId="8" borderId="1" xfId="2" applyNumberFormat="1" applyFont="1" applyFill="1" applyBorder="1" applyAlignment="1">
      <alignment vertical="center"/>
    </xf>
    <xf numFmtId="9" fontId="12" fillId="8" borderId="1" xfId="2" applyFont="1" applyFill="1" applyBorder="1" applyAlignment="1">
      <alignment horizontal="left" vertical="center" wrapText="1"/>
    </xf>
    <xf numFmtId="164" fontId="12" fillId="8" borderId="1" xfId="1" applyFont="1" applyFill="1" applyBorder="1" applyAlignment="1">
      <alignment horizontal="left" vertical="center" wrapText="1"/>
    </xf>
    <xf numFmtId="164" fontId="8" fillId="8" borderId="1" xfId="1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166" fontId="8" fillId="9" borderId="1" xfId="1" applyNumberFormat="1" applyFont="1" applyFill="1" applyBorder="1" applyAlignment="1">
      <alignment vertical="center"/>
    </xf>
    <xf numFmtId="9" fontId="12" fillId="9" borderId="1" xfId="2" applyFont="1" applyFill="1" applyBorder="1" applyAlignment="1">
      <alignment horizontal="left" vertical="center" wrapText="1"/>
    </xf>
    <xf numFmtId="10" fontId="8" fillId="9" borderId="1" xfId="2" applyNumberFormat="1" applyFont="1" applyFill="1" applyBorder="1" applyAlignment="1">
      <alignment vertical="center"/>
    </xf>
    <xf numFmtId="164" fontId="12" fillId="9" borderId="1" xfId="1" applyFont="1" applyFill="1" applyBorder="1" applyAlignment="1">
      <alignment horizontal="left" vertical="center" wrapText="1"/>
    </xf>
    <xf numFmtId="164" fontId="8" fillId="9" borderId="1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7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 wrapText="1"/>
    </xf>
    <xf numFmtId="9" fontId="12" fillId="10" borderId="1" xfId="2" applyFont="1" applyFill="1" applyBorder="1" applyAlignment="1">
      <alignment horizontal="left" vertical="center" wrapText="1"/>
    </xf>
    <xf numFmtId="164" fontId="12" fillId="10" borderId="1" xfId="1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 wrapText="1"/>
    </xf>
    <xf numFmtId="9" fontId="12" fillId="11" borderId="1" xfId="2" applyFont="1" applyFill="1" applyBorder="1" applyAlignment="1">
      <alignment horizontal="left" vertical="center" wrapText="1"/>
    </xf>
    <xf numFmtId="164" fontId="12" fillId="11" borderId="1" xfId="1" applyFont="1" applyFill="1" applyBorder="1" applyAlignment="1">
      <alignment horizontal="left" vertical="center" wrapText="1"/>
    </xf>
    <xf numFmtId="166" fontId="10" fillId="10" borderId="1" xfId="1" applyNumberFormat="1" applyFont="1" applyFill="1" applyBorder="1" applyAlignment="1">
      <alignment vertical="center"/>
    </xf>
    <xf numFmtId="166" fontId="8" fillId="11" borderId="1" xfId="1" applyNumberFormat="1" applyFont="1" applyFill="1" applyBorder="1" applyAlignment="1">
      <alignment vertical="center"/>
    </xf>
    <xf numFmtId="166" fontId="8" fillId="10" borderId="1" xfId="1" applyNumberFormat="1" applyFont="1" applyFill="1" applyBorder="1" applyAlignment="1">
      <alignment vertical="center"/>
    </xf>
    <xf numFmtId="166" fontId="10" fillId="11" borderId="1" xfId="0" applyNumberFormat="1" applyFont="1" applyFill="1" applyBorder="1" applyAlignment="1">
      <alignment vertical="center"/>
    </xf>
    <xf numFmtId="9" fontId="10" fillId="10" borderId="1" xfId="2" applyFont="1" applyFill="1" applyBorder="1" applyAlignment="1">
      <alignment vertical="center"/>
    </xf>
    <xf numFmtId="9" fontId="8" fillId="10" borderId="1" xfId="2" applyFont="1" applyFill="1" applyBorder="1" applyAlignment="1">
      <alignment vertical="center"/>
    </xf>
    <xf numFmtId="9" fontId="8" fillId="11" borderId="1" xfId="2" applyFont="1" applyFill="1" applyBorder="1" applyAlignment="1">
      <alignment vertical="center"/>
    </xf>
    <xf numFmtId="164" fontId="8" fillId="10" borderId="1" xfId="1" applyFont="1" applyFill="1" applyBorder="1" applyAlignment="1">
      <alignment vertical="center"/>
    </xf>
    <xf numFmtId="164" fontId="8" fillId="11" borderId="1" xfId="1" applyFont="1" applyFill="1" applyBorder="1" applyAlignment="1">
      <alignment vertical="center"/>
    </xf>
    <xf numFmtId="166" fontId="1" fillId="4" borderId="1" xfId="1" applyNumberFormat="1" applyFont="1" applyFill="1" applyBorder="1"/>
    <xf numFmtId="0" fontId="13" fillId="12" borderId="0" xfId="0" applyFont="1" applyFill="1" applyAlignment="1">
      <alignment wrapText="1"/>
    </xf>
    <xf numFmtId="0" fontId="14" fillId="12" borderId="0" xfId="0" applyFont="1" applyFill="1" applyAlignment="1">
      <alignment horizontal="center" wrapText="1"/>
    </xf>
    <xf numFmtId="0" fontId="15" fillId="14" borderId="0" xfId="0" applyFont="1" applyFill="1" applyAlignment="1">
      <alignment horizontal="center" wrapText="1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10" fontId="17" fillId="0" borderId="0" xfId="0" applyNumberFormat="1" applyFont="1" applyAlignment="1">
      <alignment horizontal="center" wrapText="1"/>
    </xf>
    <xf numFmtId="164" fontId="13" fillId="12" borderId="0" xfId="1" applyFont="1" applyFill="1" applyAlignment="1">
      <alignment wrapText="1"/>
    </xf>
    <xf numFmtId="164" fontId="15" fillId="14" borderId="0" xfId="1" applyFont="1" applyFill="1" applyAlignment="1">
      <alignment horizontal="center" wrapText="1"/>
    </xf>
    <xf numFmtId="164" fontId="17" fillId="0" borderId="0" xfId="1" applyFont="1" applyFill="1" applyAlignment="1">
      <alignment horizontal="center" wrapText="1"/>
    </xf>
    <xf numFmtId="164" fontId="0" fillId="0" borderId="0" xfId="1" applyFont="1"/>
    <xf numFmtId="0" fontId="18" fillId="0" borderId="0" xfId="0" applyFont="1" applyAlignment="1">
      <alignment wrapText="1"/>
    </xf>
    <xf numFmtId="166" fontId="18" fillId="0" borderId="0" xfId="1" applyNumberFormat="1" applyFont="1" applyFill="1" applyAlignment="1">
      <alignment wrapText="1"/>
    </xf>
    <xf numFmtId="0" fontId="19" fillId="0" borderId="0" xfId="0" applyFont="1" applyAlignment="1">
      <alignment horizontal="center" wrapText="1"/>
    </xf>
    <xf numFmtId="166" fontId="19" fillId="0" borderId="0" xfId="1" applyNumberFormat="1" applyFont="1" applyFill="1" applyAlignment="1">
      <alignment horizontal="center" wrapText="1"/>
    </xf>
    <xf numFmtId="166" fontId="17" fillId="0" borderId="0" xfId="1" applyNumberFormat="1" applyFont="1" applyFill="1" applyAlignment="1">
      <alignment horizontal="center" wrapText="1"/>
    </xf>
    <xf numFmtId="0" fontId="20" fillId="0" borderId="0" xfId="0" applyFont="1"/>
    <xf numFmtId="166" fontId="20" fillId="0" borderId="0" xfId="1" applyNumberFormat="1" applyFont="1" applyFill="1"/>
    <xf numFmtId="164" fontId="18" fillId="0" borderId="0" xfId="1" applyFont="1" applyFill="1" applyAlignment="1">
      <alignment wrapText="1"/>
    </xf>
    <xf numFmtId="164" fontId="19" fillId="0" borderId="0" xfId="1" applyFont="1" applyFill="1" applyAlignment="1">
      <alignment horizontal="center" wrapText="1"/>
    </xf>
    <xf numFmtId="164" fontId="20" fillId="0" borderId="0" xfId="1" applyFont="1" applyFill="1"/>
    <xf numFmtId="10" fontId="18" fillId="0" borderId="0" xfId="2" applyNumberFormat="1" applyFont="1" applyFill="1" applyAlignment="1">
      <alignment wrapText="1"/>
    </xf>
    <xf numFmtId="10" fontId="19" fillId="0" borderId="0" xfId="2" applyNumberFormat="1" applyFont="1" applyFill="1" applyAlignment="1">
      <alignment horizontal="center" wrapText="1"/>
    </xf>
    <xf numFmtId="10" fontId="17" fillId="0" borderId="0" xfId="2" applyNumberFormat="1" applyFont="1" applyFill="1" applyAlignment="1">
      <alignment horizontal="center" wrapText="1"/>
    </xf>
    <xf numFmtId="10" fontId="20" fillId="0" borderId="0" xfId="2" applyNumberFormat="1" applyFont="1" applyFill="1"/>
    <xf numFmtId="166" fontId="7" fillId="15" borderId="0" xfId="1" applyNumberFormat="1" applyFont="1" applyFill="1"/>
    <xf numFmtId="10" fontId="7" fillId="15" borderId="0" xfId="2" applyNumberFormat="1" applyFont="1" applyFill="1"/>
    <xf numFmtId="164" fontId="7" fillId="15" borderId="0" xfId="1" applyFont="1" applyFill="1"/>
    <xf numFmtId="164" fontId="3" fillId="3" borderId="1" xfId="1" applyFont="1" applyFill="1" applyBorder="1"/>
    <xf numFmtId="166" fontId="1" fillId="16" borderId="1" xfId="1" applyNumberFormat="1" applyFont="1" applyFill="1" applyBorder="1"/>
    <xf numFmtId="164" fontId="3" fillId="0" borderId="1" xfId="1" applyFont="1" applyFill="1" applyBorder="1"/>
    <xf numFmtId="0" fontId="4" fillId="3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11" fillId="2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0" fontId="19" fillId="0" borderId="0" xfId="2" applyNumberFormat="1" applyFont="1" applyFill="1" applyAlignment="1">
      <alignment horizontal="center" wrapText="1"/>
    </xf>
    <xf numFmtId="0" fontId="19" fillId="0" borderId="0" xfId="0" applyFont="1" applyAlignment="1">
      <alignment horizontal="center" wrapText="1"/>
    </xf>
    <xf numFmtId="0" fontId="15" fillId="13" borderId="0" xfId="0" applyFont="1" applyFill="1" applyAlignment="1">
      <alignment horizontal="center" wrapText="1"/>
    </xf>
  </cellXfs>
  <cellStyles count="6">
    <cellStyle name="Comma" xfId="1" builtinId="3"/>
    <cellStyle name="Comma [0]" xfId="3" builtinId="6"/>
    <cellStyle name="Comma 10 2" xfId="4" xr:uid="{00000000-0005-0000-0000-000002000000}"/>
    <cellStyle name="Normal" xfId="0" builtinId="0"/>
    <cellStyle name="Percent" xfId="2" builtinId="5"/>
    <cellStyle name="Percent 4" xfId="5" xr:uid="{00000000-0005-0000-0000-000005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32"/>
  <sheetViews>
    <sheetView zoomScale="85" zoomScaleNormal="85" workbookViewId="0">
      <selection activeCell="B31" sqref="B31:D31"/>
    </sheetView>
  </sheetViews>
  <sheetFormatPr defaultColWidth="9.140625" defaultRowHeight="15" x14ac:dyDescent="0.25"/>
  <cols>
    <col min="1" max="1" width="5.140625" style="7" customWidth="1"/>
    <col min="2" max="2" width="7.42578125" style="7" customWidth="1"/>
    <col min="3" max="3" width="6" style="8" bestFit="1" customWidth="1"/>
    <col min="4" max="4" width="13.28515625" style="7" customWidth="1"/>
    <col min="5" max="9" width="12.7109375" style="7" customWidth="1"/>
    <col min="10" max="10" width="14.5703125" style="7" customWidth="1"/>
    <col min="11" max="16" width="12.7109375" style="7" customWidth="1"/>
    <col min="17" max="16384" width="9.140625" style="7"/>
  </cols>
  <sheetData>
    <row r="1" spans="1:16" ht="19.5" x14ac:dyDescent="0.3">
      <c r="A1" s="4" t="s">
        <v>0</v>
      </c>
    </row>
    <row r="2" spans="1:16" ht="8.25" customHeight="1" x14ac:dyDescent="0.25"/>
    <row r="3" spans="1:16" s="1" customFormat="1" ht="45" customHeight="1" x14ac:dyDescent="0.25">
      <c r="A3" s="127" t="s">
        <v>1</v>
      </c>
      <c r="B3" s="3" t="s">
        <v>18</v>
      </c>
      <c r="C3" s="3" t="s">
        <v>2</v>
      </c>
      <c r="D3" s="3" t="s">
        <v>17</v>
      </c>
      <c r="E3" s="3" t="s">
        <v>21</v>
      </c>
      <c r="F3" s="3" t="s">
        <v>25</v>
      </c>
      <c r="G3" s="3" t="s">
        <v>26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46</v>
      </c>
      <c r="M3" s="3" t="s">
        <v>60</v>
      </c>
      <c r="N3" s="3" t="s">
        <v>47</v>
      </c>
      <c r="O3" s="3" t="s">
        <v>50</v>
      </c>
      <c r="P3" s="3" t="s">
        <v>61</v>
      </c>
    </row>
    <row r="4" spans="1:16" x14ac:dyDescent="0.25">
      <c r="A4" s="127"/>
      <c r="B4" s="16" t="s">
        <v>44</v>
      </c>
      <c r="C4" s="17" t="s">
        <v>5</v>
      </c>
      <c r="D4" s="31"/>
      <c r="E4" s="32"/>
      <c r="F4" s="33"/>
      <c r="G4" s="32"/>
      <c r="H4" s="14"/>
      <c r="I4" s="43"/>
      <c r="J4" s="43"/>
      <c r="K4" s="32"/>
      <c r="L4" s="14"/>
      <c r="M4" s="14"/>
      <c r="N4" s="14"/>
      <c r="O4" s="14"/>
      <c r="P4" s="14"/>
    </row>
    <row r="5" spans="1:16" x14ac:dyDescent="0.25">
      <c r="A5" s="127"/>
      <c r="B5" s="16" t="s">
        <v>44</v>
      </c>
      <c r="C5" s="17" t="s">
        <v>3</v>
      </c>
      <c r="D5" s="31"/>
      <c r="E5" s="32"/>
      <c r="F5" s="33"/>
      <c r="G5" s="32"/>
      <c r="H5" s="14"/>
      <c r="I5" s="43"/>
      <c r="J5" s="43"/>
      <c r="K5" s="32"/>
      <c r="L5" s="14"/>
      <c r="M5" s="14"/>
      <c r="N5" s="14"/>
      <c r="O5" s="14"/>
      <c r="P5" s="14"/>
    </row>
    <row r="6" spans="1:16" x14ac:dyDescent="0.25">
      <c r="A6" s="127"/>
      <c r="B6" s="16" t="s">
        <v>44</v>
      </c>
      <c r="C6" s="17" t="s">
        <v>4</v>
      </c>
      <c r="D6" s="31"/>
      <c r="E6" s="32"/>
      <c r="F6" s="33"/>
      <c r="G6" s="32"/>
      <c r="H6" s="14"/>
      <c r="I6" s="43"/>
      <c r="J6" s="43"/>
      <c r="K6" s="32"/>
      <c r="L6" s="14"/>
      <c r="M6" s="14"/>
      <c r="N6" s="14"/>
      <c r="O6" s="14"/>
      <c r="P6" s="14"/>
    </row>
    <row r="7" spans="1:16" x14ac:dyDescent="0.25">
      <c r="A7" s="127"/>
      <c r="B7" s="16" t="s">
        <v>44</v>
      </c>
      <c r="C7" s="17" t="s">
        <v>6</v>
      </c>
      <c r="D7" s="31"/>
      <c r="E7" s="32"/>
      <c r="F7" s="33"/>
      <c r="G7" s="32"/>
      <c r="H7" s="14"/>
      <c r="I7" s="43"/>
      <c r="J7" s="43"/>
      <c r="K7" s="32"/>
      <c r="L7" s="14"/>
      <c r="M7" s="14"/>
      <c r="N7" s="14"/>
      <c r="O7" s="14"/>
      <c r="P7" s="14"/>
    </row>
    <row r="8" spans="1:16" x14ac:dyDescent="0.25">
      <c r="A8" s="127"/>
      <c r="B8" s="16" t="s">
        <v>44</v>
      </c>
      <c r="C8" s="17" t="s">
        <v>7</v>
      </c>
      <c r="D8" s="31"/>
      <c r="E8" s="32"/>
      <c r="F8" s="33"/>
      <c r="G8" s="32"/>
      <c r="H8" s="14"/>
      <c r="I8" s="43"/>
      <c r="J8" s="43"/>
      <c r="K8" s="32"/>
      <c r="L8" s="14"/>
      <c r="M8" s="14"/>
      <c r="N8" s="14"/>
      <c r="O8" s="14"/>
      <c r="P8" s="14"/>
    </row>
    <row r="9" spans="1:16" x14ac:dyDescent="0.25">
      <c r="A9" s="127"/>
      <c r="B9" s="16" t="s">
        <v>44</v>
      </c>
      <c r="C9" s="17" t="s">
        <v>8</v>
      </c>
      <c r="D9" s="31"/>
      <c r="E9" s="32"/>
      <c r="F9" s="33"/>
      <c r="G9" s="32"/>
      <c r="H9" s="14"/>
      <c r="I9" s="43"/>
      <c r="J9" s="43"/>
      <c r="K9" s="32"/>
      <c r="L9" s="14"/>
      <c r="M9" s="14"/>
      <c r="N9" s="14"/>
      <c r="O9" s="14"/>
      <c r="P9" s="14"/>
    </row>
    <row r="10" spans="1:16" x14ac:dyDescent="0.25">
      <c r="A10" s="127"/>
      <c r="B10" s="16" t="s">
        <v>44</v>
      </c>
      <c r="C10" s="17" t="s">
        <v>9</v>
      </c>
      <c r="D10" s="31"/>
      <c r="E10" s="32"/>
      <c r="F10" s="33"/>
      <c r="G10" s="32"/>
      <c r="H10" s="14"/>
      <c r="I10" s="43"/>
      <c r="J10" s="43"/>
      <c r="K10" s="32"/>
      <c r="L10" s="14"/>
      <c r="M10" s="14"/>
      <c r="N10" s="14"/>
      <c r="O10" s="14"/>
      <c r="P10" s="14"/>
    </row>
    <row r="11" spans="1:16" x14ac:dyDescent="0.25">
      <c r="A11" s="127"/>
      <c r="B11" s="16" t="s">
        <v>44</v>
      </c>
      <c r="C11" s="17" t="s">
        <v>10</v>
      </c>
      <c r="D11" s="31"/>
      <c r="E11" s="32"/>
      <c r="F11" s="33"/>
      <c r="G11" s="32"/>
      <c r="H11" s="14"/>
      <c r="I11" s="43"/>
      <c r="J11" s="43"/>
      <c r="K11" s="32"/>
      <c r="L11" s="14"/>
      <c r="M11" s="14"/>
      <c r="N11" s="14"/>
      <c r="O11" s="14"/>
      <c r="P11" s="14"/>
    </row>
    <row r="12" spans="1:16" x14ac:dyDescent="0.25">
      <c r="A12" s="127"/>
      <c r="B12" s="16" t="s">
        <v>44</v>
      </c>
      <c r="C12" s="17" t="s">
        <v>11</v>
      </c>
      <c r="D12" s="31"/>
      <c r="E12" s="32"/>
      <c r="F12" s="33"/>
      <c r="G12" s="32"/>
      <c r="H12" s="14"/>
      <c r="I12" s="43"/>
      <c r="J12" s="43"/>
      <c r="K12" s="32"/>
      <c r="L12" s="14"/>
      <c r="M12" s="14"/>
      <c r="N12" s="14"/>
      <c r="O12" s="14"/>
      <c r="P12" s="14"/>
    </row>
    <row r="13" spans="1:16" x14ac:dyDescent="0.25">
      <c r="A13" s="127"/>
      <c r="B13" s="16" t="s">
        <v>44</v>
      </c>
      <c r="C13" s="17" t="s">
        <v>12</v>
      </c>
      <c r="D13" s="31"/>
      <c r="E13" s="32"/>
      <c r="F13" s="33"/>
      <c r="G13" s="32"/>
      <c r="H13" s="14"/>
      <c r="I13" s="43"/>
      <c r="J13" s="43"/>
      <c r="K13" s="32"/>
      <c r="L13" s="14"/>
      <c r="M13" s="14"/>
      <c r="N13" s="14"/>
      <c r="O13" s="14"/>
      <c r="P13" s="14"/>
    </row>
    <row r="14" spans="1:16" x14ac:dyDescent="0.25">
      <c r="A14" s="127"/>
      <c r="B14" s="16" t="s">
        <v>44</v>
      </c>
      <c r="C14" s="17" t="s">
        <v>13</v>
      </c>
      <c r="D14" s="31"/>
      <c r="E14" s="32"/>
      <c r="F14" s="33"/>
      <c r="G14" s="32"/>
      <c r="H14" s="14"/>
      <c r="I14" s="43"/>
      <c r="J14" s="43"/>
      <c r="K14" s="32"/>
      <c r="L14" s="14"/>
      <c r="M14" s="14"/>
      <c r="N14" s="14"/>
      <c r="O14" s="14"/>
      <c r="P14" s="14"/>
    </row>
    <row r="15" spans="1:16" x14ac:dyDescent="0.25">
      <c r="A15" s="127"/>
      <c r="B15" s="16" t="s">
        <v>44</v>
      </c>
      <c r="C15" s="17" t="s">
        <v>14</v>
      </c>
      <c r="D15" s="31"/>
      <c r="E15" s="32"/>
      <c r="F15" s="33"/>
      <c r="G15" s="32"/>
      <c r="H15" s="14"/>
      <c r="I15" s="43"/>
      <c r="J15" s="43"/>
      <c r="K15" s="32"/>
      <c r="L15" s="14"/>
      <c r="M15" s="14"/>
      <c r="N15" s="14"/>
      <c r="O15" s="14"/>
      <c r="P15" s="14"/>
    </row>
    <row r="16" spans="1:16" x14ac:dyDescent="0.25">
      <c r="A16" s="127"/>
      <c r="B16" s="129"/>
      <c r="C16" s="130"/>
      <c r="D16" s="5"/>
      <c r="E16" s="5"/>
      <c r="F16" s="5"/>
      <c r="G16" s="5"/>
      <c r="H16" s="26"/>
      <c r="I16" s="5"/>
      <c r="J16" s="5"/>
      <c r="K16" s="5"/>
      <c r="L16" s="26"/>
      <c r="M16" s="26"/>
      <c r="N16" s="39"/>
      <c r="O16" s="26"/>
      <c r="P16" s="26"/>
    </row>
    <row r="17" spans="1:12" ht="26.25" x14ac:dyDescent="0.4">
      <c r="A17" s="9"/>
      <c r="D17" s="35">
        <v>0.8</v>
      </c>
    </row>
    <row r="18" spans="1:12" s="1" customFormat="1" ht="63" customHeight="1" x14ac:dyDescent="0.25">
      <c r="A18" s="128" t="s">
        <v>16</v>
      </c>
      <c r="B18" s="2" t="s">
        <v>18</v>
      </c>
      <c r="C18" s="2" t="s">
        <v>2</v>
      </c>
      <c r="D18" s="2" t="s">
        <v>45</v>
      </c>
      <c r="E18" s="2" t="s">
        <v>52</v>
      </c>
      <c r="F18" s="2" t="s">
        <v>53</v>
      </c>
      <c r="G18" s="2" t="s">
        <v>54</v>
      </c>
      <c r="H18" s="2" t="s">
        <v>55</v>
      </c>
      <c r="I18" s="2" t="s">
        <v>26</v>
      </c>
      <c r="J18" s="2" t="s">
        <v>48</v>
      </c>
      <c r="K18" s="2" t="s">
        <v>49</v>
      </c>
      <c r="L18" s="36" t="s">
        <v>50</v>
      </c>
    </row>
    <row r="19" spans="1:12" x14ac:dyDescent="0.25">
      <c r="A19" s="128"/>
      <c r="B19" s="18" t="s">
        <v>44</v>
      </c>
      <c r="C19" s="19" t="s">
        <v>5</v>
      </c>
      <c r="D19" s="20">
        <f>D4*$D$17</f>
        <v>0</v>
      </c>
      <c r="E19" s="22"/>
      <c r="F19" s="40"/>
      <c r="G19" s="41"/>
      <c r="H19" s="23"/>
      <c r="I19" s="22"/>
      <c r="J19" s="37"/>
      <c r="K19" s="27"/>
      <c r="L19" s="40"/>
    </row>
    <row r="20" spans="1:12" x14ac:dyDescent="0.25">
      <c r="A20" s="128"/>
      <c r="B20" s="18" t="s">
        <v>44</v>
      </c>
      <c r="C20" s="19" t="s">
        <v>3</v>
      </c>
      <c r="D20" s="20">
        <f t="shared" ref="D20:D30" si="0">D5*$D$17</f>
        <v>0</v>
      </c>
      <c r="E20" s="22"/>
      <c r="F20" s="40"/>
      <c r="G20" s="41"/>
      <c r="H20" s="23"/>
      <c r="I20" s="22"/>
      <c r="J20" s="37"/>
      <c r="K20" s="27"/>
      <c r="L20" s="40"/>
    </row>
    <row r="21" spans="1:12" x14ac:dyDescent="0.25">
      <c r="A21" s="128"/>
      <c r="B21" s="18" t="s">
        <v>44</v>
      </c>
      <c r="C21" s="19" t="s">
        <v>4</v>
      </c>
      <c r="D21" s="20">
        <f t="shared" si="0"/>
        <v>0</v>
      </c>
      <c r="E21" s="22"/>
      <c r="F21" s="40"/>
      <c r="G21" s="41"/>
      <c r="H21" s="23"/>
      <c r="I21" s="22"/>
      <c r="J21" s="37"/>
      <c r="K21" s="27"/>
      <c r="L21" s="40"/>
    </row>
    <row r="22" spans="1:12" x14ac:dyDescent="0.25">
      <c r="A22" s="128"/>
      <c r="B22" s="18" t="s">
        <v>44</v>
      </c>
      <c r="C22" s="19" t="s">
        <v>6</v>
      </c>
      <c r="D22" s="20">
        <f t="shared" si="0"/>
        <v>0</v>
      </c>
      <c r="E22" s="22"/>
      <c r="F22" s="40"/>
      <c r="G22" s="41"/>
      <c r="H22" s="23"/>
      <c r="I22" s="22"/>
      <c r="J22" s="37"/>
      <c r="K22" s="27"/>
      <c r="L22" s="40"/>
    </row>
    <row r="23" spans="1:12" x14ac:dyDescent="0.25">
      <c r="A23" s="128"/>
      <c r="B23" s="18" t="s">
        <v>44</v>
      </c>
      <c r="C23" s="19" t="s">
        <v>7</v>
      </c>
      <c r="D23" s="20">
        <f t="shared" si="0"/>
        <v>0</v>
      </c>
      <c r="E23" s="22"/>
      <c r="F23" s="40"/>
      <c r="G23" s="41"/>
      <c r="H23" s="23"/>
      <c r="I23" s="22"/>
      <c r="J23" s="37"/>
      <c r="K23" s="27"/>
      <c r="L23" s="40"/>
    </row>
    <row r="24" spans="1:12" x14ac:dyDescent="0.25">
      <c r="A24" s="128"/>
      <c r="B24" s="18" t="s">
        <v>44</v>
      </c>
      <c r="C24" s="19" t="s">
        <v>8</v>
      </c>
      <c r="D24" s="20">
        <f t="shared" si="0"/>
        <v>0</v>
      </c>
      <c r="E24" s="22"/>
      <c r="F24" s="40"/>
      <c r="G24" s="41"/>
      <c r="H24" s="23"/>
      <c r="I24" s="22"/>
      <c r="J24" s="37"/>
      <c r="K24" s="27"/>
      <c r="L24" s="40"/>
    </row>
    <row r="25" spans="1:12" x14ac:dyDescent="0.25">
      <c r="A25" s="128"/>
      <c r="B25" s="18" t="s">
        <v>44</v>
      </c>
      <c r="C25" s="19" t="s">
        <v>9</v>
      </c>
      <c r="D25" s="20">
        <f t="shared" si="0"/>
        <v>0</v>
      </c>
      <c r="E25" s="22"/>
      <c r="F25" s="40"/>
      <c r="G25" s="41"/>
      <c r="H25" s="23"/>
      <c r="I25" s="22"/>
      <c r="J25" s="37"/>
      <c r="K25" s="27"/>
      <c r="L25" s="40"/>
    </row>
    <row r="26" spans="1:12" x14ac:dyDescent="0.25">
      <c r="A26" s="128"/>
      <c r="B26" s="18" t="s">
        <v>44</v>
      </c>
      <c r="C26" s="19" t="s">
        <v>10</v>
      </c>
      <c r="D26" s="20">
        <f t="shared" si="0"/>
        <v>0</v>
      </c>
      <c r="E26" s="22"/>
      <c r="F26" s="40"/>
      <c r="G26" s="41"/>
      <c r="H26" s="23"/>
      <c r="I26" s="22"/>
      <c r="J26" s="37"/>
      <c r="K26" s="27"/>
      <c r="L26" s="40"/>
    </row>
    <row r="27" spans="1:12" x14ac:dyDescent="0.25">
      <c r="A27" s="128"/>
      <c r="B27" s="18" t="s">
        <v>44</v>
      </c>
      <c r="C27" s="19" t="s">
        <v>11</v>
      </c>
      <c r="D27" s="20">
        <f t="shared" si="0"/>
        <v>0</v>
      </c>
      <c r="E27" s="22"/>
      <c r="F27" s="40"/>
      <c r="G27" s="41"/>
      <c r="H27" s="23"/>
      <c r="I27" s="22"/>
      <c r="J27" s="37"/>
      <c r="K27" s="27"/>
      <c r="L27" s="40"/>
    </row>
    <row r="28" spans="1:12" x14ac:dyDescent="0.25">
      <c r="A28" s="128"/>
      <c r="B28" s="18" t="s">
        <v>44</v>
      </c>
      <c r="C28" s="19" t="s">
        <v>12</v>
      </c>
      <c r="D28" s="20">
        <f t="shared" si="0"/>
        <v>0</v>
      </c>
      <c r="E28" s="22"/>
      <c r="F28" s="40"/>
      <c r="G28" s="41"/>
      <c r="H28" s="23"/>
      <c r="I28" s="22"/>
      <c r="J28" s="37"/>
      <c r="K28" s="27"/>
      <c r="L28" s="40"/>
    </row>
    <row r="29" spans="1:12" x14ac:dyDescent="0.25">
      <c r="A29" s="128"/>
      <c r="B29" s="18" t="s">
        <v>44</v>
      </c>
      <c r="C29" s="19" t="s">
        <v>13</v>
      </c>
      <c r="D29" s="20">
        <f t="shared" si="0"/>
        <v>0</v>
      </c>
      <c r="E29" s="22"/>
      <c r="F29" s="40"/>
      <c r="G29" s="41"/>
      <c r="H29" s="23"/>
      <c r="I29" s="22"/>
      <c r="J29" s="37"/>
      <c r="K29" s="27"/>
      <c r="L29" s="40"/>
    </row>
    <row r="30" spans="1:12" x14ac:dyDescent="0.25">
      <c r="A30" s="128"/>
      <c r="B30" s="18" t="s">
        <v>44</v>
      </c>
      <c r="C30" s="19" t="s">
        <v>14</v>
      </c>
      <c r="D30" s="20">
        <f t="shared" si="0"/>
        <v>0</v>
      </c>
      <c r="E30" s="22"/>
      <c r="F30" s="40"/>
      <c r="G30" s="41"/>
      <c r="H30" s="23"/>
      <c r="I30" s="22"/>
      <c r="J30" s="37"/>
      <c r="K30" s="27"/>
      <c r="L30" s="40"/>
    </row>
    <row r="31" spans="1:12" x14ac:dyDescent="0.25">
      <c r="A31" s="128"/>
      <c r="B31" s="131"/>
      <c r="C31" s="132"/>
      <c r="D31" s="6"/>
      <c r="E31" s="6"/>
      <c r="F31" s="34"/>
      <c r="G31" s="6"/>
      <c r="H31" s="6"/>
      <c r="I31" s="6"/>
      <c r="J31" s="34"/>
      <c r="K31" s="38"/>
      <c r="L31" s="34"/>
    </row>
    <row r="32" spans="1:12" x14ac:dyDescent="0.25">
      <c r="G32" s="42"/>
    </row>
  </sheetData>
  <mergeCells count="4">
    <mergeCell ref="A3:A16"/>
    <mergeCell ref="B16:C16"/>
    <mergeCell ref="A18:A31"/>
    <mergeCell ref="B31:C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O32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19" sqref="H19:H24"/>
    </sheetView>
  </sheetViews>
  <sheetFormatPr defaultColWidth="9.140625" defaultRowHeight="15" x14ac:dyDescent="0.25"/>
  <cols>
    <col min="1" max="1" width="6.85546875" style="7" customWidth="1"/>
    <col min="2" max="2" width="7.7109375" style="7" customWidth="1"/>
    <col min="3" max="3" width="8.28515625" style="8" customWidth="1"/>
    <col min="4" max="4" width="13.28515625" style="7" bestFit="1" customWidth="1"/>
    <col min="5" max="5" width="12.7109375" style="7" customWidth="1"/>
    <col min="6" max="9" width="14.7109375" style="7" customWidth="1"/>
    <col min="10" max="10" width="13.42578125" style="7" customWidth="1"/>
    <col min="11" max="15" width="14.7109375" style="7" customWidth="1"/>
    <col min="16" max="16384" width="9.140625" style="7"/>
  </cols>
  <sheetData>
    <row r="1" spans="1:12" ht="19.5" x14ac:dyDescent="0.3">
      <c r="A1" s="4" t="s">
        <v>0</v>
      </c>
      <c r="G1" s="11"/>
      <c r="H1" s="11"/>
    </row>
    <row r="2" spans="1:12" ht="8.25" customHeight="1" x14ac:dyDescent="0.25"/>
    <row r="3" spans="1:12" s="1" customFormat="1" ht="45" customHeight="1" x14ac:dyDescent="0.25">
      <c r="A3" s="127" t="s">
        <v>1</v>
      </c>
      <c r="B3" s="3" t="s">
        <v>18</v>
      </c>
      <c r="C3" s="3" t="s">
        <v>2</v>
      </c>
      <c r="D3" s="3" t="s">
        <v>17</v>
      </c>
      <c r="E3" s="3" t="s">
        <v>21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30</v>
      </c>
      <c r="K3" s="3" t="s">
        <v>31</v>
      </c>
      <c r="L3" s="3" t="s">
        <v>33</v>
      </c>
    </row>
    <row r="4" spans="1:12" x14ac:dyDescent="0.25">
      <c r="A4" s="127"/>
      <c r="B4" s="16" t="s">
        <v>19</v>
      </c>
      <c r="C4" s="17" t="s">
        <v>5</v>
      </c>
      <c r="D4" s="31">
        <v>13000</v>
      </c>
      <c r="E4" s="32">
        <v>13826.88750965251</v>
      </c>
      <c r="F4" s="33">
        <v>1500</v>
      </c>
      <c r="G4" s="21">
        <v>1164.22072072072</v>
      </c>
      <c r="H4" s="14">
        <v>0.95346748574267726</v>
      </c>
      <c r="I4" s="14">
        <v>0</v>
      </c>
      <c r="J4" s="14">
        <v>0</v>
      </c>
      <c r="K4" s="14">
        <v>0.99922972850966618</v>
      </c>
      <c r="L4" s="13">
        <v>0</v>
      </c>
    </row>
    <row r="5" spans="1:12" x14ac:dyDescent="0.25">
      <c r="A5" s="127"/>
      <c r="B5" s="16" t="s">
        <v>19</v>
      </c>
      <c r="C5" s="17" t="s">
        <v>3</v>
      </c>
      <c r="D5" s="31">
        <v>20000</v>
      </c>
      <c r="E5" s="32">
        <v>16608.803594594589</v>
      </c>
      <c r="F5" s="33">
        <v>1500</v>
      </c>
      <c r="G5" s="21">
        <v>540.01846846846854</v>
      </c>
      <c r="H5" s="14">
        <v>0.95402773800973695</v>
      </c>
      <c r="I5" s="14">
        <v>0</v>
      </c>
      <c r="J5" s="14">
        <v>0</v>
      </c>
      <c r="K5" s="14">
        <v>0.99539999999999995</v>
      </c>
      <c r="L5" s="13">
        <v>0</v>
      </c>
    </row>
    <row r="6" spans="1:12" x14ac:dyDescent="0.25">
      <c r="A6" s="127"/>
      <c r="B6" s="16" t="s">
        <v>19</v>
      </c>
      <c r="C6" s="17" t="s">
        <v>4</v>
      </c>
      <c r="D6" s="31">
        <v>21000</v>
      </c>
      <c r="E6" s="32">
        <v>10188.652432432438</v>
      </c>
      <c r="F6" s="33">
        <v>1500</v>
      </c>
      <c r="G6" s="21">
        <v>621.84459459459458</v>
      </c>
      <c r="H6" s="14">
        <v>0.96152033553957283</v>
      </c>
      <c r="I6" s="14">
        <v>0</v>
      </c>
      <c r="J6" s="14">
        <v>0</v>
      </c>
      <c r="K6" s="14">
        <v>0.99492303298971352</v>
      </c>
      <c r="L6" s="13">
        <v>1</v>
      </c>
    </row>
    <row r="7" spans="1:12" x14ac:dyDescent="0.25">
      <c r="A7" s="127"/>
      <c r="B7" s="16" t="s">
        <v>19</v>
      </c>
      <c r="C7" s="17" t="s">
        <v>6</v>
      </c>
      <c r="D7" s="31">
        <v>12000</v>
      </c>
      <c r="E7" s="32">
        <v>11606.900135135142</v>
      </c>
      <c r="F7" s="33">
        <v>2000</v>
      </c>
      <c r="G7" s="21">
        <v>184.45945945945942</v>
      </c>
      <c r="H7" s="14">
        <v>0.95396185740935457</v>
      </c>
      <c r="I7" s="14">
        <v>1.6450380597617983E-3</v>
      </c>
      <c r="J7" s="14">
        <v>0</v>
      </c>
      <c r="K7" s="14">
        <v>0.99521774831537235</v>
      </c>
      <c r="L7" s="13">
        <v>0</v>
      </c>
    </row>
    <row r="8" spans="1:12" x14ac:dyDescent="0.25">
      <c r="A8" s="127"/>
      <c r="B8" s="16" t="s">
        <v>19</v>
      </c>
      <c r="C8" s="17" t="s">
        <v>7</v>
      </c>
      <c r="D8" s="31">
        <v>10000</v>
      </c>
      <c r="E8" s="32">
        <v>10314.98869369368</v>
      </c>
      <c r="F8" s="33">
        <v>1500</v>
      </c>
      <c r="G8" s="21">
        <v>736.98351351351357</v>
      </c>
      <c r="H8" s="14">
        <v>0.95115885377372433</v>
      </c>
      <c r="I8" s="14">
        <v>3.6423841159633597E-4</v>
      </c>
      <c r="J8" s="14">
        <v>0</v>
      </c>
      <c r="K8" s="14">
        <v>0.99579257957910239</v>
      </c>
      <c r="L8" s="13">
        <v>1</v>
      </c>
    </row>
    <row r="9" spans="1:12" x14ac:dyDescent="0.25">
      <c r="A9" s="127"/>
      <c r="B9" s="16" t="s">
        <v>19</v>
      </c>
      <c r="C9" s="17" t="s">
        <v>8</v>
      </c>
      <c r="D9" s="31">
        <v>10000</v>
      </c>
      <c r="E9" s="32"/>
      <c r="F9" s="33">
        <v>1500</v>
      </c>
      <c r="G9" s="21"/>
      <c r="H9" s="14"/>
      <c r="I9" s="14"/>
      <c r="J9" s="14"/>
      <c r="K9" s="14"/>
      <c r="L9" s="13"/>
    </row>
    <row r="10" spans="1:12" x14ac:dyDescent="0.25">
      <c r="A10" s="127"/>
      <c r="B10" s="16" t="s">
        <v>19</v>
      </c>
      <c r="C10" s="17" t="s">
        <v>9</v>
      </c>
      <c r="D10" s="31">
        <v>10000</v>
      </c>
      <c r="E10" s="32"/>
      <c r="F10" s="33">
        <v>1500</v>
      </c>
      <c r="G10" s="21"/>
      <c r="H10" s="14"/>
      <c r="I10" s="14"/>
      <c r="J10" s="14"/>
      <c r="K10" s="14"/>
      <c r="L10" s="13"/>
    </row>
    <row r="11" spans="1:12" x14ac:dyDescent="0.25">
      <c r="A11" s="127"/>
      <c r="B11" s="16" t="s">
        <v>19</v>
      </c>
      <c r="C11" s="17" t="s">
        <v>10</v>
      </c>
      <c r="D11" s="31">
        <v>10000</v>
      </c>
      <c r="E11" s="32"/>
      <c r="F11" s="33">
        <v>1000</v>
      </c>
      <c r="G11" s="21"/>
      <c r="H11" s="14"/>
      <c r="I11" s="14"/>
      <c r="J11" s="14"/>
      <c r="K11" s="14"/>
      <c r="L11" s="13"/>
    </row>
    <row r="12" spans="1:12" x14ac:dyDescent="0.25">
      <c r="A12" s="127"/>
      <c r="B12" s="16" t="s">
        <v>19</v>
      </c>
      <c r="C12" s="17" t="s">
        <v>11</v>
      </c>
      <c r="D12" s="31">
        <v>34000</v>
      </c>
      <c r="E12" s="32"/>
      <c r="F12" s="33">
        <v>1000</v>
      </c>
      <c r="G12" s="21"/>
      <c r="H12" s="14"/>
      <c r="I12" s="14"/>
      <c r="J12" s="14"/>
      <c r="K12" s="14"/>
      <c r="L12" s="13"/>
    </row>
    <row r="13" spans="1:12" x14ac:dyDescent="0.25">
      <c r="A13" s="127"/>
      <c r="B13" s="16" t="s">
        <v>19</v>
      </c>
      <c r="C13" s="17" t="s">
        <v>12</v>
      </c>
      <c r="D13" s="31">
        <v>25000</v>
      </c>
      <c r="E13" s="32"/>
      <c r="F13" s="33">
        <v>2000</v>
      </c>
      <c r="G13" s="21"/>
      <c r="H13" s="14"/>
      <c r="I13" s="14"/>
      <c r="J13" s="14"/>
      <c r="K13" s="14"/>
      <c r="L13" s="13"/>
    </row>
    <row r="14" spans="1:12" x14ac:dyDescent="0.25">
      <c r="A14" s="127"/>
      <c r="B14" s="16" t="s">
        <v>19</v>
      </c>
      <c r="C14" s="17" t="s">
        <v>13</v>
      </c>
      <c r="D14" s="31">
        <v>20000</v>
      </c>
      <c r="E14" s="32"/>
      <c r="F14" s="33">
        <v>3000</v>
      </c>
      <c r="G14" s="21"/>
      <c r="H14" s="14"/>
      <c r="I14" s="14"/>
      <c r="J14" s="14"/>
      <c r="K14" s="14"/>
      <c r="L14" s="13"/>
    </row>
    <row r="15" spans="1:12" x14ac:dyDescent="0.25">
      <c r="A15" s="127"/>
      <c r="B15" s="16" t="s">
        <v>19</v>
      </c>
      <c r="C15" s="17" t="s">
        <v>14</v>
      </c>
      <c r="D15" s="31">
        <v>15000</v>
      </c>
      <c r="E15" s="32"/>
      <c r="F15" s="33">
        <v>3000</v>
      </c>
      <c r="G15" s="21"/>
      <c r="H15" s="14"/>
      <c r="I15" s="14"/>
      <c r="J15" s="14"/>
      <c r="K15" s="14"/>
      <c r="L15" s="13"/>
    </row>
    <row r="16" spans="1:12" x14ac:dyDescent="0.25">
      <c r="A16" s="127"/>
      <c r="B16" s="129" t="s">
        <v>15</v>
      </c>
      <c r="C16" s="130"/>
      <c r="D16" s="5">
        <f>SUM(D4:D15)</f>
        <v>200000</v>
      </c>
      <c r="E16" s="5">
        <f t="shared" ref="E16:L16" si="0">SUM(E4:E15)</f>
        <v>62546.232365508353</v>
      </c>
      <c r="F16" s="5">
        <f t="shared" si="0"/>
        <v>21000</v>
      </c>
      <c r="G16" s="5">
        <f t="shared" si="0"/>
        <v>3247.5267567567562</v>
      </c>
      <c r="H16" s="26">
        <f>AVERAGE(H4:H15)</f>
        <v>0.95482725409501312</v>
      </c>
      <c r="I16" s="5">
        <f t="shared" si="0"/>
        <v>2.0092764713581343E-3</v>
      </c>
      <c r="J16" s="26">
        <f t="shared" si="0"/>
        <v>0</v>
      </c>
      <c r="K16" s="26">
        <f t="shared" si="0"/>
        <v>4.9805630893938551</v>
      </c>
      <c r="L16" s="5">
        <f t="shared" si="0"/>
        <v>2</v>
      </c>
    </row>
    <row r="17" spans="1:15" ht="26.25" x14ac:dyDescent="0.4">
      <c r="A17" s="9"/>
      <c r="D17" s="10">
        <v>0.8</v>
      </c>
    </row>
    <row r="18" spans="1:15" s="1" customFormat="1" ht="63" customHeight="1" x14ac:dyDescent="0.25">
      <c r="A18" s="128" t="s">
        <v>16</v>
      </c>
      <c r="B18" s="2" t="s">
        <v>18</v>
      </c>
      <c r="C18" s="2" t="s">
        <v>2</v>
      </c>
      <c r="D18" s="2" t="s">
        <v>20</v>
      </c>
      <c r="E18" s="2" t="s">
        <v>22</v>
      </c>
      <c r="F18" s="2" t="s">
        <v>23</v>
      </c>
      <c r="G18" s="2" t="s">
        <v>24</v>
      </c>
      <c r="H18" s="2" t="s">
        <v>43</v>
      </c>
      <c r="I18" s="2" t="s">
        <v>42</v>
      </c>
      <c r="J18" s="2" t="s">
        <v>40</v>
      </c>
      <c r="K18" s="2" t="s">
        <v>29</v>
      </c>
      <c r="L18" s="2" t="s">
        <v>41</v>
      </c>
      <c r="M18" s="2" t="s">
        <v>32</v>
      </c>
      <c r="N18" s="2" t="s">
        <v>34</v>
      </c>
      <c r="O18" s="2" t="s">
        <v>35</v>
      </c>
    </row>
    <row r="19" spans="1:15" x14ac:dyDescent="0.25">
      <c r="A19" s="128"/>
      <c r="B19" s="18" t="s">
        <v>19</v>
      </c>
      <c r="C19" s="19" t="s">
        <v>5</v>
      </c>
      <c r="D19" s="20">
        <f>D4*$D$17</f>
        <v>10400</v>
      </c>
      <c r="E19" s="22">
        <v>11789.629427284433</v>
      </c>
      <c r="F19" s="29">
        <v>21</v>
      </c>
      <c r="G19" s="30">
        <v>19</v>
      </c>
      <c r="H19" s="23">
        <f>F4/24</f>
        <v>62.5</v>
      </c>
      <c r="I19" s="24">
        <v>50.607020452129142</v>
      </c>
      <c r="J19" s="27">
        <v>1</v>
      </c>
      <c r="K19" s="15">
        <v>1</v>
      </c>
      <c r="L19" s="21">
        <v>0</v>
      </c>
      <c r="M19" s="21">
        <v>0</v>
      </c>
      <c r="N19" s="21">
        <v>0</v>
      </c>
      <c r="O19" s="24">
        <v>0</v>
      </c>
    </row>
    <row r="20" spans="1:15" x14ac:dyDescent="0.25">
      <c r="A20" s="128"/>
      <c r="B20" s="18" t="s">
        <v>19</v>
      </c>
      <c r="C20" s="19" t="s">
        <v>3</v>
      </c>
      <c r="D20" s="20">
        <f t="shared" ref="D20:D30" si="1">D5*$D$17</f>
        <v>16000</v>
      </c>
      <c r="E20" s="22">
        <v>14222.63764864865</v>
      </c>
      <c r="F20" s="29">
        <v>8.875</v>
      </c>
      <c r="G20" s="30">
        <v>17.166666666666668</v>
      </c>
      <c r="H20" s="23">
        <f>F5/23</f>
        <v>65.217391304347828</v>
      </c>
      <c r="I20" s="24">
        <f>G5/24</f>
        <v>22.500769519519523</v>
      </c>
      <c r="J20" s="27">
        <v>0</v>
      </c>
      <c r="K20" s="15">
        <v>1</v>
      </c>
      <c r="L20" s="21">
        <v>0</v>
      </c>
      <c r="M20" s="21">
        <v>0</v>
      </c>
      <c r="N20" s="21">
        <v>0</v>
      </c>
      <c r="O20" s="24">
        <v>0</v>
      </c>
    </row>
    <row r="21" spans="1:15" x14ac:dyDescent="0.25">
      <c r="A21" s="128"/>
      <c r="B21" s="18" t="s">
        <v>19</v>
      </c>
      <c r="C21" s="19" t="s">
        <v>4</v>
      </c>
      <c r="D21" s="20">
        <f t="shared" si="1"/>
        <v>16800</v>
      </c>
      <c r="E21" s="22">
        <v>8716.1518468468512</v>
      </c>
      <c r="F21" s="29">
        <v>7</v>
      </c>
      <c r="G21" s="30">
        <v>14</v>
      </c>
      <c r="H21" s="23">
        <f t="shared" ref="H21" si="2">F6/24</f>
        <v>62.5</v>
      </c>
      <c r="I21" s="24">
        <v>32.761743433574416</v>
      </c>
      <c r="J21" s="27">
        <v>0</v>
      </c>
      <c r="K21" s="15">
        <v>1</v>
      </c>
      <c r="L21" s="21">
        <v>0</v>
      </c>
      <c r="M21" s="21">
        <v>0</v>
      </c>
      <c r="N21" s="21">
        <v>0</v>
      </c>
      <c r="O21" s="24">
        <v>0</v>
      </c>
    </row>
    <row r="22" spans="1:15" x14ac:dyDescent="0.25">
      <c r="A22" s="128"/>
      <c r="B22" s="18" t="s">
        <v>19</v>
      </c>
      <c r="C22" s="19" t="s">
        <v>6</v>
      </c>
      <c r="D22" s="20">
        <f t="shared" si="1"/>
        <v>9600</v>
      </c>
      <c r="E22" s="22">
        <v>10068.170405405406</v>
      </c>
      <c r="F22" s="29">
        <v>8</v>
      </c>
      <c r="G22" s="30">
        <v>15</v>
      </c>
      <c r="H22" s="23">
        <f>F7/20</f>
        <v>100</v>
      </c>
      <c r="I22" s="24">
        <v>27.588387288387281</v>
      </c>
      <c r="J22" s="27">
        <v>1</v>
      </c>
      <c r="K22" s="15">
        <v>1</v>
      </c>
      <c r="L22" s="21">
        <v>1</v>
      </c>
      <c r="M22" s="21">
        <v>0</v>
      </c>
      <c r="N22" s="21">
        <v>0</v>
      </c>
      <c r="O22" s="24">
        <v>0</v>
      </c>
    </row>
    <row r="23" spans="1:15" x14ac:dyDescent="0.25">
      <c r="A23" s="128"/>
      <c r="B23" s="18" t="s">
        <v>19</v>
      </c>
      <c r="C23" s="19" t="s">
        <v>7</v>
      </c>
      <c r="D23" s="20">
        <f t="shared" si="1"/>
        <v>8000</v>
      </c>
      <c r="E23" s="22">
        <v>8922.441666666653</v>
      </c>
      <c r="F23" s="29">
        <v>7.3181818181818183</v>
      </c>
      <c r="G23" s="30">
        <v>16.09090909090909</v>
      </c>
      <c r="H23" s="23">
        <f>F8/22</f>
        <v>68.181818181818187</v>
      </c>
      <c r="I23" s="24">
        <v>25.85</v>
      </c>
      <c r="J23" s="27">
        <v>5</v>
      </c>
      <c r="K23" s="15">
        <v>0.80113100848256369</v>
      </c>
      <c r="L23" s="21">
        <v>0</v>
      </c>
      <c r="M23" s="21">
        <v>1</v>
      </c>
      <c r="N23" s="21">
        <v>0</v>
      </c>
      <c r="O23" s="24">
        <v>0</v>
      </c>
    </row>
    <row r="24" spans="1:15" x14ac:dyDescent="0.25">
      <c r="A24" s="128"/>
      <c r="B24" s="18" t="s">
        <v>19</v>
      </c>
      <c r="C24" s="19" t="s">
        <v>8</v>
      </c>
      <c r="D24" s="20">
        <f t="shared" si="1"/>
        <v>8000</v>
      </c>
      <c r="E24" s="22"/>
      <c r="F24" s="29"/>
      <c r="G24" s="30"/>
      <c r="H24" s="23">
        <f>F9/23</f>
        <v>65.217391304347828</v>
      </c>
      <c r="I24" s="24"/>
      <c r="J24" s="27"/>
      <c r="K24" s="15"/>
      <c r="L24" s="21"/>
      <c r="M24" s="21"/>
      <c r="N24" s="21"/>
      <c r="O24" s="24"/>
    </row>
    <row r="25" spans="1:15" x14ac:dyDescent="0.25">
      <c r="A25" s="128"/>
      <c r="B25" s="18" t="s">
        <v>19</v>
      </c>
      <c r="C25" s="19" t="s">
        <v>9</v>
      </c>
      <c r="D25" s="20">
        <f t="shared" si="1"/>
        <v>8000</v>
      </c>
      <c r="E25" s="22"/>
      <c r="F25" s="29"/>
      <c r="G25" s="30"/>
      <c r="H25" s="23"/>
      <c r="I25" s="24"/>
      <c r="J25" s="27"/>
      <c r="K25" s="15"/>
      <c r="L25" s="21"/>
      <c r="M25" s="21"/>
      <c r="N25" s="21"/>
      <c r="O25" s="24"/>
    </row>
    <row r="26" spans="1:15" x14ac:dyDescent="0.25">
      <c r="A26" s="128"/>
      <c r="B26" s="18" t="s">
        <v>19</v>
      </c>
      <c r="C26" s="19" t="s">
        <v>10</v>
      </c>
      <c r="D26" s="20">
        <f t="shared" si="1"/>
        <v>8000</v>
      </c>
      <c r="E26" s="22"/>
      <c r="F26" s="29"/>
      <c r="G26" s="30"/>
      <c r="H26" s="23"/>
      <c r="I26" s="24"/>
      <c r="J26" s="27"/>
      <c r="K26" s="15"/>
      <c r="L26" s="21"/>
      <c r="M26" s="21"/>
      <c r="N26" s="21"/>
      <c r="O26" s="24"/>
    </row>
    <row r="27" spans="1:15" x14ac:dyDescent="0.25">
      <c r="A27" s="128"/>
      <c r="B27" s="18" t="s">
        <v>19</v>
      </c>
      <c r="C27" s="19" t="s">
        <v>11</v>
      </c>
      <c r="D27" s="20">
        <f t="shared" si="1"/>
        <v>27200</v>
      </c>
      <c r="E27" s="22"/>
      <c r="F27" s="29"/>
      <c r="G27" s="30"/>
      <c r="H27" s="23"/>
      <c r="I27" s="24"/>
      <c r="J27" s="27"/>
      <c r="K27" s="15"/>
      <c r="L27" s="21"/>
      <c r="M27" s="21"/>
      <c r="N27" s="21"/>
      <c r="O27" s="24"/>
    </row>
    <row r="28" spans="1:15" x14ac:dyDescent="0.25">
      <c r="A28" s="128"/>
      <c r="B28" s="18" t="s">
        <v>19</v>
      </c>
      <c r="C28" s="19" t="s">
        <v>12</v>
      </c>
      <c r="D28" s="20">
        <f t="shared" si="1"/>
        <v>20000</v>
      </c>
      <c r="E28" s="22"/>
      <c r="F28" s="29"/>
      <c r="G28" s="30"/>
      <c r="H28" s="23"/>
      <c r="I28" s="24"/>
      <c r="J28" s="27"/>
      <c r="K28" s="15"/>
      <c r="L28" s="21"/>
      <c r="M28" s="21"/>
      <c r="N28" s="21"/>
      <c r="O28" s="24"/>
    </row>
    <row r="29" spans="1:15" x14ac:dyDescent="0.25">
      <c r="A29" s="128"/>
      <c r="B29" s="18" t="s">
        <v>19</v>
      </c>
      <c r="C29" s="19" t="s">
        <v>13</v>
      </c>
      <c r="D29" s="20">
        <f t="shared" si="1"/>
        <v>16000</v>
      </c>
      <c r="E29" s="22"/>
      <c r="F29" s="29"/>
      <c r="G29" s="30"/>
      <c r="H29" s="23"/>
      <c r="I29" s="24"/>
      <c r="J29" s="27"/>
      <c r="K29" s="15"/>
      <c r="L29" s="21"/>
      <c r="M29" s="21"/>
      <c r="N29" s="21"/>
      <c r="O29" s="24"/>
    </row>
    <row r="30" spans="1:15" x14ac:dyDescent="0.25">
      <c r="A30" s="128"/>
      <c r="B30" s="18" t="s">
        <v>19</v>
      </c>
      <c r="C30" s="19" t="s">
        <v>14</v>
      </c>
      <c r="D30" s="20">
        <f t="shared" si="1"/>
        <v>12000</v>
      </c>
      <c r="E30" s="22"/>
      <c r="F30" s="29"/>
      <c r="G30" s="30"/>
      <c r="H30" s="23"/>
      <c r="I30" s="24"/>
      <c r="J30" s="27"/>
      <c r="K30" s="15"/>
      <c r="L30" s="21"/>
      <c r="M30" s="21"/>
      <c r="N30" s="21"/>
      <c r="O30" s="24"/>
    </row>
    <row r="31" spans="1:15" x14ac:dyDescent="0.25">
      <c r="A31" s="128"/>
      <c r="B31" s="131" t="s">
        <v>15</v>
      </c>
      <c r="C31" s="132"/>
      <c r="D31" s="6">
        <f>SUM(D19:D30)</f>
        <v>160000</v>
      </c>
      <c r="E31" s="6">
        <f t="shared" ref="E31:J31" si="3">SUM(E19:E30)</f>
        <v>53719.030994851993</v>
      </c>
      <c r="F31" s="28">
        <f>AVERAGE(F19:F30)</f>
        <v>10.438636363636364</v>
      </c>
      <c r="G31" s="28">
        <f>AVERAGE(G19:G30)</f>
        <v>16.251515151515154</v>
      </c>
      <c r="H31" s="6">
        <f t="shared" si="3"/>
        <v>423.61660079051381</v>
      </c>
      <c r="I31" s="6">
        <f t="shared" si="3"/>
        <v>159.30792069361036</v>
      </c>
      <c r="J31" s="28">
        <f t="shared" si="3"/>
        <v>7</v>
      </c>
      <c r="K31" s="34">
        <f>AVERAGE(K19:K30)</f>
        <v>0.96022620169651274</v>
      </c>
      <c r="L31" s="25">
        <f>SUM(L19:L30)</f>
        <v>1</v>
      </c>
      <c r="M31" s="25">
        <f>SUM(M19:M30)</f>
        <v>1</v>
      </c>
      <c r="N31" s="6">
        <f>SUM(N19:N30)</f>
        <v>0</v>
      </c>
      <c r="O31" s="6">
        <f>SUM(O19:O30)</f>
        <v>0</v>
      </c>
    </row>
    <row r="32" spans="1:15" x14ac:dyDescent="0.25">
      <c r="H32" s="12"/>
    </row>
  </sheetData>
  <mergeCells count="4">
    <mergeCell ref="A3:A16"/>
    <mergeCell ref="A18:A31"/>
    <mergeCell ref="B16:C16"/>
    <mergeCell ref="B31:C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0" sqref="C20:C34"/>
    </sheetView>
  </sheetViews>
  <sheetFormatPr defaultColWidth="9.140625" defaultRowHeight="12" x14ac:dyDescent="0.25"/>
  <cols>
    <col min="1" max="1" width="3.140625" style="57" bestFit="1" customWidth="1"/>
    <col min="2" max="2" width="43" style="59" customWidth="1"/>
    <col min="3" max="3" width="6.85546875" style="57" bestFit="1" customWidth="1"/>
    <col min="4" max="14" width="7" style="57" bestFit="1" customWidth="1"/>
    <col min="15" max="16384" width="9.140625" style="57"/>
  </cols>
  <sheetData>
    <row r="1" spans="1:14" ht="18.75" x14ac:dyDescent="0.25">
      <c r="A1" s="133" t="s">
        <v>82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8.75" x14ac:dyDescent="0.25">
      <c r="A2" s="134" t="s">
        <v>51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s="58" customFormat="1" ht="24.75" customHeight="1" x14ac:dyDescent="0.25">
      <c r="A3" s="60" t="s">
        <v>81</v>
      </c>
      <c r="B3" s="61" t="s">
        <v>2</v>
      </c>
      <c r="C3" s="60" t="s">
        <v>5</v>
      </c>
      <c r="D3" s="60" t="s">
        <v>3</v>
      </c>
      <c r="E3" s="60" t="s">
        <v>4</v>
      </c>
      <c r="F3" s="60" t="s">
        <v>6</v>
      </c>
      <c r="G3" s="60" t="s">
        <v>7</v>
      </c>
      <c r="H3" s="60" t="s">
        <v>8</v>
      </c>
      <c r="I3" s="60" t="s">
        <v>9</v>
      </c>
      <c r="J3" s="60" t="s">
        <v>10</v>
      </c>
      <c r="K3" s="60" t="s">
        <v>11</v>
      </c>
      <c r="L3" s="60" t="s">
        <v>12</v>
      </c>
      <c r="M3" s="60" t="s">
        <v>13</v>
      </c>
      <c r="N3" s="60" t="s">
        <v>14</v>
      </c>
    </row>
    <row r="4" spans="1:14" ht="21" customHeight="1" x14ac:dyDescent="0.25">
      <c r="A4" s="62">
        <v>1</v>
      </c>
      <c r="B4" s="63" t="s">
        <v>17</v>
      </c>
      <c r="C4" s="64">
        <v>13000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5" spans="1:14" ht="21" customHeight="1" x14ac:dyDescent="0.25">
      <c r="A5" s="70">
        <v>2</v>
      </c>
      <c r="B5" s="71" t="s">
        <v>21</v>
      </c>
      <c r="C5" s="72">
        <v>16087.876594594523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</row>
    <row r="6" spans="1:14" ht="21" customHeight="1" x14ac:dyDescent="0.25">
      <c r="A6" s="62">
        <v>3</v>
      </c>
      <c r="B6" s="63" t="s">
        <v>25</v>
      </c>
      <c r="C6" s="65">
        <v>3000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</row>
    <row r="7" spans="1:14" ht="21" customHeight="1" x14ac:dyDescent="0.25">
      <c r="A7" s="70">
        <v>4</v>
      </c>
      <c r="B7" s="71" t="s">
        <v>26</v>
      </c>
      <c r="C7" s="72">
        <v>1089.8010675675682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</row>
    <row r="8" spans="1:14" ht="21" customHeight="1" x14ac:dyDescent="0.25">
      <c r="A8" s="62">
        <v>5</v>
      </c>
      <c r="B8" s="63" t="s">
        <v>27</v>
      </c>
      <c r="C8" s="66">
        <v>0.8666970351274802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</row>
    <row r="9" spans="1:14" ht="21" customHeight="1" x14ac:dyDescent="0.25">
      <c r="A9" s="70">
        <v>6</v>
      </c>
      <c r="B9" s="73" t="s">
        <v>28</v>
      </c>
      <c r="C9" s="74">
        <v>0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</row>
    <row r="10" spans="1:14" ht="21" customHeight="1" x14ac:dyDescent="0.25">
      <c r="A10" s="62">
        <v>7</v>
      </c>
      <c r="B10" s="67" t="s">
        <v>30</v>
      </c>
      <c r="C10" s="66">
        <v>0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</row>
    <row r="11" spans="1:14" ht="21" customHeight="1" x14ac:dyDescent="0.25">
      <c r="A11" s="70">
        <v>8</v>
      </c>
      <c r="B11" s="73" t="s">
        <v>70</v>
      </c>
      <c r="C11" s="74">
        <v>0.95747553454822099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</row>
    <row r="12" spans="1:14" ht="21" customHeight="1" x14ac:dyDescent="0.25">
      <c r="A12" s="62">
        <v>9</v>
      </c>
      <c r="B12" s="68" t="s">
        <v>73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</row>
    <row r="13" spans="1:14" ht="21" customHeight="1" x14ac:dyDescent="0.25">
      <c r="A13" s="70">
        <v>10</v>
      </c>
      <c r="B13" s="75" t="s">
        <v>74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</row>
    <row r="14" spans="1:14" ht="21" customHeight="1" x14ac:dyDescent="0.25">
      <c r="A14" s="62">
        <v>11</v>
      </c>
      <c r="B14" s="68" t="s">
        <v>75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</row>
    <row r="15" spans="1:14" ht="21" customHeight="1" x14ac:dyDescent="0.25">
      <c r="A15" s="70">
        <v>12</v>
      </c>
      <c r="B15" s="75" t="s">
        <v>76</v>
      </c>
      <c r="C15" s="72">
        <v>0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</row>
    <row r="17" spans="1:14" ht="18.75" x14ac:dyDescent="0.25">
      <c r="A17" s="133" t="s">
        <v>83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</row>
    <row r="18" spans="1:14" ht="18.75" x14ac:dyDescent="0.25">
      <c r="A18" s="134" t="s">
        <v>51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</row>
    <row r="19" spans="1:14" s="77" customFormat="1" ht="24.75" customHeight="1" x14ac:dyDescent="0.25">
      <c r="A19" s="78" t="s">
        <v>81</v>
      </c>
      <c r="B19" s="61" t="s">
        <v>2</v>
      </c>
      <c r="C19" s="60" t="s">
        <v>5</v>
      </c>
      <c r="D19" s="60" t="s">
        <v>3</v>
      </c>
      <c r="E19" s="60" t="s">
        <v>4</v>
      </c>
      <c r="F19" s="60" t="s">
        <v>6</v>
      </c>
      <c r="G19" s="60" t="s">
        <v>7</v>
      </c>
      <c r="H19" s="60" t="s">
        <v>8</v>
      </c>
      <c r="I19" s="60" t="s">
        <v>9</v>
      </c>
      <c r="J19" s="60" t="s">
        <v>10</v>
      </c>
      <c r="K19" s="60" t="s">
        <v>11</v>
      </c>
      <c r="L19" s="60" t="s">
        <v>12</v>
      </c>
      <c r="M19" s="60" t="s">
        <v>13</v>
      </c>
      <c r="N19" s="60" t="s">
        <v>14</v>
      </c>
    </row>
    <row r="20" spans="1:14" ht="28.5" customHeight="1" x14ac:dyDescent="0.25">
      <c r="A20" s="79">
        <v>1</v>
      </c>
      <c r="B20" s="80" t="s">
        <v>20</v>
      </c>
      <c r="C20" s="87">
        <f>C4*80%</f>
        <v>10400</v>
      </c>
      <c r="D20" s="87">
        <f t="shared" ref="D20:N20" si="0">D4*80%</f>
        <v>0</v>
      </c>
      <c r="E20" s="87">
        <f t="shared" si="0"/>
        <v>0</v>
      </c>
      <c r="F20" s="87">
        <f t="shared" si="0"/>
        <v>0</v>
      </c>
      <c r="G20" s="87">
        <f t="shared" si="0"/>
        <v>0</v>
      </c>
      <c r="H20" s="87">
        <f t="shared" si="0"/>
        <v>0</v>
      </c>
      <c r="I20" s="87">
        <f t="shared" si="0"/>
        <v>0</v>
      </c>
      <c r="J20" s="87">
        <f t="shared" si="0"/>
        <v>0</v>
      </c>
      <c r="K20" s="87">
        <f t="shared" si="0"/>
        <v>0</v>
      </c>
      <c r="L20" s="87">
        <f t="shared" si="0"/>
        <v>0</v>
      </c>
      <c r="M20" s="87">
        <f t="shared" si="0"/>
        <v>0</v>
      </c>
      <c r="N20" s="87">
        <f t="shared" si="0"/>
        <v>0</v>
      </c>
    </row>
    <row r="21" spans="1:14" ht="28.5" customHeight="1" x14ac:dyDescent="0.25">
      <c r="A21" s="83">
        <v>2</v>
      </c>
      <c r="B21" s="84" t="s">
        <v>22</v>
      </c>
      <c r="C21" s="88">
        <v>14112.503873873875</v>
      </c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</row>
    <row r="22" spans="1:14" ht="28.5" customHeight="1" x14ac:dyDescent="0.25">
      <c r="A22" s="79">
        <v>3</v>
      </c>
      <c r="B22" s="80" t="s">
        <v>63</v>
      </c>
      <c r="C22" s="89">
        <v>40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</row>
    <row r="23" spans="1:14" ht="28.5" customHeight="1" x14ac:dyDescent="0.25">
      <c r="A23" s="83">
        <v>4</v>
      </c>
      <c r="B23" s="84" t="s">
        <v>79</v>
      </c>
      <c r="C23" s="90">
        <v>16</v>
      </c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</row>
    <row r="24" spans="1:14" ht="28.5" customHeight="1" x14ac:dyDescent="0.25">
      <c r="A24" s="79">
        <v>5</v>
      </c>
      <c r="B24" s="80" t="s">
        <v>80</v>
      </c>
      <c r="C24" s="91">
        <f t="shared" ref="C24:N24" si="1">C23/C22</f>
        <v>0.4</v>
      </c>
      <c r="D24" s="91" t="e">
        <f t="shared" si="1"/>
        <v>#DIV/0!</v>
      </c>
      <c r="E24" s="91" t="e">
        <f t="shared" si="1"/>
        <v>#DIV/0!</v>
      </c>
      <c r="F24" s="91" t="e">
        <f t="shared" si="1"/>
        <v>#DIV/0!</v>
      </c>
      <c r="G24" s="91" t="e">
        <f t="shared" si="1"/>
        <v>#DIV/0!</v>
      </c>
      <c r="H24" s="91" t="e">
        <f t="shared" si="1"/>
        <v>#DIV/0!</v>
      </c>
      <c r="I24" s="91" t="e">
        <f t="shared" si="1"/>
        <v>#DIV/0!</v>
      </c>
      <c r="J24" s="91" t="e">
        <f t="shared" si="1"/>
        <v>#DIV/0!</v>
      </c>
      <c r="K24" s="91" t="e">
        <f t="shared" si="1"/>
        <v>#DIV/0!</v>
      </c>
      <c r="L24" s="91" t="e">
        <f t="shared" si="1"/>
        <v>#DIV/0!</v>
      </c>
      <c r="M24" s="91" t="e">
        <f t="shared" si="1"/>
        <v>#DIV/0!</v>
      </c>
      <c r="N24" s="91" t="e">
        <f t="shared" si="1"/>
        <v>#DIV/0!</v>
      </c>
    </row>
    <row r="25" spans="1:14" ht="28.5" customHeight="1" x14ac:dyDescent="0.25">
      <c r="A25" s="83">
        <v>6</v>
      </c>
      <c r="B25" s="84" t="s">
        <v>78</v>
      </c>
      <c r="C25" s="88">
        <v>26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</row>
    <row r="26" spans="1:14" ht="28.5" customHeight="1" x14ac:dyDescent="0.25">
      <c r="A26" s="79">
        <v>7</v>
      </c>
      <c r="B26" s="80" t="s">
        <v>64</v>
      </c>
      <c r="C26" s="89">
        <f>C6/25</f>
        <v>120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</row>
    <row r="27" spans="1:14" ht="28.5" customHeight="1" x14ac:dyDescent="0.25">
      <c r="A27" s="83">
        <v>8</v>
      </c>
      <c r="B27" s="84" t="s">
        <v>65</v>
      </c>
      <c r="C27" s="88">
        <f>C7/25</f>
        <v>43.592042702702727</v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</row>
    <row r="28" spans="1:14" ht="28.5" customHeight="1" x14ac:dyDescent="0.25">
      <c r="A28" s="79">
        <v>9</v>
      </c>
      <c r="B28" s="80" t="s">
        <v>77</v>
      </c>
      <c r="C28" s="89">
        <v>8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</row>
    <row r="29" spans="1:14" ht="28.5" customHeight="1" x14ac:dyDescent="0.25">
      <c r="A29" s="83">
        <v>10</v>
      </c>
      <c r="B29" s="85" t="s">
        <v>66</v>
      </c>
      <c r="C29" s="88">
        <v>7</v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</row>
    <row r="30" spans="1:14" ht="28.5" customHeight="1" x14ac:dyDescent="0.25">
      <c r="A30" s="79">
        <v>11</v>
      </c>
      <c r="B30" s="81" t="s">
        <v>67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</row>
    <row r="31" spans="1:14" ht="28.5" customHeight="1" x14ac:dyDescent="0.25">
      <c r="A31" s="83">
        <v>12</v>
      </c>
      <c r="B31" s="85" t="s">
        <v>68</v>
      </c>
      <c r="C31" s="93">
        <v>1</v>
      </c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</row>
    <row r="32" spans="1:14" ht="28.5" customHeight="1" x14ac:dyDescent="0.25">
      <c r="A32" s="79">
        <v>13</v>
      </c>
      <c r="B32" s="82" t="s">
        <v>69</v>
      </c>
      <c r="C32" s="94">
        <v>0</v>
      </c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1:14" ht="28.5" customHeight="1" x14ac:dyDescent="0.25">
      <c r="A33" s="83">
        <v>14</v>
      </c>
      <c r="B33" s="86" t="s">
        <v>71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</row>
    <row r="34" spans="1:14" ht="28.5" customHeight="1" x14ac:dyDescent="0.25">
      <c r="A34" s="79">
        <v>15</v>
      </c>
      <c r="B34" s="81" t="s">
        <v>72</v>
      </c>
      <c r="C34" s="92">
        <v>0.56999999999999995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</row>
  </sheetData>
  <mergeCells count="4">
    <mergeCell ref="A1:N1"/>
    <mergeCell ref="A2:N2"/>
    <mergeCell ref="A17:N17"/>
    <mergeCell ref="A18:N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499984740745262"/>
  </sheetPr>
  <dimension ref="A1:S32"/>
  <sheetViews>
    <sheetView tabSelected="1" zoomScale="85" zoomScaleNormal="85" workbookViewId="0">
      <pane xSplit="4" ySplit="3" topLeftCell="G4" activePane="bottomRight" state="frozen"/>
      <selection pane="topRight" activeCell="E1" sqref="E1"/>
      <selection pane="bottomLeft" activeCell="A4" sqref="A4"/>
      <selection pane="bottomRight" activeCell="O26" sqref="O26"/>
    </sheetView>
  </sheetViews>
  <sheetFormatPr defaultColWidth="9.140625" defaultRowHeight="15" x14ac:dyDescent="0.25"/>
  <cols>
    <col min="1" max="1" width="6.85546875" style="7" customWidth="1"/>
    <col min="2" max="2" width="7.7109375" style="7" customWidth="1"/>
    <col min="3" max="3" width="8.28515625" style="8" customWidth="1"/>
    <col min="4" max="4" width="17.28515625" style="7" customWidth="1"/>
    <col min="5" max="5" width="18.85546875" style="7" bestFit="1" customWidth="1"/>
    <col min="6" max="6" width="38" style="7" bestFit="1" customWidth="1"/>
    <col min="7" max="7" width="26.42578125" style="7" bestFit="1" customWidth="1"/>
    <col min="8" max="8" width="19" style="7" bestFit="1" customWidth="1"/>
    <col min="9" max="9" width="21" style="7" bestFit="1" customWidth="1"/>
    <col min="10" max="10" width="15" style="7" bestFit="1" customWidth="1"/>
    <col min="11" max="11" width="16.7109375" style="7" bestFit="1" customWidth="1"/>
    <col min="12" max="12" width="19.140625" style="7" bestFit="1" customWidth="1"/>
    <col min="13" max="13" width="14.5703125" style="7" bestFit="1" customWidth="1"/>
    <col min="14" max="14" width="13.85546875" style="7" bestFit="1" customWidth="1"/>
    <col min="15" max="15" width="12.85546875" style="7" bestFit="1" customWidth="1"/>
    <col min="16" max="16" width="15.5703125" style="7" customWidth="1"/>
    <col min="17" max="17" width="15.7109375" style="7" bestFit="1" customWidth="1"/>
    <col min="18" max="18" width="23" style="7" bestFit="1" customWidth="1"/>
    <col min="19" max="19" width="24.5703125" style="7" customWidth="1"/>
    <col min="20" max="16384" width="9.140625" style="7"/>
  </cols>
  <sheetData>
    <row r="1" spans="1:13" ht="19.5" x14ac:dyDescent="0.3">
      <c r="A1" s="4" t="s">
        <v>0</v>
      </c>
      <c r="G1" s="11"/>
      <c r="H1" s="11"/>
    </row>
    <row r="2" spans="1:13" ht="8.25" customHeight="1" x14ac:dyDescent="0.25"/>
    <row r="3" spans="1:13" s="1" customFormat="1" ht="45" customHeight="1" x14ac:dyDescent="0.25">
      <c r="A3" s="127" t="s">
        <v>1</v>
      </c>
      <c r="B3" s="3" t="s">
        <v>18</v>
      </c>
      <c r="C3" s="44" t="s">
        <v>2</v>
      </c>
      <c r="D3" s="47" t="s">
        <v>111</v>
      </c>
      <c r="E3" s="47" t="s">
        <v>112</v>
      </c>
      <c r="F3" s="47" t="s">
        <v>113</v>
      </c>
      <c r="G3" s="47" t="s">
        <v>112</v>
      </c>
      <c r="H3" s="47" t="s">
        <v>114</v>
      </c>
      <c r="I3" s="47" t="s">
        <v>112</v>
      </c>
      <c r="J3" s="47" t="s">
        <v>115</v>
      </c>
      <c r="K3" s="47" t="s">
        <v>117</v>
      </c>
      <c r="L3" s="47" t="s">
        <v>118</v>
      </c>
      <c r="M3" s="47" t="s">
        <v>119</v>
      </c>
    </row>
    <row r="4" spans="1:13" x14ac:dyDescent="0.25">
      <c r="A4" s="127"/>
      <c r="B4" s="16" t="s">
        <v>110</v>
      </c>
      <c r="C4" s="17" t="s">
        <v>5</v>
      </c>
      <c r="D4" s="31">
        <v>2391.6065162545788</v>
      </c>
      <c r="E4" s="55">
        <v>655.31899999999996</v>
      </c>
      <c r="F4" s="96">
        <v>17274</v>
      </c>
      <c r="G4" s="55">
        <v>1439.8</v>
      </c>
      <c r="H4" s="125">
        <v>751</v>
      </c>
      <c r="I4" s="54">
        <v>134</v>
      </c>
      <c r="J4" s="41" t="s">
        <v>116</v>
      </c>
      <c r="K4" s="41">
        <v>0</v>
      </c>
      <c r="L4" s="40">
        <v>0.33</v>
      </c>
      <c r="M4" s="41">
        <v>0</v>
      </c>
    </row>
    <row r="5" spans="1:13" x14ac:dyDescent="0.25">
      <c r="A5" s="127"/>
      <c r="B5" s="16" t="s">
        <v>110</v>
      </c>
      <c r="C5" s="17" t="s">
        <v>3</v>
      </c>
      <c r="D5" s="31">
        <v>7480.8792161363317</v>
      </c>
      <c r="E5" s="55">
        <v>4954.9840000000004</v>
      </c>
      <c r="F5" s="96">
        <v>33318</v>
      </c>
      <c r="G5" s="55">
        <v>11794.455</v>
      </c>
      <c r="H5" s="125">
        <v>751</v>
      </c>
      <c r="I5" s="54">
        <v>370</v>
      </c>
      <c r="J5" s="41" t="s">
        <v>116</v>
      </c>
      <c r="K5" s="41">
        <v>0</v>
      </c>
      <c r="L5" s="40">
        <v>0.25</v>
      </c>
      <c r="M5" s="41">
        <v>0</v>
      </c>
    </row>
    <row r="6" spans="1:13" x14ac:dyDescent="0.25">
      <c r="A6" s="127"/>
      <c r="B6" s="16" t="s">
        <v>110</v>
      </c>
      <c r="C6" s="17" t="s">
        <v>4</v>
      </c>
      <c r="D6" s="31">
        <v>11833.58995045699</v>
      </c>
      <c r="E6" s="55">
        <v>8497.0835000000006</v>
      </c>
      <c r="F6" s="96">
        <v>44584</v>
      </c>
      <c r="G6" s="55">
        <v>16552.575000000004</v>
      </c>
      <c r="H6" s="125">
        <v>751</v>
      </c>
      <c r="I6" s="54">
        <v>706</v>
      </c>
      <c r="J6" s="41" t="s">
        <v>116</v>
      </c>
      <c r="K6" s="41">
        <v>0</v>
      </c>
      <c r="L6" s="40">
        <v>0.14000000000000001</v>
      </c>
      <c r="M6" s="41">
        <v>0</v>
      </c>
    </row>
    <row r="7" spans="1:13" x14ac:dyDescent="0.25">
      <c r="A7" s="127"/>
      <c r="B7" s="16" t="s">
        <v>110</v>
      </c>
      <c r="C7" s="17" t="s">
        <v>6</v>
      </c>
      <c r="D7" s="31">
        <v>16125.204678302762</v>
      </c>
      <c r="E7" s="55">
        <v>23789.394</v>
      </c>
      <c r="F7" s="96">
        <v>48478</v>
      </c>
      <c r="G7" s="55">
        <v>23789.394</v>
      </c>
      <c r="H7" s="125">
        <v>751</v>
      </c>
      <c r="I7" s="54">
        <v>774</v>
      </c>
      <c r="J7" s="41" t="s">
        <v>116</v>
      </c>
      <c r="K7" s="41">
        <v>0</v>
      </c>
      <c r="L7" s="40">
        <v>0.09</v>
      </c>
      <c r="M7" s="41">
        <v>0</v>
      </c>
    </row>
    <row r="8" spans="1:13" x14ac:dyDescent="0.25">
      <c r="A8" s="127"/>
      <c r="B8" s="16" t="s">
        <v>110</v>
      </c>
      <c r="C8" s="17" t="s">
        <v>7</v>
      </c>
      <c r="D8" s="31">
        <v>18285.732187232021</v>
      </c>
      <c r="E8" s="55">
        <v>25898.108</v>
      </c>
      <c r="F8" s="96">
        <v>50107</v>
      </c>
      <c r="G8" s="55">
        <v>45122.796666666647</v>
      </c>
      <c r="H8" s="125">
        <v>751</v>
      </c>
      <c r="I8" s="54">
        <v>823</v>
      </c>
      <c r="J8" s="41" t="s">
        <v>116</v>
      </c>
      <c r="K8" s="41">
        <v>0</v>
      </c>
      <c r="L8" s="40">
        <v>0.09</v>
      </c>
      <c r="M8" s="41">
        <v>0</v>
      </c>
    </row>
    <row r="9" spans="1:13" x14ac:dyDescent="0.25">
      <c r="A9" s="127"/>
      <c r="B9" s="16" t="s">
        <v>110</v>
      </c>
      <c r="C9" s="17" t="s">
        <v>8</v>
      </c>
      <c r="D9" s="31"/>
      <c r="E9" s="55"/>
      <c r="F9" s="96"/>
      <c r="G9" s="55"/>
      <c r="H9" s="125">
        <v>751</v>
      </c>
      <c r="I9" s="55"/>
      <c r="J9" s="13"/>
      <c r="K9" s="13"/>
      <c r="L9" s="15"/>
      <c r="M9" s="13"/>
    </row>
    <row r="10" spans="1:13" x14ac:dyDescent="0.25">
      <c r="A10" s="127"/>
      <c r="B10" s="16" t="s">
        <v>110</v>
      </c>
      <c r="C10" s="17" t="s">
        <v>9</v>
      </c>
      <c r="D10" s="31"/>
      <c r="E10" s="55"/>
      <c r="F10" s="96"/>
      <c r="G10" s="55"/>
      <c r="H10" s="125"/>
      <c r="I10" s="55"/>
      <c r="J10" s="13"/>
      <c r="K10" s="13"/>
      <c r="L10" s="15"/>
      <c r="M10" s="13"/>
    </row>
    <row r="11" spans="1:13" x14ac:dyDescent="0.25">
      <c r="A11" s="127"/>
      <c r="B11" s="16" t="s">
        <v>110</v>
      </c>
      <c r="C11" s="17" t="s">
        <v>10</v>
      </c>
      <c r="D11" s="31"/>
      <c r="E11" s="55"/>
      <c r="F11" s="96"/>
      <c r="G11" s="55"/>
      <c r="H11" s="125"/>
      <c r="I11" s="55"/>
      <c r="J11" s="13"/>
      <c r="K11" s="13"/>
      <c r="L11" s="15"/>
      <c r="M11" s="13"/>
    </row>
    <row r="12" spans="1:13" x14ac:dyDescent="0.25">
      <c r="A12" s="127"/>
      <c r="B12" s="16" t="s">
        <v>110</v>
      </c>
      <c r="C12" s="17" t="s">
        <v>11</v>
      </c>
      <c r="D12" s="31"/>
      <c r="E12" s="55"/>
      <c r="F12" s="96"/>
      <c r="G12" s="55"/>
      <c r="H12" s="125"/>
      <c r="I12" s="55"/>
      <c r="J12" s="13"/>
      <c r="K12" s="13"/>
      <c r="L12" s="15"/>
      <c r="M12" s="13"/>
    </row>
    <row r="13" spans="1:13" x14ac:dyDescent="0.25">
      <c r="A13" s="127"/>
      <c r="B13" s="16" t="s">
        <v>110</v>
      </c>
      <c r="C13" s="17" t="s">
        <v>12</v>
      </c>
      <c r="D13" s="31"/>
      <c r="E13" s="55"/>
      <c r="F13" s="96"/>
      <c r="G13" s="55"/>
      <c r="H13" s="125"/>
      <c r="I13" s="55"/>
      <c r="J13" s="13"/>
      <c r="K13" s="13"/>
      <c r="L13" s="15"/>
      <c r="M13" s="13"/>
    </row>
    <row r="14" spans="1:13" x14ac:dyDescent="0.25">
      <c r="A14" s="127"/>
      <c r="B14" s="16" t="s">
        <v>110</v>
      </c>
      <c r="C14" s="17" t="s">
        <v>13</v>
      </c>
      <c r="D14" s="31"/>
      <c r="E14" s="55"/>
      <c r="F14" s="96"/>
      <c r="G14" s="55"/>
      <c r="H14" s="125"/>
      <c r="I14" s="55"/>
      <c r="J14" s="13"/>
      <c r="K14" s="13"/>
      <c r="L14" s="15"/>
      <c r="M14" s="13"/>
    </row>
    <row r="15" spans="1:13" x14ac:dyDescent="0.25">
      <c r="A15" s="127"/>
      <c r="B15" s="16" t="s">
        <v>110</v>
      </c>
      <c r="C15" s="17" t="s">
        <v>14</v>
      </c>
      <c r="D15" s="31"/>
      <c r="E15" s="55"/>
      <c r="F15" s="96"/>
      <c r="G15" s="55"/>
      <c r="H15" s="125"/>
      <c r="I15" s="55"/>
      <c r="J15" s="13"/>
      <c r="K15" s="13"/>
      <c r="L15" s="15"/>
      <c r="M15" s="13"/>
    </row>
    <row r="16" spans="1:13" x14ac:dyDescent="0.25">
      <c r="A16" s="127"/>
      <c r="B16" s="50"/>
      <c r="C16" s="51"/>
      <c r="D16" s="56"/>
      <c r="E16" s="56"/>
      <c r="F16" s="5"/>
      <c r="G16" s="5"/>
      <c r="H16" s="5"/>
      <c r="I16" s="5"/>
      <c r="J16" s="5"/>
      <c r="K16" s="5"/>
      <c r="L16" s="45"/>
      <c r="M16" s="5"/>
    </row>
    <row r="17" spans="1:19" ht="3.75" customHeight="1" x14ac:dyDescent="0.4">
      <c r="A17" s="9"/>
      <c r="D17" s="10"/>
    </row>
    <row r="18" spans="1:19" s="1" customFormat="1" ht="76.5" customHeight="1" x14ac:dyDescent="0.25">
      <c r="A18" s="128" t="s">
        <v>16</v>
      </c>
      <c r="B18" s="2" t="s">
        <v>18</v>
      </c>
      <c r="C18" s="48" t="s">
        <v>2</v>
      </c>
      <c r="D18" s="49" t="s">
        <v>120</v>
      </c>
      <c r="E18" s="49" t="s">
        <v>122</v>
      </c>
      <c r="F18" s="49" t="s">
        <v>123</v>
      </c>
      <c r="G18" s="49" t="s">
        <v>125</v>
      </c>
      <c r="H18" s="49" t="s">
        <v>126</v>
      </c>
      <c r="I18" s="49" t="s">
        <v>127</v>
      </c>
      <c r="J18" s="49" t="s">
        <v>128</v>
      </c>
      <c r="K18" s="49" t="s">
        <v>130</v>
      </c>
      <c r="L18" s="49" t="s">
        <v>131</v>
      </c>
      <c r="M18" s="49" t="s">
        <v>132</v>
      </c>
      <c r="N18" s="49" t="s">
        <v>133</v>
      </c>
      <c r="O18" s="49" t="s">
        <v>134</v>
      </c>
    </row>
    <row r="19" spans="1:19" x14ac:dyDescent="0.25">
      <c r="A19" s="128"/>
      <c r="B19" s="18" t="s">
        <v>110</v>
      </c>
      <c r="C19" s="19" t="s">
        <v>5</v>
      </c>
      <c r="D19" s="126" t="s">
        <v>116</v>
      </c>
      <c r="E19" s="41" t="s">
        <v>121</v>
      </c>
      <c r="F19" s="41" t="s">
        <v>124</v>
      </c>
      <c r="G19" s="126" t="s">
        <v>136</v>
      </c>
      <c r="H19" s="126" t="s">
        <v>116</v>
      </c>
      <c r="I19" s="40">
        <v>1</v>
      </c>
      <c r="J19" s="41" t="s">
        <v>129</v>
      </c>
      <c r="K19" s="37">
        <v>1</v>
      </c>
      <c r="L19" s="37">
        <v>1</v>
      </c>
      <c r="M19" s="37">
        <v>1</v>
      </c>
      <c r="N19" s="37">
        <v>1</v>
      </c>
      <c r="O19" s="37">
        <v>1</v>
      </c>
    </row>
    <row r="20" spans="1:19" x14ac:dyDescent="0.25">
      <c r="A20" s="128"/>
      <c r="B20" s="18" t="s">
        <v>110</v>
      </c>
      <c r="C20" s="19" t="s">
        <v>3</v>
      </c>
      <c r="D20" s="126" t="s">
        <v>116</v>
      </c>
      <c r="E20" s="41" t="s">
        <v>121</v>
      </c>
      <c r="F20" s="41" t="s">
        <v>135</v>
      </c>
      <c r="G20" s="126" t="s">
        <v>136</v>
      </c>
      <c r="H20" s="126" t="s">
        <v>116</v>
      </c>
      <c r="I20" s="40">
        <v>1</v>
      </c>
      <c r="J20" s="40">
        <v>1</v>
      </c>
      <c r="K20" s="37">
        <v>1</v>
      </c>
      <c r="L20" s="37">
        <v>1</v>
      </c>
      <c r="M20" s="37">
        <v>1</v>
      </c>
      <c r="N20" s="37">
        <v>1</v>
      </c>
      <c r="O20" s="37">
        <v>1</v>
      </c>
    </row>
    <row r="21" spans="1:19" x14ac:dyDescent="0.25">
      <c r="A21" s="128"/>
      <c r="B21" s="18" t="s">
        <v>110</v>
      </c>
      <c r="C21" s="19" t="s">
        <v>4</v>
      </c>
      <c r="D21" s="126" t="s">
        <v>116</v>
      </c>
      <c r="E21" s="41" t="s">
        <v>121</v>
      </c>
      <c r="F21" s="41" t="s">
        <v>124</v>
      </c>
      <c r="G21" s="126" t="s">
        <v>137</v>
      </c>
      <c r="H21" s="126" t="s">
        <v>116</v>
      </c>
      <c r="I21" s="40">
        <v>1</v>
      </c>
      <c r="J21" s="40">
        <v>1</v>
      </c>
      <c r="K21" s="37">
        <v>1</v>
      </c>
      <c r="L21" s="37">
        <v>1</v>
      </c>
      <c r="M21" s="37">
        <v>1</v>
      </c>
      <c r="N21" s="37">
        <v>1</v>
      </c>
      <c r="O21" s="37">
        <v>1</v>
      </c>
    </row>
    <row r="22" spans="1:19" x14ac:dyDescent="0.25">
      <c r="A22" s="128"/>
      <c r="B22" s="18" t="s">
        <v>110</v>
      </c>
      <c r="C22" s="19" t="s">
        <v>6</v>
      </c>
      <c r="D22" s="126" t="s">
        <v>116</v>
      </c>
      <c r="E22" s="41" t="s">
        <v>121</v>
      </c>
      <c r="F22" s="41" t="s">
        <v>124</v>
      </c>
      <c r="G22" s="126" t="s">
        <v>137</v>
      </c>
      <c r="H22" s="126" t="s">
        <v>116</v>
      </c>
      <c r="I22" s="40">
        <v>1</v>
      </c>
      <c r="J22" s="40">
        <v>1</v>
      </c>
      <c r="K22" s="37">
        <v>1</v>
      </c>
      <c r="L22" s="37">
        <v>1</v>
      </c>
      <c r="M22" s="37">
        <v>1</v>
      </c>
      <c r="N22" s="37">
        <v>1</v>
      </c>
      <c r="O22" s="37">
        <v>1</v>
      </c>
    </row>
    <row r="23" spans="1:19" x14ac:dyDescent="0.25">
      <c r="A23" s="128"/>
      <c r="B23" s="18" t="s">
        <v>110</v>
      </c>
      <c r="C23" s="19" t="s">
        <v>7</v>
      </c>
      <c r="D23" s="126" t="s">
        <v>116</v>
      </c>
      <c r="E23" s="41" t="s">
        <v>121</v>
      </c>
      <c r="F23" s="41" t="s">
        <v>124</v>
      </c>
      <c r="G23" s="126" t="s">
        <v>137</v>
      </c>
      <c r="H23" s="126" t="s">
        <v>116</v>
      </c>
      <c r="I23" s="40">
        <v>1</v>
      </c>
      <c r="J23" s="40">
        <v>1</v>
      </c>
      <c r="K23" s="37">
        <v>1</v>
      </c>
      <c r="L23" s="37">
        <v>1</v>
      </c>
      <c r="M23" s="37">
        <v>1</v>
      </c>
      <c r="N23" s="37">
        <v>1</v>
      </c>
      <c r="O23" s="37">
        <v>1</v>
      </c>
    </row>
    <row r="24" spans="1:19" x14ac:dyDescent="0.25">
      <c r="A24" s="128"/>
      <c r="B24" s="18" t="s">
        <v>110</v>
      </c>
      <c r="C24" s="19" t="s">
        <v>8</v>
      </c>
      <c r="D24" s="126"/>
      <c r="E24" s="41"/>
      <c r="F24" s="41"/>
      <c r="G24" s="126"/>
      <c r="H24" s="126"/>
      <c r="I24" s="40"/>
      <c r="J24" s="41"/>
      <c r="K24" s="37"/>
      <c r="L24" s="46"/>
      <c r="M24" s="46"/>
      <c r="N24" s="13"/>
      <c r="O24" s="13"/>
    </row>
    <row r="25" spans="1:19" x14ac:dyDescent="0.25">
      <c r="A25" s="128"/>
      <c r="B25" s="18" t="s">
        <v>110</v>
      </c>
      <c r="C25" s="19" t="s">
        <v>9</v>
      </c>
      <c r="D25" s="126"/>
      <c r="E25" s="41"/>
      <c r="F25" s="41"/>
      <c r="G25" s="126"/>
      <c r="H25" s="126"/>
      <c r="I25" s="40"/>
      <c r="J25" s="41"/>
      <c r="K25" s="37"/>
      <c r="L25" s="46"/>
      <c r="M25" s="46"/>
      <c r="N25" s="13"/>
      <c r="O25" s="13"/>
    </row>
    <row r="26" spans="1:19" x14ac:dyDescent="0.25">
      <c r="A26" s="128"/>
      <c r="B26" s="18" t="s">
        <v>110</v>
      </c>
      <c r="C26" s="19" t="s">
        <v>10</v>
      </c>
      <c r="D26" s="126"/>
      <c r="E26" s="41"/>
      <c r="F26" s="41"/>
      <c r="G26" s="126"/>
      <c r="H26" s="126"/>
      <c r="I26" s="40"/>
      <c r="J26" s="41"/>
      <c r="K26" s="37"/>
      <c r="L26" s="46"/>
      <c r="M26" s="46"/>
      <c r="N26" s="13"/>
      <c r="O26" s="13"/>
    </row>
    <row r="27" spans="1:19" x14ac:dyDescent="0.25">
      <c r="A27" s="128"/>
      <c r="B27" s="18" t="s">
        <v>110</v>
      </c>
      <c r="C27" s="19" t="s">
        <v>11</v>
      </c>
      <c r="D27" s="126"/>
      <c r="E27" s="41"/>
      <c r="F27" s="41"/>
      <c r="G27" s="126"/>
      <c r="H27" s="126"/>
      <c r="I27" s="40"/>
      <c r="J27" s="41"/>
      <c r="K27" s="37"/>
      <c r="L27" s="46"/>
      <c r="M27" s="46"/>
      <c r="N27" s="13"/>
      <c r="O27" s="13"/>
    </row>
    <row r="28" spans="1:19" x14ac:dyDescent="0.25">
      <c r="A28" s="128"/>
      <c r="B28" s="18" t="s">
        <v>110</v>
      </c>
      <c r="C28" s="19" t="s">
        <v>12</v>
      </c>
      <c r="D28" s="126"/>
      <c r="E28" s="41"/>
      <c r="F28" s="41"/>
      <c r="G28" s="126"/>
      <c r="H28" s="126"/>
      <c r="I28" s="40"/>
      <c r="J28" s="41"/>
      <c r="K28" s="37"/>
      <c r="L28" s="46"/>
      <c r="M28" s="46"/>
      <c r="N28" s="13"/>
      <c r="O28" s="13"/>
    </row>
    <row r="29" spans="1:19" x14ac:dyDescent="0.25">
      <c r="A29" s="128"/>
      <c r="B29" s="18" t="s">
        <v>110</v>
      </c>
      <c r="C29" s="19" t="s">
        <v>13</v>
      </c>
      <c r="D29" s="126"/>
      <c r="E29" s="41"/>
      <c r="F29" s="41"/>
      <c r="G29" s="126"/>
      <c r="H29" s="126"/>
      <c r="I29" s="40"/>
      <c r="J29" s="41"/>
      <c r="K29" s="37"/>
      <c r="L29" s="46"/>
      <c r="M29" s="46"/>
      <c r="N29" s="13"/>
      <c r="O29" s="13"/>
    </row>
    <row r="30" spans="1:19" x14ac:dyDescent="0.25">
      <c r="A30" s="128"/>
      <c r="B30" s="18" t="s">
        <v>110</v>
      </c>
      <c r="C30" s="19" t="s">
        <v>14</v>
      </c>
      <c r="D30" s="126"/>
      <c r="E30" s="41"/>
      <c r="F30" s="41"/>
      <c r="G30" s="126"/>
      <c r="H30" s="126"/>
      <c r="I30" s="40"/>
      <c r="J30" s="41"/>
      <c r="K30" s="37"/>
      <c r="L30" s="46"/>
      <c r="M30" s="46"/>
      <c r="N30" s="13"/>
      <c r="O30" s="13"/>
    </row>
    <row r="31" spans="1:19" x14ac:dyDescent="0.25">
      <c r="A31" s="128"/>
      <c r="B31" s="52"/>
      <c r="C31" s="53"/>
      <c r="D31" s="6"/>
      <c r="E31" s="6"/>
      <c r="F31" s="6"/>
      <c r="G31" s="124"/>
      <c r="H31" s="124"/>
      <c r="I31" s="34"/>
      <c r="J31" s="6"/>
      <c r="K31" s="6"/>
      <c r="L31" s="6"/>
      <c r="M31" s="6"/>
      <c r="N31" s="6"/>
      <c r="O31" s="6"/>
    </row>
    <row r="32" spans="1:19" x14ac:dyDescent="0.25"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</row>
  </sheetData>
  <mergeCells count="2">
    <mergeCell ref="A3:A16"/>
    <mergeCell ref="A18:A3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3"/>
  <sheetViews>
    <sheetView showGridLines="0" workbookViewId="0">
      <pane xSplit="2" ySplit="3" topLeftCell="C19" activePane="bottomRight" state="frozen"/>
      <selection pane="topRight" activeCell="B1" sqref="B1"/>
      <selection pane="bottomLeft" activeCell="A4" sqref="A4"/>
      <selection pane="bottomRight" activeCell="H4" sqref="H4"/>
    </sheetView>
  </sheetViews>
  <sheetFormatPr defaultRowHeight="15" x14ac:dyDescent="0.25"/>
  <cols>
    <col min="2" max="2" width="6.42578125" bestFit="1" customWidth="1"/>
    <col min="3" max="3" width="7.42578125" bestFit="1" customWidth="1"/>
    <col min="4" max="4" width="7.85546875" bestFit="1" customWidth="1"/>
    <col min="5" max="5" width="8" bestFit="1" customWidth="1"/>
    <col min="6" max="6" width="11.42578125" style="106" bestFit="1" customWidth="1"/>
    <col min="7" max="7" width="4" customWidth="1"/>
    <col min="8" max="8" width="9.140625" style="112"/>
    <col min="9" max="9" width="6" style="113" customWidth="1"/>
    <col min="10" max="11" width="9.140625" style="120"/>
    <col min="12" max="12" width="9.140625" style="116"/>
    <col min="13" max="18" width="9.140625" style="112"/>
    <col min="19" max="19" width="9.140625" style="113"/>
    <col min="20" max="21" width="9.140625" style="112"/>
    <col min="22" max="22" width="9.140625" style="116"/>
  </cols>
  <sheetData>
    <row r="1" spans="1:22" x14ac:dyDescent="0.25">
      <c r="B1" s="97"/>
      <c r="C1" s="97"/>
      <c r="D1" s="97"/>
      <c r="E1" s="97"/>
      <c r="F1" s="103"/>
      <c r="H1" s="107"/>
      <c r="I1" s="108"/>
      <c r="J1" s="117"/>
      <c r="K1" s="117"/>
      <c r="L1" s="114"/>
      <c r="M1" s="107"/>
      <c r="N1" s="107"/>
      <c r="O1" s="107"/>
      <c r="P1" s="107"/>
      <c r="Q1" s="107"/>
      <c r="R1" s="107"/>
      <c r="S1" s="108"/>
      <c r="T1" s="107"/>
      <c r="U1" s="107"/>
      <c r="V1" s="114"/>
    </row>
    <row r="2" spans="1:22" ht="17.25" x14ac:dyDescent="0.3">
      <c r="B2" s="98"/>
      <c r="C2" s="97"/>
      <c r="D2" s="137" t="s">
        <v>84</v>
      </c>
      <c r="E2" s="137"/>
      <c r="F2" s="103"/>
      <c r="H2" s="100" t="s">
        <v>39</v>
      </c>
      <c r="I2" s="108"/>
      <c r="J2" s="135" t="s">
        <v>84</v>
      </c>
      <c r="K2" s="135"/>
      <c r="L2" s="114"/>
      <c r="M2" s="100" t="s">
        <v>37</v>
      </c>
      <c r="N2" s="107"/>
      <c r="O2" s="136" t="s">
        <v>84</v>
      </c>
      <c r="P2" s="136"/>
      <c r="Q2" s="107"/>
      <c r="R2" s="100" t="s">
        <v>62</v>
      </c>
      <c r="S2" s="108"/>
      <c r="T2" s="136" t="s">
        <v>84</v>
      </c>
      <c r="U2" s="136"/>
      <c r="V2" s="114"/>
    </row>
    <row r="3" spans="1:22" ht="65.25" x14ac:dyDescent="0.3">
      <c r="A3" s="98"/>
      <c r="B3" s="99" t="s">
        <v>85</v>
      </c>
      <c r="C3" s="99" t="s">
        <v>86</v>
      </c>
      <c r="D3" s="99" t="s">
        <v>87</v>
      </c>
      <c r="E3" s="99" t="s">
        <v>88</v>
      </c>
      <c r="F3" s="104" t="s">
        <v>89</v>
      </c>
      <c r="H3" s="109" t="s">
        <v>85</v>
      </c>
      <c r="I3" s="110" t="s">
        <v>86</v>
      </c>
      <c r="J3" s="118" t="s">
        <v>87</v>
      </c>
      <c r="K3" s="118" t="s">
        <v>88</v>
      </c>
      <c r="L3" s="115" t="s">
        <v>89</v>
      </c>
      <c r="M3" s="109" t="s">
        <v>85</v>
      </c>
      <c r="N3" s="109" t="s">
        <v>86</v>
      </c>
      <c r="O3" s="109" t="s">
        <v>87</v>
      </c>
      <c r="P3" s="109" t="s">
        <v>88</v>
      </c>
      <c r="Q3" s="109" t="s">
        <v>89</v>
      </c>
      <c r="R3" s="109" t="s">
        <v>85</v>
      </c>
      <c r="S3" s="110" t="s">
        <v>86</v>
      </c>
      <c r="T3" s="109" t="s">
        <v>87</v>
      </c>
      <c r="U3" s="109" t="s">
        <v>88</v>
      </c>
      <c r="V3" s="115" t="s">
        <v>89</v>
      </c>
    </row>
    <row r="4" spans="1:22" ht="17.25" x14ac:dyDescent="0.3">
      <c r="A4" s="100" t="s">
        <v>39</v>
      </c>
      <c r="B4" s="101" t="s">
        <v>90</v>
      </c>
      <c r="C4" s="101">
        <v>7</v>
      </c>
      <c r="D4" s="102">
        <v>0.93799999999999994</v>
      </c>
      <c r="E4" s="102">
        <v>4.65E-2</v>
      </c>
      <c r="F4" s="105">
        <v>5.3</v>
      </c>
      <c r="H4" s="101" t="s">
        <v>90</v>
      </c>
      <c r="I4" s="111">
        <f t="shared" ref="I4:I5" si="0">AVERAGEIF($B$4:$B$43,H4,$C$4:$C$43)</f>
        <v>7</v>
      </c>
      <c r="J4" s="119">
        <f t="shared" ref="J4:J5" si="1">AVERAGEIF($B$4:$B$43,H4,$D$4:$D$43)</f>
        <v>0.93799999999999994</v>
      </c>
      <c r="K4" s="119">
        <f t="shared" ref="K4:K5" si="2">AVERAGEIF($B$4:$B$43,H4,$E$4:$E$43)</f>
        <v>4.65E-2</v>
      </c>
      <c r="L4" s="105">
        <f t="shared" ref="L4:L5" si="3">SUMIF($B$4:$B$43,H4,$F$4:$F$43)</f>
        <v>5.3</v>
      </c>
      <c r="M4" s="101" t="s">
        <v>98</v>
      </c>
      <c r="N4" s="111">
        <f t="shared" ref="N4:N9" si="4">AVERAGEIF($B$4:$B$43,M4,$C$4:$C$43)</f>
        <v>2.5</v>
      </c>
      <c r="O4" s="119">
        <f t="shared" ref="O4:O9" si="5">AVERAGEIF($B$4:$B$43,M4,$D$4:$D$43)</f>
        <v>0.87114999999999998</v>
      </c>
      <c r="P4" s="119">
        <f t="shared" ref="P4:P9" si="6">AVERAGEIF($B$4:$B$43,M4,$E$4:$E$43)</f>
        <v>0.12884999999999999</v>
      </c>
      <c r="Q4" s="105">
        <f t="shared" ref="Q4:Q9" si="7">SUMIF($B$4:$B$43,M4,$F$4:$F$43)</f>
        <v>4.3999999999999995</v>
      </c>
      <c r="R4" s="101" t="s">
        <v>94</v>
      </c>
      <c r="S4" s="111">
        <f t="shared" ref="S4:S10" si="8">AVERAGEIF($B$4:$B$43,R4,$C$4:$C$43)</f>
        <v>3</v>
      </c>
      <c r="T4" s="119">
        <f t="shared" ref="T4:T10" si="9">AVERAGEIF($B$4:$B$43,R4,$D$4:$D$43)</f>
        <v>0.94664999999999999</v>
      </c>
      <c r="U4" s="119">
        <f t="shared" ref="U4:U10" si="10">AVERAGEIF($B$4:$B$43,R4,$E$4:$E$43)</f>
        <v>5.3350000000000002E-2</v>
      </c>
      <c r="V4" s="105">
        <f t="shared" ref="V4:V10" si="11">SUMIF($B$4:$B$43,R4,$F$4:$F$43)</f>
        <v>6.5</v>
      </c>
    </row>
    <row r="5" spans="1:22" ht="17.25" x14ac:dyDescent="0.3">
      <c r="A5" s="100" t="s">
        <v>39</v>
      </c>
      <c r="B5" s="101" t="s">
        <v>91</v>
      </c>
      <c r="C5" s="101">
        <v>7</v>
      </c>
      <c r="D5" s="102">
        <v>0.93520000000000003</v>
      </c>
      <c r="E5" s="102">
        <v>2.7799999999999998E-2</v>
      </c>
      <c r="F5" s="105">
        <v>3.5</v>
      </c>
      <c r="H5" s="101" t="s">
        <v>91</v>
      </c>
      <c r="I5" s="111">
        <f t="shared" si="0"/>
        <v>7</v>
      </c>
      <c r="J5" s="119">
        <f t="shared" si="1"/>
        <v>0.93520000000000003</v>
      </c>
      <c r="K5" s="119">
        <f t="shared" si="2"/>
        <v>2.7799999999999998E-2</v>
      </c>
      <c r="L5" s="105">
        <f t="shared" si="3"/>
        <v>3.5</v>
      </c>
      <c r="M5" s="101" t="s">
        <v>92</v>
      </c>
      <c r="N5" s="111">
        <f t="shared" si="4"/>
        <v>2.6666666666666665</v>
      </c>
      <c r="O5" s="119">
        <f t="shared" si="5"/>
        <v>0.98609999999999998</v>
      </c>
      <c r="P5" s="119">
        <f t="shared" si="6"/>
        <v>1.3900000000000001E-2</v>
      </c>
      <c r="Q5" s="105">
        <f t="shared" si="7"/>
        <v>5.0999999999999996</v>
      </c>
      <c r="R5" s="101" t="s">
        <v>92</v>
      </c>
      <c r="S5" s="111">
        <f t="shared" si="8"/>
        <v>2.6666666666666665</v>
      </c>
      <c r="T5" s="119">
        <f t="shared" si="9"/>
        <v>0.98609999999999998</v>
      </c>
      <c r="U5" s="119">
        <f t="shared" si="10"/>
        <v>1.3900000000000001E-2</v>
      </c>
      <c r="V5" s="105">
        <f t="shared" si="11"/>
        <v>5.0999999999999996</v>
      </c>
    </row>
    <row r="6" spans="1:22" ht="17.25" x14ac:dyDescent="0.3">
      <c r="A6" s="100" t="s">
        <v>36</v>
      </c>
      <c r="B6" s="101" t="s">
        <v>101</v>
      </c>
      <c r="C6" s="101">
        <v>4</v>
      </c>
      <c r="D6" s="102">
        <v>0.91479999999999995</v>
      </c>
      <c r="E6" s="102">
        <v>8.5199999999999998E-2</v>
      </c>
      <c r="F6" s="105">
        <v>2.6</v>
      </c>
      <c r="H6" s="101" t="s">
        <v>92</v>
      </c>
      <c r="I6" s="111">
        <f>AVERAGEIF($B$4:$B$43,H6,$C$4:$C$43)</f>
        <v>2.6666666666666665</v>
      </c>
      <c r="J6" s="119">
        <f>AVERAGEIF($B$4:$B$43,H6,$D$4:$D$43)</f>
        <v>0.98609999999999998</v>
      </c>
      <c r="K6" s="119">
        <f>AVERAGEIF($B$4:$B$43,H6,$E$4:$E$43)</f>
        <v>1.3900000000000001E-2</v>
      </c>
      <c r="L6" s="105">
        <f>SUMIF($B$4:$B$43,H6,$F$4:$F$43)</f>
        <v>5.0999999999999996</v>
      </c>
      <c r="M6" s="101" t="s">
        <v>94</v>
      </c>
      <c r="N6" s="111">
        <f t="shared" si="4"/>
        <v>3</v>
      </c>
      <c r="O6" s="119">
        <f t="shared" si="5"/>
        <v>0.94664999999999999</v>
      </c>
      <c r="P6" s="119">
        <f t="shared" si="6"/>
        <v>5.3350000000000002E-2</v>
      </c>
      <c r="Q6" s="105">
        <f t="shared" si="7"/>
        <v>6.5</v>
      </c>
      <c r="R6" s="101" t="s">
        <v>98</v>
      </c>
      <c r="S6" s="111">
        <f t="shared" si="8"/>
        <v>2.5</v>
      </c>
      <c r="T6" s="119">
        <f t="shared" si="9"/>
        <v>0.87114999999999998</v>
      </c>
      <c r="U6" s="119">
        <f t="shared" si="10"/>
        <v>0.12884999999999999</v>
      </c>
      <c r="V6" s="105">
        <f t="shared" si="11"/>
        <v>4.3999999999999995</v>
      </c>
    </row>
    <row r="7" spans="1:22" ht="17.25" x14ac:dyDescent="0.3">
      <c r="A7" s="100" t="s">
        <v>38</v>
      </c>
      <c r="B7" s="101" t="s">
        <v>101</v>
      </c>
      <c r="C7" s="101">
        <v>2</v>
      </c>
      <c r="D7" s="102">
        <v>1</v>
      </c>
      <c r="E7" s="102">
        <v>0</v>
      </c>
      <c r="F7" s="105">
        <v>1.9396342859999999E-2</v>
      </c>
      <c r="H7" s="101" t="s">
        <v>93</v>
      </c>
      <c r="I7" s="111">
        <f t="shared" ref="I7:I9" si="12">AVERAGEIF($B$4:$B$43,H7,$C$4:$C$43)</f>
        <v>5.5</v>
      </c>
      <c r="J7" s="119">
        <f t="shared" ref="J7:J9" si="13">AVERAGEIF($B$4:$B$43,H7,$D$4:$D$43)</f>
        <v>0.64149999999999996</v>
      </c>
      <c r="K7" s="119">
        <f t="shared" ref="K7:K9" si="14">AVERAGEIF($B$4:$B$43,H7,$E$4:$E$43)</f>
        <v>0.17924999999999999</v>
      </c>
      <c r="L7" s="105">
        <f t="shared" ref="L7:L9" si="15">SUMIF($B$4:$B$43,H7,$F$4:$F$43)</f>
        <v>4.8999999999999995</v>
      </c>
      <c r="M7" s="101" t="s">
        <v>99</v>
      </c>
      <c r="N7" s="111">
        <f t="shared" si="4"/>
        <v>2.5</v>
      </c>
      <c r="O7" s="119">
        <f t="shared" si="5"/>
        <v>0.92922499999999997</v>
      </c>
      <c r="P7" s="119">
        <f t="shared" si="6"/>
        <v>7.0775000000000005E-2</v>
      </c>
      <c r="Q7" s="105">
        <f t="shared" si="7"/>
        <v>5</v>
      </c>
      <c r="R7" s="101" t="s">
        <v>93</v>
      </c>
      <c r="S7" s="111">
        <f t="shared" si="8"/>
        <v>5.5</v>
      </c>
      <c r="T7" s="119">
        <f t="shared" si="9"/>
        <v>0.64149999999999996</v>
      </c>
      <c r="U7" s="119">
        <f t="shared" si="10"/>
        <v>0.17924999999999999</v>
      </c>
      <c r="V7" s="105">
        <f t="shared" si="11"/>
        <v>4.8999999999999995</v>
      </c>
    </row>
    <row r="8" spans="1:22" ht="17.25" x14ac:dyDescent="0.3">
      <c r="A8" s="100" t="s">
        <v>36</v>
      </c>
      <c r="B8" s="101" t="s">
        <v>102</v>
      </c>
      <c r="C8" s="101">
        <v>4</v>
      </c>
      <c r="D8" s="102">
        <v>0.93430000000000002</v>
      </c>
      <c r="E8" s="102">
        <v>6.5699999999999995E-2</v>
      </c>
      <c r="F8" s="105">
        <v>2.2000000000000002</v>
      </c>
      <c r="H8" s="101" t="s">
        <v>100</v>
      </c>
      <c r="I8" s="111">
        <f t="shared" si="12"/>
        <v>2</v>
      </c>
      <c r="J8" s="119">
        <f t="shared" si="13"/>
        <v>1</v>
      </c>
      <c r="K8" s="119">
        <f t="shared" si="14"/>
        <v>0</v>
      </c>
      <c r="L8" s="105">
        <f t="shared" si="15"/>
        <v>5.2</v>
      </c>
      <c r="M8" s="101" t="s">
        <v>96</v>
      </c>
      <c r="N8" s="111">
        <f t="shared" si="4"/>
        <v>4.25</v>
      </c>
      <c r="O8" s="119">
        <f t="shared" si="5"/>
        <v>0.79837499999999995</v>
      </c>
      <c r="P8" s="119">
        <f t="shared" si="6"/>
        <v>0.11545</v>
      </c>
      <c r="Q8" s="105">
        <f t="shared" si="7"/>
        <v>4.1015554666669995</v>
      </c>
      <c r="R8" s="101" t="s">
        <v>97</v>
      </c>
      <c r="S8" s="111">
        <f t="shared" si="8"/>
        <v>5</v>
      </c>
      <c r="T8" s="119">
        <f t="shared" si="9"/>
        <v>0.86719999999999997</v>
      </c>
      <c r="U8" s="119">
        <f t="shared" si="10"/>
        <v>0.1094</v>
      </c>
      <c r="V8" s="105">
        <f t="shared" si="11"/>
        <v>4.8</v>
      </c>
    </row>
    <row r="9" spans="1:22" ht="17.25" x14ac:dyDescent="0.3">
      <c r="A9" s="100" t="s">
        <v>38</v>
      </c>
      <c r="B9" s="101" t="s">
        <v>102</v>
      </c>
      <c r="C9" s="101">
        <v>0</v>
      </c>
      <c r="D9" s="102">
        <v>1</v>
      </c>
      <c r="E9" s="102">
        <v>0</v>
      </c>
      <c r="F9" s="105">
        <v>4.2499999999999998E-4</v>
      </c>
      <c r="H9" s="101" t="s">
        <v>108</v>
      </c>
      <c r="I9" s="111">
        <f t="shared" si="12"/>
        <v>5</v>
      </c>
      <c r="J9" s="119">
        <f t="shared" si="13"/>
        <v>0.83026666666666671</v>
      </c>
      <c r="K9" s="119">
        <f t="shared" si="14"/>
        <v>8.2633333333333336E-2</v>
      </c>
      <c r="L9" s="105">
        <f t="shared" si="15"/>
        <v>2.0445826</v>
      </c>
      <c r="M9" s="101" t="s">
        <v>95</v>
      </c>
      <c r="N9" s="111">
        <f t="shared" si="4"/>
        <v>7</v>
      </c>
      <c r="O9" s="119">
        <f t="shared" si="5"/>
        <v>0.40900000000000003</v>
      </c>
      <c r="P9" s="119">
        <f t="shared" si="6"/>
        <v>0.24015</v>
      </c>
      <c r="Q9" s="105">
        <f t="shared" si="7"/>
        <v>3.9</v>
      </c>
      <c r="R9" s="101" t="s">
        <v>96</v>
      </c>
      <c r="S9" s="111">
        <f t="shared" si="8"/>
        <v>4.25</v>
      </c>
      <c r="T9" s="119">
        <f t="shared" si="9"/>
        <v>0.79837499999999995</v>
      </c>
      <c r="U9" s="119">
        <f t="shared" si="10"/>
        <v>0.11545</v>
      </c>
      <c r="V9" s="105">
        <f t="shared" si="11"/>
        <v>4.1015554666669995</v>
      </c>
    </row>
    <row r="10" spans="1:22" ht="17.25" x14ac:dyDescent="0.3">
      <c r="A10" s="100" t="s">
        <v>51</v>
      </c>
      <c r="B10" s="101" t="s">
        <v>105</v>
      </c>
      <c r="C10" s="101">
        <v>3</v>
      </c>
      <c r="D10" s="102">
        <v>0.9</v>
      </c>
      <c r="E10" s="102">
        <v>0.1</v>
      </c>
      <c r="F10" s="105">
        <v>1</v>
      </c>
      <c r="H10" s="107"/>
      <c r="I10" s="108"/>
      <c r="J10" s="117"/>
      <c r="K10" s="117"/>
      <c r="L10" s="114"/>
      <c r="M10" s="107"/>
      <c r="N10" s="107"/>
      <c r="O10" s="107"/>
      <c r="P10" s="107"/>
      <c r="Q10" s="107"/>
      <c r="R10" s="101" t="s">
        <v>95</v>
      </c>
      <c r="S10" s="111">
        <f t="shared" si="8"/>
        <v>7</v>
      </c>
      <c r="T10" s="119">
        <f t="shared" si="9"/>
        <v>0.40900000000000003</v>
      </c>
      <c r="U10" s="119">
        <f t="shared" si="10"/>
        <v>0.24015</v>
      </c>
      <c r="V10" s="105">
        <f t="shared" si="11"/>
        <v>3.9</v>
      </c>
    </row>
    <row r="11" spans="1:22" ht="17.25" x14ac:dyDescent="0.3">
      <c r="A11" s="100" t="s">
        <v>38</v>
      </c>
      <c r="B11" s="101" t="s">
        <v>105</v>
      </c>
      <c r="C11" s="101">
        <v>3</v>
      </c>
      <c r="D11" s="102">
        <v>0.97789999999999999</v>
      </c>
      <c r="E11" s="102">
        <v>2.2100000000000002E-2</v>
      </c>
      <c r="F11" s="105">
        <v>1.7</v>
      </c>
      <c r="I11" s="121">
        <f>AVERAGE(I4:I10)</f>
        <v>4.8611111111111116</v>
      </c>
      <c r="J11" s="122">
        <f>AVERAGE(J4:J10)</f>
        <v>0.88851111111111114</v>
      </c>
      <c r="K11" s="122">
        <f>AVERAGE(K4:K10)</f>
        <v>5.8347222222222217E-2</v>
      </c>
      <c r="L11" s="123">
        <f>AVERAGE(L4:L10)</f>
        <v>4.3407637666666661</v>
      </c>
      <c r="N11" s="121">
        <f>AVERAGE(N4:N10)</f>
        <v>3.6527777777777772</v>
      </c>
      <c r="O11" s="122">
        <f>AVERAGE(O4:O10)</f>
        <v>0.82341666666666669</v>
      </c>
      <c r="P11" s="122">
        <f>AVERAGE(P4:P10)</f>
        <v>0.10374583333333333</v>
      </c>
      <c r="Q11" s="123">
        <f>AVERAGE(Q4:Q10)</f>
        <v>4.833592577777833</v>
      </c>
      <c r="R11" s="107"/>
      <c r="S11" s="121">
        <f>AVERAGE(S4:S10)</f>
        <v>4.2738095238095237</v>
      </c>
      <c r="T11" s="122">
        <f>AVERAGE(T4:T10)</f>
        <v>0.78856785714285704</v>
      </c>
      <c r="U11" s="122">
        <f>AVERAGE(U4:U10)</f>
        <v>0.12004999999999999</v>
      </c>
      <c r="V11" s="123">
        <f>AVERAGE(V4:V10)</f>
        <v>4.8145079238095709</v>
      </c>
    </row>
    <row r="12" spans="1:22" ht="17.25" x14ac:dyDescent="0.3">
      <c r="A12" s="100" t="s">
        <v>36</v>
      </c>
      <c r="B12" s="101" t="s">
        <v>104</v>
      </c>
      <c r="C12" s="101">
        <v>3</v>
      </c>
      <c r="D12" s="102">
        <v>0.87880000000000003</v>
      </c>
      <c r="E12" s="102">
        <v>0.1212</v>
      </c>
      <c r="F12" s="105">
        <v>0.8</v>
      </c>
      <c r="H12" s="107"/>
      <c r="I12" s="108"/>
      <c r="J12" s="117"/>
      <c r="K12" s="117"/>
      <c r="L12" s="114"/>
      <c r="M12" s="107"/>
      <c r="N12" s="107"/>
      <c r="O12" s="107"/>
      <c r="P12" s="107"/>
      <c r="Q12" s="107"/>
      <c r="R12" s="107"/>
      <c r="S12" s="108"/>
      <c r="T12" s="107"/>
      <c r="U12" s="107"/>
      <c r="V12" s="114"/>
    </row>
    <row r="13" spans="1:22" ht="27" x14ac:dyDescent="0.3">
      <c r="A13" s="100" t="s">
        <v>38</v>
      </c>
      <c r="B13" s="101" t="s">
        <v>104</v>
      </c>
      <c r="C13" s="101">
        <v>4</v>
      </c>
      <c r="D13" s="102">
        <v>0.91569999999999996</v>
      </c>
      <c r="E13" s="102">
        <v>8.43E-2</v>
      </c>
      <c r="F13" s="105">
        <v>1.2</v>
      </c>
      <c r="H13" s="100" t="s">
        <v>36</v>
      </c>
      <c r="I13" s="108"/>
      <c r="J13" s="118" t="s">
        <v>84</v>
      </c>
      <c r="K13" s="118"/>
      <c r="L13" s="114"/>
      <c r="M13" s="100" t="s">
        <v>38</v>
      </c>
      <c r="N13" s="107"/>
      <c r="O13" s="109" t="s">
        <v>84</v>
      </c>
      <c r="P13" s="109"/>
      <c r="Q13" s="107"/>
      <c r="R13" s="100" t="s">
        <v>51</v>
      </c>
      <c r="S13" s="108"/>
      <c r="T13" s="136" t="s">
        <v>84</v>
      </c>
      <c r="U13" s="136"/>
      <c r="V13" s="114"/>
    </row>
    <row r="14" spans="1:22" ht="65.25" x14ac:dyDescent="0.3">
      <c r="A14" s="100" t="s">
        <v>36</v>
      </c>
      <c r="B14" s="101" t="s">
        <v>103</v>
      </c>
      <c r="C14" s="101">
        <v>3</v>
      </c>
      <c r="D14" s="102">
        <v>0.85709999999999997</v>
      </c>
      <c r="E14" s="102">
        <v>0.1429</v>
      </c>
      <c r="F14" s="105">
        <v>3.2</v>
      </c>
      <c r="H14" s="109" t="s">
        <v>85</v>
      </c>
      <c r="I14" s="110" t="s">
        <v>86</v>
      </c>
      <c r="J14" s="118" t="s">
        <v>87</v>
      </c>
      <c r="K14" s="118" t="s">
        <v>88</v>
      </c>
      <c r="L14" s="115" t="s">
        <v>89</v>
      </c>
      <c r="M14" s="109" t="s">
        <v>85</v>
      </c>
      <c r="N14" s="109" t="s">
        <v>86</v>
      </c>
      <c r="O14" s="109" t="s">
        <v>87</v>
      </c>
      <c r="P14" s="109" t="s">
        <v>88</v>
      </c>
      <c r="Q14" s="109" t="s">
        <v>89</v>
      </c>
      <c r="R14" s="109" t="s">
        <v>85</v>
      </c>
      <c r="S14" s="110" t="s">
        <v>86</v>
      </c>
      <c r="T14" s="109" t="s">
        <v>87</v>
      </c>
      <c r="U14" s="109" t="s">
        <v>88</v>
      </c>
      <c r="V14" s="115" t="s">
        <v>89</v>
      </c>
    </row>
    <row r="15" spans="1:22" ht="17.25" x14ac:dyDescent="0.3">
      <c r="A15" s="100" t="s">
        <v>37</v>
      </c>
      <c r="B15" s="101" t="s">
        <v>92</v>
      </c>
      <c r="C15" s="101">
        <v>2</v>
      </c>
      <c r="D15" s="102">
        <v>1</v>
      </c>
      <c r="E15" s="102">
        <v>0</v>
      </c>
      <c r="F15" s="105">
        <v>1.7</v>
      </c>
      <c r="H15" s="101" t="s">
        <v>99</v>
      </c>
      <c r="I15" s="111">
        <f t="shared" ref="I15:I21" si="16">AVERAGEIF($B$4:$B$43,H15,$C$4:$C$43)</f>
        <v>2.5</v>
      </c>
      <c r="J15" s="119">
        <f t="shared" ref="J15:J21" si="17">AVERAGEIF($B$4:$B$43,H15,$D$4:$D$43)</f>
        <v>0.92922499999999997</v>
      </c>
      <c r="K15" s="119">
        <f t="shared" ref="K15:K21" si="18">AVERAGEIF($B$4:$B$43,H15,$E$4:$E$43)</f>
        <v>7.0775000000000005E-2</v>
      </c>
      <c r="L15" s="105">
        <f t="shared" ref="L15:L21" si="19">SUMIF($B$4:$B$43,H15,$F$4:$F$43)</f>
        <v>5</v>
      </c>
      <c r="M15" s="101" t="s">
        <v>96</v>
      </c>
      <c r="N15" s="111">
        <f t="shared" ref="N15:N22" si="20">AVERAGEIF($B$4:$B$43,M15,$C$4:$C$43)</f>
        <v>4.25</v>
      </c>
      <c r="O15" s="119">
        <f t="shared" ref="O15:O22" si="21">AVERAGEIF($B$4:$B$43,M15,$D$4:$D$43)</f>
        <v>0.79837499999999995</v>
      </c>
      <c r="P15" s="119">
        <f t="shared" ref="P15:P22" si="22">AVERAGEIF($B$4:$B$43,M15,$E$4:$E$43)</f>
        <v>0.11545</v>
      </c>
      <c r="Q15" s="105">
        <f t="shared" ref="Q15:Q22" si="23">SUMIF($B$4:$B$43,M15,$F$4:$F$43)</f>
        <v>4.1015554666669995</v>
      </c>
      <c r="R15" s="101" t="s">
        <v>96</v>
      </c>
      <c r="S15" s="111">
        <f t="shared" ref="S15:S20" si="24">AVERAGEIF($B$4:$B$43,R15,$C$4:$C$43)</f>
        <v>4.25</v>
      </c>
      <c r="T15" s="119">
        <f t="shared" ref="T15:T20" si="25">AVERAGEIF($B$4:$B$43,R15,$D$4:$D$43)</f>
        <v>0.79837499999999995</v>
      </c>
      <c r="U15" s="119">
        <f t="shared" ref="U15:U20" si="26">AVERAGEIF($B$4:$B$43,R15,$E$4:$E$43)</f>
        <v>0.11545</v>
      </c>
      <c r="V15" s="105">
        <f t="shared" ref="V15:V20" si="27">SUMIF($B$4:$B$43,R15,$F$4:$F$43)</f>
        <v>4.1015554666669995</v>
      </c>
    </row>
    <row r="16" spans="1:22" ht="17.25" x14ac:dyDescent="0.3">
      <c r="A16" s="100" t="s">
        <v>62</v>
      </c>
      <c r="B16" s="101" t="s">
        <v>92</v>
      </c>
      <c r="C16" s="101">
        <v>4</v>
      </c>
      <c r="D16" s="102">
        <v>0.95830000000000004</v>
      </c>
      <c r="E16" s="102">
        <v>4.1700000000000001E-2</v>
      </c>
      <c r="F16" s="105">
        <v>0.7</v>
      </c>
      <c r="H16" s="101" t="s">
        <v>101</v>
      </c>
      <c r="I16" s="111">
        <f t="shared" si="16"/>
        <v>3</v>
      </c>
      <c r="J16" s="119">
        <f t="shared" si="17"/>
        <v>0.95740000000000003</v>
      </c>
      <c r="K16" s="119">
        <f t="shared" si="18"/>
        <v>4.2599999999999999E-2</v>
      </c>
      <c r="L16" s="105">
        <f t="shared" si="19"/>
        <v>2.61939634286</v>
      </c>
      <c r="M16" s="101" t="s">
        <v>99</v>
      </c>
      <c r="N16" s="111">
        <f t="shared" si="20"/>
        <v>2.5</v>
      </c>
      <c r="O16" s="119">
        <f t="shared" si="21"/>
        <v>0.92922499999999997</v>
      </c>
      <c r="P16" s="119">
        <f t="shared" si="22"/>
        <v>7.0775000000000005E-2</v>
      </c>
      <c r="Q16" s="105">
        <f t="shared" si="23"/>
        <v>5</v>
      </c>
      <c r="R16" s="101" t="s">
        <v>105</v>
      </c>
      <c r="S16" s="111">
        <f t="shared" si="24"/>
        <v>3</v>
      </c>
      <c r="T16" s="119">
        <f t="shared" si="25"/>
        <v>0.93894999999999995</v>
      </c>
      <c r="U16" s="119">
        <f t="shared" si="26"/>
        <v>6.1050000000000007E-2</v>
      </c>
      <c r="V16" s="105">
        <f t="shared" si="27"/>
        <v>2.7</v>
      </c>
    </row>
    <row r="17" spans="1:22" ht="17.25" x14ac:dyDescent="0.3">
      <c r="A17" s="100" t="s">
        <v>39</v>
      </c>
      <c r="B17" s="101" t="s">
        <v>92</v>
      </c>
      <c r="C17" s="101">
        <v>2</v>
      </c>
      <c r="D17" s="102">
        <v>1</v>
      </c>
      <c r="E17" s="102">
        <v>0</v>
      </c>
      <c r="F17" s="105">
        <v>2.7</v>
      </c>
      <c r="H17" s="101" t="s">
        <v>107</v>
      </c>
      <c r="I17" s="111">
        <f t="shared" si="16"/>
        <v>2</v>
      </c>
      <c r="J17" s="119">
        <f t="shared" si="17"/>
        <v>0.96219999999999994</v>
      </c>
      <c r="K17" s="119">
        <f t="shared" si="18"/>
        <v>3.78E-2</v>
      </c>
      <c r="L17" s="105">
        <f t="shared" si="19"/>
        <v>3.30463482</v>
      </c>
      <c r="M17" s="101" t="s">
        <v>107</v>
      </c>
      <c r="N17" s="111">
        <f t="shared" si="20"/>
        <v>2</v>
      </c>
      <c r="O17" s="119">
        <f t="shared" si="21"/>
        <v>0.96219999999999994</v>
      </c>
      <c r="P17" s="119">
        <f t="shared" si="22"/>
        <v>3.78E-2</v>
      </c>
      <c r="Q17" s="105">
        <f t="shared" si="23"/>
        <v>3.30463482</v>
      </c>
      <c r="R17" s="101" t="s">
        <v>106</v>
      </c>
      <c r="S17" s="111">
        <f t="shared" si="24"/>
        <v>5</v>
      </c>
      <c r="T17" s="119">
        <f t="shared" si="25"/>
        <v>0.80100000000000005</v>
      </c>
      <c r="U17" s="119">
        <f t="shared" si="26"/>
        <v>0.19420000000000001</v>
      </c>
      <c r="V17" s="105">
        <f t="shared" si="27"/>
        <v>2.2000000000000002</v>
      </c>
    </row>
    <row r="18" spans="1:22" ht="17.25" x14ac:dyDescent="0.3">
      <c r="A18" s="100" t="s">
        <v>62</v>
      </c>
      <c r="B18" s="101" t="s">
        <v>93</v>
      </c>
      <c r="C18" s="101">
        <v>5</v>
      </c>
      <c r="D18" s="102">
        <v>0.33329999999999999</v>
      </c>
      <c r="E18" s="102">
        <v>0.33329999999999999</v>
      </c>
      <c r="F18" s="105">
        <v>0.1</v>
      </c>
      <c r="H18" s="101" t="s">
        <v>103</v>
      </c>
      <c r="I18" s="111">
        <f t="shared" si="16"/>
        <v>3</v>
      </c>
      <c r="J18" s="119">
        <f t="shared" si="17"/>
        <v>0.85709999999999997</v>
      </c>
      <c r="K18" s="119">
        <f t="shared" si="18"/>
        <v>0.1429</v>
      </c>
      <c r="L18" s="105">
        <f t="shared" si="19"/>
        <v>3.2</v>
      </c>
      <c r="M18" s="101" t="s">
        <v>104</v>
      </c>
      <c r="N18" s="111">
        <f t="shared" si="20"/>
        <v>3.5</v>
      </c>
      <c r="O18" s="119">
        <f t="shared" si="21"/>
        <v>0.89724999999999999</v>
      </c>
      <c r="P18" s="119">
        <f t="shared" si="22"/>
        <v>0.10275000000000001</v>
      </c>
      <c r="Q18" s="105">
        <f t="shared" si="23"/>
        <v>2</v>
      </c>
      <c r="R18" s="101" t="s">
        <v>108</v>
      </c>
      <c r="S18" s="111">
        <f t="shared" si="24"/>
        <v>5</v>
      </c>
      <c r="T18" s="119">
        <f t="shared" si="25"/>
        <v>0.83026666666666671</v>
      </c>
      <c r="U18" s="119">
        <f t="shared" si="26"/>
        <v>8.2633333333333336E-2</v>
      </c>
      <c r="V18" s="105">
        <f t="shared" si="27"/>
        <v>2.0445826</v>
      </c>
    </row>
    <row r="19" spans="1:22" ht="17.25" x14ac:dyDescent="0.3">
      <c r="A19" s="100" t="s">
        <v>39</v>
      </c>
      <c r="B19" s="101" t="s">
        <v>93</v>
      </c>
      <c r="C19" s="101">
        <v>6</v>
      </c>
      <c r="D19" s="102">
        <v>0.94969999999999999</v>
      </c>
      <c r="E19" s="102">
        <v>2.52E-2</v>
      </c>
      <c r="F19" s="105">
        <v>4.8</v>
      </c>
      <c r="H19" s="101" t="s">
        <v>102</v>
      </c>
      <c r="I19" s="111">
        <f t="shared" si="16"/>
        <v>2</v>
      </c>
      <c r="J19" s="119">
        <f t="shared" si="17"/>
        <v>0.96714999999999995</v>
      </c>
      <c r="K19" s="119">
        <f t="shared" si="18"/>
        <v>3.2849999999999997E-2</v>
      </c>
      <c r="L19" s="105">
        <f t="shared" si="19"/>
        <v>2.2004250000000001</v>
      </c>
      <c r="M19" s="101" t="s">
        <v>108</v>
      </c>
      <c r="N19" s="111">
        <f t="shared" si="20"/>
        <v>5</v>
      </c>
      <c r="O19" s="119">
        <f t="shared" si="21"/>
        <v>0.83026666666666671</v>
      </c>
      <c r="P19" s="119">
        <f t="shared" si="22"/>
        <v>8.2633333333333336E-2</v>
      </c>
      <c r="Q19" s="105">
        <f t="shared" si="23"/>
        <v>2.0445826</v>
      </c>
      <c r="R19" s="101" t="s">
        <v>99</v>
      </c>
      <c r="S19" s="111">
        <f t="shared" si="24"/>
        <v>2.5</v>
      </c>
      <c r="T19" s="119">
        <f t="shared" si="25"/>
        <v>0.92922499999999997</v>
      </c>
      <c r="U19" s="119">
        <f t="shared" si="26"/>
        <v>7.0775000000000005E-2</v>
      </c>
      <c r="V19" s="105">
        <f t="shared" si="27"/>
        <v>5</v>
      </c>
    </row>
    <row r="20" spans="1:22" ht="17.25" x14ac:dyDescent="0.3">
      <c r="A20" s="100" t="s">
        <v>51</v>
      </c>
      <c r="B20" s="101" t="s">
        <v>109</v>
      </c>
      <c r="C20" s="101">
        <v>5</v>
      </c>
      <c r="D20" s="102">
        <v>0.78690000000000004</v>
      </c>
      <c r="E20" s="102">
        <v>0.19670000000000001</v>
      </c>
      <c r="F20" s="105">
        <v>1.3</v>
      </c>
      <c r="H20" s="101" t="s">
        <v>104</v>
      </c>
      <c r="I20" s="111">
        <f t="shared" si="16"/>
        <v>3.5</v>
      </c>
      <c r="J20" s="119">
        <f t="shared" si="17"/>
        <v>0.89724999999999999</v>
      </c>
      <c r="K20" s="119">
        <f t="shared" si="18"/>
        <v>0.10275000000000001</v>
      </c>
      <c r="L20" s="105">
        <f t="shared" si="19"/>
        <v>2</v>
      </c>
      <c r="M20" s="101" t="s">
        <v>101</v>
      </c>
      <c r="N20" s="111">
        <f t="shared" si="20"/>
        <v>3</v>
      </c>
      <c r="O20" s="119">
        <f t="shared" si="21"/>
        <v>0.95740000000000003</v>
      </c>
      <c r="P20" s="119">
        <f t="shared" si="22"/>
        <v>4.2599999999999999E-2</v>
      </c>
      <c r="Q20" s="105">
        <f t="shared" si="23"/>
        <v>2.61939634286</v>
      </c>
      <c r="R20" s="101" t="s">
        <v>109</v>
      </c>
      <c r="S20" s="111">
        <f t="shared" si="24"/>
        <v>4.5</v>
      </c>
      <c r="T20" s="119">
        <f t="shared" si="25"/>
        <v>0.82200000000000006</v>
      </c>
      <c r="U20" s="119">
        <f t="shared" si="26"/>
        <v>0.16980000000000001</v>
      </c>
      <c r="V20" s="105">
        <f t="shared" si="27"/>
        <v>1.7000000000000002</v>
      </c>
    </row>
    <row r="21" spans="1:22" ht="17.25" x14ac:dyDescent="0.3">
      <c r="A21" s="100" t="s">
        <v>36</v>
      </c>
      <c r="B21" s="101" t="s">
        <v>109</v>
      </c>
      <c r="C21" s="101">
        <v>4</v>
      </c>
      <c r="D21" s="102">
        <v>0.85709999999999997</v>
      </c>
      <c r="E21" s="102">
        <v>0.1429</v>
      </c>
      <c r="F21" s="105">
        <v>0.4</v>
      </c>
      <c r="H21" s="101" t="s">
        <v>109</v>
      </c>
      <c r="I21" s="111">
        <f t="shared" si="16"/>
        <v>4.5</v>
      </c>
      <c r="J21" s="119">
        <f t="shared" si="17"/>
        <v>0.82200000000000006</v>
      </c>
      <c r="K21" s="119">
        <f t="shared" si="18"/>
        <v>0.16980000000000001</v>
      </c>
      <c r="L21" s="105">
        <f t="shared" si="19"/>
        <v>1.7000000000000002</v>
      </c>
      <c r="M21" s="101" t="s">
        <v>105</v>
      </c>
      <c r="N21" s="111">
        <f t="shared" si="20"/>
        <v>3</v>
      </c>
      <c r="O21" s="119">
        <f t="shared" si="21"/>
        <v>0.93894999999999995</v>
      </c>
      <c r="P21" s="119">
        <f t="shared" si="22"/>
        <v>6.1050000000000007E-2</v>
      </c>
      <c r="Q21" s="105">
        <f t="shared" si="23"/>
        <v>2.7</v>
      </c>
    </row>
    <row r="22" spans="1:22" ht="17.25" x14ac:dyDescent="0.3">
      <c r="A22" s="100" t="s">
        <v>51</v>
      </c>
      <c r="B22" s="101" t="s">
        <v>106</v>
      </c>
      <c r="C22" s="101">
        <v>5</v>
      </c>
      <c r="D22" s="102">
        <v>0.80100000000000005</v>
      </c>
      <c r="E22" s="102">
        <v>0.19420000000000001</v>
      </c>
      <c r="F22" s="105">
        <v>2.2000000000000002</v>
      </c>
      <c r="H22" s="107"/>
      <c r="I22" s="108"/>
      <c r="J22" s="117"/>
      <c r="K22" s="117"/>
      <c r="L22" s="114"/>
      <c r="M22" s="101" t="s">
        <v>102</v>
      </c>
      <c r="N22" s="111">
        <f t="shared" si="20"/>
        <v>2</v>
      </c>
      <c r="O22" s="119">
        <f t="shared" si="21"/>
        <v>0.96714999999999995</v>
      </c>
      <c r="P22" s="119">
        <f t="shared" si="22"/>
        <v>3.2849999999999997E-2</v>
      </c>
      <c r="Q22" s="105">
        <f t="shared" si="23"/>
        <v>2.2004250000000001</v>
      </c>
    </row>
    <row r="23" spans="1:22" ht="17.25" x14ac:dyDescent="0.3">
      <c r="A23" s="100" t="s">
        <v>37</v>
      </c>
      <c r="B23" s="101" t="s">
        <v>94</v>
      </c>
      <c r="C23" s="101">
        <v>4</v>
      </c>
      <c r="D23" s="102">
        <v>0.89329999999999998</v>
      </c>
      <c r="E23" s="102">
        <v>0.1067</v>
      </c>
      <c r="F23" s="105">
        <v>6.4</v>
      </c>
      <c r="I23" s="121">
        <f>AVERAGE(I15:I22)</f>
        <v>2.9285714285714284</v>
      </c>
      <c r="J23" s="122">
        <f>AVERAGE(J15:J22)</f>
        <v>0.9131892857142857</v>
      </c>
      <c r="K23" s="122">
        <f>AVERAGE(K15:K22)</f>
        <v>8.5639285714285709E-2</v>
      </c>
      <c r="L23" s="123">
        <f>AVERAGE(L15:L22)</f>
        <v>2.8606365946942853</v>
      </c>
      <c r="N23" s="121">
        <f>AVERAGE(N15:N22)</f>
        <v>3.15625</v>
      </c>
      <c r="O23" s="122">
        <f>AVERAGE(O15:O22)</f>
        <v>0.91010208333333331</v>
      </c>
      <c r="P23" s="122">
        <f>AVERAGE(P15:P22)</f>
        <v>6.823854166666668E-2</v>
      </c>
      <c r="Q23" s="123">
        <f>AVERAGE(Q15:Q22)</f>
        <v>2.9963242786908748</v>
      </c>
      <c r="S23" s="121">
        <f>AVERAGE(S15:S22)</f>
        <v>4.041666666666667</v>
      </c>
      <c r="T23" s="122">
        <f>AVERAGE(T15:T22)</f>
        <v>0.85330277777777785</v>
      </c>
      <c r="U23" s="122">
        <f>AVERAGE(U15:U22)</f>
        <v>0.11565138888888889</v>
      </c>
      <c r="V23" s="123">
        <f>AVERAGE(V15:V22)</f>
        <v>2.9576896777778328</v>
      </c>
    </row>
    <row r="24" spans="1:22" ht="17.25" x14ac:dyDescent="0.3">
      <c r="A24" s="100" t="s">
        <v>62</v>
      </c>
      <c r="B24" s="101" t="s">
        <v>94</v>
      </c>
      <c r="C24" s="101">
        <v>2</v>
      </c>
      <c r="D24" s="102">
        <v>1</v>
      </c>
      <c r="E24" s="102">
        <v>0</v>
      </c>
      <c r="F24" s="105">
        <v>0.1</v>
      </c>
    </row>
    <row r="25" spans="1:22" ht="17.25" x14ac:dyDescent="0.3">
      <c r="A25" s="100" t="s">
        <v>37</v>
      </c>
      <c r="B25" s="101" t="s">
        <v>95</v>
      </c>
      <c r="C25" s="101">
        <v>7</v>
      </c>
      <c r="D25" s="102">
        <v>0.52629999999999999</v>
      </c>
      <c r="E25" s="102">
        <v>0.1053</v>
      </c>
      <c r="F25" s="105">
        <v>3.4</v>
      </c>
    </row>
    <row r="26" spans="1:22" ht="17.25" x14ac:dyDescent="0.3">
      <c r="A26" s="100" t="s">
        <v>62</v>
      </c>
      <c r="B26" s="101" t="s">
        <v>95</v>
      </c>
      <c r="C26" s="101">
        <v>7</v>
      </c>
      <c r="D26" s="102">
        <v>0.29170000000000001</v>
      </c>
      <c r="E26" s="102">
        <v>0.375</v>
      </c>
      <c r="F26" s="105">
        <v>0.5</v>
      </c>
    </row>
    <row r="27" spans="1:22" ht="17.25" x14ac:dyDescent="0.3">
      <c r="A27" s="100" t="s">
        <v>39</v>
      </c>
      <c r="B27" s="101" t="s">
        <v>100</v>
      </c>
      <c r="C27" s="101">
        <v>2</v>
      </c>
      <c r="D27" s="102">
        <v>1</v>
      </c>
      <c r="E27" s="102">
        <v>0</v>
      </c>
      <c r="F27" s="105">
        <v>5.2</v>
      </c>
    </row>
    <row r="28" spans="1:22" ht="17.25" x14ac:dyDescent="0.3">
      <c r="A28" s="100" t="s">
        <v>51</v>
      </c>
      <c r="B28" s="101" t="s">
        <v>96</v>
      </c>
      <c r="C28" s="101">
        <v>6</v>
      </c>
      <c r="D28" s="102">
        <v>0.77139999999999997</v>
      </c>
      <c r="E28" s="102">
        <v>0.1714</v>
      </c>
      <c r="F28" s="105">
        <v>1.4</v>
      </c>
    </row>
    <row r="29" spans="1:22" ht="17.25" x14ac:dyDescent="0.3">
      <c r="A29" s="100" t="s">
        <v>37</v>
      </c>
      <c r="B29" s="101" t="s">
        <v>96</v>
      </c>
      <c r="C29" s="101">
        <v>5</v>
      </c>
      <c r="D29" s="102">
        <v>0.75</v>
      </c>
      <c r="E29" s="102">
        <v>0.1429</v>
      </c>
      <c r="F29" s="105">
        <v>1.3</v>
      </c>
    </row>
    <row r="30" spans="1:22" ht="17.25" x14ac:dyDescent="0.3">
      <c r="A30" s="100" t="s">
        <v>62</v>
      </c>
      <c r="B30" s="101" t="s">
        <v>96</v>
      </c>
      <c r="C30" s="101">
        <v>6</v>
      </c>
      <c r="D30" s="102">
        <v>0.67210000000000003</v>
      </c>
      <c r="E30" s="102">
        <v>0.14749999999999999</v>
      </c>
      <c r="F30" s="105">
        <v>1.4</v>
      </c>
    </row>
    <row r="31" spans="1:22" ht="17.25" x14ac:dyDescent="0.3">
      <c r="A31" s="100" t="s">
        <v>38</v>
      </c>
      <c r="B31" s="101" t="s">
        <v>96</v>
      </c>
      <c r="C31" s="101">
        <v>0</v>
      </c>
      <c r="D31" s="102">
        <v>1</v>
      </c>
      <c r="E31" s="102">
        <v>0</v>
      </c>
      <c r="F31" s="105">
        <v>1.5554666670000001E-3</v>
      </c>
    </row>
    <row r="32" spans="1:22" ht="17.25" x14ac:dyDescent="0.3">
      <c r="A32" s="100" t="s">
        <v>62</v>
      </c>
      <c r="B32" s="101" t="s">
        <v>97</v>
      </c>
      <c r="C32" s="101">
        <v>5</v>
      </c>
      <c r="D32" s="102">
        <v>0.86719999999999997</v>
      </c>
      <c r="E32" s="102">
        <v>0.1094</v>
      </c>
      <c r="F32" s="105">
        <v>4.8</v>
      </c>
    </row>
    <row r="33" spans="1:6" ht="17.25" x14ac:dyDescent="0.3">
      <c r="A33" s="100" t="s">
        <v>37</v>
      </c>
      <c r="B33" s="101" t="s">
        <v>98</v>
      </c>
      <c r="C33" s="101">
        <v>1</v>
      </c>
      <c r="D33" s="102">
        <v>1</v>
      </c>
      <c r="E33" s="102">
        <v>0</v>
      </c>
      <c r="F33" s="105">
        <v>0.6</v>
      </c>
    </row>
    <row r="34" spans="1:6" ht="17.25" x14ac:dyDescent="0.3">
      <c r="A34" s="100" t="s">
        <v>62</v>
      </c>
      <c r="B34" s="101" t="s">
        <v>98</v>
      </c>
      <c r="C34" s="101">
        <v>4</v>
      </c>
      <c r="D34" s="102">
        <v>0.74229999999999996</v>
      </c>
      <c r="E34" s="102">
        <v>0.25769999999999998</v>
      </c>
      <c r="F34" s="105">
        <v>3.8</v>
      </c>
    </row>
    <row r="35" spans="1:6" ht="17.25" x14ac:dyDescent="0.3">
      <c r="A35" s="100" t="s">
        <v>51</v>
      </c>
      <c r="B35" s="101" t="s">
        <v>108</v>
      </c>
      <c r="C35" s="101">
        <v>6</v>
      </c>
      <c r="D35" s="102">
        <v>0.77649999999999997</v>
      </c>
      <c r="E35" s="102">
        <v>0.17649999999999999</v>
      </c>
      <c r="F35" s="105">
        <v>1.1000000000000001</v>
      </c>
    </row>
    <row r="36" spans="1:6" ht="17.25" x14ac:dyDescent="0.3">
      <c r="A36" s="100" t="s">
        <v>38</v>
      </c>
      <c r="B36" s="101" t="s">
        <v>108</v>
      </c>
      <c r="C36" s="101">
        <v>7</v>
      </c>
      <c r="D36" s="102">
        <v>0.71430000000000005</v>
      </c>
      <c r="E36" s="102">
        <v>7.1400000000000005E-2</v>
      </c>
      <c r="F36" s="105">
        <v>4.45826E-2</v>
      </c>
    </row>
    <row r="37" spans="1:6" ht="17.25" x14ac:dyDescent="0.3">
      <c r="A37" s="100" t="s">
        <v>39</v>
      </c>
      <c r="B37" s="101" t="s">
        <v>108</v>
      </c>
      <c r="C37" s="101">
        <v>2</v>
      </c>
      <c r="D37" s="102">
        <v>1</v>
      </c>
      <c r="E37" s="102">
        <v>0</v>
      </c>
      <c r="F37" s="105">
        <v>0.9</v>
      </c>
    </row>
    <row r="38" spans="1:6" ht="17.25" x14ac:dyDescent="0.3">
      <c r="A38" s="100" t="s">
        <v>51</v>
      </c>
      <c r="B38" s="101" t="s">
        <v>99</v>
      </c>
      <c r="C38" s="101">
        <v>4</v>
      </c>
      <c r="D38" s="102">
        <v>0.9375</v>
      </c>
      <c r="E38" s="102">
        <v>6.25E-2</v>
      </c>
      <c r="F38" s="105">
        <v>0.8</v>
      </c>
    </row>
    <row r="39" spans="1:6" ht="17.25" x14ac:dyDescent="0.3">
      <c r="A39" s="100" t="s">
        <v>36</v>
      </c>
      <c r="B39" s="101" t="s">
        <v>99</v>
      </c>
      <c r="C39" s="101">
        <v>1</v>
      </c>
      <c r="D39" s="102">
        <v>1</v>
      </c>
      <c r="E39" s="102">
        <v>0</v>
      </c>
      <c r="F39" s="105">
        <v>0.1</v>
      </c>
    </row>
    <row r="40" spans="1:6" ht="17.25" x14ac:dyDescent="0.3">
      <c r="A40" s="100" t="s">
        <v>37</v>
      </c>
      <c r="B40" s="101" t="s">
        <v>99</v>
      </c>
      <c r="C40" s="101">
        <v>4</v>
      </c>
      <c r="D40" s="102">
        <v>0.77939999999999998</v>
      </c>
      <c r="E40" s="102">
        <v>0.22059999999999999</v>
      </c>
      <c r="F40" s="105">
        <v>4</v>
      </c>
    </row>
    <row r="41" spans="1:6" ht="17.25" x14ac:dyDescent="0.3">
      <c r="A41" s="100" t="s">
        <v>38</v>
      </c>
      <c r="B41" s="101" t="s">
        <v>99</v>
      </c>
      <c r="C41" s="101">
        <v>1</v>
      </c>
      <c r="D41" s="102">
        <v>1</v>
      </c>
      <c r="E41" s="102">
        <v>0</v>
      </c>
      <c r="F41" s="105">
        <v>0.1</v>
      </c>
    </row>
    <row r="42" spans="1:6" ht="17.25" x14ac:dyDescent="0.3">
      <c r="A42" s="100" t="s">
        <v>36</v>
      </c>
      <c r="B42" s="101" t="s">
        <v>107</v>
      </c>
      <c r="C42" s="101">
        <v>3</v>
      </c>
      <c r="D42" s="102">
        <v>0.9244</v>
      </c>
      <c r="E42" s="102">
        <v>7.5600000000000001E-2</v>
      </c>
      <c r="F42" s="105">
        <v>3.3</v>
      </c>
    </row>
    <row r="43" spans="1:6" ht="17.25" x14ac:dyDescent="0.3">
      <c r="A43" s="100" t="s">
        <v>38</v>
      </c>
      <c r="B43" s="101" t="s">
        <v>107</v>
      </c>
      <c r="C43" s="101">
        <v>1</v>
      </c>
      <c r="D43" s="102">
        <v>1</v>
      </c>
      <c r="E43" s="102">
        <v>0</v>
      </c>
      <c r="F43" s="105">
        <v>4.6348200000000004E-3</v>
      </c>
    </row>
  </sheetData>
  <sortState xmlns:xlrd2="http://schemas.microsoft.com/office/spreadsheetml/2017/richdata2" ref="A4:F43">
    <sortCondition ref="B4:B43"/>
    <sortCondition ref="A4:A43"/>
  </sortState>
  <mergeCells count="5">
    <mergeCell ref="J2:K2"/>
    <mergeCell ref="O2:P2"/>
    <mergeCell ref="T2:U2"/>
    <mergeCell ref="T13:U13"/>
    <mergeCell ref="D2:E2"/>
  </mergeCells>
  <conditionalFormatting sqref="B1:B1048576">
    <cfRule type="duplicateValues" dxfId="1" priority="13"/>
  </conditionalFormatting>
  <conditionalFormatting sqref="R1:R26 M1:M26 H1:H26">
    <cfRule type="duplicateValues" dxfId="0" priority="7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Evi</vt:lpstr>
      <vt:lpstr>Arasy</vt:lpstr>
      <vt:lpstr>Ariyani1 (2)</vt:lpstr>
      <vt:lpstr>Nonik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Tika Pandhu Pertiwi</dc:creator>
  <cp:lastModifiedBy>Tika Pandhu Pertiwi</cp:lastModifiedBy>
  <cp:lastPrinted>2026-02-21T01:53:33Z</cp:lastPrinted>
  <dcterms:created xsi:type="dcterms:W3CDTF">2024-02-22T03:00:27Z</dcterms:created>
  <dcterms:modified xsi:type="dcterms:W3CDTF">2026-06-08T08:02:48Z</dcterms:modified>
</cp:coreProperties>
</file>