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3"/>
  </bookViews>
  <sheets>
    <sheet name="rekrutmen" sheetId="1" r:id="rId1"/>
    <sheet name="Absensi" sheetId="2" r:id="rId2"/>
    <sheet name="SOP" sheetId="3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C58" i="1" l="1"/>
  <c r="E57" i="1"/>
  <c r="F57" i="1" s="1"/>
  <c r="E56" i="1"/>
  <c r="F56" i="1" s="1"/>
  <c r="F55" i="1"/>
  <c r="E54" i="1"/>
  <c r="F54" i="1" s="1"/>
  <c r="F53" i="1"/>
  <c r="F52" i="1"/>
  <c r="F51" i="1"/>
  <c r="E50" i="1"/>
  <c r="F50" i="1" s="1"/>
  <c r="F49" i="1"/>
  <c r="F48" i="1"/>
  <c r="F47" i="1"/>
  <c r="F46" i="1"/>
  <c r="E45" i="1"/>
  <c r="F45" i="1" s="1"/>
  <c r="F44" i="1"/>
  <c r="F43" i="1"/>
  <c r="F42" i="1"/>
  <c r="F41" i="1"/>
  <c r="F40" i="1"/>
  <c r="F39" i="1"/>
  <c r="I39" i="1" s="1"/>
  <c r="F38" i="1"/>
  <c r="F37" i="1"/>
  <c r="N36" i="1"/>
  <c r="F36" i="1"/>
  <c r="P35" i="1"/>
  <c r="Q35" i="1" s="1"/>
  <c r="F35" i="1"/>
  <c r="P34" i="1"/>
  <c r="Q34" i="1" s="1"/>
  <c r="F34" i="1"/>
  <c r="Q33" i="1"/>
  <c r="F33" i="1"/>
  <c r="P32" i="1"/>
  <c r="Q32" i="1" s="1"/>
  <c r="I32" i="1"/>
  <c r="F32" i="1"/>
  <c r="P31" i="1"/>
  <c r="Q31" i="1" s="1"/>
  <c r="I31" i="1"/>
  <c r="F31" i="1"/>
  <c r="Q30" i="1"/>
  <c r="I30" i="1"/>
  <c r="F30" i="1"/>
  <c r="P29" i="1"/>
  <c r="Q29" i="1" s="1"/>
  <c r="F29" i="1"/>
  <c r="P28" i="1"/>
  <c r="Q28" i="1" s="1"/>
  <c r="I28" i="1"/>
  <c r="F28" i="1"/>
  <c r="I33" i="1" s="1"/>
  <c r="P27" i="1"/>
  <c r="Q27" i="1" s="1"/>
  <c r="F27" i="1"/>
  <c r="P26" i="1"/>
  <c r="Q26" i="1" s="1"/>
  <c r="F26" i="1"/>
  <c r="P25" i="1"/>
  <c r="Q25" i="1" s="1"/>
  <c r="F25" i="1"/>
  <c r="Q24" i="1"/>
  <c r="F24" i="1"/>
  <c r="I29" i="1" s="1"/>
  <c r="P23" i="1"/>
  <c r="Q23" i="1" s="1"/>
  <c r="F23" i="1"/>
  <c r="Q22" i="1"/>
  <c r="F22" i="1"/>
  <c r="I27" i="1" s="1"/>
  <c r="P21" i="1"/>
  <c r="Q21" i="1" s="1"/>
  <c r="F21" i="1"/>
  <c r="I26" i="1" s="1"/>
  <c r="P20" i="1"/>
  <c r="Q20" i="1" s="1"/>
  <c r="F20" i="1"/>
  <c r="I25" i="1" s="1"/>
  <c r="Q19" i="1"/>
  <c r="F19" i="1"/>
  <c r="I24" i="1" s="1"/>
  <c r="Q18" i="1"/>
  <c r="F18" i="1"/>
  <c r="P17" i="1"/>
  <c r="Q17" i="1" s="1"/>
  <c r="F17" i="1"/>
  <c r="P16" i="1"/>
  <c r="Q16" i="1" s="1"/>
  <c r="F16" i="1"/>
  <c r="P15" i="1"/>
  <c r="Q15" i="1" s="1"/>
  <c r="F15" i="1"/>
  <c r="Q14" i="1"/>
  <c r="F14" i="1"/>
  <c r="Q13" i="1"/>
  <c r="F13" i="1"/>
  <c r="I13" i="1" s="1"/>
  <c r="Q12" i="1"/>
  <c r="T14" i="1" s="1"/>
  <c r="F12" i="1"/>
  <c r="Q11" i="1"/>
  <c r="T13" i="1" s="1"/>
  <c r="F11" i="1"/>
  <c r="T10" i="1"/>
  <c r="Q10" i="1"/>
  <c r="T12" i="1" s="1"/>
  <c r="F10" i="1"/>
  <c r="Q9" i="1"/>
  <c r="T11" i="1" s="1"/>
  <c r="F9" i="1"/>
  <c r="Q8" i="1"/>
  <c r="T9" i="1" s="1"/>
  <c r="F8" i="1"/>
  <c r="Q7" i="1"/>
  <c r="F7" i="1"/>
  <c r="Q6" i="1"/>
  <c r="F6" i="1"/>
  <c r="Q5" i="1"/>
  <c r="F5" i="1"/>
  <c r="Q4" i="1"/>
  <c r="F4" i="1"/>
  <c r="Q3" i="1"/>
  <c r="F3" i="1"/>
  <c r="Q2" i="1"/>
  <c r="F2" i="1"/>
  <c r="F58" i="1" l="1"/>
  <c r="I58" i="1" s="1"/>
  <c r="Q36" i="1"/>
  <c r="I45" i="1" l="1"/>
  <c r="G58" i="1"/>
  <c r="R36" i="1"/>
  <c r="T22" i="1"/>
  <c r="T19" i="1"/>
</calcChain>
</file>

<file path=xl/comments1.xml><?xml version="1.0" encoding="utf-8"?>
<comments xmlns="http://schemas.openxmlformats.org/spreadsheetml/2006/main">
  <authors>
    <author>Dzikria</author>
  </authors>
  <commentList>
    <comment ref="O2" authorId="0">
      <text>
        <r>
          <rPr>
            <b/>
            <sz val="9"/>
            <color indexed="81"/>
            <rFont val="Tahoma"/>
            <family val="2"/>
          </rPr>
          <t>Dzikria:</t>
        </r>
        <r>
          <rPr>
            <sz val="9"/>
            <color indexed="81"/>
            <rFont val="Tahoma"/>
            <family val="2"/>
          </rPr>
          <t xml:space="preserve">
5 dec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>Dzikria:</t>
        </r>
        <r>
          <rPr>
            <sz val="9"/>
            <color indexed="81"/>
            <rFont val="Tahoma"/>
            <family val="2"/>
          </rPr>
          <t xml:space="preserve">
18 nov 24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Luluk:</t>
        </r>
        <r>
          <rPr>
            <sz val="9"/>
            <color indexed="81"/>
            <rFont val="Tahoma"/>
            <family val="2"/>
          </rPr>
          <t xml:space="preserve">
18 dec 24
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Dzikria:</t>
        </r>
        <r>
          <rPr>
            <sz val="9"/>
            <color indexed="81"/>
            <rFont val="Tahoma"/>
            <family val="2"/>
          </rPr>
          <t xml:space="preserve">
Pengganti Khamim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 xml:space="preserve">Dzikria: pengganti imam tur dkk
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>Dzikria:</t>
        </r>
        <r>
          <rPr>
            <sz val="9"/>
            <color indexed="81"/>
            <rFont val="Tahoma"/>
            <family val="2"/>
          </rPr>
          <t xml:space="preserve">
pengganti imam tur dkk</t>
        </r>
      </text>
    </comment>
  </commentList>
</comments>
</file>

<file path=xl/sharedStrings.xml><?xml version="1.0" encoding="utf-8"?>
<sst xmlns="http://schemas.openxmlformats.org/spreadsheetml/2006/main" count="354" uniqueCount="198">
  <si>
    <t>No</t>
  </si>
  <si>
    <t>Posisi</t>
  </si>
  <si>
    <t>Jumlah Permintaan</t>
  </si>
  <si>
    <t>Tanggal</t>
  </si>
  <si>
    <t>Tercapai</t>
  </si>
  <si>
    <t>Hari Capai</t>
  </si>
  <si>
    <t>Nama</t>
  </si>
  <si>
    <t>Ket</t>
  </si>
  <si>
    <t>Wilayah</t>
  </si>
  <si>
    <t>Admin Logistik</t>
  </si>
  <si>
    <t>Dandi Setiawan</t>
  </si>
  <si>
    <t>Capai</t>
  </si>
  <si>
    <t>MDO SEED JATIM TIMUR</t>
  </si>
  <si>
    <t>Probolinggo</t>
  </si>
  <si>
    <t>Agusti</t>
  </si>
  <si>
    <t>1. Lumajang Probolinggo</t>
  </si>
  <si>
    <t>TC</t>
  </si>
  <si>
    <t>Nabila Asri Suprayitna Putri</t>
  </si>
  <si>
    <t>JSE</t>
  </si>
  <si>
    <t>Jember</t>
  </si>
  <si>
    <t>Mangsur</t>
  </si>
  <si>
    <t>2. Jember Bondowoso</t>
  </si>
  <si>
    <t>Syahra Nakita Dewi</t>
  </si>
  <si>
    <t>Banyuwangi</t>
  </si>
  <si>
    <t>Khamim Jazuli</t>
  </si>
  <si>
    <t>Kerja 3 Bulan</t>
  </si>
  <si>
    <t>3. Banyuwangi Timur (Tegaldlimo -Wongsorejo )</t>
  </si>
  <si>
    <t>Moh Iqbal Fajar Ismail</t>
  </si>
  <si>
    <t xml:space="preserve">ABM </t>
  </si>
  <si>
    <t>Jatim Barat</t>
  </si>
  <si>
    <t>Dedy Supomo</t>
  </si>
  <si>
    <t>Resign</t>
  </si>
  <si>
    <t>4. Banyuwangi Barat (Purwoharjo  - Kalibaru)</t>
  </si>
  <si>
    <t>Adm Purchasing</t>
  </si>
  <si>
    <t>Lady Amalia Devita Ida Wijaya</t>
  </si>
  <si>
    <t>MDO SEED JATIM BARAT</t>
  </si>
  <si>
    <t>Kediri-Nganjuk</t>
  </si>
  <si>
    <t>Latip Widodo</t>
  </si>
  <si>
    <t>5. Bali atas (Baturiti Kintamani Songan )</t>
  </si>
  <si>
    <t xml:space="preserve">OB </t>
  </si>
  <si>
    <t>Moch Rochin Eka</t>
  </si>
  <si>
    <t>Hanya Bekerja 1 Minggu</t>
  </si>
  <si>
    <t>MDO SEED NTB</t>
  </si>
  <si>
    <t>NTB</t>
  </si>
  <si>
    <t>Bunyamin</t>
  </si>
  <si>
    <t>6. Bali bawah ( Negara, Tabanan, Denpasar)</t>
  </si>
  <si>
    <t>Galang Ramadhan</t>
  </si>
  <si>
    <t>lupaa</t>
  </si>
  <si>
    <t>Ponorogo</t>
  </si>
  <si>
    <t>Didik Sugianto</t>
  </si>
  <si>
    <t>M. Ali Wafi</t>
  </si>
  <si>
    <t>Tidak datang Bekerja</t>
  </si>
  <si>
    <t>MDO Lamongan</t>
  </si>
  <si>
    <t>Achmad Sofyan Zaenuri</t>
  </si>
  <si>
    <t>Haris Pratama</t>
  </si>
  <si>
    <t>Plompangan-Labangka</t>
  </si>
  <si>
    <t>M. Tafsilah</t>
  </si>
  <si>
    <t>Muzdhofar Idris</t>
  </si>
  <si>
    <t>Resign 20 Oktober 2025</t>
  </si>
  <si>
    <t>BWI</t>
  </si>
  <si>
    <t>Yama Muhammad</t>
  </si>
  <si>
    <t>Admin Accounting</t>
  </si>
  <si>
    <t>Faiq Qotur Rohman</t>
  </si>
  <si>
    <t>Resign 18 Maret 2025</t>
  </si>
  <si>
    <t>Situbondo</t>
  </si>
  <si>
    <t>DIKI WAHYUDI</t>
  </si>
  <si>
    <t>Quri Arifatma Sari</t>
  </si>
  <si>
    <t>MUHAMMAD IHSAN</t>
  </si>
  <si>
    <t>Indradjid Safri Mahendra</t>
  </si>
  <si>
    <t>Resign 24 jan 25</t>
  </si>
  <si>
    <t>SRI WILUJENG</t>
  </si>
  <si>
    <t>Driver</t>
  </si>
  <si>
    <t>Triyo Sugianto</t>
  </si>
  <si>
    <t>Tuban-Lamongan</t>
  </si>
  <si>
    <t>Admin MIA</t>
  </si>
  <si>
    <t>Safira Kamalia Ramadhani</t>
  </si>
  <si>
    <t>Moyo Raya</t>
  </si>
  <si>
    <t>Safirah Wardatin Nur</t>
  </si>
  <si>
    <t>Dompu</t>
  </si>
  <si>
    <t>Ahmad Fauzan</t>
  </si>
  <si>
    <t>Lombok</t>
  </si>
  <si>
    <t>JONY AL NAFIAN SYAH</t>
  </si>
  <si>
    <t>Althaf Ayyubi Ruswana</t>
  </si>
  <si>
    <t>NTB Bima</t>
  </si>
  <si>
    <t>Bayu</t>
  </si>
  <si>
    <t>Mekanik</t>
  </si>
  <si>
    <t>Moch. Sujud Muslim</t>
  </si>
  <si>
    <t>MT FM</t>
  </si>
  <si>
    <t>JATIM</t>
  </si>
  <si>
    <t>Adm Sales</t>
  </si>
  <si>
    <t>Nanda Kurniati Maulida</t>
  </si>
  <si>
    <t>Ponorogo-Trenggalek</t>
  </si>
  <si>
    <t>Iwan Prasetyo</t>
  </si>
  <si>
    <t>Resign 16 may 2025</t>
  </si>
  <si>
    <t>MDO CP</t>
  </si>
  <si>
    <t>Banyuwangi Utara</t>
  </si>
  <si>
    <t>Rama</t>
  </si>
  <si>
    <t>Helper</t>
  </si>
  <si>
    <t>Fathur Rosi</t>
  </si>
  <si>
    <t>Banyuwangi Selatan</t>
  </si>
  <si>
    <t>Ahmad Umar Dhani</t>
  </si>
  <si>
    <t>Resign 30 Juni 2025</t>
  </si>
  <si>
    <t>Jember Utara &amp; Bondowoso</t>
  </si>
  <si>
    <t>Iqbal</t>
  </si>
  <si>
    <t>Ari Yusfikhul Asfiya'</t>
  </si>
  <si>
    <t>Jember Selatan &amp; Lumajang</t>
  </si>
  <si>
    <t>Putri Pratiwi Rohmawati</t>
  </si>
  <si>
    <t>Malang Selatan</t>
  </si>
  <si>
    <t>Mohammad Bagus Ragil</t>
  </si>
  <si>
    <t>Blitar</t>
  </si>
  <si>
    <t>Yusuf Agung Wijaya</t>
  </si>
  <si>
    <t>Ngawi</t>
  </si>
  <si>
    <t>Eko Prasetyo</t>
  </si>
  <si>
    <t>Bojonegoro &amp; Lamongan</t>
  </si>
  <si>
    <t>Nurul HIkam</t>
  </si>
  <si>
    <t>Bali Atas</t>
  </si>
  <si>
    <t>Azzam</t>
  </si>
  <si>
    <t>MU'AMAR KADAFI</t>
  </si>
  <si>
    <t>Admin TC</t>
  </si>
  <si>
    <t>Nauroh Fuadiyah</t>
  </si>
  <si>
    <t>Resign 22 Sept 2025</t>
  </si>
  <si>
    <t>Mohammad Faisol Ikhsan</t>
  </si>
  <si>
    <t>MOCHAMMAD FATHOR ROSI</t>
  </si>
  <si>
    <t>Muhammad Ali Yafi</t>
  </si>
  <si>
    <t>Resign 2 Sept 2025</t>
  </si>
  <si>
    <t>Dika Pratama</t>
  </si>
  <si>
    <t>Sales Online</t>
  </si>
  <si>
    <t>SHEILLA MASDAHLIANA HARAHAP</t>
  </si>
  <si>
    <t>Jumlah Karyawan</t>
  </si>
  <si>
    <t>Rata-Rata Hari Capai</t>
  </si>
  <si>
    <t>SHELY PRAMADANI</t>
  </si>
  <si>
    <t>WARDATUS SOLEHA</t>
  </si>
  <si>
    <t>Resign 18 Feb 2026</t>
  </si>
  <si>
    <t>GALIH FAJAR RAMADON</t>
  </si>
  <si>
    <t>Content Creator</t>
  </si>
  <si>
    <t>NUR MAHMUDAH PUTRI</t>
  </si>
  <si>
    <t>MOHAMMAD AGUNG PURNOMO</t>
  </si>
  <si>
    <t>Agus Supriyatim</t>
  </si>
  <si>
    <t>Resign 31 Desember 2025</t>
  </si>
  <si>
    <t>Accounting</t>
  </si>
  <si>
    <t>On progress</t>
  </si>
  <si>
    <t>Novista</t>
  </si>
  <si>
    <t>Admin Sales</t>
  </si>
  <si>
    <t>Dwi</t>
  </si>
  <si>
    <t>IT</t>
  </si>
  <si>
    <t>Yoga</t>
  </si>
  <si>
    <t>Feri Fadli</t>
  </si>
  <si>
    <t>SC</t>
  </si>
  <si>
    <t>BAGUS SETYAWAN</t>
  </si>
  <si>
    <t>GALIH AHMAD FAIZAL</t>
  </si>
  <si>
    <t>MOHAMAD AFANDI</t>
  </si>
  <si>
    <t>Danu</t>
  </si>
  <si>
    <t>Jumlah karyawan</t>
  </si>
  <si>
    <t>Adm Log Permintaan 1</t>
  </si>
  <si>
    <t>UNCONTROL</t>
  </si>
  <si>
    <t>CONTROL</t>
  </si>
  <si>
    <t>Bulan</t>
  </si>
  <si>
    <t>Tahun</t>
  </si>
  <si>
    <t>Diff</t>
  </si>
  <si>
    <t>Target</t>
  </si>
  <si>
    <t>Target 2026</t>
  </si>
  <si>
    <t>% Pencapaian target</t>
  </si>
  <si>
    <t>% Pencapaian Target</t>
  </si>
  <si>
    <t>Januari</t>
  </si>
  <si>
    <t>Februari</t>
  </si>
  <si>
    <t>Maret</t>
  </si>
  <si>
    <t>April</t>
  </si>
  <si>
    <t xml:space="preserve">Mei </t>
  </si>
  <si>
    <t>Juni</t>
  </si>
  <si>
    <t>Juli</t>
  </si>
  <si>
    <t>Agustus</t>
  </si>
  <si>
    <t>September</t>
  </si>
  <si>
    <t>Oktober</t>
  </si>
  <si>
    <t>November</t>
  </si>
  <si>
    <t>Desember</t>
  </si>
  <si>
    <t>NO</t>
  </si>
  <si>
    <t>Nama SOP</t>
  </si>
  <si>
    <t>Di Approve</t>
  </si>
  <si>
    <t>ttd Atasan/Pembuat</t>
  </si>
  <si>
    <t>TTD Direksi</t>
  </si>
  <si>
    <t>Upload</t>
  </si>
  <si>
    <t>HRD 0558 SOP Mahasiswa Magang #0</t>
  </si>
  <si>
    <t>HRD 0559 SOP Sales Worker (SW) #0</t>
  </si>
  <si>
    <t>KEU 0403 SOP Penyelesaian Faktur T &amp; Tk (Barang Konsinyasi) #2</t>
  </si>
  <si>
    <t>KEU 304 SOP Administrasi Surat Jalan #1</t>
  </si>
  <si>
    <t>HRD 0371 SOP Pendistribusian Parcel #4</t>
  </si>
  <si>
    <t>SLS 0363 SOP Sales Counter (SC) #13</t>
  </si>
  <si>
    <t>SLS 0560 SOP Pembuatan Faktur Cash untuk Customer yang ada Piutang OD 30&gt; #0</t>
  </si>
  <si>
    <t>SLS 0561 SOP Serah Terima Pekerjaan SC Lama dengan SC Pengganti #0</t>
  </si>
  <si>
    <t>Februari 2026</t>
  </si>
  <si>
    <t>Maret 2026</t>
  </si>
  <si>
    <t>TANGGAL</t>
  </si>
  <si>
    <t>HARI</t>
  </si>
  <si>
    <t>BULAN</t>
  </si>
  <si>
    <t>TAHUN</t>
  </si>
  <si>
    <t>JAM</t>
  </si>
  <si>
    <t>Total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</si>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</sst>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0.000"/>
    <numFmt numFmtId="166" formatCode="0.000000"/>
    <numFmt numFmtId="170" formatCode="0.0%"/>
    <numFmt numFmtId="185" formatCode="_-* #,##0.00_-;\-* #,##0.00_-;_-* &quot;-&quot;??_-;_-@_-"/>
    <numFmt numFmtId="187" formatCode="m/d/yy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charset val="134"/>
      <scheme val="minor"/>
    </font>
    <font>
      <b/>
      <sz val="20"/>
      <color rgb="FF000000"/>
      <name val="Tahoma"/>
      <family val="2"/>
    </font>
    <font>
      <sz val="14"/>
      <color rgb="FFFFFFFF"/>
      <name val="Tahoma"/>
      <family val="2"/>
    </font>
    <font>
      <sz val="14"/>
      <color rgb="FF000000"/>
      <name val="Tahoma"/>
      <family val="2"/>
    </font>
    <font>
      <sz val="11"/>
      <color rgb="FF000000"/>
      <name val="Arial"/>
      <family val="2"/>
    </font>
    <font>
      <sz val="11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6"/>
      <color rgb="FF1079AE"/>
      <name val="Segoe UI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sz val="9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1006">
    <xf numFmtId="0" fontId="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6" fillId="0" borderId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8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5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7" fontId="1" fillId="0" borderId="17" applyFill="0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6" fillId="0" borderId="0"/>
    <xf numFmtId="0" fontId="19" fillId="21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0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9" fillId="20" borderId="0">
      <alignment horizontal="center" vertical="top"/>
    </xf>
    <xf numFmtId="0" fontId="20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1" borderId="0">
      <alignment horizontal="left" vertical="top"/>
    </xf>
    <xf numFmtId="0" fontId="20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19" fillId="20" borderId="0">
      <alignment horizontal="center" vertical="top"/>
    </xf>
    <xf numFmtId="0" fontId="20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1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right" vertical="center"/>
    </xf>
    <xf numFmtId="0" fontId="26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19" fillId="21" borderId="0">
      <alignment horizontal="left" vertical="top"/>
    </xf>
    <xf numFmtId="0" fontId="25" fillId="0" borderId="0">
      <alignment horizontal="left" vertical="top"/>
    </xf>
    <xf numFmtId="0" fontId="19" fillId="2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28" fillId="0" borderId="0">
      <alignment horizontal="right" vertical="top"/>
    </xf>
    <xf numFmtId="0" fontId="20" fillId="0" borderId="0">
      <alignment horizontal="left" vertical="top"/>
    </xf>
    <xf numFmtId="0" fontId="19" fillId="2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29" fillId="0" borderId="0">
      <alignment horizontal="right" vertical="top"/>
    </xf>
    <xf numFmtId="0" fontId="26" fillId="0" borderId="0">
      <alignment horizontal="left" vertical="top"/>
    </xf>
    <xf numFmtId="0" fontId="25" fillId="0" borderId="0">
      <alignment horizontal="righ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9" fillId="0" borderId="0">
      <alignment horizontal="right" vertical="top"/>
    </xf>
    <xf numFmtId="0" fontId="28" fillId="0" borderId="0">
      <alignment horizontal="right" vertical="top"/>
    </xf>
    <xf numFmtId="0" fontId="20" fillId="0" borderId="0">
      <alignment horizontal="right" vertical="top"/>
    </xf>
    <xf numFmtId="0" fontId="31" fillId="0" borderId="0">
      <alignment horizontal="left" vertical="center"/>
    </xf>
    <xf numFmtId="0" fontId="19" fillId="0" borderId="0">
      <alignment horizontal="left" vertical="top"/>
    </xf>
    <xf numFmtId="0" fontId="29" fillId="0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right" vertical="top"/>
    </xf>
    <xf numFmtId="0" fontId="32" fillId="0" borderId="0">
      <alignment horizontal="lef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33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34" fillId="0" borderId="0">
      <alignment horizontal="right" vertical="top"/>
    </xf>
    <xf numFmtId="0" fontId="20" fillId="0" borderId="0">
      <alignment horizontal="right" vertical="top"/>
    </xf>
    <xf numFmtId="0" fontId="34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left" vertical="top"/>
    </xf>
    <xf numFmtId="0" fontId="19" fillId="20" borderId="0">
      <alignment horizontal="center" vertical="top"/>
    </xf>
    <xf numFmtId="0" fontId="20" fillId="0" borderId="0">
      <alignment horizontal="righ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1" borderId="0">
      <alignment horizontal="left" vertical="top"/>
    </xf>
    <xf numFmtId="0" fontId="37" fillId="0" borderId="0">
      <alignment horizontal="center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38" fillId="0" borderId="0">
      <alignment horizontal="left" vertical="top"/>
    </xf>
    <xf numFmtId="0" fontId="19" fillId="20" borderId="0">
      <alignment horizontal="left" vertical="top"/>
    </xf>
    <xf numFmtId="0" fontId="39" fillId="0" borderId="0">
      <alignment horizontal="center" vertical="top"/>
    </xf>
    <xf numFmtId="0" fontId="19" fillId="21" borderId="0">
      <alignment horizontal="left" vertical="top"/>
    </xf>
    <xf numFmtId="0" fontId="40" fillId="0" borderId="0">
      <alignment horizontal="center" vertical="top"/>
    </xf>
    <xf numFmtId="0" fontId="19" fillId="20" borderId="0">
      <alignment horizontal="left" vertical="top"/>
    </xf>
    <xf numFmtId="0" fontId="33" fillId="0" borderId="0">
      <alignment horizontal="left" vertical="top"/>
    </xf>
    <xf numFmtId="0" fontId="19" fillId="20" borderId="0">
      <alignment horizontal="left" vertical="top"/>
    </xf>
    <xf numFmtId="0" fontId="24" fillId="0" borderId="0">
      <alignment horizontal="center" vertical="top"/>
    </xf>
    <xf numFmtId="0" fontId="40" fillId="0" borderId="0">
      <alignment horizontal="center" vertical="top"/>
    </xf>
    <xf numFmtId="0" fontId="19" fillId="2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19" fillId="21" borderId="0">
      <alignment horizontal="left" vertical="top"/>
    </xf>
    <xf numFmtId="0" fontId="27" fillId="20" borderId="0">
      <alignment horizontal="left" vertical="top"/>
    </xf>
    <xf numFmtId="0" fontId="19" fillId="20" borderId="0">
      <alignment horizontal="left" vertical="top"/>
    </xf>
    <xf numFmtId="0" fontId="36" fillId="0" borderId="0">
      <alignment horizontal="center" vertical="top"/>
    </xf>
    <xf numFmtId="0" fontId="27" fillId="0" borderId="0">
      <alignment horizontal="left" vertical="top"/>
    </xf>
    <xf numFmtId="0" fontId="41" fillId="0" borderId="0">
      <alignment horizontal="center" vertical="top"/>
    </xf>
    <xf numFmtId="0" fontId="19" fillId="20" borderId="0">
      <alignment horizontal="left" vertical="top"/>
    </xf>
    <xf numFmtId="0" fontId="19" fillId="20" borderId="0">
      <alignment horizontal="righ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1" fillId="0" borderId="0">
      <alignment horizontal="left" vertical="top"/>
    </xf>
    <xf numFmtId="0" fontId="27" fillId="0" borderId="0">
      <alignment horizontal="left" vertical="top"/>
    </xf>
    <xf numFmtId="0" fontId="19" fillId="21" borderId="0">
      <alignment horizontal="left" vertical="top"/>
    </xf>
    <xf numFmtId="0" fontId="34" fillId="0" borderId="0">
      <alignment horizontal="left" vertical="center"/>
    </xf>
    <xf numFmtId="0" fontId="23" fillId="0" borderId="0">
      <alignment horizontal="right" vertical="top"/>
    </xf>
    <xf numFmtId="0" fontId="1" fillId="0" borderId="0">
      <alignment horizontal="right" vertical="top"/>
    </xf>
    <xf numFmtId="0" fontId="27" fillId="0" borderId="0">
      <alignment horizontal="right" vertical="top"/>
    </xf>
    <xf numFmtId="0" fontId="27" fillId="0" borderId="0">
      <alignment horizontal="left" vertical="top"/>
    </xf>
    <xf numFmtId="0" fontId="19" fillId="20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center" vertical="center"/>
    </xf>
    <xf numFmtId="0" fontId="27" fillId="0" borderId="0">
      <alignment horizontal="right" vertical="top"/>
    </xf>
    <xf numFmtId="0" fontId="19" fillId="20" borderId="0">
      <alignment horizontal="righ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right" vertical="top"/>
    </xf>
    <xf numFmtId="0" fontId="19" fillId="20" borderId="0">
      <alignment horizontal="right" vertical="top"/>
    </xf>
    <xf numFmtId="0" fontId="19" fillId="20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19" fillId="21" borderId="0">
      <alignment horizontal="righ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right" vertical="top"/>
    </xf>
    <xf numFmtId="0" fontId="19" fillId="20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left" vertical="center"/>
    </xf>
    <xf numFmtId="0" fontId="42" fillId="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righ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19" fillId="21" borderId="0">
      <alignment horizontal="left" vertical="top"/>
    </xf>
    <xf numFmtId="0" fontId="34" fillId="0" borderId="0">
      <alignment horizontal="right" vertical="center"/>
    </xf>
    <xf numFmtId="0" fontId="30" fillId="0" borderId="0">
      <alignment horizontal="left" vertical="center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2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left" vertical="top"/>
    </xf>
    <xf numFmtId="0" fontId="29" fillId="0" borderId="0">
      <alignment horizontal="right" vertical="top"/>
    </xf>
    <xf numFmtId="0" fontId="19" fillId="21" borderId="0">
      <alignment horizontal="left" vertical="top"/>
    </xf>
    <xf numFmtId="0" fontId="25" fillId="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right" vertical="top"/>
    </xf>
    <xf numFmtId="0" fontId="28" fillId="0" borderId="0">
      <alignment horizontal="left" vertical="top"/>
    </xf>
    <xf numFmtId="0" fontId="20" fillId="0" borderId="0">
      <alignment horizontal="left" vertical="top"/>
    </xf>
    <xf numFmtId="0" fontId="30" fillId="0" borderId="0">
      <alignment horizontal="center" vertical="center"/>
    </xf>
    <xf numFmtId="0" fontId="19" fillId="20" borderId="0">
      <alignment horizontal="right" vertical="top"/>
    </xf>
    <xf numFmtId="0" fontId="19" fillId="20" borderId="0">
      <alignment horizontal="left" vertical="top"/>
    </xf>
    <xf numFmtId="0" fontId="19" fillId="20" borderId="0">
      <alignment horizontal="right" vertical="top"/>
    </xf>
    <xf numFmtId="0" fontId="19" fillId="20" borderId="0">
      <alignment horizontal="right" vertical="top"/>
    </xf>
    <xf numFmtId="0" fontId="19" fillId="20" borderId="0">
      <alignment horizontal="right" vertical="top"/>
    </xf>
    <xf numFmtId="0" fontId="19" fillId="2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19" fillId="21" borderId="0">
      <alignment horizontal="right" vertical="top"/>
    </xf>
  </cellStyleXfs>
  <cellXfs count="10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left" indent="1"/>
    </xf>
    <xf numFmtId="0" fontId="4" fillId="0" borderId="1" xfId="0" applyFont="1" applyFill="1" applyBorder="1" applyAlignment="1">
      <alignment horizontal="center"/>
    </xf>
    <xf numFmtId="16" fontId="4" fillId="0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indent="1"/>
    </xf>
    <xf numFmtId="0" fontId="4" fillId="4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indent="1"/>
    </xf>
    <xf numFmtId="15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5" fillId="0" borderId="1" xfId="0" applyFont="1" applyBorder="1" applyAlignment="1">
      <alignment horizontal="left" indent="1"/>
    </xf>
    <xf numFmtId="16" fontId="4" fillId="3" borderId="1" xfId="0" applyNumberFormat="1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6" fillId="5" borderId="1" xfId="0" applyFont="1" applyFill="1" applyBorder="1"/>
    <xf numFmtId="164" fontId="4" fillId="0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 indent="1"/>
    </xf>
    <xf numFmtId="15" fontId="7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 indent="1"/>
    </xf>
    <xf numFmtId="0" fontId="4" fillId="8" borderId="1" xfId="0" applyFont="1" applyFill="1" applyBorder="1"/>
    <xf numFmtId="0" fontId="0" fillId="8" borderId="1" xfId="0" applyFill="1" applyBorder="1"/>
    <xf numFmtId="0" fontId="0" fillId="0" borderId="1" xfId="0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indent="1"/>
    </xf>
    <xf numFmtId="15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0" fillId="6" borderId="1" xfId="0" applyFill="1" applyBorder="1"/>
    <xf numFmtId="1" fontId="0" fillId="0" borderId="0" xfId="0" applyNumberFormat="1"/>
    <xf numFmtId="0" fontId="0" fillId="0" borderId="0" xfId="0" applyFill="1" applyBorder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" fontId="0" fillId="0" borderId="1" xfId="0" applyNumberFormat="1" applyBorder="1"/>
    <xf numFmtId="0" fontId="7" fillId="3" borderId="1" xfId="0" applyFont="1" applyFill="1" applyBorder="1" applyAlignment="1">
      <alignment horizontal="left" indent="1"/>
    </xf>
    <xf numFmtId="0" fontId="4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left" indent="1"/>
    </xf>
    <xf numFmtId="0" fontId="4" fillId="10" borderId="1" xfId="0" applyFont="1" applyFill="1" applyBorder="1"/>
    <xf numFmtId="165" fontId="0" fillId="0" borderId="0" xfId="0" applyNumberFormat="1" applyFill="1" applyBorder="1"/>
    <xf numFmtId="0" fontId="7" fillId="0" borderId="1" xfId="0" applyFont="1" applyFill="1" applyBorder="1" applyAlignment="1">
      <alignment horizontal="left" indent="1"/>
    </xf>
    <xf numFmtId="166" fontId="0" fillId="0" borderId="0" xfId="0" applyNumberForma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15" fillId="8" borderId="10" xfId="1" applyFont="1" applyFill="1" applyBorder="1" applyAlignment="1">
      <alignment horizontal="center" vertical="center" wrapText="1" readingOrder="1"/>
    </xf>
    <xf numFmtId="0" fontId="13" fillId="17" borderId="1" xfId="1" applyFont="1" applyFill="1" applyBorder="1" applyAlignment="1">
      <alignment horizontal="center" vertical="center" wrapText="1" readingOrder="1"/>
    </xf>
    <xf numFmtId="0" fontId="13" fillId="15" borderId="2" xfId="1" applyFont="1" applyFill="1" applyBorder="1" applyAlignment="1">
      <alignment horizontal="center" vertical="center" wrapText="1" readingOrder="1"/>
    </xf>
    <xf numFmtId="0" fontId="11" fillId="13" borderId="16" xfId="1" applyFont="1" applyFill="1" applyBorder="1" applyAlignment="1">
      <alignment horizontal="center" vertical="center" wrapText="1" readingOrder="1"/>
    </xf>
    <xf numFmtId="0" fontId="11" fillId="13" borderId="14" xfId="1" applyFont="1" applyFill="1" applyBorder="1" applyAlignment="1">
      <alignment horizontal="center" vertical="center" wrapText="1" readingOrder="1"/>
    </xf>
    <xf numFmtId="0" fontId="13" fillId="16" borderId="1" xfId="1" applyFont="1" applyFill="1" applyBorder="1" applyAlignment="1">
      <alignment horizontal="center" vertical="center" wrapText="1" readingOrder="1"/>
    </xf>
    <xf numFmtId="0" fontId="13" fillId="15" borderId="4" xfId="1" applyFont="1" applyFill="1" applyBorder="1" applyAlignment="1">
      <alignment horizontal="center" vertical="center" wrapText="1" readingOrder="1"/>
    </xf>
    <xf numFmtId="0" fontId="12" fillId="14" borderId="5" xfId="1" applyFont="1" applyFill="1" applyBorder="1" applyAlignment="1">
      <alignment horizontal="center" vertical="center" wrapText="1" readingOrder="1"/>
    </xf>
    <xf numFmtId="0" fontId="11" fillId="13" borderId="15" xfId="1" applyFont="1" applyFill="1" applyBorder="1" applyAlignment="1">
      <alignment horizontal="center" vertical="center" wrapText="1" readingOrder="1"/>
    </xf>
    <xf numFmtId="0" fontId="13" fillId="15" borderId="3" xfId="1" applyFont="1" applyFill="1" applyBorder="1" applyAlignment="1">
      <alignment horizontal="center" vertical="center" wrapText="1" readingOrder="1"/>
    </xf>
    <xf numFmtId="0" fontId="10" fillId="0" borderId="0" xfId="1"/>
    <xf numFmtId="0" fontId="13" fillId="12" borderId="1" xfId="1" applyFont="1" applyFill="1" applyBorder="1" applyAlignment="1">
      <alignment horizontal="center" vertical="center" wrapText="1" readingOrder="1"/>
    </xf>
    <xf numFmtId="0" fontId="13" fillId="11" borderId="1" xfId="1" applyFont="1" applyFill="1" applyBorder="1" applyAlignment="1">
      <alignment horizontal="center" vertical="center" wrapText="1" readingOrder="1"/>
    </xf>
    <xf numFmtId="0" fontId="13" fillId="18" borderId="1" xfId="1" applyFont="1" applyFill="1" applyBorder="1" applyAlignment="1">
      <alignment horizontal="center" vertical="center" wrapText="1" readingOrder="1"/>
    </xf>
    <xf numFmtId="0" fontId="13" fillId="10" borderId="1" xfId="1" applyFont="1" applyFill="1" applyBorder="1" applyAlignment="1">
      <alignment horizontal="center" vertical="center" wrapText="1" readingOrder="1"/>
    </xf>
    <xf numFmtId="0" fontId="13" fillId="19" borderId="1" xfId="1" applyFont="1" applyFill="1" applyBorder="1" applyAlignment="1">
      <alignment horizontal="center" vertical="center" wrapText="1" readingOrder="1"/>
    </xf>
    <xf numFmtId="0" fontId="14" fillId="6" borderId="5" xfId="1" applyFont="1" applyFill="1" applyBorder="1" applyAlignment="1">
      <alignment horizontal="left" vertical="center" wrapText="1" indent="1" readingOrder="1"/>
    </xf>
    <xf numFmtId="10" fontId="14" fillId="6" borderId="1" xfId="1" applyNumberFormat="1" applyFont="1" applyFill="1" applyBorder="1" applyAlignment="1">
      <alignment horizontal="center" vertical="center" wrapText="1" readingOrder="1"/>
    </xf>
    <xf numFmtId="170" fontId="14" fillId="6" borderId="1" xfId="1" applyNumberFormat="1" applyFont="1" applyFill="1" applyBorder="1" applyAlignment="1">
      <alignment horizontal="center" vertical="center" wrapText="1" readingOrder="1"/>
    </xf>
    <xf numFmtId="10" fontId="14" fillId="6" borderId="10" xfId="1" applyNumberFormat="1" applyFont="1" applyFill="1" applyBorder="1" applyAlignment="1">
      <alignment horizontal="center" vertical="center" wrapText="1" readingOrder="1"/>
    </xf>
    <xf numFmtId="0" fontId="14" fillId="6" borderId="6" xfId="1" applyFont="1" applyFill="1" applyBorder="1" applyAlignment="1">
      <alignment horizontal="left" vertical="center" wrapText="1" indent="1" readingOrder="1"/>
    </xf>
    <xf numFmtId="10" fontId="14" fillId="6" borderId="7" xfId="1" applyNumberFormat="1" applyFont="1" applyFill="1" applyBorder="1" applyAlignment="1">
      <alignment horizontal="center" vertical="center" wrapText="1" readingOrder="1"/>
    </xf>
    <xf numFmtId="170" fontId="14" fillId="6" borderId="7" xfId="1" applyNumberFormat="1" applyFont="1" applyFill="1" applyBorder="1" applyAlignment="1">
      <alignment horizontal="center" vertical="center" wrapText="1" readingOrder="1"/>
    </xf>
    <xf numFmtId="10" fontId="14" fillId="6" borderId="11" xfId="1" applyNumberFormat="1" applyFont="1" applyFill="1" applyBorder="1" applyAlignment="1">
      <alignment horizontal="center" vertical="center" wrapText="1" readingOrder="1"/>
    </xf>
    <xf numFmtId="0" fontId="13" fillId="18" borderId="1" xfId="1" applyFont="1" applyFill="1" applyBorder="1" applyAlignment="1">
      <alignment horizontal="center" vertical="center" readingOrder="1"/>
    </xf>
    <xf numFmtId="0" fontId="13" fillId="10" borderId="1" xfId="1" applyFont="1" applyFill="1" applyBorder="1" applyAlignment="1">
      <alignment horizontal="center" vertical="center" readingOrder="1"/>
    </xf>
    <xf numFmtId="0" fontId="13" fillId="12" borderId="1" xfId="1" applyFont="1" applyFill="1" applyBorder="1" applyAlignment="1">
      <alignment horizontal="center" vertical="center" readingOrder="1"/>
    </xf>
    <xf numFmtId="0" fontId="13" fillId="19" borderId="1" xfId="1" applyFont="1" applyFill="1" applyBorder="1" applyAlignment="1">
      <alignment horizontal="center" vertical="center" readingOrder="1"/>
    </xf>
    <xf numFmtId="0" fontId="13" fillId="11" borderId="1" xfId="1" applyFont="1" applyFill="1" applyBorder="1" applyAlignment="1">
      <alignment horizontal="center" vertical="center" readingOrder="1"/>
    </xf>
    <xf numFmtId="0" fontId="11" fillId="13" borderId="8" xfId="1" applyFont="1" applyFill="1" applyBorder="1" applyAlignment="1">
      <alignment horizontal="center" vertical="center" wrapText="1" readingOrder="1"/>
    </xf>
    <xf numFmtId="0" fontId="11" fillId="13" borderId="9" xfId="1" applyFont="1" applyFill="1" applyBorder="1" applyAlignment="1">
      <alignment horizontal="center" vertical="center" wrapText="1" readingOrder="1"/>
    </xf>
    <xf numFmtId="0" fontId="11" fillId="13" borderId="12" xfId="1" applyFont="1" applyFill="1" applyBorder="1" applyAlignment="1">
      <alignment horizontal="center" vertical="center" wrapText="1" readingOrder="1"/>
    </xf>
    <xf numFmtId="0" fontId="13" fillId="15" borderId="1" xfId="1" applyFont="1" applyFill="1" applyBorder="1" applyAlignment="1">
      <alignment horizontal="center" vertical="center" wrapText="1" readingOrder="1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17" fontId="2" fillId="0" borderId="13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0" fillId="0" borderId="0" xfId="1"/>
    <xf numFmtId="0" fontId="2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5" fontId="4" fillId="0" borderId="1" xfId="1" applyNumberFormat="1" applyFont="1" applyBorder="1" applyAlignment="1">
      <alignment horizontal="center"/>
    </xf>
    <xf numFmtId="20" fontId="4" fillId="0" borderId="1" xfId="1" applyNumberFormat="1" applyFont="1" applyBorder="1" applyAlignment="1">
      <alignment horizontal="center"/>
    </xf>
    <xf numFmtId="20" fontId="5" fillId="0" borderId="1" xfId="1" applyNumberFormat="1" applyFont="1" applyBorder="1" applyAlignment="1">
      <alignment horizontal="center"/>
    </xf>
  </cellXfs>
  <cellStyles count="1006">
    <cellStyle name="Comma [0] 2" xfId="6"/>
    <cellStyle name="Comma [0] 3" xfId="7"/>
    <cellStyle name="Comma 10" xfId="8"/>
    <cellStyle name="Comma 104" xfId="9"/>
    <cellStyle name="Comma 11" xfId="10"/>
    <cellStyle name="Comma 11 2" xfId="11"/>
    <cellStyle name="Comma 12" xfId="12"/>
    <cellStyle name="Comma 13" xfId="13"/>
    <cellStyle name="Comma 14" xfId="14"/>
    <cellStyle name="Comma 15" xfId="15"/>
    <cellStyle name="Comma 16" xfId="16"/>
    <cellStyle name="Comma 17" xfId="17"/>
    <cellStyle name="Comma 18" xfId="18"/>
    <cellStyle name="Comma 2" xfId="19"/>
    <cellStyle name="Comma 2 2" xfId="20"/>
    <cellStyle name="Comma 24 2" xfId="21"/>
    <cellStyle name="Comma 29" xfId="22"/>
    <cellStyle name="Comma 294" xfId="23"/>
    <cellStyle name="Comma 3" xfId="24"/>
    <cellStyle name="Comma 3 2" xfId="25"/>
    <cellStyle name="Comma 4" xfId="26"/>
    <cellStyle name="Comma 5" xfId="27"/>
    <cellStyle name="Comma 6" xfId="28"/>
    <cellStyle name="Comma 7" xfId="29"/>
    <cellStyle name="Comma 8" xfId="30"/>
    <cellStyle name="Comma 9" xfId="31"/>
    <cellStyle name="Date" xfId="32"/>
    <cellStyle name="Hyperlink 2" xfId="33"/>
    <cellStyle name="Normal" xfId="0" builtinId="0"/>
    <cellStyle name="Normal 16" xfId="34"/>
    <cellStyle name="Normal 2" xfId="2"/>
    <cellStyle name="Normal 2 2" xfId="35"/>
    <cellStyle name="Normal 2 2 2" xfId="36"/>
    <cellStyle name="Normal 3" xfId="3"/>
    <cellStyle name="Normal 3 2" xfId="37"/>
    <cellStyle name="Normal 4" xfId="4"/>
    <cellStyle name="Normal 5" xfId="1"/>
    <cellStyle name="Normal 5 2" xfId="38"/>
    <cellStyle name="Normal 6" xfId="5"/>
    <cellStyle name="Normal 7" xfId="39"/>
    <cellStyle name="Percent 2" xfId="40"/>
    <cellStyle name="Percent 3" xfId="41"/>
    <cellStyle name="S0" xfId="42"/>
    <cellStyle name="S0 10" xfId="43"/>
    <cellStyle name="S0 100" xfId="44"/>
    <cellStyle name="S0 101" xfId="45"/>
    <cellStyle name="S0 102" xfId="46"/>
    <cellStyle name="S0 103" xfId="47"/>
    <cellStyle name="S0 104" xfId="48"/>
    <cellStyle name="S0 105" xfId="49"/>
    <cellStyle name="S0 106" xfId="50"/>
    <cellStyle name="S0 107" xfId="51"/>
    <cellStyle name="S0 108" xfId="52"/>
    <cellStyle name="S0 109" xfId="53"/>
    <cellStyle name="S0 11" xfId="54"/>
    <cellStyle name="S0 110" xfId="55"/>
    <cellStyle name="S0 111" xfId="56"/>
    <cellStyle name="S0 112" xfId="57"/>
    <cellStyle name="S0 113" xfId="58"/>
    <cellStyle name="S0 114" xfId="59"/>
    <cellStyle name="S0 115" xfId="60"/>
    <cellStyle name="S0 116" xfId="61"/>
    <cellStyle name="S0 117" xfId="62"/>
    <cellStyle name="S0 118" xfId="63"/>
    <cellStyle name="S0 119" xfId="64"/>
    <cellStyle name="S0 12" xfId="65"/>
    <cellStyle name="S0 120" xfId="66"/>
    <cellStyle name="S0 121" xfId="67"/>
    <cellStyle name="S0 122" xfId="68"/>
    <cellStyle name="S0 123" xfId="69"/>
    <cellStyle name="S0 124" xfId="70"/>
    <cellStyle name="S0 125" xfId="71"/>
    <cellStyle name="S0 126" xfId="72"/>
    <cellStyle name="S0 127" xfId="73"/>
    <cellStyle name="S0 128" xfId="74"/>
    <cellStyle name="S0 129" xfId="75"/>
    <cellStyle name="S0 13" xfId="76"/>
    <cellStyle name="S0 130" xfId="77"/>
    <cellStyle name="S0 131" xfId="78"/>
    <cellStyle name="S0 132" xfId="79"/>
    <cellStyle name="S0 133" xfId="80"/>
    <cellStyle name="S0 134" xfId="81"/>
    <cellStyle name="S0 135" xfId="82"/>
    <cellStyle name="S0 136" xfId="83"/>
    <cellStyle name="S0 137" xfId="84"/>
    <cellStyle name="S0 138" xfId="85"/>
    <cellStyle name="S0 139" xfId="86"/>
    <cellStyle name="S0 14" xfId="87"/>
    <cellStyle name="S0 140" xfId="88"/>
    <cellStyle name="S0 141" xfId="89"/>
    <cellStyle name="S0 142" xfId="90"/>
    <cellStyle name="S0 143" xfId="91"/>
    <cellStyle name="S0 144" xfId="92"/>
    <cellStyle name="S0 145" xfId="93"/>
    <cellStyle name="S0 146" xfId="94"/>
    <cellStyle name="S0 147" xfId="95"/>
    <cellStyle name="S0 148" xfId="96"/>
    <cellStyle name="S0 149" xfId="97"/>
    <cellStyle name="S0 15" xfId="98"/>
    <cellStyle name="S0 150" xfId="99"/>
    <cellStyle name="S0 151" xfId="100"/>
    <cellStyle name="S0 152" xfId="101"/>
    <cellStyle name="S0 153" xfId="102"/>
    <cellStyle name="S0 154" xfId="103"/>
    <cellStyle name="S0 155" xfId="104"/>
    <cellStyle name="S0 156" xfId="105"/>
    <cellStyle name="S0 157" xfId="106"/>
    <cellStyle name="S0 158" xfId="107"/>
    <cellStyle name="S0 159" xfId="108"/>
    <cellStyle name="S0 16" xfId="109"/>
    <cellStyle name="S0 160" xfId="110"/>
    <cellStyle name="S0 161" xfId="111"/>
    <cellStyle name="S0 162" xfId="112"/>
    <cellStyle name="S0 163" xfId="113"/>
    <cellStyle name="S0 164" xfId="114"/>
    <cellStyle name="S0 165" xfId="115"/>
    <cellStyle name="S0 166" xfId="116"/>
    <cellStyle name="S0 167" xfId="117"/>
    <cellStyle name="S0 168" xfId="118"/>
    <cellStyle name="S0 169" xfId="119"/>
    <cellStyle name="S0 17" xfId="120"/>
    <cellStyle name="S0 170" xfId="121"/>
    <cellStyle name="S0 171" xfId="122"/>
    <cellStyle name="S0 172" xfId="123"/>
    <cellStyle name="S0 173" xfId="124"/>
    <cellStyle name="S0 174" xfId="125"/>
    <cellStyle name="S0 175" xfId="126"/>
    <cellStyle name="S0 176" xfId="127"/>
    <cellStyle name="S0 177" xfId="128"/>
    <cellStyle name="S0 178" xfId="129"/>
    <cellStyle name="S0 179" xfId="130"/>
    <cellStyle name="S0 18" xfId="131"/>
    <cellStyle name="S0 180" xfId="132"/>
    <cellStyle name="S0 181" xfId="133"/>
    <cellStyle name="S0 182" xfId="134"/>
    <cellStyle name="S0 183" xfId="135"/>
    <cellStyle name="S0 184" xfId="136"/>
    <cellStyle name="S0 185" xfId="137"/>
    <cellStyle name="S0 186" xfId="138"/>
    <cellStyle name="S0 187" xfId="139"/>
    <cellStyle name="S0 188" xfId="140"/>
    <cellStyle name="S0 189" xfId="141"/>
    <cellStyle name="S0 19" xfId="142"/>
    <cellStyle name="S0 190" xfId="143"/>
    <cellStyle name="S0 191" xfId="144"/>
    <cellStyle name="S0 192" xfId="145"/>
    <cellStyle name="S0 193" xfId="146"/>
    <cellStyle name="S0 194" xfId="147"/>
    <cellStyle name="S0 195" xfId="148"/>
    <cellStyle name="S0 196" xfId="149"/>
    <cellStyle name="S0 197" xfId="150"/>
    <cellStyle name="S0 198" xfId="151"/>
    <cellStyle name="S0 199" xfId="152"/>
    <cellStyle name="S0 2" xfId="153"/>
    <cellStyle name="S0 20" xfId="154"/>
    <cellStyle name="S0 200" xfId="155"/>
    <cellStyle name="S0 201" xfId="156"/>
    <cellStyle name="S0 202" xfId="157"/>
    <cellStyle name="S0 203" xfId="158"/>
    <cellStyle name="S0 204" xfId="159"/>
    <cellStyle name="S0 205" xfId="160"/>
    <cellStyle name="S0 206" xfId="161"/>
    <cellStyle name="S0 207" xfId="162"/>
    <cellStyle name="S0 208" xfId="163"/>
    <cellStyle name="S0 209" xfId="164"/>
    <cellStyle name="S0 21" xfId="165"/>
    <cellStyle name="S0 210" xfId="166"/>
    <cellStyle name="S0 211" xfId="167"/>
    <cellStyle name="S0 212" xfId="168"/>
    <cellStyle name="S0 213" xfId="169"/>
    <cellStyle name="S0 214" xfId="170"/>
    <cellStyle name="S0 215" xfId="171"/>
    <cellStyle name="S0 216" xfId="172"/>
    <cellStyle name="S0 217" xfId="173"/>
    <cellStyle name="S0 218" xfId="174"/>
    <cellStyle name="S0 219" xfId="175"/>
    <cellStyle name="S0 22" xfId="176"/>
    <cellStyle name="S0 220" xfId="177"/>
    <cellStyle name="S0 221" xfId="178"/>
    <cellStyle name="S0 222" xfId="179"/>
    <cellStyle name="S0 223" xfId="180"/>
    <cellStyle name="S0 224" xfId="181"/>
    <cellStyle name="S0 225" xfId="182"/>
    <cellStyle name="S0 226" xfId="183"/>
    <cellStyle name="S0 227" xfId="184"/>
    <cellStyle name="S0 228" xfId="185"/>
    <cellStyle name="S0 229" xfId="186"/>
    <cellStyle name="S0 23" xfId="187"/>
    <cellStyle name="S0 230" xfId="188"/>
    <cellStyle name="S0 231" xfId="189"/>
    <cellStyle name="S0 232" xfId="190"/>
    <cellStyle name="S0 233" xfId="191"/>
    <cellStyle name="S0 234" xfId="192"/>
    <cellStyle name="S0 235" xfId="193"/>
    <cellStyle name="S0 236" xfId="194"/>
    <cellStyle name="S0 237" xfId="195"/>
    <cellStyle name="S0 238" xfId="196"/>
    <cellStyle name="S0 239" xfId="197"/>
    <cellStyle name="S0 24" xfId="198"/>
    <cellStyle name="S0 240" xfId="199"/>
    <cellStyle name="S0 241" xfId="200"/>
    <cellStyle name="S0 242" xfId="201"/>
    <cellStyle name="S0 243" xfId="202"/>
    <cellStyle name="S0 244" xfId="203"/>
    <cellStyle name="S0 245" xfId="204"/>
    <cellStyle name="S0 246" xfId="205"/>
    <cellStyle name="S0 247" xfId="206"/>
    <cellStyle name="S0 248" xfId="207"/>
    <cellStyle name="S0 249" xfId="208"/>
    <cellStyle name="S0 25" xfId="209"/>
    <cellStyle name="S0 250" xfId="210"/>
    <cellStyle name="S0 251" xfId="211"/>
    <cellStyle name="S0 252" xfId="212"/>
    <cellStyle name="S0 253" xfId="213"/>
    <cellStyle name="S0 254" xfId="214"/>
    <cellStyle name="S0 255" xfId="215"/>
    <cellStyle name="S0 256" xfId="216"/>
    <cellStyle name="S0 257" xfId="217"/>
    <cellStyle name="S0 258" xfId="218"/>
    <cellStyle name="S0 259" xfId="219"/>
    <cellStyle name="S0 26" xfId="220"/>
    <cellStyle name="S0 260" xfId="221"/>
    <cellStyle name="S0 261" xfId="222"/>
    <cellStyle name="S0 262" xfId="223"/>
    <cellStyle name="S0 263" xfId="224"/>
    <cellStyle name="S0 264" xfId="225"/>
    <cellStyle name="S0 265" xfId="226"/>
    <cellStyle name="S0 266" xfId="227"/>
    <cellStyle name="S0 266 2" xfId="228"/>
    <cellStyle name="S0 27" xfId="229"/>
    <cellStyle name="S0 28" xfId="230"/>
    <cellStyle name="S0 29" xfId="231"/>
    <cellStyle name="S0 3" xfId="232"/>
    <cellStyle name="S0 30" xfId="233"/>
    <cellStyle name="S0 31" xfId="234"/>
    <cellStyle name="S0 32" xfId="235"/>
    <cellStyle name="S0 33" xfId="236"/>
    <cellStyle name="S0 34" xfId="237"/>
    <cellStyle name="S0 35" xfId="238"/>
    <cellStyle name="S0 36" xfId="239"/>
    <cellStyle name="S0 37" xfId="240"/>
    <cellStyle name="S0 38" xfId="241"/>
    <cellStyle name="S0 39" xfId="242"/>
    <cellStyle name="S0 4" xfId="243"/>
    <cellStyle name="S0 40" xfId="244"/>
    <cellStyle name="S0 41" xfId="245"/>
    <cellStyle name="S0 42" xfId="246"/>
    <cellStyle name="S0 43" xfId="247"/>
    <cellStyle name="S0 44" xfId="248"/>
    <cellStyle name="S0 45" xfId="249"/>
    <cellStyle name="S0 46" xfId="250"/>
    <cellStyle name="S0 47" xfId="251"/>
    <cellStyle name="S0 48" xfId="252"/>
    <cellStyle name="S0 49" xfId="253"/>
    <cellStyle name="S0 5" xfId="254"/>
    <cellStyle name="S0 50" xfId="255"/>
    <cellStyle name="S0 51" xfId="256"/>
    <cellStyle name="S0 52" xfId="257"/>
    <cellStyle name="S0 53" xfId="258"/>
    <cellStyle name="S0 54" xfId="259"/>
    <cellStyle name="S0 55" xfId="260"/>
    <cellStyle name="S0 56" xfId="261"/>
    <cellStyle name="S0 57" xfId="262"/>
    <cellStyle name="S0 58" xfId="263"/>
    <cellStyle name="S0 59" xfId="264"/>
    <cellStyle name="S0 6" xfId="265"/>
    <cellStyle name="S0 60" xfId="266"/>
    <cellStyle name="S0 61" xfId="267"/>
    <cellStyle name="S0 62" xfId="268"/>
    <cellStyle name="S0 63" xfId="269"/>
    <cellStyle name="S0 64" xfId="270"/>
    <cellStyle name="S0 65" xfId="271"/>
    <cellStyle name="S0 66" xfId="272"/>
    <cellStyle name="S0 67" xfId="273"/>
    <cellStyle name="S0 68" xfId="274"/>
    <cellStyle name="S0 69" xfId="275"/>
    <cellStyle name="S0 7" xfId="276"/>
    <cellStyle name="S0 70" xfId="277"/>
    <cellStyle name="S0 71" xfId="278"/>
    <cellStyle name="S0 72" xfId="279"/>
    <cellStyle name="S0 73" xfId="280"/>
    <cellStyle name="S0 74" xfId="281"/>
    <cellStyle name="S0 75" xfId="282"/>
    <cellStyle name="S0 76" xfId="283"/>
    <cellStyle name="S0 77" xfId="284"/>
    <cellStyle name="S0 78" xfId="285"/>
    <cellStyle name="S0 79" xfId="286"/>
    <cellStyle name="S0 8" xfId="287"/>
    <cellStyle name="S0 80" xfId="288"/>
    <cellStyle name="S0 81" xfId="289"/>
    <cellStyle name="S0 82" xfId="290"/>
    <cellStyle name="S0 83" xfId="291"/>
    <cellStyle name="S0 84" xfId="292"/>
    <cellStyle name="S0 85" xfId="293"/>
    <cellStyle name="S0 86" xfId="294"/>
    <cellStyle name="S0 87" xfId="295"/>
    <cellStyle name="S0 88" xfId="296"/>
    <cellStyle name="S0 89" xfId="297"/>
    <cellStyle name="S0 9" xfId="298"/>
    <cellStyle name="S0 90" xfId="299"/>
    <cellStyle name="S0 91" xfId="300"/>
    <cellStyle name="S0 92" xfId="301"/>
    <cellStyle name="S0 93" xfId="302"/>
    <cellStyle name="S0 94" xfId="303"/>
    <cellStyle name="S0 95" xfId="304"/>
    <cellStyle name="S0 96" xfId="305"/>
    <cellStyle name="S0 97" xfId="306"/>
    <cellStyle name="S0 98" xfId="307"/>
    <cellStyle name="S0 99" xfId="308"/>
    <cellStyle name="S0_Sheet1" xfId="309"/>
    <cellStyle name="S1" xfId="310"/>
    <cellStyle name="S1 10" xfId="311"/>
    <cellStyle name="S1 100" xfId="312"/>
    <cellStyle name="S1 101" xfId="313"/>
    <cellStyle name="S1 102" xfId="314"/>
    <cellStyle name="S1 103" xfId="315"/>
    <cellStyle name="S1 104" xfId="316"/>
    <cellStyle name="S1 105" xfId="317"/>
    <cellStyle name="S1 106" xfId="318"/>
    <cellStyle name="S1 107" xfId="319"/>
    <cellStyle name="S1 108" xfId="320"/>
    <cellStyle name="S1 109" xfId="321"/>
    <cellStyle name="S1 11" xfId="322"/>
    <cellStyle name="S1 110" xfId="323"/>
    <cellStyle name="S1 111" xfId="324"/>
    <cellStyle name="S1 112" xfId="325"/>
    <cellStyle name="S1 113" xfId="326"/>
    <cellStyle name="S1 114" xfId="327"/>
    <cellStyle name="S1 115" xfId="328"/>
    <cellStyle name="S1 116" xfId="329"/>
    <cellStyle name="S1 117" xfId="330"/>
    <cellStyle name="S1 118" xfId="331"/>
    <cellStyle name="S1 119" xfId="332"/>
    <cellStyle name="S1 12" xfId="333"/>
    <cellStyle name="S1 120" xfId="334"/>
    <cellStyle name="S1 121" xfId="335"/>
    <cellStyle name="S1 122" xfId="336"/>
    <cellStyle name="S1 123" xfId="337"/>
    <cellStyle name="S1 124" xfId="338"/>
    <cellStyle name="S1 125" xfId="339"/>
    <cellStyle name="S1 126" xfId="340"/>
    <cellStyle name="S1 127" xfId="341"/>
    <cellStyle name="S1 128" xfId="342"/>
    <cellStyle name="S1 129" xfId="343"/>
    <cellStyle name="S1 13" xfId="344"/>
    <cellStyle name="S1 130" xfId="345"/>
    <cellStyle name="S1 131" xfId="346"/>
    <cellStyle name="S1 132" xfId="347"/>
    <cellStyle name="S1 133" xfId="348"/>
    <cellStyle name="S1 134" xfId="349"/>
    <cellStyle name="S1 135" xfId="350"/>
    <cellStyle name="S1 136" xfId="351"/>
    <cellStyle name="S1 137" xfId="352"/>
    <cellStyle name="S1 138" xfId="353"/>
    <cellStyle name="S1 139" xfId="354"/>
    <cellStyle name="S1 14" xfId="355"/>
    <cellStyle name="S1 140" xfId="356"/>
    <cellStyle name="S1 141" xfId="357"/>
    <cellStyle name="S1 142" xfId="358"/>
    <cellStyle name="S1 143" xfId="359"/>
    <cellStyle name="S1 144" xfId="360"/>
    <cellStyle name="S1 145" xfId="361"/>
    <cellStyle name="S1 146" xfId="362"/>
    <cellStyle name="S1 147" xfId="363"/>
    <cellStyle name="S1 148" xfId="364"/>
    <cellStyle name="S1 149" xfId="365"/>
    <cellStyle name="S1 15" xfId="366"/>
    <cellStyle name="S1 150" xfId="367"/>
    <cellStyle name="S1 151" xfId="368"/>
    <cellStyle name="S1 152" xfId="369"/>
    <cellStyle name="S1 153" xfId="370"/>
    <cellStyle name="S1 154" xfId="371"/>
    <cellStyle name="S1 155" xfId="372"/>
    <cellStyle name="S1 156" xfId="373"/>
    <cellStyle name="S1 157" xfId="374"/>
    <cellStyle name="S1 158" xfId="375"/>
    <cellStyle name="S1 159" xfId="376"/>
    <cellStyle name="S1 16" xfId="377"/>
    <cellStyle name="S1 160" xfId="378"/>
    <cellStyle name="S1 161" xfId="379"/>
    <cellStyle name="S1 162" xfId="380"/>
    <cellStyle name="S1 163" xfId="381"/>
    <cellStyle name="S1 164" xfId="382"/>
    <cellStyle name="S1 165" xfId="383"/>
    <cellStyle name="S1 166" xfId="384"/>
    <cellStyle name="S1 167" xfId="385"/>
    <cellStyle name="S1 168" xfId="386"/>
    <cellStyle name="S1 169" xfId="387"/>
    <cellStyle name="S1 17" xfId="388"/>
    <cellStyle name="S1 170" xfId="389"/>
    <cellStyle name="S1 171" xfId="390"/>
    <cellStyle name="S1 172" xfId="391"/>
    <cellStyle name="S1 173" xfId="392"/>
    <cellStyle name="S1 174" xfId="393"/>
    <cellStyle name="S1 175" xfId="394"/>
    <cellStyle name="S1 176" xfId="395"/>
    <cellStyle name="S1 177" xfId="396"/>
    <cellStyle name="S1 178" xfId="397"/>
    <cellStyle name="S1 179" xfId="398"/>
    <cellStyle name="S1 18" xfId="399"/>
    <cellStyle name="S1 180" xfId="400"/>
    <cellStyle name="S1 181" xfId="401"/>
    <cellStyle name="S1 182" xfId="402"/>
    <cellStyle name="S1 183" xfId="403"/>
    <cellStyle name="S1 184" xfId="404"/>
    <cellStyle name="S1 185" xfId="405"/>
    <cellStyle name="S1 186" xfId="406"/>
    <cellStyle name="S1 187" xfId="407"/>
    <cellStyle name="S1 188" xfId="408"/>
    <cellStyle name="S1 189" xfId="409"/>
    <cellStyle name="S1 19" xfId="410"/>
    <cellStyle name="S1 190" xfId="411"/>
    <cellStyle name="S1 191" xfId="412"/>
    <cellStyle name="S1 192" xfId="413"/>
    <cellStyle name="S1 193" xfId="414"/>
    <cellStyle name="S1 194" xfId="415"/>
    <cellStyle name="S1 195" xfId="416"/>
    <cellStyle name="S1 196" xfId="417"/>
    <cellStyle name="S1 197" xfId="418"/>
    <cellStyle name="S1 198" xfId="419"/>
    <cellStyle name="S1 199" xfId="420"/>
    <cellStyle name="S1 2" xfId="421"/>
    <cellStyle name="S1 20" xfId="422"/>
    <cellStyle name="S1 200" xfId="423"/>
    <cellStyle name="S1 201" xfId="424"/>
    <cellStyle name="S1 202" xfId="425"/>
    <cellStyle name="S1 203" xfId="426"/>
    <cellStyle name="S1 204" xfId="427"/>
    <cellStyle name="S1 205" xfId="428"/>
    <cellStyle name="S1 206" xfId="429"/>
    <cellStyle name="S1 207" xfId="430"/>
    <cellStyle name="S1 208" xfId="431"/>
    <cellStyle name="S1 209" xfId="432"/>
    <cellStyle name="S1 21" xfId="433"/>
    <cellStyle name="S1 210" xfId="434"/>
    <cellStyle name="S1 211" xfId="435"/>
    <cellStyle name="S1 212" xfId="436"/>
    <cellStyle name="S1 213" xfId="437"/>
    <cellStyle name="S1 214" xfId="438"/>
    <cellStyle name="S1 215" xfId="439"/>
    <cellStyle name="S1 216" xfId="440"/>
    <cellStyle name="S1 217" xfId="441"/>
    <cellStyle name="S1 218" xfId="442"/>
    <cellStyle name="S1 219" xfId="443"/>
    <cellStyle name="S1 22" xfId="444"/>
    <cellStyle name="S1 220" xfId="445"/>
    <cellStyle name="S1 221" xfId="446"/>
    <cellStyle name="S1 222" xfId="447"/>
    <cellStyle name="S1 223" xfId="448"/>
    <cellStyle name="S1 224" xfId="449"/>
    <cellStyle name="S1 225" xfId="450"/>
    <cellStyle name="S1 226" xfId="451"/>
    <cellStyle name="S1 227" xfId="452"/>
    <cellStyle name="S1 228" xfId="453"/>
    <cellStyle name="S1 229" xfId="454"/>
    <cellStyle name="S1 23" xfId="455"/>
    <cellStyle name="S1 230" xfId="456"/>
    <cellStyle name="S1 231" xfId="457"/>
    <cellStyle name="S1 232" xfId="458"/>
    <cellStyle name="S1 233" xfId="459"/>
    <cellStyle name="S1 234" xfId="460"/>
    <cellStyle name="S1 235" xfId="461"/>
    <cellStyle name="S1 236" xfId="462"/>
    <cellStyle name="S1 237" xfId="463"/>
    <cellStyle name="S1 238" xfId="464"/>
    <cellStyle name="S1 239" xfId="465"/>
    <cellStyle name="S1 24" xfId="466"/>
    <cellStyle name="S1 240" xfId="467"/>
    <cellStyle name="S1 241" xfId="468"/>
    <cellStyle name="S1 242" xfId="469"/>
    <cellStyle name="S1 243" xfId="470"/>
    <cellStyle name="S1 244" xfId="471"/>
    <cellStyle name="S1 245" xfId="472"/>
    <cellStyle name="S1 246" xfId="473"/>
    <cellStyle name="S1 247" xfId="474"/>
    <cellStyle name="S1 248" xfId="475"/>
    <cellStyle name="S1 249" xfId="476"/>
    <cellStyle name="S1 25" xfId="477"/>
    <cellStyle name="S1 250" xfId="478"/>
    <cellStyle name="S1 251" xfId="479"/>
    <cellStyle name="S1 252" xfId="480"/>
    <cellStyle name="S1 253" xfId="481"/>
    <cellStyle name="S1 254" xfId="482"/>
    <cellStyle name="S1 255" xfId="483"/>
    <cellStyle name="S1 256" xfId="484"/>
    <cellStyle name="S1 257" xfId="485"/>
    <cellStyle name="S1 258" xfId="486"/>
    <cellStyle name="S1 259" xfId="487"/>
    <cellStyle name="S1 26" xfId="488"/>
    <cellStyle name="S1 260" xfId="489"/>
    <cellStyle name="S1 261" xfId="490"/>
    <cellStyle name="S1 262" xfId="491"/>
    <cellStyle name="S1 263" xfId="492"/>
    <cellStyle name="S1 264" xfId="493"/>
    <cellStyle name="S1 265" xfId="494"/>
    <cellStyle name="S1 265 2" xfId="495"/>
    <cellStyle name="S1 27" xfId="496"/>
    <cellStyle name="S1 28" xfId="497"/>
    <cellStyle name="S1 29" xfId="498"/>
    <cellStyle name="S1 3" xfId="499"/>
    <cellStyle name="S1 30" xfId="500"/>
    <cellStyle name="S1 31" xfId="501"/>
    <cellStyle name="S1 32" xfId="502"/>
    <cellStyle name="S1 33" xfId="503"/>
    <cellStyle name="S1 34" xfId="504"/>
    <cellStyle name="S1 35" xfId="505"/>
    <cellStyle name="S1 36" xfId="506"/>
    <cellStyle name="S1 37" xfId="507"/>
    <cellStyle name="S1 38" xfId="508"/>
    <cellStyle name="S1 39" xfId="509"/>
    <cellStyle name="S1 4" xfId="510"/>
    <cellStyle name="S1 40" xfId="511"/>
    <cellStyle name="S1 41" xfId="512"/>
    <cellStyle name="S1 42" xfId="513"/>
    <cellStyle name="S1 43" xfId="514"/>
    <cellStyle name="S1 44" xfId="515"/>
    <cellStyle name="S1 45" xfId="516"/>
    <cellStyle name="S1 46" xfId="517"/>
    <cellStyle name="S1 47" xfId="518"/>
    <cellStyle name="S1 48" xfId="519"/>
    <cellStyle name="S1 49" xfId="520"/>
    <cellStyle name="S1 5" xfId="521"/>
    <cellStyle name="S1 50" xfId="522"/>
    <cellStyle name="S1 51" xfId="523"/>
    <cellStyle name="S1 52" xfId="524"/>
    <cellStyle name="S1 53" xfId="525"/>
    <cellStyle name="S1 54" xfId="526"/>
    <cellStyle name="S1 55" xfId="527"/>
    <cellStyle name="S1 56" xfId="528"/>
    <cellStyle name="S1 57" xfId="529"/>
    <cellStyle name="S1 58" xfId="530"/>
    <cellStyle name="S1 59" xfId="531"/>
    <cellStyle name="S1 6" xfId="532"/>
    <cellStyle name="S1 60" xfId="533"/>
    <cellStyle name="S1 61" xfId="534"/>
    <cellStyle name="S1 62" xfId="535"/>
    <cellStyle name="S1 63" xfId="536"/>
    <cellStyle name="S1 64" xfId="537"/>
    <cellStyle name="S1 65" xfId="538"/>
    <cellStyle name="S1 66" xfId="539"/>
    <cellStyle name="S1 67" xfId="540"/>
    <cellStyle name="S1 68" xfId="541"/>
    <cellStyle name="S1 69" xfId="542"/>
    <cellStyle name="S1 7" xfId="543"/>
    <cellStyle name="S1 70" xfId="544"/>
    <cellStyle name="S1 71" xfId="545"/>
    <cellStyle name="S1 72" xfId="546"/>
    <cellStyle name="S1 73" xfId="547"/>
    <cellStyle name="S1 74" xfId="548"/>
    <cellStyle name="S1 75" xfId="549"/>
    <cellStyle name="S1 76" xfId="550"/>
    <cellStyle name="S1 77" xfId="551"/>
    <cellStyle name="S1 78" xfId="552"/>
    <cellStyle name="S1 79" xfId="553"/>
    <cellStyle name="S1 8" xfId="554"/>
    <cellStyle name="S1 80" xfId="555"/>
    <cellStyle name="S1 81" xfId="556"/>
    <cellStyle name="S1 82" xfId="557"/>
    <cellStyle name="S1 83" xfId="558"/>
    <cellStyle name="S1 84" xfId="559"/>
    <cellStyle name="S1 85" xfId="560"/>
    <cellStyle name="S1 86" xfId="561"/>
    <cellStyle name="S1 87" xfId="562"/>
    <cellStyle name="S1 88" xfId="563"/>
    <cellStyle name="S1 89" xfId="564"/>
    <cellStyle name="S1 9" xfId="565"/>
    <cellStyle name="S1 90" xfId="566"/>
    <cellStyle name="S1 91" xfId="567"/>
    <cellStyle name="S1 92" xfId="568"/>
    <cellStyle name="S1 93" xfId="569"/>
    <cellStyle name="S1 94" xfId="570"/>
    <cellStyle name="S1 95" xfId="571"/>
    <cellStyle name="S1 96" xfId="572"/>
    <cellStyle name="S1 97" xfId="573"/>
    <cellStyle name="S1 98" xfId="574"/>
    <cellStyle name="S1 99" xfId="575"/>
    <cellStyle name="S1_Sheet1" xfId="576"/>
    <cellStyle name="S10" xfId="577"/>
    <cellStyle name="S10 10" xfId="578"/>
    <cellStyle name="S10 11" xfId="579"/>
    <cellStyle name="S10 12" xfId="580"/>
    <cellStyle name="S10 13" xfId="581"/>
    <cellStyle name="S10 13 2" xfId="582"/>
    <cellStyle name="S10 14" xfId="583"/>
    <cellStyle name="S10 15" xfId="584"/>
    <cellStyle name="S10 19" xfId="585"/>
    <cellStyle name="S10 2" xfId="586"/>
    <cellStyle name="S10 3" xfId="587"/>
    <cellStyle name="S10 4" xfId="588"/>
    <cellStyle name="S10 5" xfId="589"/>
    <cellStyle name="S10 6" xfId="590"/>
    <cellStyle name="S10 7" xfId="591"/>
    <cellStyle name="S10 8" xfId="592"/>
    <cellStyle name="S10 9" xfId="593"/>
    <cellStyle name="S10_Sheet1" xfId="594"/>
    <cellStyle name="S11" xfId="595"/>
    <cellStyle name="S11 10" xfId="596"/>
    <cellStyle name="S11 10 2" xfId="597"/>
    <cellStyle name="S11 11" xfId="598"/>
    <cellStyle name="S11 12" xfId="599"/>
    <cellStyle name="S11 13" xfId="600"/>
    <cellStyle name="S11 2" xfId="601"/>
    <cellStyle name="S11 3" xfId="602"/>
    <cellStyle name="S11 4" xfId="603"/>
    <cellStyle name="S11 5" xfId="604"/>
    <cellStyle name="S11 6" xfId="605"/>
    <cellStyle name="S11 7" xfId="606"/>
    <cellStyle name="S11 8" xfId="607"/>
    <cellStyle name="S11 9" xfId="608"/>
    <cellStyle name="S12" xfId="609"/>
    <cellStyle name="S12 2" xfId="610"/>
    <cellStyle name="S12 3" xfId="611"/>
    <cellStyle name="S12 4" xfId="612"/>
    <cellStyle name="S12 5" xfId="613"/>
    <cellStyle name="S12 6" xfId="614"/>
    <cellStyle name="S12 6 2" xfId="615"/>
    <cellStyle name="S12 7" xfId="616"/>
    <cellStyle name="S13" xfId="617"/>
    <cellStyle name="S13 2" xfId="618"/>
    <cellStyle name="S13 3" xfId="619"/>
    <cellStyle name="S13 4" xfId="620"/>
    <cellStyle name="S13 4 2" xfId="621"/>
    <cellStyle name="S13 5" xfId="622"/>
    <cellStyle name="S13 6" xfId="623"/>
    <cellStyle name="S14" xfId="624"/>
    <cellStyle name="S14 2" xfId="625"/>
    <cellStyle name="S14 3" xfId="626"/>
    <cellStyle name="S14 3 2" xfId="627"/>
    <cellStyle name="S15" xfId="628"/>
    <cellStyle name="S15 2" xfId="629"/>
    <cellStyle name="S16" xfId="630"/>
    <cellStyle name="S16 2" xfId="631"/>
    <cellStyle name="S2" xfId="632"/>
    <cellStyle name="S2 10" xfId="633"/>
    <cellStyle name="S2 100" xfId="634"/>
    <cellStyle name="S2 101" xfId="635"/>
    <cellStyle name="S2 102" xfId="636"/>
    <cellStyle name="S2 103" xfId="637"/>
    <cellStyle name="S2 104" xfId="638"/>
    <cellStyle name="S2 105" xfId="639"/>
    <cellStyle name="S2 106" xfId="640"/>
    <cellStyle name="S2 107" xfId="641"/>
    <cellStyle name="S2 108" xfId="642"/>
    <cellStyle name="S2 109" xfId="643"/>
    <cellStyle name="S2 11" xfId="644"/>
    <cellStyle name="S2 110" xfId="645"/>
    <cellStyle name="S2 111" xfId="646"/>
    <cellStyle name="S2 112" xfId="647"/>
    <cellStyle name="S2 113" xfId="648"/>
    <cellStyle name="S2 114" xfId="649"/>
    <cellStyle name="S2 115" xfId="650"/>
    <cellStyle name="S2 116" xfId="651"/>
    <cellStyle name="S2 117" xfId="652"/>
    <cellStyle name="S2 118" xfId="653"/>
    <cellStyle name="S2 119" xfId="654"/>
    <cellStyle name="S2 12" xfId="655"/>
    <cellStyle name="S2 120" xfId="656"/>
    <cellStyle name="S2 121" xfId="657"/>
    <cellStyle name="S2 122" xfId="658"/>
    <cellStyle name="S2 123" xfId="659"/>
    <cellStyle name="S2 124" xfId="660"/>
    <cellStyle name="S2 125" xfId="661"/>
    <cellStyle name="S2 126" xfId="662"/>
    <cellStyle name="S2 127" xfId="663"/>
    <cellStyle name="S2 128" xfId="664"/>
    <cellStyle name="S2 129" xfId="665"/>
    <cellStyle name="S2 13" xfId="666"/>
    <cellStyle name="S2 130" xfId="667"/>
    <cellStyle name="S2 131" xfId="668"/>
    <cellStyle name="S2 132" xfId="669"/>
    <cellStyle name="S2 133" xfId="670"/>
    <cellStyle name="S2 134" xfId="671"/>
    <cellStyle name="S2 135" xfId="672"/>
    <cellStyle name="S2 136" xfId="673"/>
    <cellStyle name="S2 137" xfId="674"/>
    <cellStyle name="S2 138" xfId="675"/>
    <cellStyle name="S2 139" xfId="676"/>
    <cellStyle name="S2 14" xfId="677"/>
    <cellStyle name="S2 140" xfId="678"/>
    <cellStyle name="S2 141" xfId="679"/>
    <cellStyle name="S2 142" xfId="680"/>
    <cellStyle name="S2 143" xfId="681"/>
    <cellStyle name="S2 144" xfId="682"/>
    <cellStyle name="S2 145" xfId="683"/>
    <cellStyle name="S2 146" xfId="684"/>
    <cellStyle name="S2 147" xfId="685"/>
    <cellStyle name="S2 148" xfId="686"/>
    <cellStyle name="S2 149" xfId="687"/>
    <cellStyle name="S2 15" xfId="688"/>
    <cellStyle name="S2 150" xfId="689"/>
    <cellStyle name="S2 151" xfId="690"/>
    <cellStyle name="S2 152" xfId="691"/>
    <cellStyle name="S2 153" xfId="692"/>
    <cellStyle name="S2 154" xfId="693"/>
    <cellStyle name="S2 155" xfId="694"/>
    <cellStyle name="S2 156" xfId="695"/>
    <cellStyle name="S2 157" xfId="696"/>
    <cellStyle name="S2 158" xfId="697"/>
    <cellStyle name="S2 159" xfId="698"/>
    <cellStyle name="S2 16" xfId="699"/>
    <cellStyle name="S2 160" xfId="700"/>
    <cellStyle name="S2 161" xfId="701"/>
    <cellStyle name="S2 162" xfId="702"/>
    <cellStyle name="S2 163" xfId="703"/>
    <cellStyle name="S2 164" xfId="704"/>
    <cellStyle name="S2 165" xfId="705"/>
    <cellStyle name="S2 166" xfId="706"/>
    <cellStyle name="S2 167" xfId="707"/>
    <cellStyle name="S2 168" xfId="708"/>
    <cellStyle name="S2 169" xfId="709"/>
    <cellStyle name="S2 17" xfId="710"/>
    <cellStyle name="S2 170" xfId="711"/>
    <cellStyle name="S2 171" xfId="712"/>
    <cellStyle name="S2 172" xfId="713"/>
    <cellStyle name="S2 173" xfId="714"/>
    <cellStyle name="S2 174" xfId="715"/>
    <cellStyle name="S2 175" xfId="716"/>
    <cellStyle name="S2 176" xfId="717"/>
    <cellStyle name="S2 177" xfId="718"/>
    <cellStyle name="S2 178" xfId="719"/>
    <cellStyle name="S2 179" xfId="720"/>
    <cellStyle name="S2 18" xfId="721"/>
    <cellStyle name="S2 180" xfId="722"/>
    <cellStyle name="S2 181" xfId="723"/>
    <cellStyle name="S2 182" xfId="724"/>
    <cellStyle name="S2 183" xfId="725"/>
    <cellStyle name="S2 184" xfId="726"/>
    <cellStyle name="S2 185" xfId="727"/>
    <cellStyle name="S2 186" xfId="728"/>
    <cellStyle name="S2 187" xfId="729"/>
    <cellStyle name="S2 188" xfId="730"/>
    <cellStyle name="S2 189" xfId="731"/>
    <cellStyle name="S2 19" xfId="732"/>
    <cellStyle name="S2 190" xfId="733"/>
    <cellStyle name="S2 191" xfId="734"/>
    <cellStyle name="S2 192" xfId="735"/>
    <cellStyle name="S2 193" xfId="736"/>
    <cellStyle name="S2 194" xfId="737"/>
    <cellStyle name="S2 195" xfId="738"/>
    <cellStyle name="S2 196" xfId="739"/>
    <cellStyle name="S2 197" xfId="740"/>
    <cellStyle name="S2 198" xfId="741"/>
    <cellStyle name="S2 199" xfId="742"/>
    <cellStyle name="S2 2" xfId="743"/>
    <cellStyle name="S2 20" xfId="744"/>
    <cellStyle name="S2 200" xfId="745"/>
    <cellStyle name="S2 201" xfId="746"/>
    <cellStyle name="S2 202" xfId="747"/>
    <cellStyle name="S2 203" xfId="748"/>
    <cellStyle name="S2 204" xfId="749"/>
    <cellStyle name="S2 205" xfId="750"/>
    <cellStyle name="S2 206" xfId="751"/>
    <cellStyle name="S2 207" xfId="752"/>
    <cellStyle name="S2 208" xfId="753"/>
    <cellStyle name="S2 209" xfId="754"/>
    <cellStyle name="S2 21" xfId="755"/>
    <cellStyle name="S2 210" xfId="756"/>
    <cellStyle name="S2 211" xfId="757"/>
    <cellStyle name="S2 212" xfId="758"/>
    <cellStyle name="S2 213" xfId="759"/>
    <cellStyle name="S2 214" xfId="760"/>
    <cellStyle name="S2 215" xfId="761"/>
    <cellStyle name="S2 216" xfId="762"/>
    <cellStyle name="S2 217" xfId="763"/>
    <cellStyle name="S2 218" xfId="764"/>
    <cellStyle name="S2 219" xfId="765"/>
    <cellStyle name="S2 22" xfId="766"/>
    <cellStyle name="S2 220" xfId="767"/>
    <cellStyle name="S2 221" xfId="768"/>
    <cellStyle name="S2 222" xfId="769"/>
    <cellStyle name="S2 223" xfId="770"/>
    <cellStyle name="S2 224" xfId="771"/>
    <cellStyle name="S2 225" xfId="772"/>
    <cellStyle name="S2 226" xfId="773"/>
    <cellStyle name="S2 227" xfId="774"/>
    <cellStyle name="S2 228" xfId="775"/>
    <cellStyle name="S2 229" xfId="776"/>
    <cellStyle name="S2 23" xfId="777"/>
    <cellStyle name="S2 230" xfId="778"/>
    <cellStyle name="S2 231" xfId="779"/>
    <cellStyle name="S2 232" xfId="780"/>
    <cellStyle name="S2 233" xfId="781"/>
    <cellStyle name="S2 234" xfId="782"/>
    <cellStyle name="S2 235" xfId="783"/>
    <cellStyle name="S2 236" xfId="784"/>
    <cellStyle name="S2 237" xfId="785"/>
    <cellStyle name="S2 238" xfId="786"/>
    <cellStyle name="S2 239" xfId="787"/>
    <cellStyle name="S2 24" xfId="788"/>
    <cellStyle name="S2 240" xfId="789"/>
    <cellStyle name="S2 241" xfId="790"/>
    <cellStyle name="S2 242" xfId="791"/>
    <cellStyle name="S2 243" xfId="792"/>
    <cellStyle name="S2 244" xfId="793"/>
    <cellStyle name="S2 245" xfId="794"/>
    <cellStyle name="S2 246" xfId="795"/>
    <cellStyle name="S2 247" xfId="796"/>
    <cellStyle name="S2 248" xfId="797"/>
    <cellStyle name="S2 249" xfId="798"/>
    <cellStyle name="S2 25" xfId="799"/>
    <cellStyle name="S2 250" xfId="800"/>
    <cellStyle name="S2 251" xfId="801"/>
    <cellStyle name="S2 252" xfId="802"/>
    <cellStyle name="S2 253" xfId="803"/>
    <cellStyle name="S2 254" xfId="804"/>
    <cellStyle name="S2 255" xfId="805"/>
    <cellStyle name="S2 256" xfId="806"/>
    <cellStyle name="S2 257" xfId="807"/>
    <cellStyle name="S2 258" xfId="808"/>
    <cellStyle name="S2 259" xfId="809"/>
    <cellStyle name="S2 26" xfId="810"/>
    <cellStyle name="S2 260" xfId="811"/>
    <cellStyle name="S2 261" xfId="812"/>
    <cellStyle name="S2 262" xfId="813"/>
    <cellStyle name="S2 263" xfId="814"/>
    <cellStyle name="S2 264" xfId="815"/>
    <cellStyle name="S2 265" xfId="816"/>
    <cellStyle name="S2 265 2" xfId="817"/>
    <cellStyle name="S2 27" xfId="818"/>
    <cellStyle name="S2 28" xfId="819"/>
    <cellStyle name="S2 29" xfId="820"/>
    <cellStyle name="S2 3" xfId="821"/>
    <cellStyle name="S2 30" xfId="822"/>
    <cellStyle name="S2 31" xfId="823"/>
    <cellStyle name="S2 32" xfId="824"/>
    <cellStyle name="S2 33" xfId="825"/>
    <cellStyle name="S2 34" xfId="826"/>
    <cellStyle name="S2 35" xfId="827"/>
    <cellStyle name="S2 36" xfId="828"/>
    <cellStyle name="S2 37" xfId="829"/>
    <cellStyle name="S2 38" xfId="830"/>
    <cellStyle name="S2 39" xfId="831"/>
    <cellStyle name="S2 4" xfId="832"/>
    <cellStyle name="S2 40" xfId="833"/>
    <cellStyle name="S2 41" xfId="834"/>
    <cellStyle name="S2 42" xfId="835"/>
    <cellStyle name="S2 43" xfId="836"/>
    <cellStyle name="S2 44" xfId="837"/>
    <cellStyle name="S2 45" xfId="838"/>
    <cellStyle name="S2 46" xfId="839"/>
    <cellStyle name="S2 47" xfId="840"/>
    <cellStyle name="S2 48" xfId="841"/>
    <cellStyle name="S2 49" xfId="842"/>
    <cellStyle name="S2 5" xfId="843"/>
    <cellStyle name="S2 50" xfId="844"/>
    <cellStyle name="S2 51" xfId="845"/>
    <cellStyle name="S2 52" xfId="846"/>
    <cellStyle name="S2 53" xfId="847"/>
    <cellStyle name="S2 54" xfId="848"/>
    <cellStyle name="S2 55" xfId="849"/>
    <cellStyle name="S2 56" xfId="850"/>
    <cellStyle name="S2 57" xfId="851"/>
    <cellStyle name="S2 58" xfId="852"/>
    <cellStyle name="S2 59" xfId="853"/>
    <cellStyle name="S2 6" xfId="854"/>
    <cellStyle name="S2 60" xfId="855"/>
    <cellStyle name="S2 61" xfId="856"/>
    <cellStyle name="S2 62" xfId="857"/>
    <cellStyle name="S2 63" xfId="858"/>
    <cellStyle name="S2 64" xfId="859"/>
    <cellStyle name="S2 65" xfId="860"/>
    <cellStyle name="S2 66" xfId="861"/>
    <cellStyle name="S2 67" xfId="862"/>
    <cellStyle name="S2 68" xfId="863"/>
    <cellStyle name="S2 69" xfId="864"/>
    <cellStyle name="S2 7" xfId="865"/>
    <cellStyle name="S2 70" xfId="866"/>
    <cellStyle name="S2 71" xfId="867"/>
    <cellStyle name="S2 72" xfId="868"/>
    <cellStyle name="S2 73" xfId="869"/>
    <cellStyle name="S2 74" xfId="870"/>
    <cellStyle name="S2 75" xfId="871"/>
    <cellStyle name="S2 76" xfId="872"/>
    <cellStyle name="S2 77" xfId="873"/>
    <cellStyle name="S2 78" xfId="874"/>
    <cellStyle name="S2 79" xfId="875"/>
    <cellStyle name="S2 8" xfId="876"/>
    <cellStyle name="S2 80" xfId="877"/>
    <cellStyle name="S2 81" xfId="878"/>
    <cellStyle name="S2 82" xfId="879"/>
    <cellStyle name="S2 83" xfId="880"/>
    <cellStyle name="S2 84" xfId="881"/>
    <cellStyle name="S2 85" xfId="882"/>
    <cellStyle name="S2 86" xfId="883"/>
    <cellStyle name="S2 87" xfId="884"/>
    <cellStyle name="S2 88" xfId="885"/>
    <cellStyle name="S2 89" xfId="886"/>
    <cellStyle name="S2 9" xfId="887"/>
    <cellStyle name="S2 90" xfId="888"/>
    <cellStyle name="S2 91" xfId="889"/>
    <cellStyle name="S2 92" xfId="890"/>
    <cellStyle name="S2 93" xfId="891"/>
    <cellStyle name="S2 94" xfId="892"/>
    <cellStyle name="S2 95" xfId="893"/>
    <cellStyle name="S2 96" xfId="894"/>
    <cellStyle name="S2 97" xfId="895"/>
    <cellStyle name="S2 98" xfId="896"/>
    <cellStyle name="S2 99" xfId="897"/>
    <cellStyle name="S2_Sheet1" xfId="898"/>
    <cellStyle name="S3" xfId="899"/>
    <cellStyle name="S3 2" xfId="900"/>
    <cellStyle name="S3 3" xfId="901"/>
    <cellStyle name="S3 4" xfId="902"/>
    <cellStyle name="S3 5" xfId="903"/>
    <cellStyle name="S3 6" xfId="904"/>
    <cellStyle name="S3 7" xfId="905"/>
    <cellStyle name="S3 8" xfId="906"/>
    <cellStyle name="S3 9" xfId="907"/>
    <cellStyle name="S3 9 2" xfId="908"/>
    <cellStyle name="S3_Sheet1" xfId="909"/>
    <cellStyle name="S4" xfId="910"/>
    <cellStyle name="S4 10" xfId="911"/>
    <cellStyle name="S4 11" xfId="912"/>
    <cellStyle name="S4 12" xfId="913"/>
    <cellStyle name="S4 12 2" xfId="914"/>
    <cellStyle name="S4 13" xfId="915"/>
    <cellStyle name="S4 14 2" xfId="916"/>
    <cellStyle name="S4 19" xfId="917"/>
    <cellStyle name="S4 2" xfId="918"/>
    <cellStyle name="S4 3" xfId="919"/>
    <cellStyle name="S4 4" xfId="920"/>
    <cellStyle name="S4 5" xfId="921"/>
    <cellStyle name="S4 6" xfId="922"/>
    <cellStyle name="S4 7" xfId="923"/>
    <cellStyle name="S4 8" xfId="924"/>
    <cellStyle name="S4 9" xfId="925"/>
    <cellStyle name="S4_Sheet1" xfId="926"/>
    <cellStyle name="S5" xfId="927"/>
    <cellStyle name="S5 10" xfId="928"/>
    <cellStyle name="S5 10 2" xfId="929"/>
    <cellStyle name="S5 19" xfId="930"/>
    <cellStyle name="S5 2" xfId="931"/>
    <cellStyle name="S5 2 2" xfId="932"/>
    <cellStyle name="S5 3" xfId="933"/>
    <cellStyle name="S5 3 2" xfId="934"/>
    <cellStyle name="S5 4" xfId="935"/>
    <cellStyle name="S5 5" xfId="936"/>
    <cellStyle name="S5 6" xfId="937"/>
    <cellStyle name="S5 7" xfId="938"/>
    <cellStyle name="S5 8" xfId="939"/>
    <cellStyle name="S5 9" xfId="940"/>
    <cellStyle name="S5 9 2" xfId="941"/>
    <cellStyle name="S5_Sheet1" xfId="942"/>
    <cellStyle name="S6" xfId="943"/>
    <cellStyle name="S6 10" xfId="944"/>
    <cellStyle name="S6 11" xfId="945"/>
    <cellStyle name="S6 11 2" xfId="946"/>
    <cellStyle name="S6 12" xfId="947"/>
    <cellStyle name="S6 13" xfId="948"/>
    <cellStyle name="S6 13 2" xfId="949"/>
    <cellStyle name="S6 14" xfId="950"/>
    <cellStyle name="S6 18" xfId="951"/>
    <cellStyle name="S6 2" xfId="952"/>
    <cellStyle name="S6 3" xfId="953"/>
    <cellStyle name="S6 4" xfId="954"/>
    <cellStyle name="S6 5" xfId="955"/>
    <cellStyle name="S6 6" xfId="956"/>
    <cellStyle name="S6 7" xfId="957"/>
    <cellStyle name="S6 8" xfId="958"/>
    <cellStyle name="S6 9" xfId="959"/>
    <cellStyle name="S6_Sheet1" xfId="960"/>
    <cellStyle name="S7" xfId="961"/>
    <cellStyle name="S7 10" xfId="962"/>
    <cellStyle name="S7 10 2" xfId="963"/>
    <cellStyle name="S7 11" xfId="964"/>
    <cellStyle name="S7 12" xfId="965"/>
    <cellStyle name="S7 12 2" xfId="966"/>
    <cellStyle name="S7 13" xfId="967"/>
    <cellStyle name="S7 19" xfId="968"/>
    <cellStyle name="S7 19 2" xfId="969"/>
    <cellStyle name="S7 2" xfId="970"/>
    <cellStyle name="S7 3" xfId="971"/>
    <cellStyle name="S7 4" xfId="972"/>
    <cellStyle name="S7 5" xfId="973"/>
    <cellStyle name="S7 6" xfId="974"/>
    <cellStyle name="S7 7" xfId="975"/>
    <cellStyle name="S7 8" xfId="976"/>
    <cellStyle name="S7 9" xfId="977"/>
    <cellStyle name="S7_Sheet1" xfId="978"/>
    <cellStyle name="S8" xfId="979"/>
    <cellStyle name="S8 10" xfId="980"/>
    <cellStyle name="S8 2" xfId="981"/>
    <cellStyle name="S8 3" xfId="982"/>
    <cellStyle name="S8 4" xfId="983"/>
    <cellStyle name="S8 5" xfId="984"/>
    <cellStyle name="S8 6" xfId="985"/>
    <cellStyle name="S8 7" xfId="986"/>
    <cellStyle name="S8 8" xfId="987"/>
    <cellStyle name="S8 9" xfId="988"/>
    <cellStyle name="S8 9 2" xfId="989"/>
    <cellStyle name="S8_Sheet1" xfId="990"/>
    <cellStyle name="S9" xfId="991"/>
    <cellStyle name="S9 10" xfId="992"/>
    <cellStyle name="S9 11" xfId="993"/>
    <cellStyle name="S9 11 2" xfId="994"/>
    <cellStyle name="S9 12" xfId="995"/>
    <cellStyle name="S9 13" xfId="996"/>
    <cellStyle name="S9 2" xfId="997"/>
    <cellStyle name="S9 3" xfId="998"/>
    <cellStyle name="S9 4" xfId="999"/>
    <cellStyle name="S9 5" xfId="1000"/>
    <cellStyle name="S9 6" xfId="1001"/>
    <cellStyle name="S9 7" xfId="1002"/>
    <cellStyle name="S9 8" xfId="1003"/>
    <cellStyle name="S9 9" xfId="1004"/>
    <cellStyle name="S9_Sheet1" xfId="1005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0"/>
  <sheetViews>
    <sheetView topLeftCell="A43" workbookViewId="0">
      <selection sqref="A1:XFD1048576"/>
    </sheetView>
  </sheetViews>
  <sheetFormatPr defaultRowHeight="15"/>
  <cols>
    <col min="1" max="1" width="4.5703125" bestFit="1" customWidth="1"/>
    <col min="2" max="2" width="16.5703125" bestFit="1" customWidth="1"/>
    <col min="3" max="3" width="14.5703125" customWidth="1"/>
    <col min="4" max="4" width="9.85546875" bestFit="1" customWidth="1"/>
    <col min="5" max="5" width="10.85546875" bestFit="1" customWidth="1"/>
    <col min="6" max="6" width="12.7109375" bestFit="1" customWidth="1"/>
    <col min="7" max="7" width="28" bestFit="1" customWidth="1"/>
    <col min="8" max="8" width="21.85546875" bestFit="1" customWidth="1"/>
    <col min="11" max="11" width="4.5703125" customWidth="1"/>
    <col min="12" max="12" width="20" customWidth="1"/>
    <col min="13" max="13" width="24.28515625" bestFit="1" customWidth="1"/>
    <col min="14" max="14" width="14.5703125" customWidth="1"/>
    <col min="15" max="15" width="9.85546875" customWidth="1"/>
    <col min="16" max="16" width="10.85546875" customWidth="1"/>
    <col min="17" max="17" width="12.7109375" bestFit="1" customWidth="1"/>
    <col min="18" max="18" width="19.7109375" bestFit="1" customWidth="1"/>
    <col min="19" max="19" width="12.140625" customWidth="1"/>
  </cols>
  <sheetData>
    <row r="1" spans="1:22" ht="37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0</v>
      </c>
      <c r="L1" s="1" t="s">
        <v>1</v>
      </c>
      <c r="M1" s="1" t="s">
        <v>8</v>
      </c>
      <c r="N1" s="2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22">
      <c r="A2" s="3">
        <v>1</v>
      </c>
      <c r="B2" s="4" t="s">
        <v>9</v>
      </c>
      <c r="C2" s="5">
        <v>1</v>
      </c>
      <c r="D2" s="6">
        <v>45828</v>
      </c>
      <c r="E2" s="6">
        <v>45839</v>
      </c>
      <c r="F2" s="5">
        <f t="shared" ref="F2:F57" si="0">E2-D2</f>
        <v>11</v>
      </c>
      <c r="G2" s="7" t="s">
        <v>10</v>
      </c>
      <c r="H2" s="8" t="s">
        <v>11</v>
      </c>
      <c r="K2" s="9">
        <v>1</v>
      </c>
      <c r="L2" s="5" t="s">
        <v>12</v>
      </c>
      <c r="M2" s="10" t="s">
        <v>13</v>
      </c>
      <c r="N2" s="5">
        <v>1</v>
      </c>
      <c r="O2" s="11">
        <v>45631</v>
      </c>
      <c r="P2" s="11">
        <v>46094</v>
      </c>
      <c r="Q2" s="5">
        <f>P2-O2</f>
        <v>463</v>
      </c>
      <c r="R2" s="12" t="s">
        <v>14</v>
      </c>
      <c r="S2" s="12"/>
      <c r="V2" t="s">
        <v>15</v>
      </c>
    </row>
    <row r="3" spans="1:22">
      <c r="A3" s="3">
        <v>2</v>
      </c>
      <c r="B3" s="13" t="s">
        <v>16</v>
      </c>
      <c r="C3" s="5">
        <v>1</v>
      </c>
      <c r="D3" s="6">
        <v>45768</v>
      </c>
      <c r="E3" s="6">
        <v>45796</v>
      </c>
      <c r="F3" s="5">
        <f t="shared" si="0"/>
        <v>28</v>
      </c>
      <c r="G3" s="7" t="s">
        <v>17</v>
      </c>
      <c r="H3" s="8" t="s">
        <v>11</v>
      </c>
      <c r="K3" s="9">
        <v>2</v>
      </c>
      <c r="L3" s="14" t="s">
        <v>18</v>
      </c>
      <c r="M3" s="7" t="s">
        <v>19</v>
      </c>
      <c r="N3" s="9">
        <v>1</v>
      </c>
      <c r="O3" s="15">
        <v>45614</v>
      </c>
      <c r="P3" s="15">
        <v>45687</v>
      </c>
      <c r="Q3" s="9">
        <f t="shared" ref="Q3:Q35" si="1">P3-O3</f>
        <v>73</v>
      </c>
      <c r="R3" s="16" t="s">
        <v>20</v>
      </c>
      <c r="S3" s="8" t="s">
        <v>11</v>
      </c>
      <c r="V3" t="s">
        <v>21</v>
      </c>
    </row>
    <row r="4" spans="1:22">
      <c r="A4" s="3">
        <v>3</v>
      </c>
      <c r="B4" s="13" t="s">
        <v>16</v>
      </c>
      <c r="C4" s="5">
        <v>1</v>
      </c>
      <c r="D4" s="6">
        <v>45768</v>
      </c>
      <c r="E4" s="6">
        <v>45827</v>
      </c>
      <c r="F4" s="5">
        <f t="shared" si="0"/>
        <v>59</v>
      </c>
      <c r="G4" s="7" t="s">
        <v>22</v>
      </c>
      <c r="H4" s="8" t="s">
        <v>11</v>
      </c>
      <c r="K4" s="9">
        <v>3</v>
      </c>
      <c r="L4" s="9" t="s">
        <v>12</v>
      </c>
      <c r="M4" s="7" t="s">
        <v>23</v>
      </c>
      <c r="N4" s="9">
        <v>2</v>
      </c>
      <c r="O4" s="15">
        <v>45658</v>
      </c>
      <c r="P4" s="15">
        <v>45660</v>
      </c>
      <c r="Q4" s="9">
        <f t="shared" si="1"/>
        <v>2</v>
      </c>
      <c r="R4" s="17" t="s">
        <v>24</v>
      </c>
      <c r="S4" s="17" t="s">
        <v>25</v>
      </c>
      <c r="V4" t="s">
        <v>26</v>
      </c>
    </row>
    <row r="5" spans="1:22">
      <c r="A5" s="3">
        <v>4</v>
      </c>
      <c r="B5" s="4" t="s">
        <v>9</v>
      </c>
      <c r="C5" s="5">
        <v>1</v>
      </c>
      <c r="D5" s="6">
        <v>45743</v>
      </c>
      <c r="E5" s="6">
        <v>45782</v>
      </c>
      <c r="F5" s="5">
        <f t="shared" si="0"/>
        <v>39</v>
      </c>
      <c r="G5" s="7" t="s">
        <v>27</v>
      </c>
      <c r="H5" s="8" t="s">
        <v>11</v>
      </c>
      <c r="K5" s="9">
        <v>4</v>
      </c>
      <c r="L5" s="9" t="s">
        <v>28</v>
      </c>
      <c r="M5" s="7" t="s">
        <v>29</v>
      </c>
      <c r="N5" s="9">
        <v>1</v>
      </c>
      <c r="O5" s="15">
        <v>45658</v>
      </c>
      <c r="P5" s="15">
        <v>45677</v>
      </c>
      <c r="Q5" s="9">
        <f t="shared" si="1"/>
        <v>19</v>
      </c>
      <c r="R5" s="17" t="s">
        <v>30</v>
      </c>
      <c r="S5" s="17" t="s">
        <v>31</v>
      </c>
      <c r="V5" t="s">
        <v>32</v>
      </c>
    </row>
    <row r="6" spans="1:22">
      <c r="A6" s="3">
        <v>5</v>
      </c>
      <c r="B6" s="4" t="s">
        <v>33</v>
      </c>
      <c r="C6" s="5">
        <v>1</v>
      </c>
      <c r="D6" s="6">
        <v>45678</v>
      </c>
      <c r="E6" s="6">
        <v>45713</v>
      </c>
      <c r="F6" s="5">
        <f t="shared" si="0"/>
        <v>35</v>
      </c>
      <c r="G6" s="7" t="s">
        <v>34</v>
      </c>
      <c r="H6" s="8" t="s">
        <v>11</v>
      </c>
      <c r="K6" s="9">
        <v>5</v>
      </c>
      <c r="L6" s="9" t="s">
        <v>35</v>
      </c>
      <c r="M6" s="7" t="s">
        <v>36</v>
      </c>
      <c r="N6" s="9">
        <v>1</v>
      </c>
      <c r="O6" s="15">
        <v>45292</v>
      </c>
      <c r="P6" s="15">
        <v>45698</v>
      </c>
      <c r="Q6" s="9">
        <f>P6-O6</f>
        <v>406</v>
      </c>
      <c r="R6" s="12" t="s">
        <v>37</v>
      </c>
      <c r="S6" s="8" t="s">
        <v>11</v>
      </c>
      <c r="V6" t="s">
        <v>38</v>
      </c>
    </row>
    <row r="7" spans="1:22" ht="15" customHeight="1">
      <c r="A7" s="3">
        <v>6</v>
      </c>
      <c r="B7" s="4" t="s">
        <v>39</v>
      </c>
      <c r="C7" s="5">
        <v>1</v>
      </c>
      <c r="D7" s="18">
        <v>45658</v>
      </c>
      <c r="E7" s="18">
        <v>45705</v>
      </c>
      <c r="F7" s="5">
        <f t="shared" si="0"/>
        <v>47</v>
      </c>
      <c r="G7" s="19" t="s">
        <v>40</v>
      </c>
      <c r="H7" s="19" t="s">
        <v>41</v>
      </c>
      <c r="K7" s="9">
        <v>6</v>
      </c>
      <c r="L7" s="9" t="s">
        <v>42</v>
      </c>
      <c r="M7" s="7" t="s">
        <v>43</v>
      </c>
      <c r="N7" s="9">
        <v>1</v>
      </c>
      <c r="O7" s="15">
        <v>45626</v>
      </c>
      <c r="P7" s="15">
        <v>45691</v>
      </c>
      <c r="Q7" s="9">
        <f t="shared" si="1"/>
        <v>65</v>
      </c>
      <c r="R7" s="17" t="s">
        <v>44</v>
      </c>
      <c r="S7" s="17" t="s">
        <v>11</v>
      </c>
      <c r="V7" t="s">
        <v>45</v>
      </c>
    </row>
    <row r="8" spans="1:22">
      <c r="A8" s="3">
        <v>7</v>
      </c>
      <c r="B8" s="4" t="s">
        <v>39</v>
      </c>
      <c r="C8" s="5">
        <v>1</v>
      </c>
      <c r="D8" s="18">
        <v>45712</v>
      </c>
      <c r="E8" s="18">
        <v>45796</v>
      </c>
      <c r="F8" s="5">
        <f t="shared" si="0"/>
        <v>84</v>
      </c>
      <c r="G8" s="19" t="s">
        <v>46</v>
      </c>
      <c r="H8" s="19" t="s">
        <v>41</v>
      </c>
      <c r="I8" t="s">
        <v>47</v>
      </c>
      <c r="K8" s="9">
        <v>7</v>
      </c>
      <c r="L8" s="5" t="s">
        <v>12</v>
      </c>
      <c r="M8" s="10" t="s">
        <v>48</v>
      </c>
      <c r="N8" s="5">
        <v>1</v>
      </c>
      <c r="O8" s="11">
        <v>45658</v>
      </c>
      <c r="P8" s="11">
        <v>45754</v>
      </c>
      <c r="Q8" s="5">
        <f t="shared" si="1"/>
        <v>96</v>
      </c>
      <c r="R8" s="17" t="s">
        <v>49</v>
      </c>
      <c r="S8" s="17" t="s">
        <v>31</v>
      </c>
    </row>
    <row r="9" spans="1:22">
      <c r="A9" s="3">
        <v>8</v>
      </c>
      <c r="B9" s="4" t="s">
        <v>39</v>
      </c>
      <c r="C9" s="5">
        <v>1</v>
      </c>
      <c r="D9" s="18">
        <v>45796</v>
      </c>
      <c r="E9" s="18">
        <v>45810</v>
      </c>
      <c r="F9" s="5">
        <f t="shared" si="0"/>
        <v>14</v>
      </c>
      <c r="G9" s="19" t="s">
        <v>50</v>
      </c>
      <c r="H9" s="19" t="s">
        <v>51</v>
      </c>
      <c r="K9" s="9">
        <v>8</v>
      </c>
      <c r="L9" s="20" t="s">
        <v>35</v>
      </c>
      <c r="M9" s="21" t="s">
        <v>52</v>
      </c>
      <c r="N9" s="20">
        <v>1</v>
      </c>
      <c r="O9" s="22">
        <v>45658</v>
      </c>
      <c r="P9" s="22">
        <v>45792</v>
      </c>
      <c r="Q9" s="20">
        <f t="shared" si="1"/>
        <v>134</v>
      </c>
      <c r="R9" s="17" t="s">
        <v>53</v>
      </c>
      <c r="S9" s="17" t="s">
        <v>31</v>
      </c>
      <c r="T9">
        <f>Q8/31</f>
        <v>3.096774193548387</v>
      </c>
    </row>
    <row r="10" spans="1:22">
      <c r="A10" s="3">
        <v>9</v>
      </c>
      <c r="B10" s="4" t="s">
        <v>39</v>
      </c>
      <c r="C10" s="5">
        <v>1</v>
      </c>
      <c r="D10" s="18">
        <v>45810</v>
      </c>
      <c r="E10" s="18">
        <v>45826</v>
      </c>
      <c r="F10" s="5">
        <f t="shared" si="0"/>
        <v>16</v>
      </c>
      <c r="G10" s="19" t="s">
        <v>54</v>
      </c>
      <c r="H10" s="19" t="s">
        <v>51</v>
      </c>
      <c r="K10" s="9">
        <v>9</v>
      </c>
      <c r="L10" s="9" t="s">
        <v>42</v>
      </c>
      <c r="M10" s="7" t="s">
        <v>55</v>
      </c>
      <c r="N10" s="9">
        <v>1</v>
      </c>
      <c r="O10" s="15">
        <v>45716</v>
      </c>
      <c r="P10" s="15">
        <v>45796</v>
      </c>
      <c r="Q10" s="9">
        <f t="shared" si="1"/>
        <v>80</v>
      </c>
      <c r="R10" s="17" t="s">
        <v>56</v>
      </c>
      <c r="S10" s="17" t="s">
        <v>31</v>
      </c>
      <c r="T10">
        <f>Q9/31</f>
        <v>4.32258064516129</v>
      </c>
    </row>
    <row r="11" spans="1:22">
      <c r="A11" s="3">
        <v>10</v>
      </c>
      <c r="B11" s="23" t="s">
        <v>39</v>
      </c>
      <c r="C11" s="5">
        <v>1</v>
      </c>
      <c r="D11" s="18">
        <v>45826</v>
      </c>
      <c r="E11" s="18">
        <v>45859</v>
      </c>
      <c r="F11" s="5">
        <f t="shared" si="0"/>
        <v>33</v>
      </c>
      <c r="G11" s="19" t="s">
        <v>57</v>
      </c>
      <c r="H11" s="19" t="s">
        <v>58</v>
      </c>
      <c r="K11" s="9">
        <v>10</v>
      </c>
      <c r="L11" s="5" t="s">
        <v>12</v>
      </c>
      <c r="M11" s="10" t="s">
        <v>59</v>
      </c>
      <c r="N11" s="5">
        <v>1</v>
      </c>
      <c r="O11" s="11">
        <v>45777</v>
      </c>
      <c r="P11" s="11">
        <v>45842</v>
      </c>
      <c r="Q11" s="5">
        <f t="shared" si="1"/>
        <v>65</v>
      </c>
      <c r="R11" s="12" t="s">
        <v>60</v>
      </c>
      <c r="S11" s="8" t="s">
        <v>11</v>
      </c>
      <c r="T11">
        <f>Q9/30</f>
        <v>4.4666666666666668</v>
      </c>
    </row>
    <row r="12" spans="1:22">
      <c r="A12" s="3">
        <v>11</v>
      </c>
      <c r="B12" s="4" t="s">
        <v>61</v>
      </c>
      <c r="C12" s="5">
        <v>1</v>
      </c>
      <c r="D12" s="6">
        <v>45658</v>
      </c>
      <c r="E12" s="6">
        <v>45660</v>
      </c>
      <c r="F12" s="5">
        <f t="shared" si="0"/>
        <v>2</v>
      </c>
      <c r="G12" s="19" t="s">
        <v>62</v>
      </c>
      <c r="H12" s="19" t="s">
        <v>63</v>
      </c>
      <c r="K12" s="9">
        <v>11</v>
      </c>
      <c r="L12" s="5" t="s">
        <v>12</v>
      </c>
      <c r="M12" s="10" t="s">
        <v>64</v>
      </c>
      <c r="N12" s="5">
        <v>1</v>
      </c>
      <c r="O12" s="11">
        <v>45860</v>
      </c>
      <c r="P12" s="11">
        <v>45931</v>
      </c>
      <c r="Q12" s="5">
        <f t="shared" si="1"/>
        <v>71</v>
      </c>
      <c r="R12" s="12" t="s">
        <v>65</v>
      </c>
      <c r="S12" s="8" t="s">
        <v>11</v>
      </c>
      <c r="T12">
        <f>Q10/30</f>
        <v>2.6666666666666665</v>
      </c>
    </row>
    <row r="13" spans="1:22">
      <c r="A13" s="3">
        <v>12</v>
      </c>
      <c r="B13" s="4" t="s">
        <v>61</v>
      </c>
      <c r="C13" s="5">
        <v>1</v>
      </c>
      <c r="D13" s="6">
        <v>45734</v>
      </c>
      <c r="E13" s="6">
        <v>45804</v>
      </c>
      <c r="F13" s="5">
        <f t="shared" si="0"/>
        <v>70</v>
      </c>
      <c r="G13" s="7" t="s">
        <v>66</v>
      </c>
      <c r="H13" s="12"/>
      <c r="I13">
        <f>F13/30</f>
        <v>2.3333333333333335</v>
      </c>
      <c r="K13" s="9">
        <v>12</v>
      </c>
      <c r="L13" s="20" t="s">
        <v>35</v>
      </c>
      <c r="M13" s="21" t="s">
        <v>36</v>
      </c>
      <c r="N13" s="20">
        <v>1</v>
      </c>
      <c r="O13" s="22">
        <v>45698</v>
      </c>
      <c r="P13" s="22">
        <v>45847</v>
      </c>
      <c r="Q13" s="20">
        <f t="shared" si="1"/>
        <v>149</v>
      </c>
      <c r="R13" s="17" t="s">
        <v>67</v>
      </c>
      <c r="S13" s="17"/>
      <c r="T13">
        <f>Q11/30</f>
        <v>2.1666666666666665</v>
      </c>
    </row>
    <row r="14" spans="1:22">
      <c r="A14" s="3">
        <v>13</v>
      </c>
      <c r="B14" s="4" t="s">
        <v>9</v>
      </c>
      <c r="C14" s="5">
        <v>1</v>
      </c>
      <c r="D14" s="6">
        <v>45658</v>
      </c>
      <c r="E14" s="6">
        <v>45668</v>
      </c>
      <c r="F14" s="5">
        <f t="shared" si="0"/>
        <v>10</v>
      </c>
      <c r="G14" s="19" t="s">
        <v>68</v>
      </c>
      <c r="H14" s="19" t="s">
        <v>69</v>
      </c>
      <c r="K14" s="9">
        <v>13</v>
      </c>
      <c r="L14" s="20" t="s">
        <v>35</v>
      </c>
      <c r="M14" s="21" t="s">
        <v>36</v>
      </c>
      <c r="N14" s="20">
        <v>1</v>
      </c>
      <c r="O14" s="22">
        <v>45934</v>
      </c>
      <c r="P14" s="22">
        <v>46067</v>
      </c>
      <c r="Q14" s="20">
        <f t="shared" si="1"/>
        <v>133</v>
      </c>
      <c r="R14" s="12" t="s">
        <v>70</v>
      </c>
      <c r="S14" s="8"/>
      <c r="T14">
        <f>Q12/30</f>
        <v>2.3666666666666667</v>
      </c>
    </row>
    <row r="15" spans="1:22">
      <c r="A15" s="3">
        <v>14</v>
      </c>
      <c r="B15" s="4" t="s">
        <v>71</v>
      </c>
      <c r="C15" s="5">
        <v>1</v>
      </c>
      <c r="D15" s="6">
        <v>45658</v>
      </c>
      <c r="E15" s="6">
        <v>45668</v>
      </c>
      <c r="F15" s="5">
        <f t="shared" si="0"/>
        <v>10</v>
      </c>
      <c r="G15" s="7" t="s">
        <v>72</v>
      </c>
      <c r="H15" s="8" t="s">
        <v>11</v>
      </c>
      <c r="K15" s="9">
        <v>14</v>
      </c>
      <c r="L15" s="9" t="s">
        <v>35</v>
      </c>
      <c r="M15" s="7" t="s">
        <v>73</v>
      </c>
      <c r="N15" s="9">
        <v>1</v>
      </c>
      <c r="O15" s="15">
        <v>45934</v>
      </c>
      <c r="P15" s="15">
        <f t="shared" ref="P15:P21" ca="1" si="2">TODAY()</f>
        <v>46116</v>
      </c>
      <c r="Q15" s="9">
        <f t="shared" ca="1" si="1"/>
        <v>182</v>
      </c>
      <c r="R15" s="24"/>
      <c r="S15" s="25"/>
    </row>
    <row r="16" spans="1:22">
      <c r="A16" s="3">
        <v>15</v>
      </c>
      <c r="B16" s="4" t="s">
        <v>74</v>
      </c>
      <c r="C16" s="5">
        <v>1</v>
      </c>
      <c r="D16" s="6">
        <v>45658</v>
      </c>
      <c r="E16" s="6">
        <v>45677</v>
      </c>
      <c r="F16" s="5">
        <f t="shared" si="0"/>
        <v>19</v>
      </c>
      <c r="G16" s="7" t="s">
        <v>75</v>
      </c>
      <c r="H16" s="8" t="s">
        <v>11</v>
      </c>
      <c r="K16" s="9">
        <v>15</v>
      </c>
      <c r="L16" s="9" t="s">
        <v>42</v>
      </c>
      <c r="M16" s="7" t="s">
        <v>76</v>
      </c>
      <c r="N16" s="9">
        <v>1</v>
      </c>
      <c r="O16" s="15">
        <v>45944</v>
      </c>
      <c r="P16" s="15">
        <f ca="1">TODAY()</f>
        <v>46116</v>
      </c>
      <c r="Q16" s="9">
        <f t="shared" ca="1" si="1"/>
        <v>172</v>
      </c>
      <c r="R16" s="24"/>
      <c r="S16" s="25"/>
    </row>
    <row r="17" spans="1:20">
      <c r="A17" s="3">
        <v>16</v>
      </c>
      <c r="B17" s="4" t="s">
        <v>16</v>
      </c>
      <c r="C17" s="5">
        <v>1</v>
      </c>
      <c r="D17" s="6">
        <v>45658</v>
      </c>
      <c r="E17" s="6">
        <v>45677</v>
      </c>
      <c r="F17" s="5">
        <f t="shared" si="0"/>
        <v>19</v>
      </c>
      <c r="G17" s="7" t="s">
        <v>77</v>
      </c>
      <c r="H17" s="8" t="s">
        <v>11</v>
      </c>
      <c r="K17" s="9">
        <v>16</v>
      </c>
      <c r="L17" s="9" t="s">
        <v>42</v>
      </c>
      <c r="M17" s="7" t="s">
        <v>78</v>
      </c>
      <c r="N17" s="9">
        <v>1</v>
      </c>
      <c r="O17" s="15">
        <v>45944</v>
      </c>
      <c r="P17" s="15">
        <f t="shared" ref="P17" ca="1" si="3">TODAY()</f>
        <v>46116</v>
      </c>
      <c r="Q17" s="9">
        <f t="shared" ca="1" si="1"/>
        <v>172</v>
      </c>
      <c r="R17" s="24"/>
      <c r="S17" s="25"/>
    </row>
    <row r="18" spans="1:20">
      <c r="A18" s="3">
        <v>17</v>
      </c>
      <c r="B18" s="4" t="s">
        <v>9</v>
      </c>
      <c r="C18" s="5">
        <v>1</v>
      </c>
      <c r="D18" s="6">
        <v>45658</v>
      </c>
      <c r="E18" s="6">
        <v>45691</v>
      </c>
      <c r="F18" s="5">
        <f t="shared" si="0"/>
        <v>33</v>
      </c>
      <c r="G18" s="7" t="s">
        <v>79</v>
      </c>
      <c r="H18" s="8" t="s">
        <v>11</v>
      </c>
      <c r="K18" s="9">
        <v>17</v>
      </c>
      <c r="L18" s="5" t="s">
        <v>42</v>
      </c>
      <c r="M18" s="10" t="s">
        <v>80</v>
      </c>
      <c r="N18" s="5">
        <v>1</v>
      </c>
      <c r="O18" s="11">
        <v>45944</v>
      </c>
      <c r="P18" s="11">
        <v>46099</v>
      </c>
      <c r="Q18" s="5">
        <f t="shared" si="1"/>
        <v>155</v>
      </c>
      <c r="R18" s="12" t="s">
        <v>81</v>
      </c>
      <c r="S18" s="26"/>
    </row>
    <row r="19" spans="1:20">
      <c r="A19" s="3">
        <v>18</v>
      </c>
      <c r="B19" s="4" t="s">
        <v>9</v>
      </c>
      <c r="C19" s="5">
        <v>1</v>
      </c>
      <c r="D19" s="6">
        <v>45658</v>
      </c>
      <c r="E19" s="6">
        <v>45706</v>
      </c>
      <c r="F19" s="5">
        <f t="shared" si="0"/>
        <v>48</v>
      </c>
      <c r="G19" s="7" t="s">
        <v>82</v>
      </c>
      <c r="H19" s="8" t="s">
        <v>11</v>
      </c>
      <c r="K19" s="9">
        <v>18</v>
      </c>
      <c r="L19" s="27" t="s">
        <v>42</v>
      </c>
      <c r="M19" s="28" t="s">
        <v>83</v>
      </c>
      <c r="N19" s="27">
        <v>1</v>
      </c>
      <c r="O19" s="29">
        <v>45944</v>
      </c>
      <c r="P19" s="29">
        <v>45946</v>
      </c>
      <c r="Q19" s="27">
        <f t="shared" si="1"/>
        <v>2</v>
      </c>
      <c r="R19" s="30" t="s">
        <v>84</v>
      </c>
      <c r="S19" s="31"/>
      <c r="T19">
        <f ca="1">Q36/31</f>
        <v>3.6337760910815939</v>
      </c>
    </row>
    <row r="20" spans="1:20">
      <c r="A20" s="3">
        <v>19</v>
      </c>
      <c r="B20" s="4" t="s">
        <v>85</v>
      </c>
      <c r="C20" s="5">
        <v>1</v>
      </c>
      <c r="D20" s="6">
        <v>45658</v>
      </c>
      <c r="E20" s="6">
        <v>45712</v>
      </c>
      <c r="F20" s="5">
        <f t="shared" si="0"/>
        <v>54</v>
      </c>
      <c r="G20" s="7" t="s">
        <v>86</v>
      </c>
      <c r="H20" s="8" t="s">
        <v>11</v>
      </c>
      <c r="K20" s="9">
        <v>19</v>
      </c>
      <c r="L20" s="9" t="s">
        <v>87</v>
      </c>
      <c r="M20" s="7" t="s">
        <v>88</v>
      </c>
      <c r="N20" s="9">
        <v>2</v>
      </c>
      <c r="O20" s="15">
        <v>45925</v>
      </c>
      <c r="P20" s="15">
        <f t="shared" ca="1" si="2"/>
        <v>46116</v>
      </c>
      <c r="Q20" s="9">
        <f t="shared" ca="1" si="1"/>
        <v>191</v>
      </c>
      <c r="R20" s="24"/>
      <c r="S20" s="25"/>
    </row>
    <row r="21" spans="1:20">
      <c r="A21" s="3">
        <v>20</v>
      </c>
      <c r="B21" s="4" t="s">
        <v>89</v>
      </c>
      <c r="C21" s="5">
        <v>1</v>
      </c>
      <c r="D21" s="6">
        <v>45658</v>
      </c>
      <c r="E21" s="6">
        <v>45722</v>
      </c>
      <c r="F21" s="5">
        <f t="shared" si="0"/>
        <v>64</v>
      </c>
      <c r="G21" s="7" t="s">
        <v>90</v>
      </c>
      <c r="H21" s="8" t="s">
        <v>11</v>
      </c>
      <c r="K21" s="9">
        <v>20</v>
      </c>
      <c r="L21" s="9" t="s">
        <v>35</v>
      </c>
      <c r="M21" s="7" t="s">
        <v>91</v>
      </c>
      <c r="N21" s="9">
        <v>1</v>
      </c>
      <c r="O21" s="15">
        <v>45934</v>
      </c>
      <c r="P21" s="15">
        <f t="shared" ca="1" si="2"/>
        <v>46116</v>
      </c>
      <c r="Q21" s="9">
        <f t="shared" ca="1" si="1"/>
        <v>182</v>
      </c>
      <c r="R21" s="24"/>
      <c r="S21" s="25"/>
    </row>
    <row r="22" spans="1:20">
      <c r="A22" s="3">
        <v>21</v>
      </c>
      <c r="B22" s="4" t="s">
        <v>71</v>
      </c>
      <c r="C22" s="5">
        <v>1</v>
      </c>
      <c r="D22" s="6">
        <v>45764</v>
      </c>
      <c r="E22" s="6">
        <v>45784</v>
      </c>
      <c r="F22" s="5">
        <f t="shared" si="0"/>
        <v>20</v>
      </c>
      <c r="G22" s="19" t="s">
        <v>92</v>
      </c>
      <c r="H22" s="19" t="s">
        <v>93</v>
      </c>
      <c r="K22" s="9">
        <v>21</v>
      </c>
      <c r="L22" s="5" t="s">
        <v>94</v>
      </c>
      <c r="M22" s="10" t="s">
        <v>95</v>
      </c>
      <c r="N22" s="5">
        <v>1</v>
      </c>
      <c r="O22" s="11">
        <v>45985</v>
      </c>
      <c r="P22" s="11">
        <v>45999</v>
      </c>
      <c r="Q22" s="5">
        <f t="shared" si="1"/>
        <v>14</v>
      </c>
      <c r="R22" s="17" t="s">
        <v>96</v>
      </c>
      <c r="S22" s="17" t="s">
        <v>31</v>
      </c>
      <c r="T22" s="32">
        <f ca="1">Q36/31</f>
        <v>3.6337760910815939</v>
      </c>
    </row>
    <row r="23" spans="1:20">
      <c r="A23" s="3">
        <v>22</v>
      </c>
      <c r="B23" s="4" t="s">
        <v>97</v>
      </c>
      <c r="C23" s="5">
        <v>1</v>
      </c>
      <c r="D23" s="6">
        <v>45764</v>
      </c>
      <c r="E23" s="6">
        <v>45792</v>
      </c>
      <c r="F23" s="5">
        <f t="shared" si="0"/>
        <v>28</v>
      </c>
      <c r="G23" s="7" t="s">
        <v>98</v>
      </c>
      <c r="H23" s="8" t="s">
        <v>11</v>
      </c>
      <c r="K23" s="9">
        <v>22</v>
      </c>
      <c r="L23" s="9" t="s">
        <v>94</v>
      </c>
      <c r="M23" s="7" t="s">
        <v>99</v>
      </c>
      <c r="N23" s="9">
        <v>1</v>
      </c>
      <c r="O23" s="15">
        <v>45985</v>
      </c>
      <c r="P23" s="15">
        <f ca="1">TODAY()</f>
        <v>46116</v>
      </c>
      <c r="Q23" s="9">
        <f t="shared" ca="1" si="1"/>
        <v>131</v>
      </c>
      <c r="R23" s="24"/>
      <c r="S23" s="25"/>
    </row>
    <row r="24" spans="1:20">
      <c r="A24" s="3">
        <v>23</v>
      </c>
      <c r="B24" s="4" t="s">
        <v>71</v>
      </c>
      <c r="C24" s="5">
        <v>1</v>
      </c>
      <c r="D24" s="6">
        <v>45764</v>
      </c>
      <c r="E24" s="6">
        <v>45797</v>
      </c>
      <c r="F24" s="5">
        <f t="shared" si="0"/>
        <v>33</v>
      </c>
      <c r="G24" s="19" t="s">
        <v>100</v>
      </c>
      <c r="H24" s="19" t="s">
        <v>101</v>
      </c>
      <c r="I24">
        <f>F19/30</f>
        <v>1.6</v>
      </c>
      <c r="K24" s="9">
        <v>23</v>
      </c>
      <c r="L24" s="5" t="s">
        <v>94</v>
      </c>
      <c r="M24" s="10" t="s">
        <v>102</v>
      </c>
      <c r="N24" s="5">
        <v>1</v>
      </c>
      <c r="O24" s="11">
        <v>45985</v>
      </c>
      <c r="P24" s="11">
        <v>45992</v>
      </c>
      <c r="Q24" s="5">
        <f t="shared" si="1"/>
        <v>7</v>
      </c>
      <c r="R24" s="17" t="s">
        <v>103</v>
      </c>
      <c r="S24" s="17" t="s">
        <v>31</v>
      </c>
    </row>
    <row r="25" spans="1:20">
      <c r="A25" s="3">
        <v>24</v>
      </c>
      <c r="B25" s="4" t="s">
        <v>9</v>
      </c>
      <c r="C25" s="5">
        <v>1</v>
      </c>
      <c r="D25" s="6">
        <v>45743</v>
      </c>
      <c r="E25" s="6">
        <v>45782</v>
      </c>
      <c r="F25" s="5">
        <f t="shared" si="0"/>
        <v>39</v>
      </c>
      <c r="G25" s="7" t="s">
        <v>104</v>
      </c>
      <c r="H25" s="8" t="s">
        <v>11</v>
      </c>
      <c r="I25">
        <f>F20/30</f>
        <v>1.8</v>
      </c>
      <c r="K25" s="9">
        <v>24</v>
      </c>
      <c r="L25" s="9" t="s">
        <v>94</v>
      </c>
      <c r="M25" s="7" t="s">
        <v>105</v>
      </c>
      <c r="N25" s="9">
        <v>1</v>
      </c>
      <c r="O25" s="15">
        <v>45985</v>
      </c>
      <c r="P25" s="15">
        <f t="shared" ref="P25:P31" ca="1" si="4">TODAY()</f>
        <v>46116</v>
      </c>
      <c r="Q25" s="9">
        <f t="shared" ca="1" si="1"/>
        <v>131</v>
      </c>
      <c r="R25" s="24"/>
      <c r="S25" s="25"/>
    </row>
    <row r="26" spans="1:20">
      <c r="A26" s="3">
        <v>25</v>
      </c>
      <c r="B26" s="4" t="s">
        <v>61</v>
      </c>
      <c r="C26" s="5">
        <v>1</v>
      </c>
      <c r="D26" s="6">
        <v>45658</v>
      </c>
      <c r="E26" s="6">
        <v>45811</v>
      </c>
      <c r="F26" s="5">
        <f t="shared" si="0"/>
        <v>153</v>
      </c>
      <c r="G26" s="7" t="s">
        <v>106</v>
      </c>
      <c r="H26" s="8" t="s">
        <v>11</v>
      </c>
      <c r="I26">
        <f t="shared" ref="I26:I32" si="5">F21/30</f>
        <v>2.1333333333333333</v>
      </c>
      <c r="K26" s="9">
        <v>25</v>
      </c>
      <c r="L26" s="9" t="s">
        <v>94</v>
      </c>
      <c r="M26" s="7" t="s">
        <v>107</v>
      </c>
      <c r="N26" s="9">
        <v>1</v>
      </c>
      <c r="O26" s="15">
        <v>46023</v>
      </c>
      <c r="P26" s="15">
        <f t="shared" ca="1" si="4"/>
        <v>46116</v>
      </c>
      <c r="Q26" s="9">
        <f t="shared" ca="1" si="1"/>
        <v>93</v>
      </c>
      <c r="R26" s="24"/>
      <c r="S26" s="25"/>
    </row>
    <row r="27" spans="1:20">
      <c r="A27" s="3">
        <v>26</v>
      </c>
      <c r="B27" s="4" t="s">
        <v>71</v>
      </c>
      <c r="C27" s="5">
        <v>1</v>
      </c>
      <c r="D27" s="6">
        <v>45808</v>
      </c>
      <c r="E27" s="6">
        <v>45839</v>
      </c>
      <c r="F27" s="5">
        <f t="shared" si="0"/>
        <v>31</v>
      </c>
      <c r="G27" s="7" t="s">
        <v>108</v>
      </c>
      <c r="H27" s="8" t="s">
        <v>11</v>
      </c>
      <c r="I27">
        <f t="shared" si="5"/>
        <v>0.66666666666666663</v>
      </c>
      <c r="K27" s="9">
        <v>26</v>
      </c>
      <c r="L27" s="9" t="s">
        <v>94</v>
      </c>
      <c r="M27" s="7" t="s">
        <v>109</v>
      </c>
      <c r="N27" s="9">
        <v>1</v>
      </c>
      <c r="O27" s="15">
        <v>46023</v>
      </c>
      <c r="P27" s="15">
        <f t="shared" ca="1" si="4"/>
        <v>46116</v>
      </c>
      <c r="Q27" s="9">
        <f t="shared" ca="1" si="1"/>
        <v>93</v>
      </c>
      <c r="R27" s="24"/>
      <c r="S27" s="25"/>
    </row>
    <row r="28" spans="1:20">
      <c r="A28" s="3">
        <v>27</v>
      </c>
      <c r="B28" s="4" t="s">
        <v>71</v>
      </c>
      <c r="C28" s="5">
        <v>1</v>
      </c>
      <c r="D28" s="6">
        <v>45808</v>
      </c>
      <c r="E28" s="6">
        <v>45839</v>
      </c>
      <c r="F28" s="5">
        <f t="shared" si="0"/>
        <v>31</v>
      </c>
      <c r="G28" s="7" t="s">
        <v>110</v>
      </c>
      <c r="H28" s="8" t="s">
        <v>11</v>
      </c>
      <c r="I28">
        <f t="shared" si="5"/>
        <v>0.93333333333333335</v>
      </c>
      <c r="K28" s="9">
        <v>27</v>
      </c>
      <c r="L28" s="9" t="s">
        <v>94</v>
      </c>
      <c r="M28" s="7" t="s">
        <v>111</v>
      </c>
      <c r="N28" s="9">
        <v>1</v>
      </c>
      <c r="O28" s="15">
        <v>46023</v>
      </c>
      <c r="P28" s="15">
        <f t="shared" ca="1" si="4"/>
        <v>46116</v>
      </c>
      <c r="Q28" s="9">
        <f t="shared" ca="1" si="1"/>
        <v>93</v>
      </c>
      <c r="R28" s="24"/>
      <c r="S28" s="25"/>
    </row>
    <row r="29" spans="1:20">
      <c r="A29" s="3">
        <v>28</v>
      </c>
      <c r="B29" s="4" t="s">
        <v>71</v>
      </c>
      <c r="C29" s="5">
        <v>1</v>
      </c>
      <c r="D29" s="6">
        <v>45808</v>
      </c>
      <c r="E29" s="6">
        <v>45867</v>
      </c>
      <c r="F29" s="5">
        <f t="shared" si="0"/>
        <v>59</v>
      </c>
      <c r="G29" s="7" t="s">
        <v>112</v>
      </c>
      <c r="H29" s="8" t="s">
        <v>11</v>
      </c>
      <c r="I29">
        <f t="shared" si="5"/>
        <v>1.1000000000000001</v>
      </c>
      <c r="K29" s="9">
        <v>28</v>
      </c>
      <c r="L29" s="9" t="s">
        <v>94</v>
      </c>
      <c r="M29" s="7" t="s">
        <v>113</v>
      </c>
      <c r="N29" s="9">
        <v>1</v>
      </c>
      <c r="O29" s="15">
        <v>46023</v>
      </c>
      <c r="P29" s="15">
        <f t="shared" ca="1" si="4"/>
        <v>46116</v>
      </c>
      <c r="Q29" s="9">
        <f t="shared" ca="1" si="1"/>
        <v>93</v>
      </c>
      <c r="R29" s="24"/>
      <c r="S29" s="25"/>
    </row>
    <row r="30" spans="1:20">
      <c r="A30" s="3">
        <v>29</v>
      </c>
      <c r="B30" s="4" t="s">
        <v>9</v>
      </c>
      <c r="C30" s="5">
        <v>1</v>
      </c>
      <c r="D30" s="6">
        <v>45865</v>
      </c>
      <c r="E30" s="6">
        <v>45871</v>
      </c>
      <c r="F30" s="5">
        <f t="shared" si="0"/>
        <v>6</v>
      </c>
      <c r="G30" s="7" t="s">
        <v>114</v>
      </c>
      <c r="H30" s="8" t="s">
        <v>11</v>
      </c>
      <c r="I30">
        <f t="shared" si="5"/>
        <v>1.3</v>
      </c>
      <c r="K30" s="9">
        <v>29</v>
      </c>
      <c r="L30" s="5" t="s">
        <v>94</v>
      </c>
      <c r="M30" s="10" t="s">
        <v>115</v>
      </c>
      <c r="N30" s="5">
        <v>1</v>
      </c>
      <c r="O30" s="11">
        <v>45985</v>
      </c>
      <c r="P30" s="11">
        <v>46026</v>
      </c>
      <c r="Q30" s="5">
        <f t="shared" si="1"/>
        <v>41</v>
      </c>
      <c r="R30" s="17" t="s">
        <v>116</v>
      </c>
      <c r="S30" s="17" t="s">
        <v>31</v>
      </c>
    </row>
    <row r="31" spans="1:20">
      <c r="A31" s="3">
        <v>30</v>
      </c>
      <c r="B31" s="4" t="s">
        <v>9</v>
      </c>
      <c r="C31" s="5">
        <v>1</v>
      </c>
      <c r="D31" s="6">
        <v>45865</v>
      </c>
      <c r="E31" s="6">
        <v>45923</v>
      </c>
      <c r="F31" s="5">
        <f t="shared" si="0"/>
        <v>58</v>
      </c>
      <c r="G31" s="7" t="s">
        <v>117</v>
      </c>
      <c r="H31" s="8" t="s">
        <v>11</v>
      </c>
      <c r="I31">
        <f>F31/30</f>
        <v>1.9333333333333333</v>
      </c>
      <c r="K31" s="9">
        <v>30</v>
      </c>
      <c r="L31" s="9" t="s">
        <v>94</v>
      </c>
      <c r="M31" s="7" t="s">
        <v>115</v>
      </c>
      <c r="N31" s="9">
        <v>1</v>
      </c>
      <c r="O31" s="15">
        <v>45985</v>
      </c>
      <c r="P31" s="15">
        <f t="shared" ca="1" si="4"/>
        <v>46116</v>
      </c>
      <c r="Q31" s="9">
        <f t="shared" ca="1" si="1"/>
        <v>131</v>
      </c>
      <c r="R31" s="24"/>
      <c r="S31" s="25"/>
    </row>
    <row r="32" spans="1:20">
      <c r="A32" s="3">
        <v>31</v>
      </c>
      <c r="B32" s="4" t="s">
        <v>118</v>
      </c>
      <c r="C32" s="5">
        <v>1</v>
      </c>
      <c r="D32" s="6">
        <v>45853</v>
      </c>
      <c r="E32" s="6">
        <v>45887</v>
      </c>
      <c r="F32" s="5">
        <f t="shared" si="0"/>
        <v>34</v>
      </c>
      <c r="G32" s="19" t="s">
        <v>119</v>
      </c>
      <c r="H32" s="19" t="s">
        <v>120</v>
      </c>
      <c r="I32" s="33">
        <f t="shared" si="5"/>
        <v>1.0333333333333334</v>
      </c>
      <c r="J32" s="33"/>
      <c r="K32" s="9">
        <v>31</v>
      </c>
      <c r="L32" s="9" t="s">
        <v>94</v>
      </c>
      <c r="M32" s="7" t="s">
        <v>95</v>
      </c>
      <c r="N32" s="9">
        <v>1</v>
      </c>
      <c r="O32" s="15">
        <v>46039</v>
      </c>
      <c r="P32" s="15">
        <f ca="1">TODAY()</f>
        <v>46116</v>
      </c>
      <c r="Q32" s="9">
        <f t="shared" ca="1" si="1"/>
        <v>77</v>
      </c>
      <c r="R32" s="24"/>
      <c r="S32" s="25"/>
    </row>
    <row r="33" spans="1:19">
      <c r="A33" s="3">
        <v>32</v>
      </c>
      <c r="B33" s="4" t="s">
        <v>97</v>
      </c>
      <c r="C33" s="5">
        <v>1</v>
      </c>
      <c r="D33" s="6">
        <v>45888</v>
      </c>
      <c r="E33" s="6">
        <v>45887</v>
      </c>
      <c r="F33" s="5">
        <f t="shared" si="0"/>
        <v>-1</v>
      </c>
      <c r="G33" s="7" t="s">
        <v>121</v>
      </c>
      <c r="H33" s="8" t="s">
        <v>11</v>
      </c>
      <c r="I33" s="33">
        <f>F28/30</f>
        <v>1.0333333333333334</v>
      </c>
      <c r="J33" s="33"/>
      <c r="K33" s="9">
        <v>32</v>
      </c>
      <c r="L33" s="9" t="s">
        <v>94</v>
      </c>
      <c r="M33" s="7" t="s">
        <v>102</v>
      </c>
      <c r="N33" s="9">
        <v>1</v>
      </c>
      <c r="O33" s="15">
        <v>46039</v>
      </c>
      <c r="P33" s="15">
        <v>46069</v>
      </c>
      <c r="Q33" s="9">
        <f t="shared" si="1"/>
        <v>30</v>
      </c>
      <c r="R33" s="12" t="s">
        <v>122</v>
      </c>
      <c r="S33" s="26"/>
    </row>
    <row r="34" spans="1:19">
      <c r="A34" s="3">
        <v>33</v>
      </c>
      <c r="B34" s="4" t="s">
        <v>97</v>
      </c>
      <c r="C34" s="5">
        <v>1</v>
      </c>
      <c r="D34" s="6">
        <v>45888</v>
      </c>
      <c r="E34" s="6">
        <v>45898</v>
      </c>
      <c r="F34" s="5">
        <f t="shared" si="0"/>
        <v>10</v>
      </c>
      <c r="G34" s="19" t="s">
        <v>123</v>
      </c>
      <c r="H34" s="19" t="s">
        <v>124</v>
      </c>
      <c r="I34" s="33"/>
      <c r="J34" s="33"/>
      <c r="K34" s="9">
        <v>33</v>
      </c>
      <c r="L34" s="9" t="s">
        <v>94</v>
      </c>
      <c r="M34" s="7" t="s">
        <v>115</v>
      </c>
      <c r="N34" s="9">
        <v>1</v>
      </c>
      <c r="O34" s="15">
        <v>46039</v>
      </c>
      <c r="P34" s="15">
        <f ca="1">TODAY()</f>
        <v>46116</v>
      </c>
      <c r="Q34" s="9">
        <f t="shared" ca="1" si="1"/>
        <v>77</v>
      </c>
      <c r="R34" s="24"/>
      <c r="S34" s="25"/>
    </row>
    <row r="35" spans="1:19">
      <c r="A35" s="3">
        <v>34</v>
      </c>
      <c r="B35" s="4" t="s">
        <v>97</v>
      </c>
      <c r="C35" s="5">
        <v>1</v>
      </c>
      <c r="D35" s="6">
        <v>45902</v>
      </c>
      <c r="E35" s="6">
        <v>45912</v>
      </c>
      <c r="F35" s="5">
        <f t="shared" si="0"/>
        <v>10</v>
      </c>
      <c r="G35" s="7" t="s">
        <v>125</v>
      </c>
      <c r="H35" s="8" t="s">
        <v>11</v>
      </c>
      <c r="I35" s="33"/>
      <c r="J35" s="33"/>
      <c r="K35" s="9">
        <v>34</v>
      </c>
      <c r="L35" s="9" t="s">
        <v>18</v>
      </c>
      <c r="M35" s="7" t="s">
        <v>23</v>
      </c>
      <c r="N35" s="9">
        <v>1</v>
      </c>
      <c r="O35" s="15">
        <v>46109</v>
      </c>
      <c r="P35" s="15">
        <f ca="1">TODAY()</f>
        <v>46116</v>
      </c>
      <c r="Q35" s="9">
        <f t="shared" ca="1" si="1"/>
        <v>7</v>
      </c>
      <c r="R35" s="24"/>
      <c r="S35" s="25"/>
    </row>
    <row r="36" spans="1:19">
      <c r="A36" s="3">
        <v>35</v>
      </c>
      <c r="B36" s="4" t="s">
        <v>126</v>
      </c>
      <c r="C36" s="5">
        <v>1</v>
      </c>
      <c r="D36" s="6">
        <v>45910</v>
      </c>
      <c r="E36" s="6">
        <v>45933</v>
      </c>
      <c r="F36" s="5">
        <f t="shared" si="0"/>
        <v>23</v>
      </c>
      <c r="G36" s="7" t="s">
        <v>127</v>
      </c>
      <c r="H36" s="8" t="s">
        <v>11</v>
      </c>
      <c r="I36" s="33"/>
      <c r="J36" s="33"/>
      <c r="K36" s="34" t="s">
        <v>128</v>
      </c>
      <c r="L36" s="35"/>
      <c r="M36" s="36"/>
      <c r="N36" s="37">
        <f>SUM(N2:N35)</f>
        <v>36</v>
      </c>
      <c r="O36" s="38" t="s">
        <v>129</v>
      </c>
      <c r="P36" s="39"/>
      <c r="Q36" s="40">
        <f ca="1">AVERAGE(Q2:Q35)</f>
        <v>112.64705882352941</v>
      </c>
      <c r="R36" s="41">
        <f ca="1">Q36/31</f>
        <v>3.6337760910815939</v>
      </c>
      <c r="S36" s="42"/>
    </row>
    <row r="37" spans="1:19">
      <c r="A37" s="3">
        <v>36</v>
      </c>
      <c r="B37" s="4" t="s">
        <v>118</v>
      </c>
      <c r="C37" s="5">
        <v>1</v>
      </c>
      <c r="D37" s="6">
        <v>45923</v>
      </c>
      <c r="E37" s="11">
        <v>45946</v>
      </c>
      <c r="F37" s="5">
        <f>E37-D37</f>
        <v>23</v>
      </c>
      <c r="G37" s="7" t="s">
        <v>130</v>
      </c>
      <c r="H37" s="8" t="s">
        <v>11</v>
      </c>
      <c r="I37" s="33"/>
      <c r="J37" s="33"/>
      <c r="K37" s="43"/>
      <c r="L37" s="12"/>
      <c r="M37" s="12"/>
      <c r="N37" s="5"/>
      <c r="O37" s="44"/>
      <c r="P37" s="44"/>
      <c r="Q37" s="5"/>
      <c r="R37" s="12"/>
      <c r="S37" s="26"/>
    </row>
    <row r="38" spans="1:19">
      <c r="A38" s="3">
        <v>37</v>
      </c>
      <c r="B38" s="4" t="s">
        <v>16</v>
      </c>
      <c r="C38" s="5">
        <v>1</v>
      </c>
      <c r="D38" s="6">
        <v>45923</v>
      </c>
      <c r="E38" s="11">
        <v>45950</v>
      </c>
      <c r="F38" s="5">
        <f t="shared" si="0"/>
        <v>27</v>
      </c>
      <c r="G38" s="19" t="s">
        <v>131</v>
      </c>
      <c r="H38" s="19" t="s">
        <v>132</v>
      </c>
      <c r="I38" s="33"/>
      <c r="J38" s="33"/>
      <c r="K38" s="43"/>
      <c r="L38" s="12"/>
      <c r="M38" s="12"/>
      <c r="N38" s="5"/>
      <c r="O38" s="44"/>
      <c r="P38" s="44"/>
      <c r="Q38" s="5"/>
      <c r="R38" s="12"/>
      <c r="S38" s="26"/>
    </row>
    <row r="39" spans="1:19">
      <c r="A39" s="3">
        <v>38</v>
      </c>
      <c r="B39" s="4" t="s">
        <v>9</v>
      </c>
      <c r="C39" s="5">
        <v>1</v>
      </c>
      <c r="D39" s="6">
        <v>45923</v>
      </c>
      <c r="E39" s="11">
        <v>45958</v>
      </c>
      <c r="F39" s="5">
        <f t="shared" si="0"/>
        <v>35</v>
      </c>
      <c r="G39" s="19" t="s">
        <v>133</v>
      </c>
      <c r="H39" s="19" t="s">
        <v>132</v>
      </c>
      <c r="I39" s="33">
        <f>F39/31</f>
        <v>1.1290322580645162</v>
      </c>
      <c r="J39" s="33"/>
    </row>
    <row r="40" spans="1:19">
      <c r="A40" s="3">
        <v>39</v>
      </c>
      <c r="B40" s="4" t="s">
        <v>134</v>
      </c>
      <c r="C40" s="5">
        <v>1</v>
      </c>
      <c r="D40" s="6">
        <v>45931</v>
      </c>
      <c r="E40" s="11">
        <v>46007</v>
      </c>
      <c r="F40" s="5">
        <f t="shared" si="0"/>
        <v>76</v>
      </c>
      <c r="G40" s="45"/>
      <c r="H40" s="8"/>
      <c r="I40" s="33"/>
      <c r="J40" s="33"/>
    </row>
    <row r="41" spans="1:19">
      <c r="A41" s="3">
        <v>40</v>
      </c>
      <c r="B41" s="4" t="s">
        <v>9</v>
      </c>
      <c r="C41" s="5">
        <v>1</v>
      </c>
      <c r="D41" s="6">
        <v>45934</v>
      </c>
      <c r="E41" s="11">
        <v>45966</v>
      </c>
      <c r="F41" s="5">
        <f t="shared" si="0"/>
        <v>32</v>
      </c>
      <c r="G41" s="45" t="s">
        <v>135</v>
      </c>
      <c r="H41" s="8" t="s">
        <v>11</v>
      </c>
      <c r="I41" s="33"/>
      <c r="J41" s="33"/>
    </row>
    <row r="42" spans="1:19">
      <c r="A42" s="3">
        <v>41</v>
      </c>
      <c r="B42" s="4" t="s">
        <v>97</v>
      </c>
      <c r="C42" s="5">
        <v>1</v>
      </c>
      <c r="D42" s="6">
        <v>45934</v>
      </c>
      <c r="E42" s="11">
        <v>45966</v>
      </c>
      <c r="F42" s="5">
        <f t="shared" si="0"/>
        <v>32</v>
      </c>
      <c r="G42" s="45" t="s">
        <v>136</v>
      </c>
      <c r="H42" s="8" t="s">
        <v>11</v>
      </c>
      <c r="I42" s="33"/>
      <c r="J42" s="33"/>
    </row>
    <row r="43" spans="1:19">
      <c r="A43" s="3">
        <v>42</v>
      </c>
      <c r="B43" s="4" t="s">
        <v>39</v>
      </c>
      <c r="C43" s="5">
        <v>1</v>
      </c>
      <c r="D43" s="18">
        <v>45958</v>
      </c>
      <c r="E43" s="18">
        <v>45980</v>
      </c>
      <c r="F43" s="5">
        <f t="shared" si="0"/>
        <v>22</v>
      </c>
      <c r="G43" s="19" t="s">
        <v>137</v>
      </c>
      <c r="H43" s="19" t="s">
        <v>138</v>
      </c>
      <c r="I43" s="33"/>
      <c r="J43" s="33"/>
    </row>
    <row r="44" spans="1:19">
      <c r="A44" s="3">
        <v>43</v>
      </c>
      <c r="B44" s="4" t="s">
        <v>39</v>
      </c>
      <c r="C44" s="5">
        <v>1</v>
      </c>
      <c r="D44" s="18">
        <v>46023</v>
      </c>
      <c r="E44" s="18">
        <v>46052</v>
      </c>
      <c r="F44" s="5">
        <f t="shared" si="0"/>
        <v>29</v>
      </c>
      <c r="G44" s="45" t="s">
        <v>84</v>
      </c>
      <c r="H44" s="8"/>
      <c r="I44" s="33"/>
      <c r="J44" s="33"/>
    </row>
    <row r="45" spans="1:19">
      <c r="A45" s="3">
        <v>44</v>
      </c>
      <c r="B45" s="4" t="s">
        <v>139</v>
      </c>
      <c r="C45" s="46">
        <v>1</v>
      </c>
      <c r="D45" s="47">
        <v>45988</v>
      </c>
      <c r="E45" s="47">
        <f ca="1">TODAY()</f>
        <v>46116</v>
      </c>
      <c r="F45" s="46">
        <f t="shared" ca="1" si="0"/>
        <v>128</v>
      </c>
      <c r="G45" s="48" t="s">
        <v>140</v>
      </c>
      <c r="H45" s="49"/>
      <c r="I45" s="50">
        <f ca="1">F58/31</f>
        <v>1.288594470046083</v>
      </c>
      <c r="J45" s="50"/>
    </row>
    <row r="46" spans="1:19">
      <c r="A46" s="3">
        <v>45</v>
      </c>
      <c r="B46" s="4" t="s">
        <v>16</v>
      </c>
      <c r="C46" s="5">
        <v>1</v>
      </c>
      <c r="D46" s="18">
        <v>45950</v>
      </c>
      <c r="E46" s="18">
        <v>46008</v>
      </c>
      <c r="F46" s="5">
        <f t="shared" si="0"/>
        <v>58</v>
      </c>
      <c r="G46" s="45" t="s">
        <v>141</v>
      </c>
      <c r="H46" s="8"/>
      <c r="I46" s="50"/>
      <c r="J46" s="50"/>
    </row>
    <row r="47" spans="1:19">
      <c r="A47" s="3">
        <v>46</v>
      </c>
      <c r="B47" s="4" t="s">
        <v>142</v>
      </c>
      <c r="C47" s="5">
        <v>1</v>
      </c>
      <c r="D47" s="18">
        <v>45953</v>
      </c>
      <c r="E47" s="18">
        <v>46069</v>
      </c>
      <c r="F47" s="5">
        <f t="shared" si="0"/>
        <v>116</v>
      </c>
      <c r="G47" s="45" t="s">
        <v>143</v>
      </c>
      <c r="H47" s="8"/>
      <c r="I47" s="33"/>
      <c r="J47" s="33"/>
    </row>
    <row r="48" spans="1:19">
      <c r="A48" s="3">
        <v>47</v>
      </c>
      <c r="B48" s="4" t="s">
        <v>144</v>
      </c>
      <c r="C48" s="5">
        <v>1</v>
      </c>
      <c r="D48" s="18">
        <v>46340</v>
      </c>
      <c r="E48" s="18">
        <v>46353</v>
      </c>
      <c r="F48" s="5">
        <f t="shared" si="0"/>
        <v>13</v>
      </c>
      <c r="G48" s="45" t="s">
        <v>145</v>
      </c>
      <c r="H48" s="8"/>
      <c r="I48" s="33"/>
      <c r="J48" s="33"/>
    </row>
    <row r="49" spans="1:10">
      <c r="A49" s="3">
        <v>48</v>
      </c>
      <c r="B49" s="4" t="s">
        <v>9</v>
      </c>
      <c r="C49" s="5">
        <v>1</v>
      </c>
      <c r="D49" s="18">
        <v>46072</v>
      </c>
      <c r="E49" s="18">
        <v>46087</v>
      </c>
      <c r="F49" s="5">
        <f t="shared" si="0"/>
        <v>15</v>
      </c>
      <c r="G49" s="45" t="s">
        <v>146</v>
      </c>
      <c r="H49" s="8"/>
      <c r="I49" s="33"/>
      <c r="J49" s="33"/>
    </row>
    <row r="50" spans="1:10">
      <c r="A50" s="3">
        <v>49</v>
      </c>
      <c r="B50" s="4" t="s">
        <v>147</v>
      </c>
      <c r="C50" s="46">
        <v>1</v>
      </c>
      <c r="D50" s="47">
        <v>46077</v>
      </c>
      <c r="E50" s="47">
        <f ca="1">TODAY()</f>
        <v>46116</v>
      </c>
      <c r="F50" s="46">
        <f t="shared" ca="1" si="0"/>
        <v>39</v>
      </c>
      <c r="G50" s="48" t="s">
        <v>140</v>
      </c>
      <c r="H50" s="49"/>
      <c r="I50" s="33"/>
      <c r="J50" s="33"/>
    </row>
    <row r="51" spans="1:10">
      <c r="A51" s="3">
        <v>50</v>
      </c>
      <c r="B51" s="4" t="s">
        <v>97</v>
      </c>
      <c r="C51" s="5">
        <v>1</v>
      </c>
      <c r="D51" s="18">
        <v>45934</v>
      </c>
      <c r="E51" s="18">
        <v>46011</v>
      </c>
      <c r="F51" s="5">
        <f t="shared" si="0"/>
        <v>77</v>
      </c>
      <c r="G51" s="45" t="s">
        <v>148</v>
      </c>
      <c r="H51" s="8"/>
      <c r="I51" s="33"/>
      <c r="J51" s="33"/>
    </row>
    <row r="52" spans="1:10">
      <c r="A52" s="3">
        <v>51</v>
      </c>
      <c r="B52" s="4" t="s">
        <v>97</v>
      </c>
      <c r="C52" s="5">
        <v>1</v>
      </c>
      <c r="D52" s="18">
        <v>46023</v>
      </c>
      <c r="E52" s="18">
        <v>46077</v>
      </c>
      <c r="F52" s="5">
        <f t="shared" si="0"/>
        <v>54</v>
      </c>
      <c r="G52" s="45" t="s">
        <v>149</v>
      </c>
      <c r="H52" s="49"/>
      <c r="I52" s="33"/>
      <c r="J52" s="33"/>
    </row>
    <row r="53" spans="1:10" ht="14.45" customHeight="1">
      <c r="A53" s="3">
        <v>52</v>
      </c>
      <c r="B53" s="4" t="s">
        <v>97</v>
      </c>
      <c r="C53" s="5">
        <v>1</v>
      </c>
      <c r="D53" s="18">
        <v>46023</v>
      </c>
      <c r="E53" s="18">
        <v>46107</v>
      </c>
      <c r="F53" s="5">
        <f t="shared" si="0"/>
        <v>84</v>
      </c>
      <c r="G53" s="45" t="s">
        <v>150</v>
      </c>
      <c r="H53" s="49"/>
      <c r="I53" s="33"/>
      <c r="J53" s="33"/>
    </row>
    <row r="54" spans="1:10">
      <c r="A54" s="3">
        <v>53</v>
      </c>
      <c r="B54" s="4" t="s">
        <v>97</v>
      </c>
      <c r="C54" s="46">
        <v>1</v>
      </c>
      <c r="D54" s="47">
        <v>46023</v>
      </c>
      <c r="E54" s="47">
        <f t="shared" ref="E54" ca="1" si="6">TODAY()</f>
        <v>46116</v>
      </c>
      <c r="F54" s="46">
        <f t="shared" ca="1" si="0"/>
        <v>93</v>
      </c>
      <c r="G54" s="48" t="s">
        <v>140</v>
      </c>
      <c r="H54" s="49"/>
      <c r="I54" s="33"/>
      <c r="J54" s="33"/>
    </row>
    <row r="55" spans="1:10">
      <c r="A55" s="3">
        <v>54</v>
      </c>
      <c r="B55" s="4" t="s">
        <v>9</v>
      </c>
      <c r="C55" s="5">
        <v>1</v>
      </c>
      <c r="D55" s="18">
        <v>46090</v>
      </c>
      <c r="E55" s="18">
        <v>46093</v>
      </c>
      <c r="F55" s="5">
        <f t="shared" si="0"/>
        <v>3</v>
      </c>
      <c r="G55" s="51" t="s">
        <v>151</v>
      </c>
      <c r="H55" s="49"/>
      <c r="I55" s="33"/>
      <c r="J55" s="52"/>
    </row>
    <row r="56" spans="1:10">
      <c r="A56" s="3">
        <v>55</v>
      </c>
      <c r="B56" s="4" t="s">
        <v>9</v>
      </c>
      <c r="C56" s="46">
        <v>1</v>
      </c>
      <c r="D56" s="47">
        <v>46090</v>
      </c>
      <c r="E56" s="47">
        <f t="shared" ref="E56:E57" ca="1" si="7">TODAY()</f>
        <v>46116</v>
      </c>
      <c r="F56" s="46">
        <f t="shared" ca="1" si="0"/>
        <v>26</v>
      </c>
      <c r="G56" s="48" t="s">
        <v>140</v>
      </c>
      <c r="H56" s="49"/>
      <c r="I56" s="33"/>
    </row>
    <row r="57" spans="1:10">
      <c r="A57" s="3">
        <v>56</v>
      </c>
      <c r="B57" s="4" t="s">
        <v>9</v>
      </c>
      <c r="C57" s="46">
        <v>1</v>
      </c>
      <c r="D57" s="47">
        <v>46090</v>
      </c>
      <c r="E57" s="47">
        <f t="shared" ca="1" si="7"/>
        <v>46116</v>
      </c>
      <c r="F57" s="46">
        <f t="shared" ca="1" si="0"/>
        <v>26</v>
      </c>
      <c r="G57" s="48" t="s">
        <v>140</v>
      </c>
      <c r="H57" s="49"/>
      <c r="I57" s="33"/>
    </row>
    <row r="58" spans="1:10">
      <c r="A58" s="53" t="s">
        <v>152</v>
      </c>
      <c r="B58" s="53"/>
      <c r="C58" s="54">
        <f>SUM(C2:C57)</f>
        <v>56</v>
      </c>
      <c r="D58" s="55" t="s">
        <v>129</v>
      </c>
      <c r="E58" s="55"/>
      <c r="F58" s="40">
        <f ca="1">AVERAGE(F2:F57)</f>
        <v>39.946428571428569</v>
      </c>
      <c r="G58" s="56">
        <f ca="1">F58/31</f>
        <v>1.288594470046083</v>
      </c>
      <c r="H58" s="56"/>
      <c r="I58" s="52">
        <f ca="1">F58/31</f>
        <v>1.288594470046083</v>
      </c>
    </row>
    <row r="60" spans="1:10">
      <c r="D60" t="s">
        <v>153</v>
      </c>
    </row>
  </sheetData>
  <mergeCells count="5">
    <mergeCell ref="K36:M36"/>
    <mergeCell ref="O36:P36"/>
    <mergeCell ref="R36:S36"/>
    <mergeCell ref="A58:B58"/>
    <mergeCell ref="G58:H58"/>
  </mergeCells>
  <conditionalFormatting sqref="B59:B1048576 B42:B48 B1:B40 B50:B57">
    <cfRule type="duplicateValues" dxfId="11" priority="5"/>
  </conditionalFormatting>
  <conditionalFormatting sqref="B41">
    <cfRule type="duplicateValues" dxfId="9" priority="4"/>
  </conditionalFormatting>
  <conditionalFormatting sqref="B41">
    <cfRule type="duplicateValues" dxfId="7" priority="3"/>
  </conditionalFormatting>
  <conditionalFormatting sqref="B49">
    <cfRule type="duplicateValues" dxfId="5" priority="1"/>
  </conditionalFormatting>
  <conditionalFormatting sqref="B49">
    <cfRule type="duplicateValues" dxfId="3" priority="2"/>
  </conditionalFormatting>
  <conditionalFormatting sqref="B42:B48 B50:B57">
    <cfRule type="duplicateValues" dxfId="1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6"/>
  <sheetViews>
    <sheetView topLeftCell="D1" workbookViewId="0">
      <selection activeCell="E19" sqref="E19"/>
    </sheetView>
  </sheetViews>
  <sheetFormatPr defaultRowHeight="15"/>
  <cols>
    <col min="2" max="2" width="12.85546875" customWidth="1"/>
    <col min="9" max="9" width="0" hidden="1" customWidth="1"/>
    <col min="11" max="11" width="20.85546875" bestFit="1" customWidth="1"/>
    <col min="22" max="22" width="0" hidden="1" customWidth="1"/>
    <col min="24" max="24" width="21.7109375" bestFit="1" customWidth="1"/>
  </cols>
  <sheetData>
    <row r="1" spans="2:24" ht="15.75" thickBot="1"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</row>
    <row r="2" spans="2:24" ht="25.5">
      <c r="B2" s="86" t="s">
        <v>154</v>
      </c>
      <c r="C2" s="87"/>
      <c r="D2" s="87"/>
      <c r="E2" s="87"/>
      <c r="F2" s="87"/>
      <c r="G2" s="87"/>
      <c r="H2" s="87"/>
      <c r="I2" s="87"/>
      <c r="J2" s="87"/>
      <c r="K2" s="88"/>
      <c r="L2" s="67"/>
      <c r="M2" s="67"/>
      <c r="N2" s="67"/>
      <c r="O2" s="61" t="s">
        <v>155</v>
      </c>
      <c r="P2" s="65"/>
      <c r="Q2" s="65"/>
      <c r="R2" s="65"/>
      <c r="S2" s="65"/>
      <c r="T2" s="65"/>
      <c r="U2" s="65"/>
      <c r="V2" s="65"/>
      <c r="W2" s="65"/>
      <c r="X2" s="60"/>
    </row>
    <row r="3" spans="2:24" ht="18">
      <c r="B3" s="64" t="s">
        <v>156</v>
      </c>
      <c r="C3" s="89" t="s">
        <v>157</v>
      </c>
      <c r="D3" s="89"/>
      <c r="E3" s="89"/>
      <c r="F3" s="89"/>
      <c r="G3" s="89"/>
      <c r="H3" s="62" t="s">
        <v>158</v>
      </c>
      <c r="I3" s="58" t="s">
        <v>159</v>
      </c>
      <c r="J3" s="58" t="s">
        <v>160</v>
      </c>
      <c r="K3" s="57" t="s">
        <v>161</v>
      </c>
      <c r="L3" s="67"/>
      <c r="M3" s="67"/>
      <c r="N3" s="67"/>
      <c r="O3" s="64" t="s">
        <v>156</v>
      </c>
      <c r="P3" s="59" t="s">
        <v>157</v>
      </c>
      <c r="Q3" s="66"/>
      <c r="R3" s="66"/>
      <c r="S3" s="66"/>
      <c r="T3" s="63"/>
      <c r="U3" s="62" t="s">
        <v>158</v>
      </c>
      <c r="V3" s="58" t="s">
        <v>159</v>
      </c>
      <c r="W3" s="58" t="s">
        <v>160</v>
      </c>
      <c r="X3" s="57" t="s">
        <v>162</v>
      </c>
    </row>
    <row r="4" spans="2:24" ht="18">
      <c r="B4" s="64"/>
      <c r="C4" s="70">
        <v>2022</v>
      </c>
      <c r="D4" s="71">
        <v>2023</v>
      </c>
      <c r="E4" s="68">
        <v>2024</v>
      </c>
      <c r="F4" s="72">
        <v>2025</v>
      </c>
      <c r="G4" s="69">
        <v>2026</v>
      </c>
      <c r="H4" s="62"/>
      <c r="I4" s="58"/>
      <c r="J4" s="58"/>
      <c r="K4" s="57"/>
      <c r="L4" s="67"/>
      <c r="M4" s="67"/>
      <c r="N4" s="67"/>
      <c r="O4" s="64"/>
      <c r="P4" s="81">
        <v>2022</v>
      </c>
      <c r="Q4" s="82">
        <v>2023</v>
      </c>
      <c r="R4" s="83">
        <v>2024</v>
      </c>
      <c r="S4" s="84">
        <v>2025</v>
      </c>
      <c r="T4" s="85">
        <v>2026</v>
      </c>
      <c r="U4" s="62"/>
      <c r="V4" s="58"/>
      <c r="W4" s="58"/>
      <c r="X4" s="57"/>
    </row>
    <row r="5" spans="2:24" ht="15" customHeight="1">
      <c r="B5" s="73" t="s">
        <v>163</v>
      </c>
      <c r="C5" s="74">
        <v>0.9849</v>
      </c>
      <c r="D5" s="74">
        <v>0.99170000000000003</v>
      </c>
      <c r="E5" s="74">
        <v>0.98698669751301304</v>
      </c>
      <c r="F5" s="74">
        <v>0.98211532531606538</v>
      </c>
      <c r="G5" s="74">
        <v>0.99412587412587416</v>
      </c>
      <c r="H5" s="74">
        <v>1.2010548809808785E-2</v>
      </c>
      <c r="I5" s="74">
        <v>0.98299999999999998</v>
      </c>
      <c r="J5" s="74">
        <v>0.99244344427336251</v>
      </c>
      <c r="K5" s="76">
        <v>1.0016952400282553</v>
      </c>
      <c r="L5" s="67"/>
      <c r="M5" s="67"/>
      <c r="N5" s="67"/>
      <c r="O5" s="73" t="s">
        <v>163</v>
      </c>
      <c r="P5" s="74">
        <v>0.99280000000000002</v>
      </c>
      <c r="Q5" s="74">
        <v>0.99170000000000003</v>
      </c>
      <c r="R5" s="74">
        <v>0.98698669751301304</v>
      </c>
      <c r="S5" s="74">
        <v>0.98982423681776133</v>
      </c>
      <c r="T5" s="74">
        <v>0.99412587412587416</v>
      </c>
      <c r="U5" s="74">
        <v>4.3016373081128378E-3</v>
      </c>
      <c r="V5" s="75">
        <v>0.99</v>
      </c>
      <c r="W5" s="74">
        <v>0.994077934383513</v>
      </c>
      <c r="X5" s="76">
        <v>1.000048225335965</v>
      </c>
    </row>
    <row r="6" spans="2:24" ht="15" customHeight="1">
      <c r="B6" s="73" t="s">
        <v>164</v>
      </c>
      <c r="C6" s="74">
        <v>0.9829</v>
      </c>
      <c r="D6" s="74">
        <v>0.9889</v>
      </c>
      <c r="E6" s="74">
        <v>0.98562691131498503</v>
      </c>
      <c r="F6" s="74">
        <v>0.98652127820687563</v>
      </c>
      <c r="G6" s="74">
        <v>0.99406657018813316</v>
      </c>
      <c r="H6" s="74">
        <v>7.5452919812575292E-3</v>
      </c>
      <c r="I6" s="74">
        <v>0.98299999999999998</v>
      </c>
      <c r="J6" s="74">
        <v>0.99244344427336251</v>
      </c>
      <c r="K6" s="76">
        <v>1.0016354845448741</v>
      </c>
      <c r="L6" s="67"/>
      <c r="M6" s="67"/>
      <c r="N6" s="67"/>
      <c r="O6" s="73" t="s">
        <v>164</v>
      </c>
      <c r="P6" s="74">
        <v>0.98709999999999998</v>
      </c>
      <c r="Q6" s="74">
        <v>0.99160000000000004</v>
      </c>
      <c r="R6" s="74">
        <v>0.98807339449541298</v>
      </c>
      <c r="S6" s="74">
        <v>0.99318491594729663</v>
      </c>
      <c r="T6" s="74">
        <v>0.99406657018813316</v>
      </c>
      <c r="U6" s="74">
        <v>8.8165424083652688E-4</v>
      </c>
      <c r="V6" s="75">
        <v>0.99</v>
      </c>
      <c r="W6" s="74">
        <v>0.994077934383513</v>
      </c>
      <c r="X6" s="76">
        <v>0.99998856810418302</v>
      </c>
    </row>
    <row r="7" spans="2:24" ht="15" customHeight="1">
      <c r="B7" s="73" t="s">
        <v>165</v>
      </c>
      <c r="C7" s="74">
        <v>0.98129999999999995</v>
      </c>
      <c r="D7" s="74">
        <v>0.98129999999999995</v>
      </c>
      <c r="E7" s="74">
        <v>0.98619999999999997</v>
      </c>
      <c r="F7" s="74">
        <v>0.98976211984342066</v>
      </c>
      <c r="G7" s="74">
        <v>0.99480269489894124</v>
      </c>
      <c r="H7" s="74">
        <v>5.0405750555205797E-3</v>
      </c>
      <c r="I7" s="74">
        <v>0.98299999999999998</v>
      </c>
      <c r="J7" s="74">
        <v>0.99244344427336251</v>
      </c>
      <c r="K7" s="76">
        <v>1.0023772141769813</v>
      </c>
      <c r="L7" s="67"/>
      <c r="M7" s="67"/>
      <c r="N7" s="67"/>
      <c r="O7" s="73" t="s">
        <v>165</v>
      </c>
      <c r="P7" s="74">
        <v>0.98399999999999999</v>
      </c>
      <c r="Q7" s="74">
        <v>0.9899</v>
      </c>
      <c r="R7" s="74">
        <v>0.9879</v>
      </c>
      <c r="S7" s="74">
        <v>0.99417846030312151</v>
      </c>
      <c r="T7" s="74">
        <v>0.99480269489894124</v>
      </c>
      <c r="U7" s="74">
        <v>6.2423459581972818E-4</v>
      </c>
      <c r="V7" s="75">
        <v>0.99</v>
      </c>
      <c r="W7" s="74">
        <v>0.994077934383513</v>
      </c>
      <c r="X7" s="76">
        <v>1.000729078164156</v>
      </c>
    </row>
    <row r="8" spans="2:24" ht="15" customHeight="1">
      <c r="B8" s="73" t="s">
        <v>166</v>
      </c>
      <c r="C8" s="74">
        <v>0.98350000000000004</v>
      </c>
      <c r="D8" s="74">
        <v>0.9768</v>
      </c>
      <c r="E8" s="74">
        <v>0.9879</v>
      </c>
      <c r="F8" s="74">
        <v>0.99011013710946283</v>
      </c>
      <c r="G8" s="74"/>
      <c r="H8" s="74"/>
      <c r="I8" s="74">
        <v>0.98299999999999998</v>
      </c>
      <c r="J8" s="74">
        <v>0.99244344427336251</v>
      </c>
      <c r="K8" s="76"/>
      <c r="L8" s="67"/>
      <c r="M8" s="67"/>
      <c r="N8" s="67"/>
      <c r="O8" s="73" t="s">
        <v>166</v>
      </c>
      <c r="P8" s="74">
        <v>0.98650000000000004</v>
      </c>
      <c r="Q8" s="74">
        <v>0.98850000000000005</v>
      </c>
      <c r="R8" s="74">
        <v>0.98919999999999997</v>
      </c>
      <c r="S8" s="74">
        <v>0.99340675807297518</v>
      </c>
      <c r="T8" s="74"/>
      <c r="U8" s="74"/>
      <c r="V8" s="75">
        <v>0.99</v>
      </c>
      <c r="W8" s="74">
        <v>0.994077934383513</v>
      </c>
      <c r="X8" s="76"/>
    </row>
    <row r="9" spans="2:24" ht="15" customHeight="1">
      <c r="B9" s="73" t="s">
        <v>167</v>
      </c>
      <c r="C9" s="74">
        <v>0.98350000000000004</v>
      </c>
      <c r="D9" s="74">
        <v>0.97540000000000004</v>
      </c>
      <c r="E9" s="74">
        <v>0.98880000000000001</v>
      </c>
      <c r="F9" s="74">
        <v>0.99062218214607756</v>
      </c>
      <c r="G9" s="74"/>
      <c r="H9" s="74"/>
      <c r="I9" s="74">
        <v>0.98299999999999998</v>
      </c>
      <c r="J9" s="74">
        <v>0.99244344427336251</v>
      </c>
      <c r="K9" s="76"/>
      <c r="L9" s="67"/>
      <c r="M9" s="67"/>
      <c r="N9" s="67"/>
      <c r="O9" s="73" t="s">
        <v>167</v>
      </c>
      <c r="P9" s="74">
        <v>0.98719999999999997</v>
      </c>
      <c r="Q9" s="74">
        <v>0.98770000000000002</v>
      </c>
      <c r="R9" s="74">
        <v>0.98980000000000001</v>
      </c>
      <c r="S9" s="74">
        <v>0.99326720769461974</v>
      </c>
      <c r="T9" s="74"/>
      <c r="U9" s="74"/>
      <c r="V9" s="75">
        <v>0.99</v>
      </c>
      <c r="W9" s="74">
        <v>0.994077934383513</v>
      </c>
      <c r="X9" s="76"/>
    </row>
    <row r="10" spans="2:24" ht="15" customHeight="1">
      <c r="B10" s="73" t="s">
        <v>168</v>
      </c>
      <c r="C10" s="74">
        <v>0.98340000000000005</v>
      </c>
      <c r="D10" s="74">
        <v>0.97840000000000005</v>
      </c>
      <c r="E10" s="74">
        <v>0.98854901129194706</v>
      </c>
      <c r="F10" s="74">
        <v>0.99131707809581504</v>
      </c>
      <c r="G10" s="74"/>
      <c r="H10" s="74"/>
      <c r="I10" s="74">
        <v>0.98299999999999998</v>
      </c>
      <c r="J10" s="74">
        <v>0.99244344427336251</v>
      </c>
      <c r="K10" s="76"/>
      <c r="L10" s="67"/>
      <c r="M10" s="67"/>
      <c r="N10" s="67"/>
      <c r="O10" s="73" t="s">
        <v>168</v>
      </c>
      <c r="P10" s="74">
        <v>0.98740000000000006</v>
      </c>
      <c r="Q10" s="74">
        <v>0.98870000000000002</v>
      </c>
      <c r="R10" s="74">
        <v>0.98939723267772905</v>
      </c>
      <c r="S10" s="74">
        <v>0.99353829067595534</v>
      </c>
      <c r="T10" s="74"/>
      <c r="U10" s="74"/>
      <c r="V10" s="75">
        <v>0.99</v>
      </c>
      <c r="W10" s="74">
        <v>0.994077934383513</v>
      </c>
      <c r="X10" s="76"/>
    </row>
    <row r="11" spans="2:24" ht="15" customHeight="1">
      <c r="B11" s="73" t="s">
        <v>169</v>
      </c>
      <c r="C11" s="74">
        <v>0.98360000000000003</v>
      </c>
      <c r="D11" s="74">
        <v>0.97950000000000004</v>
      </c>
      <c r="E11" s="74">
        <v>0.98912605718888402</v>
      </c>
      <c r="F11" s="74">
        <v>0.9922421467633219</v>
      </c>
      <c r="G11" s="74"/>
      <c r="H11" s="74"/>
      <c r="I11" s="74">
        <v>0.98299999999999998</v>
      </c>
      <c r="J11" s="74">
        <v>0.99244344427336251</v>
      </c>
      <c r="K11" s="76"/>
      <c r="L11" s="67"/>
      <c r="M11" s="67"/>
      <c r="N11" s="67"/>
      <c r="O11" s="73" t="s">
        <v>169</v>
      </c>
      <c r="P11" s="74">
        <v>0.98809999999999998</v>
      </c>
      <c r="Q11" s="74">
        <v>0.98899999999999999</v>
      </c>
      <c r="R11" s="74">
        <v>0.98984203696245598</v>
      </c>
      <c r="S11" s="74">
        <v>0.99410742295137566</v>
      </c>
      <c r="T11" s="74"/>
      <c r="U11" s="74"/>
      <c r="V11" s="75">
        <v>0.99</v>
      </c>
      <c r="W11" s="74">
        <v>0.994077934383513</v>
      </c>
      <c r="X11" s="76"/>
    </row>
    <row r="12" spans="2:24" ht="15" customHeight="1">
      <c r="B12" s="73" t="s">
        <v>170</v>
      </c>
      <c r="C12" s="74">
        <v>0.98209999999999997</v>
      </c>
      <c r="D12" s="74">
        <v>0.97919999999999996</v>
      </c>
      <c r="E12" s="74">
        <v>0.98925935942510501</v>
      </c>
      <c r="F12" s="74">
        <v>0.9911744241403303</v>
      </c>
      <c r="G12" s="74"/>
      <c r="H12" s="74"/>
      <c r="I12" s="74">
        <v>0.98299999999999998</v>
      </c>
      <c r="J12" s="74">
        <v>0.99244344427336251</v>
      </c>
      <c r="K12" s="76"/>
      <c r="L12" s="67"/>
      <c r="M12" s="67"/>
      <c r="N12" s="67"/>
      <c r="O12" s="73" t="s">
        <v>170</v>
      </c>
      <c r="P12" s="74">
        <v>0.98809999999999998</v>
      </c>
      <c r="Q12" s="74">
        <v>0.98880000000000001</v>
      </c>
      <c r="R12" s="74">
        <v>0.98987752578912802</v>
      </c>
      <c r="S12" s="74">
        <v>0.99366462811733258</v>
      </c>
      <c r="T12" s="74"/>
      <c r="U12" s="74"/>
      <c r="V12" s="75">
        <v>0.99</v>
      </c>
      <c r="W12" s="74">
        <v>0.994077934383513</v>
      </c>
      <c r="X12" s="76"/>
    </row>
    <row r="13" spans="2:24" ht="15" customHeight="1">
      <c r="B13" s="73" t="s">
        <v>171</v>
      </c>
      <c r="C13" s="74">
        <v>0.98129999999999995</v>
      </c>
      <c r="D13" s="74">
        <v>0.98019999999999996</v>
      </c>
      <c r="E13" s="74">
        <v>0.98994750746217497</v>
      </c>
      <c r="F13" s="74">
        <v>0.99163885017986197</v>
      </c>
      <c r="G13" s="74"/>
      <c r="H13" s="74"/>
      <c r="I13" s="74">
        <v>0.98299999999999998</v>
      </c>
      <c r="J13" s="74">
        <v>0.99244344427336251</v>
      </c>
      <c r="K13" s="76"/>
      <c r="L13" s="67"/>
      <c r="M13" s="67"/>
      <c r="N13" s="67"/>
      <c r="O13" s="73" t="s">
        <v>171</v>
      </c>
      <c r="P13" s="74">
        <v>0.98839999999999995</v>
      </c>
      <c r="Q13" s="74">
        <v>0.98919999999999997</v>
      </c>
      <c r="R13" s="74">
        <v>0.99049644903420597</v>
      </c>
      <c r="S13" s="74">
        <v>0.99387497164338723</v>
      </c>
      <c r="T13" s="74"/>
      <c r="U13" s="74"/>
      <c r="V13" s="75">
        <v>0.99</v>
      </c>
      <c r="W13" s="74">
        <v>0.994077934383513</v>
      </c>
      <c r="X13" s="76"/>
    </row>
    <row r="14" spans="2:24" ht="15" customHeight="1">
      <c r="B14" s="73" t="s">
        <v>172</v>
      </c>
      <c r="C14" s="74">
        <v>0.98199999999999998</v>
      </c>
      <c r="D14" s="74">
        <v>0.98129999999999995</v>
      </c>
      <c r="E14" s="74">
        <v>0.98969260795315905</v>
      </c>
      <c r="F14" s="74">
        <v>0.99199262630335849</v>
      </c>
      <c r="G14" s="74"/>
      <c r="H14" s="74"/>
      <c r="I14" s="74">
        <v>0.98299999999999998</v>
      </c>
      <c r="J14" s="74">
        <v>0.99244344427336251</v>
      </c>
      <c r="K14" s="76"/>
      <c r="L14" s="67"/>
      <c r="M14" s="67"/>
      <c r="N14" s="67"/>
      <c r="O14" s="73" t="s">
        <v>172</v>
      </c>
      <c r="P14" s="74">
        <v>0.98850000000000005</v>
      </c>
      <c r="Q14" s="74">
        <v>0.9899</v>
      </c>
      <c r="R14" s="74">
        <v>0.99024152232251805</v>
      </c>
      <c r="S14" s="74">
        <v>0.99398006797626592</v>
      </c>
      <c r="T14" s="74"/>
      <c r="U14" s="74"/>
      <c r="V14" s="75">
        <v>0.99</v>
      </c>
      <c r="W14" s="74">
        <v>0.994077934383513</v>
      </c>
      <c r="X14" s="76"/>
    </row>
    <row r="15" spans="2:24" ht="15" customHeight="1">
      <c r="B15" s="73" t="s">
        <v>173</v>
      </c>
      <c r="C15" s="74">
        <v>0.98250000000000004</v>
      </c>
      <c r="D15" s="74">
        <v>0.98229999999999995</v>
      </c>
      <c r="E15" s="74">
        <v>0.98914660349292005</v>
      </c>
      <c r="F15" s="74">
        <v>0.99216002917198443</v>
      </c>
      <c r="G15" s="74"/>
      <c r="H15" s="74"/>
      <c r="I15" s="74">
        <v>0.98299999999999998</v>
      </c>
      <c r="J15" s="74">
        <v>0.99244344427336251</v>
      </c>
      <c r="K15" s="76"/>
      <c r="L15" s="67"/>
      <c r="M15" s="67"/>
      <c r="N15" s="67"/>
      <c r="O15" s="73" t="s">
        <v>173</v>
      </c>
      <c r="P15" s="74">
        <v>0.98850000000000005</v>
      </c>
      <c r="Q15" s="74">
        <v>0.99</v>
      </c>
      <c r="R15" s="74">
        <v>0.99035865792518296</v>
      </c>
      <c r="S15" s="74">
        <v>0.99395723178704454</v>
      </c>
      <c r="T15" s="74"/>
      <c r="U15" s="74"/>
      <c r="V15" s="75">
        <v>0.99</v>
      </c>
      <c r="W15" s="74">
        <v>0.994077934383513</v>
      </c>
      <c r="X15" s="76"/>
    </row>
    <row r="16" spans="2:24" ht="15" customHeight="1" thickBot="1">
      <c r="B16" s="77" t="s">
        <v>174</v>
      </c>
      <c r="C16" s="78">
        <v>0.98209999999999997</v>
      </c>
      <c r="D16" s="78">
        <v>0.98240000000000005</v>
      </c>
      <c r="E16" s="78">
        <v>0.98840543259557301</v>
      </c>
      <c r="F16" s="78">
        <v>0.99244344427336251</v>
      </c>
      <c r="G16" s="78"/>
      <c r="H16" s="78"/>
      <c r="I16" s="78">
        <v>0.98299999999999998</v>
      </c>
      <c r="J16" s="78">
        <v>0.99244344427336251</v>
      </c>
      <c r="K16" s="80"/>
      <c r="L16" s="67"/>
      <c r="M16" s="67"/>
      <c r="N16" s="67"/>
      <c r="O16" s="77" t="s">
        <v>174</v>
      </c>
      <c r="P16" s="78">
        <v>0.98760000000000003</v>
      </c>
      <c r="Q16" s="78">
        <v>0.98939999999999995</v>
      </c>
      <c r="R16" s="78">
        <v>0.99014084507042299</v>
      </c>
      <c r="S16" s="78">
        <v>0.994077934383513</v>
      </c>
      <c r="T16" s="78"/>
      <c r="U16" s="78"/>
      <c r="V16" s="79">
        <v>0.99</v>
      </c>
      <c r="W16" s="78">
        <v>0.994077934383513</v>
      </c>
      <c r="X16" s="80"/>
    </row>
  </sheetData>
  <mergeCells count="14">
    <mergeCell ref="W3:W4"/>
    <mergeCell ref="X3:X4"/>
    <mergeCell ref="P3:T3"/>
    <mergeCell ref="O2:X2"/>
    <mergeCell ref="B3:B4"/>
    <mergeCell ref="H3:H4"/>
    <mergeCell ref="I3:I4"/>
    <mergeCell ref="O3:O4"/>
    <mergeCell ref="U3:U4"/>
    <mergeCell ref="V3:V4"/>
    <mergeCell ref="B2:K2"/>
    <mergeCell ref="C3:G3"/>
    <mergeCell ref="J3:J4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3.85546875" bestFit="1" customWidth="1"/>
    <col min="2" max="2" width="68.85546875" bestFit="1" customWidth="1"/>
    <col min="3" max="3" width="10.85546875" bestFit="1" customWidth="1"/>
    <col min="4" max="4" width="19.140625" bestFit="1" customWidth="1"/>
    <col min="5" max="5" width="10.85546875" bestFit="1" customWidth="1"/>
    <col min="6" max="6" width="8.85546875" bestFit="1" customWidth="1"/>
  </cols>
  <sheetData>
    <row r="1" spans="1:6">
      <c r="A1" s="93" t="s">
        <v>175</v>
      </c>
      <c r="B1" s="93" t="s">
        <v>176</v>
      </c>
      <c r="C1" s="93" t="s">
        <v>177</v>
      </c>
      <c r="D1" s="93" t="s">
        <v>178</v>
      </c>
      <c r="E1" s="93" t="s">
        <v>179</v>
      </c>
      <c r="F1" s="93" t="s">
        <v>180</v>
      </c>
    </row>
    <row r="2" spans="1:6">
      <c r="A2" s="96">
        <v>1</v>
      </c>
      <c r="B2" s="94" t="s">
        <v>181</v>
      </c>
      <c r="C2" s="95">
        <v>46076</v>
      </c>
      <c r="D2" s="95">
        <v>46077</v>
      </c>
      <c r="E2" s="95">
        <v>46077</v>
      </c>
      <c r="F2" s="95">
        <v>46078</v>
      </c>
    </row>
    <row r="3" spans="1:6">
      <c r="A3" s="96">
        <v>2</v>
      </c>
      <c r="B3" s="94" t="s">
        <v>182</v>
      </c>
      <c r="C3" s="95">
        <v>46076</v>
      </c>
      <c r="D3" s="95">
        <v>46077</v>
      </c>
      <c r="E3" s="95">
        <v>46077</v>
      </c>
      <c r="F3" s="95">
        <v>46078</v>
      </c>
    </row>
    <row r="4" spans="1:6">
      <c r="A4" s="96">
        <v>3</v>
      </c>
      <c r="B4" s="94" t="s">
        <v>183</v>
      </c>
      <c r="C4" s="95">
        <v>46077</v>
      </c>
      <c r="D4" s="95">
        <v>46079</v>
      </c>
      <c r="E4" s="95">
        <v>46080</v>
      </c>
      <c r="F4" s="95">
        <v>46080</v>
      </c>
    </row>
    <row r="5" spans="1:6">
      <c r="A5" s="96">
        <v>4</v>
      </c>
      <c r="B5" s="94" t="s">
        <v>184</v>
      </c>
      <c r="C5" s="95">
        <v>46077</v>
      </c>
      <c r="D5" s="95">
        <v>46079</v>
      </c>
      <c r="E5" s="95">
        <v>46080</v>
      </c>
      <c r="F5" s="95">
        <v>46080</v>
      </c>
    </row>
    <row r="6" spans="1:6">
      <c r="A6" s="96">
        <v>5</v>
      </c>
      <c r="B6" s="94" t="s">
        <v>185</v>
      </c>
      <c r="C6" s="95">
        <v>46079</v>
      </c>
      <c r="D6" s="95">
        <v>46084</v>
      </c>
      <c r="E6" s="95">
        <v>46084</v>
      </c>
      <c r="F6" s="95">
        <v>46085</v>
      </c>
    </row>
    <row r="7" spans="1:6">
      <c r="A7" s="96">
        <v>6</v>
      </c>
      <c r="B7" s="94" t="s">
        <v>186</v>
      </c>
      <c r="C7" s="95">
        <v>46081</v>
      </c>
      <c r="D7" s="95">
        <v>46084</v>
      </c>
      <c r="E7" s="95">
        <v>46084</v>
      </c>
      <c r="F7" s="95">
        <v>46085</v>
      </c>
    </row>
    <row r="8" spans="1:6">
      <c r="A8" s="96">
        <v>7</v>
      </c>
      <c r="B8" s="94" t="s">
        <v>187</v>
      </c>
      <c r="C8" s="95">
        <v>46081</v>
      </c>
      <c r="D8" s="95">
        <v>46084</v>
      </c>
      <c r="E8" s="95">
        <v>46084</v>
      </c>
      <c r="F8" s="95">
        <v>46085</v>
      </c>
    </row>
    <row r="9" spans="1:6">
      <c r="A9" s="96">
        <v>8</v>
      </c>
      <c r="B9" s="94" t="s">
        <v>188</v>
      </c>
      <c r="C9" s="95">
        <v>46081</v>
      </c>
      <c r="D9" s="95">
        <v>46084</v>
      </c>
      <c r="E9" s="95">
        <v>46084</v>
      </c>
      <c r="F9" s="95">
        <v>46085</v>
      </c>
    </row>
    <row r="10" spans="1:6">
      <c r="A10" s="96"/>
      <c r="B10" s="94"/>
      <c r="C10" s="95"/>
      <c r="D10" s="95"/>
      <c r="E10" s="95"/>
      <c r="F10" s="95"/>
    </row>
    <row r="11" spans="1:6">
      <c r="A11" s="96"/>
      <c r="B11" s="94"/>
      <c r="C11" s="95"/>
      <c r="D11" s="95"/>
      <c r="E11" s="95"/>
      <c r="F11" s="95"/>
    </row>
    <row r="12" spans="1:6">
      <c r="A12" s="96"/>
      <c r="B12" s="94"/>
      <c r="C12" s="95"/>
      <c r="D12" s="95"/>
      <c r="E12" s="95"/>
      <c r="F12" s="95"/>
    </row>
    <row r="13" spans="1:6">
      <c r="A13" s="96"/>
      <c r="B13" s="94"/>
      <c r="C13" s="95"/>
      <c r="D13" s="95"/>
      <c r="E13" s="95"/>
      <c r="F13" s="95"/>
    </row>
    <row r="14" spans="1:6">
      <c r="A14" s="96"/>
      <c r="B14" s="94"/>
      <c r="C14" s="95"/>
      <c r="D14" s="95"/>
      <c r="E14" s="95"/>
      <c r="F14" s="95"/>
    </row>
    <row r="15" spans="1:6">
      <c r="A15" s="96"/>
      <c r="B15" s="94"/>
      <c r="C15" s="95"/>
      <c r="D15" s="95"/>
      <c r="E15" s="95"/>
      <c r="F15" s="95"/>
    </row>
    <row r="16" spans="1:6">
      <c r="A16" s="96"/>
      <c r="B16" s="94"/>
      <c r="C16" s="95"/>
      <c r="D16" s="95"/>
      <c r="E16" s="95"/>
      <c r="F16" s="9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L15" sqref="L15"/>
    </sheetView>
  </sheetViews>
  <sheetFormatPr defaultRowHeight="15"/>
  <sheetData>
    <row r="1" spans="1:20">
      <c r="A1" s="92" t="s">
        <v>189</v>
      </c>
      <c r="B1" s="92"/>
      <c r="C1" s="92"/>
      <c r="D1" s="92"/>
      <c r="E1" s="92"/>
      <c r="F1" s="92"/>
      <c r="G1" s="100"/>
      <c r="H1" s="92" t="s">
        <v>190</v>
      </c>
      <c r="I1" s="92"/>
      <c r="J1" s="92"/>
      <c r="K1" s="92"/>
      <c r="L1" s="92"/>
      <c r="M1" s="92"/>
      <c r="N1" s="100"/>
      <c r="O1" s="98">
        <v>46113</v>
      </c>
      <c r="P1" s="92"/>
      <c r="Q1" s="92"/>
      <c r="R1" s="92"/>
      <c r="S1" s="92"/>
      <c r="T1" s="92"/>
    </row>
    <row r="2" spans="1:20">
      <c r="A2" s="101" t="s">
        <v>0</v>
      </c>
      <c r="B2" s="101" t="s">
        <v>191</v>
      </c>
      <c r="C2" s="101" t="s">
        <v>192</v>
      </c>
      <c r="D2" s="101" t="s">
        <v>193</v>
      </c>
      <c r="E2" s="101" t="s">
        <v>194</v>
      </c>
      <c r="F2" s="101" t="s">
        <v>195</v>
      </c>
      <c r="G2" s="100"/>
      <c r="H2" s="101" t="s">
        <v>0</v>
      </c>
      <c r="I2" s="101" t="s">
        <v>191</v>
      </c>
      <c r="J2" s="101" t="s">
        <v>192</v>
      </c>
      <c r="K2" s="101" t="s">
        <v>193</v>
      </c>
      <c r="L2" s="101" t="s">
        <v>194</v>
      </c>
      <c r="M2" s="101" t="s">
        <v>195</v>
      </c>
      <c r="N2" s="100"/>
      <c r="O2" s="101" t="s">
        <v>0</v>
      </c>
      <c r="P2" s="101" t="s">
        <v>191</v>
      </c>
      <c r="Q2" s="101" t="s">
        <v>192</v>
      </c>
      <c r="R2" s="101" t="s">
        <v>193</v>
      </c>
      <c r="S2" s="101" t="s">
        <v>194</v>
      </c>
      <c r="T2" s="101" t="s">
        <v>195</v>
      </c>
    </row>
    <row r="3" spans="1:20">
      <c r="A3" s="102">
        <v>1</v>
      </c>
      <c r="B3" s="103">
        <v>46048</v>
      </c>
      <c r="C3" s="102">
        <v>26</v>
      </c>
      <c r="D3" s="102">
        <v>1</v>
      </c>
      <c r="E3" s="102">
        <v>2026</v>
      </c>
      <c r="F3" s="104">
        <v>0.35902777777777778</v>
      </c>
      <c r="G3" s="100"/>
      <c r="H3" s="102">
        <v>1</v>
      </c>
      <c r="I3" s="103">
        <v>46083</v>
      </c>
      <c r="J3" s="102">
        <v>2</v>
      </c>
      <c r="K3" s="102">
        <v>3</v>
      </c>
      <c r="L3" s="102">
        <v>2026</v>
      </c>
      <c r="M3" s="104">
        <v>0.41319444444444442</v>
      </c>
      <c r="N3" s="100"/>
      <c r="O3" s="102">
        <v>1</v>
      </c>
      <c r="P3" s="103">
        <v>46113</v>
      </c>
      <c r="Q3" s="102">
        <v>1</v>
      </c>
      <c r="R3" s="102">
        <v>4</v>
      </c>
      <c r="S3" s="102">
        <v>2026</v>
      </c>
      <c r="T3" s="104">
        <v>0.3756944444444445</v>
      </c>
    </row>
    <row r="4" spans="1:20">
      <c r="A4" s="102">
        <v>2</v>
      </c>
      <c r="B4" s="103">
        <v>46049</v>
      </c>
      <c r="C4" s="102">
        <v>27</v>
      </c>
      <c r="D4" s="102">
        <v>1</v>
      </c>
      <c r="E4" s="102">
        <v>2026</v>
      </c>
      <c r="F4" s="104">
        <v>0.36180555555555555</v>
      </c>
      <c r="G4" s="100"/>
      <c r="H4" s="102">
        <v>2</v>
      </c>
      <c r="I4" s="103">
        <v>46084</v>
      </c>
      <c r="J4" s="102">
        <v>3</v>
      </c>
      <c r="K4" s="102">
        <v>3</v>
      </c>
      <c r="L4" s="102">
        <v>2026</v>
      </c>
      <c r="M4" s="104">
        <v>0.36041666666666666</v>
      </c>
      <c r="N4" s="100"/>
      <c r="O4" s="102">
        <v>2</v>
      </c>
      <c r="P4" s="103">
        <v>46114</v>
      </c>
      <c r="Q4" s="102">
        <v>2</v>
      </c>
      <c r="R4" s="102">
        <v>4</v>
      </c>
      <c r="S4" s="102">
        <v>2026</v>
      </c>
      <c r="T4" s="104">
        <v>0.36874999999999997</v>
      </c>
    </row>
    <row r="5" spans="1:20">
      <c r="A5" s="102">
        <v>3</v>
      </c>
      <c r="B5" s="103">
        <v>46050</v>
      </c>
      <c r="C5" s="102">
        <v>28</v>
      </c>
      <c r="D5" s="102">
        <v>1</v>
      </c>
      <c r="E5" s="102">
        <v>2026</v>
      </c>
      <c r="F5" s="104">
        <v>0.35625000000000001</v>
      </c>
      <c r="G5" s="100"/>
      <c r="H5" s="102">
        <v>3</v>
      </c>
      <c r="I5" s="103">
        <v>46085</v>
      </c>
      <c r="J5" s="102">
        <v>4</v>
      </c>
      <c r="K5" s="102">
        <v>3</v>
      </c>
      <c r="L5" s="102">
        <v>2026</v>
      </c>
      <c r="M5" s="104">
        <v>0.37291666666666662</v>
      </c>
      <c r="N5" s="100"/>
      <c r="O5" s="102">
        <v>3</v>
      </c>
      <c r="P5" s="103">
        <v>46116</v>
      </c>
      <c r="Q5" s="102">
        <v>4</v>
      </c>
      <c r="R5" s="102">
        <v>4</v>
      </c>
      <c r="S5" s="102">
        <v>2026</v>
      </c>
      <c r="T5" s="104">
        <v>0.37083333333333335</v>
      </c>
    </row>
    <row r="6" spans="1:20">
      <c r="A6" s="102">
        <v>4</v>
      </c>
      <c r="B6" s="103">
        <v>46051</v>
      </c>
      <c r="C6" s="102">
        <v>29</v>
      </c>
      <c r="D6" s="102">
        <v>1</v>
      </c>
      <c r="E6" s="102">
        <v>2026</v>
      </c>
      <c r="F6" s="104">
        <v>0.3611111111111111</v>
      </c>
      <c r="G6" s="100"/>
      <c r="H6" s="102">
        <v>4</v>
      </c>
      <c r="I6" s="103">
        <v>46086</v>
      </c>
      <c r="J6" s="102">
        <v>5</v>
      </c>
      <c r="K6" s="102">
        <v>3</v>
      </c>
      <c r="L6" s="102">
        <v>2026</v>
      </c>
      <c r="M6" s="104">
        <v>0.39999999999999997</v>
      </c>
      <c r="N6" s="100"/>
      <c r="O6" s="100"/>
      <c r="P6" s="100"/>
      <c r="Q6" s="100"/>
      <c r="R6" s="100"/>
      <c r="S6" s="100"/>
      <c r="T6" s="100"/>
    </row>
    <row r="7" spans="1:20">
      <c r="A7" s="102">
        <v>5</v>
      </c>
      <c r="B7" s="103">
        <v>46052</v>
      </c>
      <c r="C7" s="102">
        <v>30</v>
      </c>
      <c r="D7" s="102">
        <v>1</v>
      </c>
      <c r="E7" s="102">
        <v>2026</v>
      </c>
      <c r="F7" s="104">
        <v>0.36736111111111108</v>
      </c>
      <c r="G7" s="100"/>
      <c r="H7" s="102">
        <v>5</v>
      </c>
      <c r="I7" s="103">
        <v>46087</v>
      </c>
      <c r="J7" s="102">
        <v>6</v>
      </c>
      <c r="K7" s="102">
        <v>3</v>
      </c>
      <c r="L7" s="102">
        <v>2026</v>
      </c>
      <c r="M7" s="104">
        <v>0.375</v>
      </c>
      <c r="N7" s="100"/>
      <c r="O7" s="100"/>
      <c r="P7" s="100"/>
      <c r="Q7" s="100"/>
      <c r="R7" s="100"/>
      <c r="S7" s="100"/>
      <c r="T7" s="100"/>
    </row>
    <row r="8" spans="1:20">
      <c r="A8" s="102">
        <v>6</v>
      </c>
      <c r="B8" s="103">
        <v>46053</v>
      </c>
      <c r="C8" s="102">
        <v>31</v>
      </c>
      <c r="D8" s="102">
        <v>1</v>
      </c>
      <c r="E8" s="102">
        <v>2026</v>
      </c>
      <c r="F8" s="104">
        <v>0.36319444444444443</v>
      </c>
      <c r="G8" s="100"/>
      <c r="H8" s="102">
        <v>6</v>
      </c>
      <c r="I8" s="103">
        <v>46088</v>
      </c>
      <c r="J8" s="102">
        <v>7</v>
      </c>
      <c r="K8" s="102">
        <v>3</v>
      </c>
      <c r="L8" s="102">
        <v>2026</v>
      </c>
      <c r="M8" s="104">
        <v>0.36319444444444443</v>
      </c>
      <c r="N8" s="100"/>
      <c r="O8" s="100"/>
      <c r="P8" s="100"/>
      <c r="Q8" s="100"/>
      <c r="R8" s="100"/>
      <c r="S8" s="100"/>
      <c r="T8" s="100"/>
    </row>
    <row r="9" spans="1:20">
      <c r="A9" s="102">
        <v>7</v>
      </c>
      <c r="B9" s="103">
        <v>46055</v>
      </c>
      <c r="C9" s="102">
        <v>2</v>
      </c>
      <c r="D9" s="102">
        <v>2</v>
      </c>
      <c r="E9" s="102">
        <v>2026</v>
      </c>
      <c r="F9" s="104">
        <v>0.3659722222222222</v>
      </c>
      <c r="G9" s="100"/>
      <c r="H9" s="102">
        <v>7</v>
      </c>
      <c r="I9" s="103">
        <v>46090</v>
      </c>
      <c r="J9" s="102">
        <v>9</v>
      </c>
      <c r="K9" s="102">
        <v>3</v>
      </c>
      <c r="L9" s="102">
        <v>2026</v>
      </c>
      <c r="M9" s="104">
        <v>0.36805555555555558</v>
      </c>
      <c r="N9" s="100"/>
      <c r="O9" s="100"/>
      <c r="P9" s="100"/>
      <c r="Q9" s="100"/>
      <c r="R9" s="100"/>
      <c r="S9" s="100"/>
      <c r="T9" s="100"/>
    </row>
    <row r="10" spans="1:20">
      <c r="A10" s="102">
        <v>8</v>
      </c>
      <c r="B10" s="103">
        <v>46056</v>
      </c>
      <c r="C10" s="102">
        <v>3</v>
      </c>
      <c r="D10" s="102">
        <v>2</v>
      </c>
      <c r="E10" s="102">
        <v>2026</v>
      </c>
      <c r="F10" s="104">
        <v>0.35625000000000001</v>
      </c>
      <c r="G10" s="100"/>
      <c r="H10" s="102">
        <v>8</v>
      </c>
      <c r="I10" s="103">
        <v>46091</v>
      </c>
      <c r="J10" s="102">
        <v>10</v>
      </c>
      <c r="K10" s="102">
        <v>3</v>
      </c>
      <c r="L10" s="102">
        <v>2026</v>
      </c>
      <c r="M10" s="104">
        <v>0.3611111111111111</v>
      </c>
      <c r="N10" s="100"/>
      <c r="O10" s="100"/>
      <c r="P10" s="100"/>
      <c r="Q10" s="100"/>
      <c r="R10" s="100"/>
      <c r="S10" s="100"/>
      <c r="T10" s="100"/>
    </row>
    <row r="11" spans="1:20">
      <c r="A11" s="102">
        <v>9</v>
      </c>
      <c r="B11" s="103">
        <v>46057</v>
      </c>
      <c r="C11" s="102">
        <v>4</v>
      </c>
      <c r="D11" s="102">
        <v>2</v>
      </c>
      <c r="E11" s="102">
        <v>2026</v>
      </c>
      <c r="F11" s="104">
        <v>0.36388888888888887</v>
      </c>
      <c r="G11" s="100"/>
      <c r="H11" s="102">
        <v>9</v>
      </c>
      <c r="I11" s="103">
        <v>46092</v>
      </c>
      <c r="J11" s="102">
        <v>11</v>
      </c>
      <c r="K11" s="102">
        <v>3</v>
      </c>
      <c r="L11" s="102">
        <v>2026</v>
      </c>
      <c r="M11" s="104">
        <v>0.3666666666666667</v>
      </c>
      <c r="N11" s="100"/>
      <c r="O11" s="100"/>
      <c r="P11" s="100"/>
      <c r="Q11" s="100"/>
      <c r="R11" s="100"/>
      <c r="S11" s="100"/>
      <c r="T11" s="100"/>
    </row>
    <row r="12" spans="1:20">
      <c r="A12" s="102">
        <v>10</v>
      </c>
      <c r="B12" s="103">
        <v>46058</v>
      </c>
      <c r="C12" s="102">
        <v>5</v>
      </c>
      <c r="D12" s="102">
        <v>2</v>
      </c>
      <c r="E12" s="102">
        <v>2026</v>
      </c>
      <c r="F12" s="104">
        <v>0.36736111111111108</v>
      </c>
      <c r="G12" s="100"/>
      <c r="H12" s="102">
        <v>10</v>
      </c>
      <c r="I12" s="103">
        <v>46093</v>
      </c>
      <c r="J12" s="102">
        <v>12</v>
      </c>
      <c r="K12" s="102">
        <v>3</v>
      </c>
      <c r="L12" s="102">
        <v>2026</v>
      </c>
      <c r="M12" s="104">
        <v>0.36874999999999997</v>
      </c>
      <c r="N12" s="100"/>
      <c r="O12" s="100"/>
      <c r="P12" s="100"/>
      <c r="Q12" s="100"/>
      <c r="R12" s="100"/>
      <c r="S12" s="100"/>
      <c r="T12" s="100"/>
    </row>
    <row r="13" spans="1:20">
      <c r="A13" s="102">
        <v>11</v>
      </c>
      <c r="B13" s="103">
        <v>46059</v>
      </c>
      <c r="C13" s="102">
        <v>6</v>
      </c>
      <c r="D13" s="102">
        <v>2</v>
      </c>
      <c r="E13" s="102">
        <v>2026</v>
      </c>
      <c r="F13" s="104">
        <v>0.36458333333333331</v>
      </c>
      <c r="G13" s="100"/>
      <c r="H13" s="102">
        <v>11</v>
      </c>
      <c r="I13" s="103">
        <v>46094</v>
      </c>
      <c r="J13" s="102">
        <v>13</v>
      </c>
      <c r="K13" s="102">
        <v>3</v>
      </c>
      <c r="L13" s="102">
        <v>2026</v>
      </c>
      <c r="M13" s="104">
        <v>0.35555555555555557</v>
      </c>
      <c r="N13" s="100"/>
      <c r="O13" s="100"/>
      <c r="P13" s="100"/>
      <c r="Q13" s="100"/>
      <c r="R13" s="100"/>
      <c r="S13" s="100"/>
      <c r="T13" s="100"/>
    </row>
    <row r="14" spans="1:20">
      <c r="A14" s="102">
        <v>12</v>
      </c>
      <c r="B14" s="103">
        <v>46060</v>
      </c>
      <c r="C14" s="102">
        <v>7</v>
      </c>
      <c r="D14" s="102">
        <v>2</v>
      </c>
      <c r="E14" s="102">
        <v>2026</v>
      </c>
      <c r="F14" s="104">
        <v>0.37291666666666662</v>
      </c>
      <c r="G14" s="100"/>
      <c r="H14" s="102">
        <v>12</v>
      </c>
      <c r="I14" s="103">
        <v>46095</v>
      </c>
      <c r="J14" s="102">
        <v>14</v>
      </c>
      <c r="K14" s="102">
        <v>3</v>
      </c>
      <c r="L14" s="102">
        <v>2026</v>
      </c>
      <c r="M14" s="104">
        <v>0.3659722222222222</v>
      </c>
      <c r="N14" s="100"/>
      <c r="O14" s="100"/>
      <c r="P14" s="100"/>
      <c r="Q14" s="100"/>
      <c r="R14" s="100"/>
      <c r="S14" s="100"/>
      <c r="T14" s="100"/>
    </row>
    <row r="15" spans="1:20">
      <c r="A15" s="102">
        <v>13</v>
      </c>
      <c r="B15" s="103">
        <v>46062</v>
      </c>
      <c r="C15" s="102">
        <v>9</v>
      </c>
      <c r="D15" s="102">
        <v>2</v>
      </c>
      <c r="E15" s="102">
        <v>2026</v>
      </c>
      <c r="F15" s="104">
        <v>0.36874999999999997</v>
      </c>
      <c r="G15" s="100"/>
      <c r="H15" s="102">
        <v>13</v>
      </c>
      <c r="I15" s="103">
        <v>46097</v>
      </c>
      <c r="J15" s="102">
        <v>16</v>
      </c>
      <c r="K15" s="102">
        <v>3</v>
      </c>
      <c r="L15" s="102">
        <v>2026</v>
      </c>
      <c r="M15" s="104">
        <v>0.35555555555555557</v>
      </c>
      <c r="N15" s="100"/>
      <c r="O15" s="100"/>
      <c r="P15" s="100"/>
      <c r="Q15" s="100"/>
      <c r="R15" s="100"/>
      <c r="S15" s="100"/>
      <c r="T15" s="100"/>
    </row>
    <row r="16" spans="1:20">
      <c r="A16" s="102">
        <v>14</v>
      </c>
      <c r="B16" s="103">
        <v>46063</v>
      </c>
      <c r="C16" s="102">
        <v>10</v>
      </c>
      <c r="D16" s="102">
        <v>2</v>
      </c>
      <c r="E16" s="102">
        <v>2026</v>
      </c>
      <c r="F16" s="104">
        <v>0.37013888888888885</v>
      </c>
      <c r="G16" s="100"/>
      <c r="H16" s="102">
        <v>14</v>
      </c>
      <c r="I16" s="103">
        <v>46098</v>
      </c>
      <c r="J16" s="102">
        <v>17</v>
      </c>
      <c r="K16" s="102">
        <v>3</v>
      </c>
      <c r="L16" s="102">
        <v>2026</v>
      </c>
      <c r="M16" s="104">
        <v>0.37638888888888888</v>
      </c>
      <c r="N16" s="100"/>
      <c r="O16" s="100"/>
      <c r="P16" s="100"/>
      <c r="Q16" s="100"/>
      <c r="R16" s="100"/>
      <c r="S16" s="100"/>
      <c r="T16" s="100"/>
    </row>
    <row r="17" spans="1:13">
      <c r="A17" s="102">
        <v>15</v>
      </c>
      <c r="B17" s="103">
        <v>46064</v>
      </c>
      <c r="C17" s="102">
        <v>11</v>
      </c>
      <c r="D17" s="102">
        <v>2</v>
      </c>
      <c r="E17" s="102">
        <v>2026</v>
      </c>
      <c r="F17" s="104">
        <v>0.3527777777777778</v>
      </c>
      <c r="G17" s="100"/>
      <c r="H17" s="102">
        <v>15</v>
      </c>
      <c r="I17" s="103">
        <v>46099</v>
      </c>
      <c r="J17" s="102">
        <v>18</v>
      </c>
      <c r="K17" s="102">
        <v>3</v>
      </c>
      <c r="L17" s="102">
        <v>2026</v>
      </c>
      <c r="M17" s="104">
        <v>0.35902777777777778</v>
      </c>
    </row>
    <row r="18" spans="1:13">
      <c r="A18" s="102">
        <v>16</v>
      </c>
      <c r="B18" s="103">
        <v>46065</v>
      </c>
      <c r="C18" s="102">
        <v>12</v>
      </c>
      <c r="D18" s="102">
        <v>2</v>
      </c>
      <c r="E18" s="102">
        <v>2026</v>
      </c>
      <c r="F18" s="104">
        <v>0.37013888888888885</v>
      </c>
      <c r="G18" s="100"/>
      <c r="H18" s="102">
        <v>16</v>
      </c>
      <c r="I18" s="103">
        <v>46107</v>
      </c>
      <c r="J18" s="102">
        <v>26</v>
      </c>
      <c r="K18" s="102">
        <v>3</v>
      </c>
      <c r="L18" s="102">
        <v>2026</v>
      </c>
      <c r="M18" s="104">
        <v>0.39374999999999999</v>
      </c>
    </row>
    <row r="19" spans="1:13">
      <c r="A19" s="102">
        <v>17</v>
      </c>
      <c r="B19" s="103">
        <v>46066</v>
      </c>
      <c r="C19" s="102">
        <v>13</v>
      </c>
      <c r="D19" s="102">
        <v>2</v>
      </c>
      <c r="E19" s="102">
        <v>2026</v>
      </c>
      <c r="F19" s="104">
        <v>0.36041666666666666</v>
      </c>
      <c r="G19" s="100"/>
      <c r="H19" s="102">
        <v>17</v>
      </c>
      <c r="I19" s="103">
        <v>46108</v>
      </c>
      <c r="J19" s="102">
        <v>27</v>
      </c>
      <c r="K19" s="102">
        <v>3</v>
      </c>
      <c r="L19" s="102">
        <v>2026</v>
      </c>
      <c r="M19" s="104">
        <v>0.3576388888888889</v>
      </c>
    </row>
    <row r="20" spans="1:13">
      <c r="A20" s="102">
        <v>18</v>
      </c>
      <c r="B20" s="103">
        <v>46067</v>
      </c>
      <c r="C20" s="102">
        <v>14</v>
      </c>
      <c r="D20" s="102">
        <v>2</v>
      </c>
      <c r="E20" s="102">
        <v>2026</v>
      </c>
      <c r="F20" s="104">
        <v>0.35972222222222222</v>
      </c>
      <c r="G20" s="100"/>
      <c r="H20" s="102">
        <v>18</v>
      </c>
      <c r="I20" s="103">
        <v>46109</v>
      </c>
      <c r="J20" s="102">
        <v>28</v>
      </c>
      <c r="K20" s="102">
        <v>3</v>
      </c>
      <c r="L20" s="102">
        <v>2026</v>
      </c>
      <c r="M20" s="104">
        <v>0.37222222222222223</v>
      </c>
    </row>
    <row r="21" spans="1:13">
      <c r="A21" s="102">
        <v>19</v>
      </c>
      <c r="B21" s="103">
        <v>46069</v>
      </c>
      <c r="C21" s="102">
        <v>16</v>
      </c>
      <c r="D21" s="102">
        <v>2</v>
      </c>
      <c r="E21" s="102">
        <v>2026</v>
      </c>
      <c r="F21" s="104">
        <v>0.36458333333333331</v>
      </c>
      <c r="G21" s="100"/>
      <c r="H21" s="102">
        <v>19</v>
      </c>
      <c r="I21" s="103">
        <v>46111</v>
      </c>
      <c r="J21" s="102">
        <v>30</v>
      </c>
      <c r="K21" s="102">
        <v>3</v>
      </c>
      <c r="L21" s="102">
        <v>2026</v>
      </c>
      <c r="M21" s="104">
        <v>0.37222222222222223</v>
      </c>
    </row>
    <row r="22" spans="1:13">
      <c r="A22" s="102">
        <v>20</v>
      </c>
      <c r="B22" s="103">
        <v>46071</v>
      </c>
      <c r="C22" s="102">
        <v>18</v>
      </c>
      <c r="D22" s="102">
        <v>2</v>
      </c>
      <c r="E22" s="102">
        <v>2026</v>
      </c>
      <c r="F22" s="104">
        <v>0.3756944444444445</v>
      </c>
      <c r="G22" s="100"/>
      <c r="H22" s="102">
        <v>20</v>
      </c>
      <c r="I22" s="103">
        <v>46112</v>
      </c>
      <c r="J22" s="102">
        <v>31</v>
      </c>
      <c r="K22" s="102">
        <v>3</v>
      </c>
      <c r="L22" s="102">
        <v>2026</v>
      </c>
      <c r="M22" s="104">
        <v>0.36249999999999999</v>
      </c>
    </row>
    <row r="23" spans="1:13">
      <c r="A23" s="102">
        <v>21</v>
      </c>
      <c r="B23" s="103">
        <v>46072</v>
      </c>
      <c r="C23" s="102">
        <v>19</v>
      </c>
      <c r="D23" s="102">
        <v>2</v>
      </c>
      <c r="E23" s="102">
        <v>2026</v>
      </c>
      <c r="F23" s="104">
        <v>0.37013888888888885</v>
      </c>
      <c r="G23" s="100"/>
      <c r="H23" s="97" t="s">
        <v>196</v>
      </c>
      <c r="I23" s="90"/>
      <c r="J23" s="90"/>
      <c r="K23" s="90"/>
      <c r="L23" s="91"/>
      <c r="M23" s="104">
        <v>0.37100694444444443</v>
      </c>
    </row>
    <row r="24" spans="1:13">
      <c r="A24" s="102">
        <v>22</v>
      </c>
      <c r="B24" s="103">
        <v>46073</v>
      </c>
      <c r="C24" s="102">
        <v>20</v>
      </c>
      <c r="D24" s="102">
        <v>2</v>
      </c>
      <c r="E24" s="102">
        <v>2026</v>
      </c>
      <c r="F24" s="104">
        <v>0.36180555555555555</v>
      </c>
      <c r="G24" s="100"/>
      <c r="H24" s="100"/>
      <c r="I24" s="100"/>
      <c r="J24" s="100"/>
      <c r="K24" s="100"/>
      <c r="L24" s="100"/>
      <c r="M24" s="100"/>
    </row>
    <row r="25" spans="1:13">
      <c r="A25" s="102">
        <v>23</v>
      </c>
      <c r="B25" s="103">
        <v>46074</v>
      </c>
      <c r="C25" s="102">
        <v>21</v>
      </c>
      <c r="D25" s="102">
        <v>2</v>
      </c>
      <c r="E25" s="102">
        <v>2026</v>
      </c>
      <c r="F25" s="104">
        <v>0.36180555555555555</v>
      </c>
      <c r="G25" s="100"/>
      <c r="H25" s="100"/>
      <c r="I25" s="100"/>
      <c r="J25" s="100"/>
      <c r="K25" s="100"/>
      <c r="L25" s="100"/>
      <c r="M25" s="100"/>
    </row>
    <row r="26" spans="1:13">
      <c r="A26" s="102">
        <v>24</v>
      </c>
      <c r="B26" s="103">
        <v>46076</v>
      </c>
      <c r="C26" s="102">
        <v>23</v>
      </c>
      <c r="D26" s="102">
        <v>2</v>
      </c>
      <c r="E26" s="102">
        <v>2026</v>
      </c>
      <c r="F26" s="104">
        <v>0.37222222222222223</v>
      </c>
      <c r="G26" s="100"/>
      <c r="H26" s="100"/>
      <c r="I26" s="100"/>
      <c r="J26" s="100"/>
      <c r="K26" s="100"/>
      <c r="L26" s="100"/>
      <c r="M26" s="100"/>
    </row>
    <row r="27" spans="1:13">
      <c r="A27" s="102">
        <v>25</v>
      </c>
      <c r="B27" s="103">
        <v>46077</v>
      </c>
      <c r="C27" s="102">
        <v>24</v>
      </c>
      <c r="D27" s="102">
        <v>2</v>
      </c>
      <c r="E27" s="102">
        <v>2026</v>
      </c>
      <c r="F27" s="104">
        <v>0.3743055555555555</v>
      </c>
      <c r="G27" s="100"/>
      <c r="H27" s="100"/>
      <c r="I27" s="100"/>
      <c r="J27" s="100"/>
      <c r="K27" s="100"/>
      <c r="L27" s="100"/>
      <c r="M27" s="100"/>
    </row>
    <row r="28" spans="1:13">
      <c r="A28" s="102">
        <v>26</v>
      </c>
      <c r="B28" s="103">
        <v>46078</v>
      </c>
      <c r="C28" s="102">
        <v>25</v>
      </c>
      <c r="D28" s="102">
        <v>2</v>
      </c>
      <c r="E28" s="102">
        <v>2026</v>
      </c>
      <c r="F28" s="104">
        <v>0.36249999999999999</v>
      </c>
      <c r="G28" s="100"/>
      <c r="H28" s="100"/>
      <c r="I28" s="100"/>
      <c r="J28" s="100"/>
      <c r="K28" s="100"/>
      <c r="L28" s="100"/>
      <c r="M28" s="100"/>
    </row>
    <row r="29" spans="1:13">
      <c r="A29" s="102">
        <v>27</v>
      </c>
      <c r="B29" s="103">
        <v>46079</v>
      </c>
      <c r="C29" s="102">
        <v>26</v>
      </c>
      <c r="D29" s="102">
        <v>2</v>
      </c>
      <c r="E29" s="102">
        <v>2026</v>
      </c>
      <c r="F29" s="104">
        <v>0.36736111111111108</v>
      </c>
      <c r="G29" s="100"/>
      <c r="H29" s="100"/>
      <c r="I29" s="100"/>
      <c r="J29" s="100"/>
      <c r="K29" s="100"/>
      <c r="L29" s="100"/>
      <c r="M29" s="100"/>
    </row>
    <row r="30" spans="1:13">
      <c r="A30" s="102">
        <v>28</v>
      </c>
      <c r="B30" s="103">
        <v>46080</v>
      </c>
      <c r="C30" s="102">
        <v>27</v>
      </c>
      <c r="D30" s="102">
        <v>2</v>
      </c>
      <c r="E30" s="102">
        <v>2026</v>
      </c>
      <c r="F30" s="104">
        <v>0.37361111111111112</v>
      </c>
      <c r="G30" s="100"/>
      <c r="H30" s="100"/>
      <c r="I30" s="100"/>
      <c r="J30" s="100"/>
      <c r="K30" s="100"/>
      <c r="L30" s="100"/>
      <c r="M30" s="100"/>
    </row>
    <row r="31" spans="1:13">
      <c r="A31" s="99" t="s">
        <v>197</v>
      </c>
      <c r="B31" s="99"/>
      <c r="C31" s="99"/>
      <c r="D31" s="99"/>
      <c r="E31" s="99"/>
      <c r="F31" s="105">
        <v>0.36520337301587297</v>
      </c>
      <c r="G31" s="100"/>
      <c r="H31" s="100"/>
      <c r="I31" s="100"/>
      <c r="J31" s="100"/>
      <c r="K31" s="100"/>
      <c r="L31" s="100"/>
      <c r="M31" s="100"/>
    </row>
  </sheetData>
  <mergeCells count="5">
    <mergeCell ref="A1:F1"/>
    <mergeCell ref="A31:E31"/>
    <mergeCell ref="H1:M1"/>
    <mergeCell ref="O1:T1"/>
    <mergeCell ref="H23:L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rekrutmen</vt:lpstr>
      <vt:lpstr>Absensi</vt:lpstr>
      <vt:lpstr>SOP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Luluk</dc:creator>
  <cp:lastModifiedBy>Luluk</cp:lastModifiedBy>
  <dcterms:created xsi:type="dcterms:W3CDTF">2026-04-04T04:07:12Z</dcterms:created>
  <dcterms:modified xsi:type="dcterms:W3CDTF">2026-04-04T04:09:42Z</dcterms:modified>
</cp:coreProperties>
</file>