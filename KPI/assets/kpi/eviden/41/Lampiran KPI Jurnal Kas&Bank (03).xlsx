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245" activeTab="1"/>
  </bookViews>
  <sheets>
    <sheet name="Kas" sheetId="7" r:id="rId1"/>
    <sheet name="Bank" sheetId="6" r:id="rId2"/>
  </sheets>
  <externalReferences>
    <externalReference r:id="rId3"/>
    <externalReference r:id="rId4"/>
  </externalReferences>
  <definedNames>
    <definedName name="Progresit" localSheetId="1">'[1]PROGRES TUGAS IT 2020'!$B$3:$L$215</definedName>
    <definedName name="Progresit">'[2]PROGRES TUGAS IT 2020'!$B$3:$L$215</definedName>
    <definedName name="sortsummary" localSheetId="1">#REF!</definedName>
    <definedName name="sortsummary" localSheetId="0">#REF!</definedName>
    <definedName name="sortsummary">#REF!</definedName>
  </definedNames>
  <calcPr calcId="145621"/>
</workbook>
</file>

<file path=xl/calcChain.xml><?xml version="1.0" encoding="utf-8"?>
<calcChain xmlns="http://schemas.openxmlformats.org/spreadsheetml/2006/main">
  <c r="N36" i="6" l="1"/>
  <c r="J36" i="6"/>
  <c r="K36" i="6" s="1"/>
  <c r="E36" i="6"/>
  <c r="N35" i="6"/>
  <c r="K35" i="6"/>
  <c r="J35" i="6"/>
  <c r="E35" i="6"/>
  <c r="N22" i="6" l="1"/>
  <c r="K22" i="6"/>
  <c r="J22" i="6"/>
  <c r="E22" i="6"/>
  <c r="N18" i="6" l="1"/>
  <c r="J18" i="6"/>
  <c r="K18" i="6" s="1"/>
  <c r="E18" i="6"/>
  <c r="N17" i="6"/>
  <c r="J17" i="6"/>
  <c r="K17" i="6" s="1"/>
  <c r="N16" i="6" l="1"/>
  <c r="J16" i="6"/>
  <c r="K16" i="6" s="1"/>
  <c r="J15" i="6" l="1"/>
  <c r="K15" i="6" s="1"/>
  <c r="N14" i="6" l="1"/>
  <c r="J14" i="6"/>
  <c r="K14" i="6" s="1"/>
  <c r="A36" i="6" l="1"/>
  <c r="A35" i="6"/>
  <c r="A34" i="6"/>
  <c r="K33" i="7" l="1"/>
  <c r="H33" i="7"/>
  <c r="E33" i="7"/>
  <c r="N33" i="6" l="1"/>
  <c r="K33" i="6"/>
  <c r="J33" i="6"/>
  <c r="E33" i="6"/>
  <c r="N32" i="6"/>
  <c r="J32" i="6"/>
  <c r="K32" i="6" s="1"/>
  <c r="E32" i="6"/>
  <c r="N31" i="6"/>
  <c r="J31" i="6"/>
  <c r="K31" i="6" s="1"/>
  <c r="E31" i="6"/>
  <c r="N30" i="6"/>
  <c r="J30" i="6"/>
  <c r="K30" i="6" s="1"/>
  <c r="E30" i="6"/>
  <c r="N29" i="6"/>
  <c r="K29" i="6"/>
  <c r="J29" i="6"/>
  <c r="E29" i="6"/>
  <c r="N28" i="6"/>
  <c r="J28" i="6"/>
  <c r="K28" i="6" s="1"/>
  <c r="E28" i="6"/>
  <c r="N26" i="6"/>
  <c r="J26" i="6"/>
  <c r="K26" i="6" s="1"/>
  <c r="E26" i="6"/>
  <c r="N25" i="6"/>
  <c r="J25" i="6"/>
  <c r="K25" i="6" s="1"/>
  <c r="E25" i="6"/>
  <c r="N24" i="6"/>
  <c r="K24" i="6"/>
  <c r="J24" i="6"/>
  <c r="E24" i="6"/>
  <c r="N23" i="6"/>
  <c r="J23" i="6"/>
  <c r="K23" i="6" s="1"/>
  <c r="E23" i="6"/>
  <c r="N21" i="6"/>
  <c r="J21" i="6"/>
  <c r="K21" i="6" s="1"/>
  <c r="E21" i="6"/>
  <c r="N19" i="6"/>
  <c r="J19" i="6"/>
  <c r="K19" i="6" s="1"/>
  <c r="E19" i="6"/>
  <c r="E17" i="6"/>
  <c r="E16" i="6"/>
  <c r="N15" i="6"/>
  <c r="E15" i="6"/>
  <c r="E14" i="6"/>
  <c r="N12" i="6"/>
  <c r="J12" i="6"/>
  <c r="K12" i="6" s="1"/>
  <c r="E12" i="6"/>
  <c r="N11" i="6"/>
  <c r="J11" i="6"/>
  <c r="K11" i="6" s="1"/>
  <c r="E11" i="6"/>
  <c r="N10" i="6"/>
  <c r="J10" i="6"/>
  <c r="K10" i="6" s="1"/>
  <c r="E10" i="6"/>
  <c r="N9" i="6"/>
  <c r="J9" i="6"/>
  <c r="K9" i="6" s="1"/>
  <c r="E9" i="6"/>
  <c r="N8" i="6"/>
  <c r="J8" i="6"/>
  <c r="K8" i="6" s="1"/>
  <c r="E8" i="6"/>
  <c r="N7" i="6"/>
  <c r="J7" i="6"/>
  <c r="E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N37" i="6" l="1"/>
  <c r="E37" i="6"/>
  <c r="J37" i="6"/>
  <c r="K7" i="6"/>
  <c r="K37" i="6" s="1"/>
</calcChain>
</file>

<file path=xl/sharedStrings.xml><?xml version="1.0" encoding="utf-8"?>
<sst xmlns="http://schemas.openxmlformats.org/spreadsheetml/2006/main" count="73" uniqueCount="28">
  <si>
    <t xml:space="preserve">Tgl Kas </t>
  </si>
  <si>
    <t>Terima Berkas</t>
  </si>
  <si>
    <t>Tutup Kas Harian</t>
  </si>
  <si>
    <t>Durasi</t>
  </si>
  <si>
    <t>Point</t>
  </si>
  <si>
    <t>Tgl Terinput</t>
  </si>
  <si>
    <t>Kas Terinput di Zahir s/d cocokan</t>
  </si>
  <si>
    <t>Arsip kas Harian</t>
  </si>
  <si>
    <t>J+1</t>
  </si>
  <si>
    <t>KERTAS KERJA JURNAL TRANSAKSI BANK (QURI ARIFATMA SARI)</t>
  </si>
  <si>
    <t>Tanggal Register</t>
  </si>
  <si>
    <t>Rekening Koran</t>
  </si>
  <si>
    <t>Pelunasan Hutang</t>
  </si>
  <si>
    <t>Transaksi Jurnal Umum</t>
  </si>
  <si>
    <t>Terima (Jam)</t>
  </si>
  <si>
    <t>Selesai (Jam)</t>
  </si>
  <si>
    <t>Penyelesaian
(Jam)</t>
  </si>
  <si>
    <t>Capaian KPI</t>
  </si>
  <si>
    <t>Terima</t>
  </si>
  <si>
    <t>Selesai</t>
  </si>
  <si>
    <t>Penyelesaian
(Hari)</t>
  </si>
  <si>
    <t>BULAN FEBRUARI 2026</t>
  </si>
  <si>
    <t>Jam Terima</t>
  </si>
  <si>
    <t>Jam Selesai</t>
  </si>
  <si>
    <t>Rata-Rata</t>
  </si>
  <si>
    <t>Keterangan</t>
  </si>
  <si>
    <t>&lt; M+15</t>
  </si>
  <si>
    <t>Rata2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</si>
</sst>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-* #,##0.00_-;\-* #,##0.00_-;_-* &quot;-&quot;??_-;_-@_-"/>
    <numFmt numFmtId="166" formatCode="[$-421]dd\ mmmm\ yyyy;@"/>
    <numFmt numFmtId="167" formatCode="0.00;[Red]0.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98">
    <xf numFmtId="0" fontId="0" fillId="0" borderId="0"/>
    <xf numFmtId="0" fontId="4" fillId="0" borderId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7" fillId="0" borderId="0"/>
    <xf numFmtId="0" fontId="7" fillId="0" borderId="0"/>
    <xf numFmtId="0" fontId="8" fillId="0" borderId="0"/>
    <xf numFmtId="0" fontId="4" fillId="0" borderId="0">
      <alignment vertical="center"/>
    </xf>
    <xf numFmtId="0" fontId="1" fillId="0" borderId="0"/>
    <xf numFmtId="0" fontId="10" fillId="6" borderId="0"/>
    <xf numFmtId="0" fontId="8" fillId="0" borderId="0"/>
    <xf numFmtId="164" fontId="1" fillId="0" borderId="0"/>
    <xf numFmtId="164" fontId="1" fillId="0" borderId="0"/>
    <xf numFmtId="164" fontId="1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2" fillId="0" borderId="0">
      <alignment horizontal="left" vertical="top"/>
    </xf>
    <xf numFmtId="0" fontId="13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15" fillId="0" borderId="0">
      <alignment horizontal="left" vertical="top"/>
    </xf>
    <xf numFmtId="0" fontId="1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7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18" fillId="0" borderId="0">
      <alignment horizontal="left" vertical="top"/>
    </xf>
    <xf numFmtId="0" fontId="19" fillId="0" borderId="0">
      <alignment horizontal="left" vertical="top"/>
    </xf>
    <xf numFmtId="0" fontId="16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right" vertical="center"/>
    </xf>
    <xf numFmtId="0" fontId="11" fillId="0" borderId="0">
      <alignment horizontal="right" vertical="top"/>
    </xf>
    <xf numFmtId="0" fontId="11" fillId="0" borderId="0">
      <alignment horizontal="left" vertical="top"/>
    </xf>
    <xf numFmtId="164" fontId="21" fillId="0" borderId="0">
      <alignment horizontal="left" vertical="top"/>
    </xf>
    <xf numFmtId="0" fontId="20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16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7" fillId="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right" vertical="top"/>
    </xf>
    <xf numFmtId="0" fontId="11" fillId="0" borderId="0">
      <alignment horizontal="left" vertical="top"/>
    </xf>
    <xf numFmtId="0" fontId="19" fillId="0" borderId="0">
      <alignment horizontal="lef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164" fontId="11" fillId="0" borderId="0">
      <alignment horizontal="righ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21" fillId="0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23" fillId="0" borderId="0">
      <alignment horizontal="right" vertical="top"/>
    </xf>
    <xf numFmtId="0" fontId="20" fillId="0" borderId="0">
      <alignment horizontal="left" vertical="top"/>
    </xf>
    <xf numFmtId="0" fontId="26" fillId="0" borderId="0">
      <alignment horizontal="right" vertical="top"/>
    </xf>
    <xf numFmtId="0" fontId="19" fillId="0" borderId="0">
      <alignment horizontal="right" vertical="top"/>
    </xf>
    <xf numFmtId="0" fontId="21" fillId="0" borderId="0">
      <alignment horizontal="left" vertical="top"/>
    </xf>
    <xf numFmtId="164" fontId="1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7" fillId="0" borderId="0">
      <alignment horizontal="right" vertical="top"/>
    </xf>
    <xf numFmtId="0" fontId="22" fillId="0" borderId="0">
      <alignment horizontal="righ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6" fillId="0" borderId="0">
      <alignment horizontal="right" vertical="top"/>
    </xf>
    <xf numFmtId="0" fontId="27" fillId="0" borderId="0">
      <alignment horizontal="left" vertical="center"/>
    </xf>
    <xf numFmtId="0" fontId="24" fillId="0" borderId="0">
      <alignment horizontal="left" vertical="center"/>
    </xf>
    <xf numFmtId="0" fontId="11" fillId="0" borderId="0">
      <alignment horizontal="left" vertical="top"/>
    </xf>
    <xf numFmtId="164" fontId="11" fillId="0" borderId="0">
      <alignment horizontal="left" vertical="top"/>
    </xf>
    <xf numFmtId="0" fontId="7" fillId="0" borderId="0">
      <alignment horizontal="left" vertical="top"/>
    </xf>
    <xf numFmtId="0" fontId="23" fillId="0" borderId="0">
      <alignment horizontal="left" vertical="top"/>
    </xf>
    <xf numFmtId="0" fontId="7" fillId="0" borderId="0">
      <alignment horizontal="left" vertical="top"/>
    </xf>
    <xf numFmtId="0" fontId="22" fillId="0" borderId="0">
      <alignment horizontal="right" vertical="top"/>
    </xf>
    <xf numFmtId="0" fontId="28" fillId="0" borderId="0">
      <alignment horizontal="left" vertical="top"/>
    </xf>
    <xf numFmtId="0" fontId="11" fillId="0" borderId="0">
      <alignment horizontal="right" vertical="top"/>
    </xf>
    <xf numFmtId="0" fontId="27" fillId="0" borderId="0">
      <alignment horizontal="left" vertical="center"/>
    </xf>
    <xf numFmtId="0" fontId="21" fillId="0" borderId="0">
      <alignment horizontal="left" vertical="top"/>
    </xf>
    <xf numFmtId="0" fontId="19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1" fillId="0" borderId="0">
      <alignment horizontal="left" vertical="top"/>
    </xf>
    <xf numFmtId="164" fontId="21" fillId="0" borderId="0">
      <alignment horizontal="left" vertical="top"/>
    </xf>
    <xf numFmtId="0" fontId="29" fillId="0" borderId="0">
      <alignment horizontal="left" vertical="top"/>
    </xf>
    <xf numFmtId="0" fontId="7" fillId="0" borderId="0">
      <alignment horizontal="lef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24" fillId="0" borderId="0">
      <alignment horizontal="center" vertical="center"/>
    </xf>
    <xf numFmtId="0" fontId="21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left" vertical="center"/>
    </xf>
    <xf numFmtId="0" fontId="25" fillId="0" borderId="0">
      <alignment horizontal="left" vertical="top"/>
    </xf>
    <xf numFmtId="0" fontId="30" fillId="0" borderId="0">
      <alignment horizontal="right" vertical="top"/>
    </xf>
    <xf numFmtId="0" fontId="11" fillId="0" borderId="0">
      <alignment horizontal="righ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center" vertical="center"/>
    </xf>
    <xf numFmtId="164" fontId="11" fillId="0" borderId="0">
      <alignment horizontal="left" vertical="top"/>
    </xf>
    <xf numFmtId="0" fontId="26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164" fontId="21" fillId="0" borderId="0">
      <alignment horizontal="left" vertical="top"/>
    </xf>
    <xf numFmtId="0" fontId="25" fillId="0" borderId="0">
      <alignment horizontal="left" vertical="top"/>
    </xf>
    <xf numFmtId="0" fontId="23" fillId="0" borderId="0">
      <alignment horizontal="left" vertical="top"/>
    </xf>
    <xf numFmtId="0" fontId="20" fillId="0" borderId="0">
      <alignment horizontal="left" vertical="top"/>
    </xf>
    <xf numFmtId="0" fontId="23" fillId="0" borderId="0">
      <alignment horizontal="right" vertical="top"/>
    </xf>
    <xf numFmtId="164" fontId="23" fillId="0" borderId="0">
      <alignment horizontal="right" vertical="top"/>
    </xf>
    <xf numFmtId="0" fontId="31" fillId="0" borderId="0">
      <alignment horizontal="right" vertical="top"/>
    </xf>
    <xf numFmtId="0" fontId="29" fillId="0" borderId="0">
      <alignment horizontal="left" vertical="top"/>
    </xf>
    <xf numFmtId="0" fontId="23" fillId="0" borderId="0">
      <alignment horizontal="left" vertical="top"/>
    </xf>
    <xf numFmtId="0" fontId="11" fillId="0" borderId="0">
      <alignment horizontal="left" vertical="top"/>
    </xf>
    <xf numFmtId="164" fontId="23" fillId="0" borderId="0">
      <alignment horizontal="left" vertical="top"/>
    </xf>
    <xf numFmtId="0" fontId="31" fillId="0" borderId="0">
      <alignment horizontal="left" vertical="top"/>
    </xf>
    <xf numFmtId="0" fontId="11" fillId="0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right" vertical="top"/>
    </xf>
    <xf numFmtId="0" fontId="11" fillId="0" borderId="0">
      <alignment horizontal="right" vertical="top"/>
    </xf>
    <xf numFmtId="0" fontId="14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center" vertical="top"/>
    </xf>
    <xf numFmtId="0" fontId="36" fillId="0" borderId="0">
      <alignment horizontal="left" vertical="top"/>
    </xf>
    <xf numFmtId="164" fontId="37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37" fillId="0" borderId="0">
      <alignment horizontal="left" vertical="top"/>
    </xf>
    <xf numFmtId="0" fontId="7" fillId="7" borderId="0">
      <alignment horizontal="left" vertical="top"/>
    </xf>
    <xf numFmtId="0" fontId="36" fillId="0" borderId="0">
      <alignment horizontal="center" vertical="top"/>
    </xf>
    <xf numFmtId="0" fontId="38" fillId="0" borderId="0">
      <alignment horizontal="left" vertical="top"/>
    </xf>
    <xf numFmtId="0" fontId="39" fillId="0" borderId="0">
      <alignment horizontal="center" vertical="top"/>
    </xf>
    <xf numFmtId="0" fontId="7" fillId="7" borderId="0">
      <alignment horizontal="left" vertical="top"/>
    </xf>
    <xf numFmtId="0" fontId="29" fillId="0" borderId="0">
      <alignment horizontal="left" vertical="top"/>
    </xf>
    <xf numFmtId="0" fontId="7" fillId="7" borderId="0">
      <alignment horizontal="left" vertical="top"/>
    </xf>
    <xf numFmtId="0" fontId="17" fillId="0" borderId="0">
      <alignment horizontal="center" vertical="top"/>
    </xf>
    <xf numFmtId="0" fontId="39" fillId="0" borderId="0">
      <alignment horizontal="center" vertical="top"/>
    </xf>
    <xf numFmtId="0" fontId="21" fillId="0" borderId="0">
      <alignment horizontal="right" vertical="top"/>
    </xf>
    <xf numFmtId="0" fontId="7" fillId="7" borderId="0">
      <alignment horizontal="left" vertical="top"/>
    </xf>
    <xf numFmtId="0" fontId="17" fillId="0" borderId="0">
      <alignment horizontal="left" vertical="top"/>
    </xf>
    <xf numFmtId="164" fontId="21" fillId="0" borderId="0">
      <alignment horizontal="righ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right" vertical="top"/>
    </xf>
    <xf numFmtId="0" fontId="21" fillId="7" borderId="0">
      <alignment horizontal="left" vertical="top"/>
    </xf>
    <xf numFmtId="0" fontId="7" fillId="7" borderId="0">
      <alignment horizontal="left" vertical="top"/>
    </xf>
    <xf numFmtId="0" fontId="33" fillId="0" borderId="0">
      <alignment horizontal="center" vertical="top"/>
    </xf>
    <xf numFmtId="0" fontId="21" fillId="7" borderId="0">
      <alignment horizontal="left" vertical="top"/>
    </xf>
    <xf numFmtId="0" fontId="11" fillId="0" borderId="0">
      <alignment horizontal="right" vertical="top"/>
    </xf>
    <xf numFmtId="164" fontId="21" fillId="0" borderId="0">
      <alignment horizontal="left" vertical="top"/>
    </xf>
    <xf numFmtId="0" fontId="21" fillId="0" borderId="0">
      <alignment horizontal="left" vertical="top"/>
    </xf>
    <xf numFmtId="0" fontId="40" fillId="0" borderId="0">
      <alignment horizontal="center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16" fillId="0" borderId="0">
      <alignment horizontal="right" vertical="top"/>
    </xf>
    <xf numFmtId="0" fontId="1" fillId="0" borderId="0">
      <alignment horizontal="right" vertical="top"/>
    </xf>
    <xf numFmtId="0" fontId="21" fillId="0" borderId="0">
      <alignment horizontal="right" vertical="top"/>
    </xf>
    <xf numFmtId="0" fontId="21" fillId="0" borderId="0">
      <alignment horizontal="left" vertical="top"/>
    </xf>
    <xf numFmtId="0" fontId="7" fillId="7" borderId="0">
      <alignment horizontal="right" vertical="top"/>
    </xf>
    <xf numFmtId="0" fontId="23" fillId="0" borderId="0">
      <alignment horizontal="left" vertical="top"/>
    </xf>
    <xf numFmtId="0" fontId="23" fillId="0" borderId="0">
      <alignment horizontal="center" vertical="center"/>
    </xf>
    <xf numFmtId="0" fontId="30" fillId="0" borderId="0">
      <alignment horizontal="left" vertical="center"/>
    </xf>
    <xf numFmtId="0" fontId="41" fillId="0" borderId="0">
      <alignment horizontal="center" vertical="top"/>
    </xf>
    <xf numFmtId="164" fontId="21" fillId="0" borderId="0">
      <alignment horizontal="left" vertical="top"/>
    </xf>
    <xf numFmtId="0" fontId="21" fillId="0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right" vertical="top"/>
    </xf>
    <xf numFmtId="0" fontId="7" fillId="7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center"/>
    </xf>
    <xf numFmtId="0" fontId="30" fillId="0" borderId="0">
      <alignment horizontal="left" vertical="center"/>
    </xf>
    <xf numFmtId="0" fontId="42" fillId="0" borderId="0">
      <alignment horizontal="left" vertical="top"/>
    </xf>
    <xf numFmtId="164" fontId="21" fillId="0" borderId="0">
      <alignment horizontal="right" vertical="top"/>
    </xf>
    <xf numFmtId="0" fontId="43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5" fillId="0" borderId="0">
      <alignment horizontal="right" vertical="top"/>
    </xf>
    <xf numFmtId="0" fontId="30" fillId="0" borderId="0">
      <alignment horizontal="right" vertical="center"/>
    </xf>
    <xf numFmtId="0" fontId="24" fillId="0" borderId="0">
      <alignment horizontal="left" vertical="center"/>
    </xf>
    <xf numFmtId="0" fontId="30" fillId="0" borderId="0">
      <alignment horizontal="right" vertical="center"/>
    </xf>
    <xf numFmtId="0" fontId="30" fillId="0" borderId="0">
      <alignment horizontal="left" vertical="top"/>
    </xf>
    <xf numFmtId="0" fontId="24" fillId="0" borderId="0">
      <alignment horizontal="right" vertical="center"/>
    </xf>
    <xf numFmtId="164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2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23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right" vertical="top"/>
    </xf>
    <xf numFmtId="0" fontId="22" fillId="0" borderId="0">
      <alignment horizontal="left" vertical="top"/>
    </xf>
    <xf numFmtId="0" fontId="11" fillId="0" borderId="0">
      <alignment horizontal="left" vertical="top"/>
    </xf>
    <xf numFmtId="0" fontId="24" fillId="0" borderId="0">
      <alignment horizontal="center" vertical="center"/>
    </xf>
    <xf numFmtId="0" fontId="19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right" vertical="top"/>
    </xf>
    <xf numFmtId="164" fontId="11" fillId="0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6" fillId="0" borderId="0">
      <alignment horizontal="left" vertical="top"/>
    </xf>
  </cellStyleXfs>
  <cellXfs count="79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0" borderId="0" xfId="1">
      <alignment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4" fillId="0" borderId="0" xfId="1" applyNumberFormat="1">
      <alignment vertical="center"/>
    </xf>
    <xf numFmtId="0" fontId="4" fillId="0" borderId="0" xfId="1" applyNumberFormat="1">
      <alignment vertical="center"/>
    </xf>
    <xf numFmtId="166" fontId="44" fillId="0" borderId="0" xfId="0" applyNumberFormat="1" applyFont="1"/>
    <xf numFmtId="0" fontId="44" fillId="0" borderId="0" xfId="0" applyNumberFormat="1" applyFont="1"/>
    <xf numFmtId="1" fontId="44" fillId="0" borderId="0" xfId="0" applyNumberFormat="1" applyFont="1"/>
    <xf numFmtId="0" fontId="44" fillId="0" borderId="0" xfId="0" applyFont="1" applyFill="1"/>
    <xf numFmtId="0" fontId="0" fillId="0" borderId="0" xfId="0" applyFill="1"/>
    <xf numFmtId="0" fontId="45" fillId="8" borderId="1" xfId="0" applyNumberFormat="1" applyFont="1" applyFill="1" applyBorder="1" applyAlignment="1">
      <alignment horizontal="center" vertical="center" wrapText="1"/>
    </xf>
    <xf numFmtId="1" fontId="45" fillId="8" borderId="1" xfId="0" applyNumberFormat="1" applyFont="1" applyFill="1" applyBorder="1" applyAlignment="1">
      <alignment horizontal="center" vertical="center" wrapText="1"/>
    </xf>
    <xf numFmtId="0" fontId="45" fillId="8" borderId="1" xfId="0" applyNumberFormat="1" applyFont="1" applyFill="1" applyBorder="1" applyAlignment="1">
      <alignment horizontal="center" vertical="center"/>
    </xf>
    <xf numFmtId="166" fontId="44" fillId="5" borderId="1" xfId="0" applyNumberFormat="1" applyFont="1" applyFill="1" applyBorder="1" applyAlignment="1">
      <alignment horizontal="center" vertical="center"/>
    </xf>
    <xf numFmtId="20" fontId="44" fillId="5" borderId="1" xfId="0" applyNumberFormat="1" applyFont="1" applyFill="1" applyBorder="1"/>
    <xf numFmtId="1" fontId="44" fillId="5" borderId="1" xfId="0" quotePrefix="1" applyNumberFormat="1" applyFont="1" applyFill="1" applyBorder="1"/>
    <xf numFmtId="16" fontId="44" fillId="5" borderId="1" xfId="0" applyNumberFormat="1" applyFont="1" applyFill="1" applyBorder="1"/>
    <xf numFmtId="1" fontId="44" fillId="5" borderId="1" xfId="0" applyNumberFormat="1" applyFont="1" applyFill="1" applyBorder="1"/>
    <xf numFmtId="166" fontId="44" fillId="0" borderId="1" xfId="0" applyNumberFormat="1" applyFont="1" applyFill="1" applyBorder="1" applyAlignment="1">
      <alignment horizontal="center" vertical="center"/>
    </xf>
    <xf numFmtId="1" fontId="44" fillId="0" borderId="1" xfId="0" applyNumberFormat="1" applyFont="1" applyFill="1" applyBorder="1"/>
    <xf numFmtId="16" fontId="44" fillId="0" borderId="1" xfId="0" applyNumberFormat="1" applyFont="1" applyFill="1" applyBorder="1"/>
    <xf numFmtId="1" fontId="44" fillId="0" borderId="1" xfId="0" quotePrefix="1" applyNumberFormat="1" applyFont="1" applyFill="1" applyBorder="1"/>
    <xf numFmtId="2" fontId="44" fillId="0" borderId="1" xfId="0" applyNumberFormat="1" applyFont="1" applyFill="1" applyBorder="1"/>
    <xf numFmtId="2" fontId="44" fillId="5" borderId="1" xfId="0" applyNumberFormat="1" applyFont="1" applyFill="1" applyBorder="1"/>
    <xf numFmtId="166" fontId="44" fillId="0" borderId="0" xfId="0" applyNumberFormat="1" applyFont="1" applyFill="1"/>
    <xf numFmtId="0" fontId="44" fillId="0" borderId="0" xfId="0" applyNumberFormat="1" applyFont="1" applyFill="1"/>
    <xf numFmtId="1" fontId="44" fillId="0" borderId="0" xfId="0" applyNumberFormat="1" applyFont="1" applyFill="1"/>
    <xf numFmtId="0" fontId="44" fillId="0" borderId="0" xfId="0" applyFont="1"/>
    <xf numFmtId="2" fontId="44" fillId="0" borderId="0" xfId="0" applyNumberFormat="1" applyFont="1"/>
    <xf numFmtId="2" fontId="45" fillId="8" borderId="1" xfId="0" applyNumberFormat="1" applyFont="1" applyFill="1" applyBorder="1" applyAlignment="1">
      <alignment horizontal="center" vertical="center" wrapText="1"/>
    </xf>
    <xf numFmtId="167" fontId="44" fillId="0" borderId="1" xfId="15" applyNumberFormat="1" applyFont="1" applyFill="1" applyBorder="1"/>
    <xf numFmtId="1" fontId="45" fillId="5" borderId="1" xfId="2" applyNumberFormat="1" applyFont="1" applyFill="1" applyBorder="1"/>
    <xf numFmtId="2" fontId="44" fillId="0" borderId="0" xfId="0" applyNumberFormat="1" applyFont="1" applyFill="1"/>
    <xf numFmtId="0" fontId="4" fillId="0" borderId="1" xfId="0" applyFont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1" fontId="2" fillId="9" borderId="1" xfId="0" applyNumberFormat="1" applyFont="1" applyFill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0" xfId="1" applyFill="1">
      <alignment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4" fillId="0" borderId="0" xfId="1" applyFill="1" applyAlignment="1">
      <alignment vertical="center" wrapText="1"/>
    </xf>
    <xf numFmtId="167" fontId="44" fillId="5" borderId="1" xfId="15" applyNumberFormat="1" applyFont="1" applyFill="1" applyBorder="1"/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4" fontId="45" fillId="5" borderId="2" xfId="0" applyNumberFormat="1" applyFont="1" applyFill="1" applyBorder="1" applyAlignment="1">
      <alignment horizontal="center" vertical="center"/>
    </xf>
    <xf numFmtId="4" fontId="45" fillId="5" borderId="3" xfId="0" applyNumberFormat="1" applyFont="1" applyFill="1" applyBorder="1" applyAlignment="1">
      <alignment horizontal="center" vertical="center"/>
    </xf>
    <xf numFmtId="4" fontId="45" fillId="5" borderId="4" xfId="0" applyNumberFormat="1" applyFont="1" applyFill="1" applyBorder="1" applyAlignment="1">
      <alignment horizontal="center" vertical="center"/>
    </xf>
    <xf numFmtId="4" fontId="45" fillId="5" borderId="2" xfId="0" applyNumberFormat="1" applyFont="1" applyFill="1" applyBorder="1" applyAlignment="1">
      <alignment horizontal="center"/>
    </xf>
    <xf numFmtId="4" fontId="45" fillId="5" borderId="3" xfId="0" applyNumberFormat="1" applyFont="1" applyFill="1" applyBorder="1" applyAlignment="1">
      <alignment horizontal="center"/>
    </xf>
    <xf numFmtId="4" fontId="45" fillId="5" borderId="4" xfId="0" applyNumberFormat="1" applyFont="1" applyFill="1" applyBorder="1" applyAlignment="1">
      <alignment horizontal="center"/>
    </xf>
    <xf numFmtId="1" fontId="45" fillId="5" borderId="2" xfId="2" applyNumberFormat="1" applyFont="1" applyFill="1" applyBorder="1" applyAlignment="1">
      <alignment horizontal="center"/>
    </xf>
    <xf numFmtId="1" fontId="45" fillId="5" borderId="4" xfId="2" applyNumberFormat="1" applyFont="1" applyFill="1" applyBorder="1" applyAlignment="1">
      <alignment horizontal="center"/>
    </xf>
    <xf numFmtId="0" fontId="45" fillId="8" borderId="1" xfId="0" applyFont="1" applyFill="1" applyBorder="1" applyAlignment="1">
      <alignment horizontal="center" vertical="center"/>
    </xf>
    <xf numFmtId="166" fontId="45" fillId="8" borderId="5" xfId="0" applyNumberFormat="1" applyFont="1" applyFill="1" applyBorder="1" applyAlignment="1">
      <alignment horizontal="center" vertical="center" wrapText="1"/>
    </xf>
    <xf numFmtId="166" fontId="45" fillId="8" borderId="6" xfId="0" applyNumberFormat="1" applyFont="1" applyFill="1" applyBorder="1" applyAlignment="1">
      <alignment horizontal="center" vertical="center" wrapText="1"/>
    </xf>
    <xf numFmtId="0" fontId="45" fillId="8" borderId="2" xfId="0" applyFont="1" applyFill="1" applyBorder="1" applyAlignment="1">
      <alignment horizontal="center" vertical="center"/>
    </xf>
    <xf numFmtId="0" fontId="45" fillId="8" borderId="3" xfId="0" applyFont="1" applyFill="1" applyBorder="1" applyAlignment="1">
      <alignment horizontal="center" vertical="center"/>
    </xf>
    <xf numFmtId="0" fontId="45" fillId="8" borderId="4" xfId="0" applyFont="1" applyFill="1" applyBorder="1" applyAlignment="1">
      <alignment horizontal="center" vertical="center"/>
    </xf>
  </cellXfs>
  <cellStyles count="1098">
    <cellStyle name="Comma [0] 2" xfId="2"/>
    <cellStyle name="Comma [0] 3" xfId="3"/>
    <cellStyle name="Comma 10" xfId="4"/>
    <cellStyle name="Comma 104" xfId="5"/>
    <cellStyle name="Comma 105" xfId="6"/>
    <cellStyle name="Comma 11" xfId="7"/>
    <cellStyle name="Comma 11 2" xfId="8"/>
    <cellStyle name="Comma 12" xfId="9"/>
    <cellStyle name="Comma 13" xfId="10"/>
    <cellStyle name="Comma 14" xfId="11"/>
    <cellStyle name="Comma 15" xfId="12"/>
    <cellStyle name="Comma 16" xfId="13"/>
    <cellStyle name="Comma 17" xfId="14"/>
    <cellStyle name="Comma 18" xfId="15"/>
    <cellStyle name="Comma 2" xfId="16"/>
    <cellStyle name="Comma 2 2" xfId="17"/>
    <cellStyle name="Comma 2 3" xfId="18"/>
    <cellStyle name="Comma 24 2" xfId="19"/>
    <cellStyle name="Comma 29" xfId="20"/>
    <cellStyle name="Comma 294" xfId="21"/>
    <cellStyle name="Comma 3" xfId="22"/>
    <cellStyle name="Comma 3 2" xfId="23"/>
    <cellStyle name="Comma 4" xfId="24"/>
    <cellStyle name="Comma 5" xfId="25"/>
    <cellStyle name="Comma 6" xfId="26"/>
    <cellStyle name="Comma 7" xfId="27"/>
    <cellStyle name="Comma 8" xfId="28"/>
    <cellStyle name="Comma 9" xfId="29"/>
    <cellStyle name="Hyperlink 2" xfId="30"/>
    <cellStyle name="Hyperlink 3" xfId="31"/>
    <cellStyle name="Normal" xfId="0" builtinId="0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2" xfId="1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Percent 2" xfId="48"/>
    <cellStyle name="Percent 3" xfId="49"/>
    <cellStyle name="S0" xfId="50"/>
    <cellStyle name="S0 10" xfId="51"/>
    <cellStyle name="S0 100" xfId="52"/>
    <cellStyle name="S0 101" xfId="53"/>
    <cellStyle name="S0 102" xfId="54"/>
    <cellStyle name="S0 103" xfId="55"/>
    <cellStyle name="S0 104" xfId="56"/>
    <cellStyle name="S0 105" xfId="57"/>
    <cellStyle name="S0 106" xfId="58"/>
    <cellStyle name="S0 107" xfId="59"/>
    <cellStyle name="S0 108" xfId="60"/>
    <cellStyle name="S0 109" xfId="61"/>
    <cellStyle name="S0 11" xfId="62"/>
    <cellStyle name="S0 110" xfId="63"/>
    <cellStyle name="S0 111" xfId="64"/>
    <cellStyle name="S0 112" xfId="65"/>
    <cellStyle name="S0 113" xfId="66"/>
    <cellStyle name="S0 114" xfId="67"/>
    <cellStyle name="S0 115" xfId="68"/>
    <cellStyle name="S0 116" xfId="69"/>
    <cellStyle name="S0 117" xfId="70"/>
    <cellStyle name="S0 118" xfId="71"/>
    <cellStyle name="S0 119" xfId="72"/>
    <cellStyle name="S0 12" xfId="73"/>
    <cellStyle name="S0 120" xfId="74"/>
    <cellStyle name="S0 121" xfId="75"/>
    <cellStyle name="S0 122" xfId="76"/>
    <cellStyle name="S0 123" xfId="77"/>
    <cellStyle name="S0 124" xfId="78"/>
    <cellStyle name="S0 125" xfId="79"/>
    <cellStyle name="S0 126" xfId="80"/>
    <cellStyle name="S0 127" xfId="81"/>
    <cellStyle name="S0 128" xfId="82"/>
    <cellStyle name="S0 129" xfId="83"/>
    <cellStyle name="S0 13" xfId="84"/>
    <cellStyle name="S0 130" xfId="85"/>
    <cellStyle name="S0 131" xfId="86"/>
    <cellStyle name="S0 132" xfId="87"/>
    <cellStyle name="S0 133" xfId="88"/>
    <cellStyle name="S0 134" xfId="89"/>
    <cellStyle name="S0 135" xfId="90"/>
    <cellStyle name="S0 136" xfId="91"/>
    <cellStyle name="S0 137" xfId="92"/>
    <cellStyle name="S0 138" xfId="93"/>
    <cellStyle name="S0 139" xfId="94"/>
    <cellStyle name="S0 14" xfId="95"/>
    <cellStyle name="S0 140" xfId="96"/>
    <cellStyle name="S0 141" xfId="97"/>
    <cellStyle name="S0 142" xfId="98"/>
    <cellStyle name="S0 143" xfId="99"/>
    <cellStyle name="S0 144" xfId="100"/>
    <cellStyle name="S0 145" xfId="101"/>
    <cellStyle name="S0 146" xfId="102"/>
    <cellStyle name="S0 147" xfId="103"/>
    <cellStyle name="S0 148" xfId="104"/>
    <cellStyle name="S0 149" xfId="105"/>
    <cellStyle name="S0 15" xfId="106"/>
    <cellStyle name="S0 150" xfId="107"/>
    <cellStyle name="S0 151" xfId="108"/>
    <cellStyle name="S0 152" xfId="109"/>
    <cellStyle name="S0 153" xfId="110"/>
    <cellStyle name="S0 154" xfId="111"/>
    <cellStyle name="S0 155" xfId="112"/>
    <cellStyle name="S0 156" xfId="113"/>
    <cellStyle name="S0 157" xfId="114"/>
    <cellStyle name="S0 158" xfId="115"/>
    <cellStyle name="S0 159" xfId="116"/>
    <cellStyle name="S0 16" xfId="117"/>
    <cellStyle name="S0 160" xfId="118"/>
    <cellStyle name="S0 161" xfId="119"/>
    <cellStyle name="S0 162" xfId="120"/>
    <cellStyle name="S0 163" xfId="121"/>
    <cellStyle name="S0 164" xfId="122"/>
    <cellStyle name="S0 165" xfId="123"/>
    <cellStyle name="S0 166" xfId="124"/>
    <cellStyle name="S0 167" xfId="125"/>
    <cellStyle name="S0 168" xfId="126"/>
    <cellStyle name="S0 169" xfId="127"/>
    <cellStyle name="S0 17" xfId="128"/>
    <cellStyle name="S0 170" xfId="129"/>
    <cellStyle name="S0 171" xfId="130"/>
    <cellStyle name="S0 172" xfId="131"/>
    <cellStyle name="S0 173" xfId="132"/>
    <cellStyle name="S0 174" xfId="133"/>
    <cellStyle name="S0 175" xfId="134"/>
    <cellStyle name="S0 176" xfId="135"/>
    <cellStyle name="S0 177" xfId="136"/>
    <cellStyle name="S0 178" xfId="137"/>
    <cellStyle name="S0 179" xfId="138"/>
    <cellStyle name="S0 18" xfId="139"/>
    <cellStyle name="S0 180" xfId="140"/>
    <cellStyle name="S0 181" xfId="141"/>
    <cellStyle name="S0 182" xfId="142"/>
    <cellStyle name="S0 183" xfId="143"/>
    <cellStyle name="S0 184" xfId="144"/>
    <cellStyle name="S0 185" xfId="145"/>
    <cellStyle name="S0 186" xfId="146"/>
    <cellStyle name="S0 187" xfId="147"/>
    <cellStyle name="S0 188" xfId="148"/>
    <cellStyle name="S0 189" xfId="149"/>
    <cellStyle name="S0 19" xfId="150"/>
    <cellStyle name="S0 190" xfId="151"/>
    <cellStyle name="S0 191" xfId="152"/>
    <cellStyle name="S0 192" xfId="153"/>
    <cellStyle name="S0 193" xfId="154"/>
    <cellStyle name="S0 194" xfId="155"/>
    <cellStyle name="S0 195" xfId="156"/>
    <cellStyle name="S0 196" xfId="157"/>
    <cellStyle name="S0 197" xfId="158"/>
    <cellStyle name="S0 198" xfId="159"/>
    <cellStyle name="S0 199" xfId="160"/>
    <cellStyle name="S0 2" xfId="161"/>
    <cellStyle name="S0 20" xfId="162"/>
    <cellStyle name="S0 200" xfId="163"/>
    <cellStyle name="S0 201" xfId="164"/>
    <cellStyle name="S0 202" xfId="165"/>
    <cellStyle name="S0 203" xfId="166"/>
    <cellStyle name="S0 204" xfId="167"/>
    <cellStyle name="S0 205" xfId="168"/>
    <cellStyle name="S0 206" xfId="169"/>
    <cellStyle name="S0 207" xfId="170"/>
    <cellStyle name="S0 208" xfId="171"/>
    <cellStyle name="S0 209" xfId="172"/>
    <cellStyle name="S0 21" xfId="173"/>
    <cellStyle name="S0 210" xfId="174"/>
    <cellStyle name="S0 211" xfId="175"/>
    <cellStyle name="S0 212" xfId="176"/>
    <cellStyle name="S0 213" xfId="177"/>
    <cellStyle name="S0 214" xfId="178"/>
    <cellStyle name="S0 215" xfId="179"/>
    <cellStyle name="S0 216" xfId="180"/>
    <cellStyle name="S0 217" xfId="181"/>
    <cellStyle name="S0 218" xfId="182"/>
    <cellStyle name="S0 219" xfId="183"/>
    <cellStyle name="S0 22" xfId="184"/>
    <cellStyle name="S0 220" xfId="185"/>
    <cellStyle name="S0 221" xfId="186"/>
    <cellStyle name="S0 222" xfId="187"/>
    <cellStyle name="S0 223" xfId="188"/>
    <cellStyle name="S0 224" xfId="189"/>
    <cellStyle name="S0 225" xfId="190"/>
    <cellStyle name="S0 226" xfId="191"/>
    <cellStyle name="S0 227" xfId="192"/>
    <cellStyle name="S0 228" xfId="193"/>
    <cellStyle name="S0 229" xfId="194"/>
    <cellStyle name="S0 23" xfId="195"/>
    <cellStyle name="S0 230" xfId="196"/>
    <cellStyle name="S0 231" xfId="197"/>
    <cellStyle name="S0 232" xfId="198"/>
    <cellStyle name="S0 233" xfId="199"/>
    <cellStyle name="S0 234" xfId="200"/>
    <cellStyle name="S0 235" xfId="201"/>
    <cellStyle name="S0 236" xfId="202"/>
    <cellStyle name="S0 237" xfId="203"/>
    <cellStyle name="S0 238" xfId="204"/>
    <cellStyle name="S0 239" xfId="205"/>
    <cellStyle name="S0 24" xfId="206"/>
    <cellStyle name="S0 240" xfId="207"/>
    <cellStyle name="S0 241" xfId="208"/>
    <cellStyle name="S0 242" xfId="209"/>
    <cellStyle name="S0 243" xfId="210"/>
    <cellStyle name="S0 244" xfId="211"/>
    <cellStyle name="S0 245" xfId="212"/>
    <cellStyle name="S0 246" xfId="213"/>
    <cellStyle name="S0 247" xfId="214"/>
    <cellStyle name="S0 248" xfId="215"/>
    <cellStyle name="S0 249" xfId="216"/>
    <cellStyle name="S0 25" xfId="217"/>
    <cellStyle name="S0 250" xfId="218"/>
    <cellStyle name="S0 251" xfId="219"/>
    <cellStyle name="S0 252" xfId="220"/>
    <cellStyle name="S0 253" xfId="221"/>
    <cellStyle name="S0 254" xfId="222"/>
    <cellStyle name="S0 255" xfId="223"/>
    <cellStyle name="S0 256" xfId="224"/>
    <cellStyle name="S0 257" xfId="225"/>
    <cellStyle name="S0 258" xfId="226"/>
    <cellStyle name="S0 259" xfId="227"/>
    <cellStyle name="S0 26" xfId="228"/>
    <cellStyle name="S0 260" xfId="229"/>
    <cellStyle name="S0 261" xfId="230"/>
    <cellStyle name="S0 262" xfId="231"/>
    <cellStyle name="S0 263" xfId="232"/>
    <cellStyle name="S0 264" xfId="233"/>
    <cellStyle name="S0 265" xfId="234"/>
    <cellStyle name="S0 266" xfId="235"/>
    <cellStyle name="S0 266 2" xfId="236"/>
    <cellStyle name="S0 267" xfId="237"/>
    <cellStyle name="S0 268" xfId="238"/>
    <cellStyle name="S0 27" xfId="239"/>
    <cellStyle name="S0 28" xfId="240"/>
    <cellStyle name="S0 29" xfId="241"/>
    <cellStyle name="S0 3" xfId="242"/>
    <cellStyle name="S0 30" xfId="243"/>
    <cellStyle name="S0 31" xfId="244"/>
    <cellStyle name="S0 32" xfId="245"/>
    <cellStyle name="S0 33" xfId="246"/>
    <cellStyle name="S0 34" xfId="247"/>
    <cellStyle name="S0 35" xfId="248"/>
    <cellStyle name="S0 36" xfId="249"/>
    <cellStyle name="S0 37" xfId="250"/>
    <cellStyle name="S0 38" xfId="251"/>
    <cellStyle name="S0 39" xfId="252"/>
    <cellStyle name="S0 4" xfId="253"/>
    <cellStyle name="S0 40" xfId="254"/>
    <cellStyle name="S0 41" xfId="255"/>
    <cellStyle name="S0 42" xfId="256"/>
    <cellStyle name="S0 43" xfId="257"/>
    <cellStyle name="S0 44" xfId="258"/>
    <cellStyle name="S0 45" xfId="259"/>
    <cellStyle name="S0 46" xfId="260"/>
    <cellStyle name="S0 47" xfId="261"/>
    <cellStyle name="S0 48" xfId="262"/>
    <cellStyle name="S0 49" xfId="263"/>
    <cellStyle name="S0 5" xfId="264"/>
    <cellStyle name="S0 50" xfId="265"/>
    <cellStyle name="S0 51" xfId="266"/>
    <cellStyle name="S0 52" xfId="267"/>
    <cellStyle name="S0 53" xfId="268"/>
    <cellStyle name="S0 54" xfId="269"/>
    <cellStyle name="S0 55" xfId="270"/>
    <cellStyle name="S0 56" xfId="271"/>
    <cellStyle name="S0 57" xfId="272"/>
    <cellStyle name="S0 58" xfId="273"/>
    <cellStyle name="S0 59" xfId="274"/>
    <cellStyle name="S0 6" xfId="275"/>
    <cellStyle name="S0 60" xfId="276"/>
    <cellStyle name="S0 61" xfId="277"/>
    <cellStyle name="S0 62" xfId="278"/>
    <cellStyle name="S0 63" xfId="279"/>
    <cellStyle name="S0 64" xfId="280"/>
    <cellStyle name="S0 65" xfId="281"/>
    <cellStyle name="S0 66" xfId="282"/>
    <cellStyle name="S0 67" xfId="283"/>
    <cellStyle name="S0 68" xfId="284"/>
    <cellStyle name="S0 69" xfId="285"/>
    <cellStyle name="S0 7" xfId="286"/>
    <cellStyle name="S0 70" xfId="287"/>
    <cellStyle name="S0 71" xfId="288"/>
    <cellStyle name="S0 72" xfId="289"/>
    <cellStyle name="S0 73" xfId="290"/>
    <cellStyle name="S0 74" xfId="291"/>
    <cellStyle name="S0 75" xfId="292"/>
    <cellStyle name="S0 76" xfId="293"/>
    <cellStyle name="S0 77" xfId="294"/>
    <cellStyle name="S0 78" xfId="295"/>
    <cellStyle name="S0 79" xfId="296"/>
    <cellStyle name="S0 8" xfId="297"/>
    <cellStyle name="S0 80" xfId="298"/>
    <cellStyle name="S0 81" xfId="299"/>
    <cellStyle name="S0 82" xfId="300"/>
    <cellStyle name="S0 83" xfId="301"/>
    <cellStyle name="S0 84" xfId="302"/>
    <cellStyle name="S0 85" xfId="303"/>
    <cellStyle name="S0 86" xfId="304"/>
    <cellStyle name="S0 87" xfId="305"/>
    <cellStyle name="S0 88" xfId="306"/>
    <cellStyle name="S0 89" xfId="307"/>
    <cellStyle name="S0 9" xfId="308"/>
    <cellStyle name="S0 90" xfId="309"/>
    <cellStyle name="S0 91" xfId="310"/>
    <cellStyle name="S0 92" xfId="311"/>
    <cellStyle name="S0 93" xfId="312"/>
    <cellStyle name="S0 94" xfId="313"/>
    <cellStyle name="S0 95" xfId="314"/>
    <cellStyle name="S0 96" xfId="315"/>
    <cellStyle name="S0 97" xfId="316"/>
    <cellStyle name="S0 98" xfId="317"/>
    <cellStyle name="S0 99" xfId="318"/>
    <cellStyle name="S0_Pembelian" xfId="319"/>
    <cellStyle name="S1" xfId="320"/>
    <cellStyle name="S1 10" xfId="321"/>
    <cellStyle name="S1 100" xfId="322"/>
    <cellStyle name="S1 101" xfId="323"/>
    <cellStyle name="S1 102" xfId="324"/>
    <cellStyle name="S1 103" xfId="325"/>
    <cellStyle name="S1 104" xfId="326"/>
    <cellStyle name="S1 105" xfId="327"/>
    <cellStyle name="S1 106" xfId="328"/>
    <cellStyle name="S1 107" xfId="329"/>
    <cellStyle name="S1 108" xfId="330"/>
    <cellStyle name="S1 109" xfId="331"/>
    <cellStyle name="S1 11" xfId="332"/>
    <cellStyle name="S1 110" xfId="333"/>
    <cellStyle name="S1 111" xfId="334"/>
    <cellStyle name="S1 112" xfId="335"/>
    <cellStyle name="S1 113" xfId="336"/>
    <cellStyle name="S1 114" xfId="337"/>
    <cellStyle name="S1 115" xfId="338"/>
    <cellStyle name="S1 116" xfId="339"/>
    <cellStyle name="S1 117" xfId="340"/>
    <cellStyle name="S1 118" xfId="341"/>
    <cellStyle name="S1 119" xfId="342"/>
    <cellStyle name="S1 12" xfId="343"/>
    <cellStyle name="S1 120" xfId="344"/>
    <cellStyle name="S1 121" xfId="345"/>
    <cellStyle name="S1 122" xfId="346"/>
    <cellStyle name="S1 123" xfId="347"/>
    <cellStyle name="S1 124" xfId="348"/>
    <cellStyle name="S1 125" xfId="349"/>
    <cellStyle name="S1 126" xfId="350"/>
    <cellStyle name="S1 127" xfId="351"/>
    <cellStyle name="S1 128" xfId="352"/>
    <cellStyle name="S1 129" xfId="353"/>
    <cellStyle name="S1 13" xfId="354"/>
    <cellStyle name="S1 130" xfId="355"/>
    <cellStyle name="S1 131" xfId="356"/>
    <cellStyle name="S1 132" xfId="357"/>
    <cellStyle name="S1 133" xfId="358"/>
    <cellStyle name="S1 134" xfId="359"/>
    <cellStyle name="S1 135" xfId="360"/>
    <cellStyle name="S1 136" xfId="361"/>
    <cellStyle name="S1 137" xfId="362"/>
    <cellStyle name="S1 138" xfId="363"/>
    <cellStyle name="S1 139" xfId="364"/>
    <cellStyle name="S1 14" xfId="365"/>
    <cellStyle name="S1 140" xfId="366"/>
    <cellStyle name="S1 141" xfId="367"/>
    <cellStyle name="S1 142" xfId="368"/>
    <cellStyle name="S1 143" xfId="369"/>
    <cellStyle name="S1 144" xfId="370"/>
    <cellStyle name="S1 145" xfId="371"/>
    <cellStyle name="S1 146" xfId="372"/>
    <cellStyle name="S1 147" xfId="373"/>
    <cellStyle name="S1 148" xfId="374"/>
    <cellStyle name="S1 149" xfId="375"/>
    <cellStyle name="S1 15" xfId="376"/>
    <cellStyle name="S1 150" xfId="377"/>
    <cellStyle name="S1 151" xfId="378"/>
    <cellStyle name="S1 152" xfId="379"/>
    <cellStyle name="S1 153" xfId="380"/>
    <cellStyle name="S1 154" xfId="381"/>
    <cellStyle name="S1 155" xfId="382"/>
    <cellStyle name="S1 156" xfId="383"/>
    <cellStyle name="S1 157" xfId="384"/>
    <cellStyle name="S1 158" xfId="385"/>
    <cellStyle name="S1 159" xfId="386"/>
    <cellStyle name="S1 16" xfId="387"/>
    <cellStyle name="S1 160" xfId="388"/>
    <cellStyle name="S1 161" xfId="389"/>
    <cellStyle name="S1 162" xfId="390"/>
    <cellStyle name="S1 163" xfId="391"/>
    <cellStyle name="S1 164" xfId="392"/>
    <cellStyle name="S1 165" xfId="393"/>
    <cellStyle name="S1 166" xfId="394"/>
    <cellStyle name="S1 167" xfId="395"/>
    <cellStyle name="S1 168" xfId="396"/>
    <cellStyle name="S1 169" xfId="397"/>
    <cellStyle name="S1 17" xfId="398"/>
    <cellStyle name="S1 170" xfId="399"/>
    <cellStyle name="S1 171" xfId="400"/>
    <cellStyle name="S1 172" xfId="401"/>
    <cellStyle name="S1 173" xfId="402"/>
    <cellStyle name="S1 174" xfId="403"/>
    <cellStyle name="S1 175" xfId="404"/>
    <cellStyle name="S1 176" xfId="405"/>
    <cellStyle name="S1 177" xfId="406"/>
    <cellStyle name="S1 178" xfId="407"/>
    <cellStyle name="S1 179" xfId="408"/>
    <cellStyle name="S1 18" xfId="409"/>
    <cellStyle name="S1 180" xfId="410"/>
    <cellStyle name="S1 181" xfId="411"/>
    <cellStyle name="S1 182" xfId="412"/>
    <cellStyle name="S1 183" xfId="413"/>
    <cellStyle name="S1 184" xfId="414"/>
    <cellStyle name="S1 185" xfId="415"/>
    <cellStyle name="S1 186" xfId="416"/>
    <cellStyle name="S1 187" xfId="417"/>
    <cellStyle name="S1 188" xfId="418"/>
    <cellStyle name="S1 189" xfId="419"/>
    <cellStyle name="S1 19" xfId="420"/>
    <cellStyle name="S1 190" xfId="421"/>
    <cellStyle name="S1 191" xfId="422"/>
    <cellStyle name="S1 192" xfId="423"/>
    <cellStyle name="S1 193" xfId="424"/>
    <cellStyle name="S1 194" xfId="425"/>
    <cellStyle name="S1 195" xfId="426"/>
    <cellStyle name="S1 196" xfId="427"/>
    <cellStyle name="S1 197" xfId="428"/>
    <cellStyle name="S1 198" xfId="429"/>
    <cellStyle name="S1 199" xfId="430"/>
    <cellStyle name="S1 2" xfId="431"/>
    <cellStyle name="S1 20" xfId="432"/>
    <cellStyle name="S1 200" xfId="433"/>
    <cellStyle name="S1 201" xfId="434"/>
    <cellStyle name="S1 202" xfId="435"/>
    <cellStyle name="S1 203" xfId="436"/>
    <cellStyle name="S1 204" xfId="437"/>
    <cellStyle name="S1 205" xfId="438"/>
    <cellStyle name="S1 206" xfId="439"/>
    <cellStyle name="S1 207" xfId="440"/>
    <cellStyle name="S1 208" xfId="441"/>
    <cellStyle name="S1 209" xfId="442"/>
    <cellStyle name="S1 21" xfId="443"/>
    <cellStyle name="S1 210" xfId="444"/>
    <cellStyle name="S1 211" xfId="445"/>
    <cellStyle name="S1 212" xfId="446"/>
    <cellStyle name="S1 213" xfId="447"/>
    <cellStyle name="S1 214" xfId="448"/>
    <cellStyle name="S1 215" xfId="449"/>
    <cellStyle name="S1 216" xfId="450"/>
    <cellStyle name="S1 217" xfId="451"/>
    <cellStyle name="S1 218" xfId="452"/>
    <cellStyle name="S1 219" xfId="453"/>
    <cellStyle name="S1 22" xfId="454"/>
    <cellStyle name="S1 220" xfId="455"/>
    <cellStyle name="S1 221" xfId="456"/>
    <cellStyle name="S1 222" xfId="457"/>
    <cellStyle name="S1 223" xfId="458"/>
    <cellStyle name="S1 224" xfId="459"/>
    <cellStyle name="S1 225" xfId="460"/>
    <cellStyle name="S1 226" xfId="461"/>
    <cellStyle name="S1 227" xfId="462"/>
    <cellStyle name="S1 228" xfId="463"/>
    <cellStyle name="S1 229" xfId="464"/>
    <cellStyle name="S1 23" xfId="465"/>
    <cellStyle name="S1 230" xfId="466"/>
    <cellStyle name="S1 231" xfId="467"/>
    <cellStyle name="S1 232" xfId="468"/>
    <cellStyle name="S1 233" xfId="469"/>
    <cellStyle name="S1 234" xfId="470"/>
    <cellStyle name="S1 235" xfId="471"/>
    <cellStyle name="S1 236" xfId="472"/>
    <cellStyle name="S1 237" xfId="473"/>
    <cellStyle name="S1 238" xfId="474"/>
    <cellStyle name="S1 239" xfId="475"/>
    <cellStyle name="S1 24" xfId="476"/>
    <cellStyle name="S1 240" xfId="477"/>
    <cellStyle name="S1 241" xfId="478"/>
    <cellStyle name="S1 242" xfId="479"/>
    <cellStyle name="S1 243" xfId="480"/>
    <cellStyle name="S1 244" xfId="481"/>
    <cellStyle name="S1 245" xfId="482"/>
    <cellStyle name="S1 246" xfId="483"/>
    <cellStyle name="S1 247" xfId="484"/>
    <cellStyle name="S1 248" xfId="485"/>
    <cellStyle name="S1 249" xfId="486"/>
    <cellStyle name="S1 25" xfId="487"/>
    <cellStyle name="S1 250" xfId="488"/>
    <cellStyle name="S1 251" xfId="489"/>
    <cellStyle name="S1 252" xfId="490"/>
    <cellStyle name="S1 253" xfId="491"/>
    <cellStyle name="S1 254" xfId="492"/>
    <cellStyle name="S1 255" xfId="493"/>
    <cellStyle name="S1 256" xfId="494"/>
    <cellStyle name="S1 257" xfId="495"/>
    <cellStyle name="S1 258" xfId="496"/>
    <cellStyle name="S1 259" xfId="497"/>
    <cellStyle name="S1 26" xfId="498"/>
    <cellStyle name="S1 260" xfId="499"/>
    <cellStyle name="S1 261" xfId="500"/>
    <cellStyle name="S1 262" xfId="501"/>
    <cellStyle name="S1 263" xfId="502"/>
    <cellStyle name="S1 264" xfId="503"/>
    <cellStyle name="S1 265" xfId="504"/>
    <cellStyle name="S1 265 2" xfId="505"/>
    <cellStyle name="S1 266" xfId="506"/>
    <cellStyle name="S1 267" xfId="507"/>
    <cellStyle name="S1 27" xfId="508"/>
    <cellStyle name="S1 28" xfId="509"/>
    <cellStyle name="S1 29" xfId="510"/>
    <cellStyle name="S1 3" xfId="511"/>
    <cellStyle name="S1 30" xfId="512"/>
    <cellStyle name="S1 31" xfId="513"/>
    <cellStyle name="S1 32" xfId="514"/>
    <cellStyle name="S1 33" xfId="515"/>
    <cellStyle name="S1 34" xfId="516"/>
    <cellStyle name="S1 35" xfId="517"/>
    <cellStyle name="S1 36" xfId="518"/>
    <cellStyle name="S1 37" xfId="519"/>
    <cellStyle name="S1 38" xfId="520"/>
    <cellStyle name="S1 39" xfId="521"/>
    <cellStyle name="S1 4" xfId="522"/>
    <cellStyle name="S1 40" xfId="523"/>
    <cellStyle name="S1 41" xfId="524"/>
    <cellStyle name="S1 42" xfId="525"/>
    <cellStyle name="S1 43" xfId="526"/>
    <cellStyle name="S1 44" xfId="527"/>
    <cellStyle name="S1 45" xfId="528"/>
    <cellStyle name="S1 46" xfId="529"/>
    <cellStyle name="S1 47" xfId="530"/>
    <cellStyle name="S1 48" xfId="531"/>
    <cellStyle name="S1 49" xfId="532"/>
    <cellStyle name="S1 5" xfId="533"/>
    <cellStyle name="S1 50" xfId="534"/>
    <cellStyle name="S1 51" xfId="535"/>
    <cellStyle name="S1 52" xfId="536"/>
    <cellStyle name="S1 53" xfId="537"/>
    <cellStyle name="S1 54" xfId="538"/>
    <cellStyle name="S1 55" xfId="539"/>
    <cellStyle name="S1 56" xfId="540"/>
    <cellStyle name="S1 57" xfId="541"/>
    <cellStyle name="S1 58" xfId="542"/>
    <cellStyle name="S1 59" xfId="543"/>
    <cellStyle name="S1 6" xfId="544"/>
    <cellStyle name="S1 60" xfId="545"/>
    <cellStyle name="S1 61" xfId="546"/>
    <cellStyle name="S1 62" xfId="547"/>
    <cellStyle name="S1 63" xfId="548"/>
    <cellStyle name="S1 64" xfId="549"/>
    <cellStyle name="S1 65" xfId="550"/>
    <cellStyle name="S1 66" xfId="551"/>
    <cellStyle name="S1 67" xfId="552"/>
    <cellStyle name="S1 68" xfId="553"/>
    <cellStyle name="S1 69" xfId="554"/>
    <cellStyle name="S1 7" xfId="555"/>
    <cellStyle name="S1 70" xfId="556"/>
    <cellStyle name="S1 71" xfId="557"/>
    <cellStyle name="S1 72" xfId="558"/>
    <cellStyle name="S1 73" xfId="559"/>
    <cellStyle name="S1 74" xfId="560"/>
    <cellStyle name="S1 75" xfId="561"/>
    <cellStyle name="S1 76" xfId="562"/>
    <cellStyle name="S1 77" xfId="563"/>
    <cellStyle name="S1 78" xfId="564"/>
    <cellStyle name="S1 79" xfId="565"/>
    <cellStyle name="S1 8" xfId="566"/>
    <cellStyle name="S1 80" xfId="567"/>
    <cellStyle name="S1 81" xfId="568"/>
    <cellStyle name="S1 82" xfId="569"/>
    <cellStyle name="S1 83" xfId="570"/>
    <cellStyle name="S1 84" xfId="571"/>
    <cellStyle name="S1 85" xfId="572"/>
    <cellStyle name="S1 86" xfId="573"/>
    <cellStyle name="S1 87" xfId="574"/>
    <cellStyle name="S1 88" xfId="575"/>
    <cellStyle name="S1 89" xfId="576"/>
    <cellStyle name="S1 9" xfId="577"/>
    <cellStyle name="S1 90" xfId="578"/>
    <cellStyle name="S1 91" xfId="579"/>
    <cellStyle name="S1 92" xfId="580"/>
    <cellStyle name="S1 93" xfId="581"/>
    <cellStyle name="S1 94" xfId="582"/>
    <cellStyle name="S1 95" xfId="583"/>
    <cellStyle name="S1 96" xfId="584"/>
    <cellStyle name="S1 97" xfId="585"/>
    <cellStyle name="S1 98" xfId="586"/>
    <cellStyle name="S1 99" xfId="587"/>
    <cellStyle name="S1_Pembelian" xfId="588"/>
    <cellStyle name="S10" xfId="589"/>
    <cellStyle name="S10 10" xfId="590"/>
    <cellStyle name="S10 11" xfId="591"/>
    <cellStyle name="S10 12" xfId="592"/>
    <cellStyle name="S10 13" xfId="593"/>
    <cellStyle name="S10 13 2" xfId="594"/>
    <cellStyle name="S10 14" xfId="595"/>
    <cellStyle name="S10 15" xfId="596"/>
    <cellStyle name="S10 16" xfId="597"/>
    <cellStyle name="S10 17" xfId="598"/>
    <cellStyle name="S10 18" xfId="599"/>
    <cellStyle name="S10 19" xfId="600"/>
    <cellStyle name="S10 2" xfId="601"/>
    <cellStyle name="S10 3" xfId="602"/>
    <cellStyle name="S10 3 2" xfId="603"/>
    <cellStyle name="S10 4" xfId="604"/>
    <cellStyle name="S10 5" xfId="605"/>
    <cellStyle name="S10 6" xfId="606"/>
    <cellStyle name="S10 7" xfId="607"/>
    <cellStyle name="S10 8" xfId="608"/>
    <cellStyle name="S10 9" xfId="609"/>
    <cellStyle name="S10_Pembelian" xfId="610"/>
    <cellStyle name="S11" xfId="611"/>
    <cellStyle name="S11 10" xfId="612"/>
    <cellStyle name="S11 10 2" xfId="613"/>
    <cellStyle name="S11 11" xfId="614"/>
    <cellStyle name="S11 12" xfId="615"/>
    <cellStyle name="S11 13" xfId="616"/>
    <cellStyle name="S11 14" xfId="617"/>
    <cellStyle name="S11 14 2" xfId="618"/>
    <cellStyle name="S11 15" xfId="619"/>
    <cellStyle name="S11 16" xfId="620"/>
    <cellStyle name="S11 2" xfId="621"/>
    <cellStyle name="S11 3" xfId="622"/>
    <cellStyle name="S11 3 2" xfId="623"/>
    <cellStyle name="S11 4" xfId="624"/>
    <cellStyle name="S11 5" xfId="625"/>
    <cellStyle name="S11 6" xfId="626"/>
    <cellStyle name="S11 7" xfId="627"/>
    <cellStyle name="S11 8" xfId="628"/>
    <cellStyle name="S11 9" xfId="629"/>
    <cellStyle name="S11_Pembelian" xfId="630"/>
    <cellStyle name="S12" xfId="631"/>
    <cellStyle name="S12 10" xfId="632"/>
    <cellStyle name="S12 11" xfId="633"/>
    <cellStyle name="S12 2" xfId="634"/>
    <cellStyle name="S12 3" xfId="635"/>
    <cellStyle name="S12 4" xfId="636"/>
    <cellStyle name="S12 5" xfId="637"/>
    <cellStyle name="S12 6" xfId="638"/>
    <cellStyle name="S12 6 2" xfId="639"/>
    <cellStyle name="S12 7" xfId="640"/>
    <cellStyle name="S12 8" xfId="641"/>
    <cellStyle name="S12 9" xfId="642"/>
    <cellStyle name="S12_Pembelian" xfId="643"/>
    <cellStyle name="S13" xfId="644"/>
    <cellStyle name="S13 10" xfId="645"/>
    <cellStyle name="S13 11" xfId="646"/>
    <cellStyle name="S13 12" xfId="647"/>
    <cellStyle name="S13 2" xfId="648"/>
    <cellStyle name="S13 3" xfId="649"/>
    <cellStyle name="S13 4" xfId="650"/>
    <cellStyle name="S13 4 2" xfId="651"/>
    <cellStyle name="S13 5" xfId="652"/>
    <cellStyle name="S13 6" xfId="653"/>
    <cellStyle name="S13 7" xfId="654"/>
    <cellStyle name="S13 7 2" xfId="655"/>
    <cellStyle name="S13 8" xfId="656"/>
    <cellStyle name="S13 9" xfId="657"/>
    <cellStyle name="S13_Pembelian" xfId="658"/>
    <cellStyle name="S14" xfId="659"/>
    <cellStyle name="S14 10" xfId="660"/>
    <cellStyle name="S14 2" xfId="661"/>
    <cellStyle name="S14 3" xfId="662"/>
    <cellStyle name="S14 3 2" xfId="663"/>
    <cellStyle name="S14 4" xfId="664"/>
    <cellStyle name="S14 5" xfId="665"/>
    <cellStyle name="S14 6" xfId="666"/>
    <cellStyle name="S14 7" xfId="667"/>
    <cellStyle name="S14 8" xfId="668"/>
    <cellStyle name="S14 9" xfId="669"/>
    <cellStyle name="S14_Pembelian" xfId="670"/>
    <cellStyle name="S15" xfId="671"/>
    <cellStyle name="S15 2" xfId="672"/>
    <cellStyle name="S15 3" xfId="673"/>
    <cellStyle name="S15 3 2" xfId="674"/>
    <cellStyle name="S15 4" xfId="675"/>
    <cellStyle name="S15 4 2" xfId="676"/>
    <cellStyle name="S15 5" xfId="677"/>
    <cellStyle name="S15 6" xfId="678"/>
    <cellStyle name="S15 7" xfId="679"/>
    <cellStyle name="S15_Pembelian" xfId="680"/>
    <cellStyle name="S16" xfId="681"/>
    <cellStyle name="S16 2" xfId="682"/>
    <cellStyle name="S16 3" xfId="683"/>
    <cellStyle name="S16 4" xfId="684"/>
    <cellStyle name="S16 5" xfId="685"/>
    <cellStyle name="S16 6" xfId="686"/>
    <cellStyle name="S16_Pembelian" xfId="687"/>
    <cellStyle name="S17" xfId="688"/>
    <cellStyle name="S17 2" xfId="689"/>
    <cellStyle name="S17 3" xfId="690"/>
    <cellStyle name="S17 4" xfId="691"/>
    <cellStyle name="S17_Pembelian" xfId="692"/>
    <cellStyle name="S18" xfId="693"/>
    <cellStyle name="S18 2" xfId="694"/>
    <cellStyle name="S18 3" xfId="695"/>
    <cellStyle name="S18 4" xfId="696"/>
    <cellStyle name="S18_Pembelian" xfId="697"/>
    <cellStyle name="S2" xfId="698"/>
    <cellStyle name="S2 10" xfId="699"/>
    <cellStyle name="S2 100" xfId="700"/>
    <cellStyle name="S2 101" xfId="701"/>
    <cellStyle name="S2 102" xfId="702"/>
    <cellStyle name="S2 103" xfId="703"/>
    <cellStyle name="S2 104" xfId="704"/>
    <cellStyle name="S2 105" xfId="705"/>
    <cellStyle name="S2 106" xfId="706"/>
    <cellStyle name="S2 107" xfId="707"/>
    <cellStyle name="S2 108" xfId="708"/>
    <cellStyle name="S2 109" xfId="709"/>
    <cellStyle name="S2 11" xfId="710"/>
    <cellStyle name="S2 110" xfId="711"/>
    <cellStyle name="S2 111" xfId="712"/>
    <cellStyle name="S2 112" xfId="713"/>
    <cellStyle name="S2 113" xfId="714"/>
    <cellStyle name="S2 114" xfId="715"/>
    <cellStyle name="S2 115" xfId="716"/>
    <cellStyle name="S2 116" xfId="717"/>
    <cellStyle name="S2 117" xfId="718"/>
    <cellStyle name="S2 118" xfId="719"/>
    <cellStyle name="S2 119" xfId="720"/>
    <cellStyle name="S2 12" xfId="721"/>
    <cellStyle name="S2 120" xfId="722"/>
    <cellStyle name="S2 121" xfId="723"/>
    <cellStyle name="S2 122" xfId="724"/>
    <cellStyle name="S2 123" xfId="725"/>
    <cellStyle name="S2 124" xfId="726"/>
    <cellStyle name="S2 125" xfId="727"/>
    <cellStyle name="S2 126" xfId="728"/>
    <cellStyle name="S2 127" xfId="729"/>
    <cellStyle name="S2 128" xfId="730"/>
    <cellStyle name="S2 129" xfId="731"/>
    <cellStyle name="S2 13" xfId="732"/>
    <cellStyle name="S2 130" xfId="733"/>
    <cellStyle name="S2 131" xfId="734"/>
    <cellStyle name="S2 132" xfId="735"/>
    <cellStyle name="S2 133" xfId="736"/>
    <cellStyle name="S2 134" xfId="737"/>
    <cellStyle name="S2 135" xfId="738"/>
    <cellStyle name="S2 136" xfId="739"/>
    <cellStyle name="S2 137" xfId="740"/>
    <cellStyle name="S2 138" xfId="741"/>
    <cellStyle name="S2 139" xfId="742"/>
    <cellStyle name="S2 14" xfId="743"/>
    <cellStyle name="S2 140" xfId="744"/>
    <cellStyle name="S2 141" xfId="745"/>
    <cellStyle name="S2 142" xfId="746"/>
    <cellStyle name="S2 143" xfId="747"/>
    <cellStyle name="S2 144" xfId="748"/>
    <cellStyle name="S2 145" xfId="749"/>
    <cellStyle name="S2 146" xfId="750"/>
    <cellStyle name="S2 147" xfId="751"/>
    <cellStyle name="S2 148" xfId="752"/>
    <cellStyle name="S2 149" xfId="753"/>
    <cellStyle name="S2 15" xfId="754"/>
    <cellStyle name="S2 150" xfId="755"/>
    <cellStyle name="S2 151" xfId="756"/>
    <cellStyle name="S2 152" xfId="757"/>
    <cellStyle name="S2 153" xfId="758"/>
    <cellStyle name="S2 154" xfId="759"/>
    <cellStyle name="S2 155" xfId="760"/>
    <cellStyle name="S2 156" xfId="761"/>
    <cellStyle name="S2 157" xfId="762"/>
    <cellStyle name="S2 158" xfId="763"/>
    <cellStyle name="S2 159" xfId="764"/>
    <cellStyle name="S2 16" xfId="765"/>
    <cellStyle name="S2 160" xfId="766"/>
    <cellStyle name="S2 161" xfId="767"/>
    <cellStyle name="S2 162" xfId="768"/>
    <cellStyle name="S2 163" xfId="769"/>
    <cellStyle name="S2 164" xfId="770"/>
    <cellStyle name="S2 165" xfId="771"/>
    <cellStyle name="S2 166" xfId="772"/>
    <cellStyle name="S2 167" xfId="773"/>
    <cellStyle name="S2 168" xfId="774"/>
    <cellStyle name="S2 169" xfId="775"/>
    <cellStyle name="S2 17" xfId="776"/>
    <cellStyle name="S2 170" xfId="777"/>
    <cellStyle name="S2 171" xfId="778"/>
    <cellStyle name="S2 172" xfId="779"/>
    <cellStyle name="S2 173" xfId="780"/>
    <cellStyle name="S2 174" xfId="781"/>
    <cellStyle name="S2 175" xfId="782"/>
    <cellStyle name="S2 176" xfId="783"/>
    <cellStyle name="S2 177" xfId="784"/>
    <cellStyle name="S2 178" xfId="785"/>
    <cellStyle name="S2 179" xfId="786"/>
    <cellStyle name="S2 18" xfId="787"/>
    <cellStyle name="S2 180" xfId="788"/>
    <cellStyle name="S2 181" xfId="789"/>
    <cellStyle name="S2 182" xfId="790"/>
    <cellStyle name="S2 183" xfId="791"/>
    <cellStyle name="S2 184" xfId="792"/>
    <cellStyle name="S2 185" xfId="793"/>
    <cellStyle name="S2 186" xfId="794"/>
    <cellStyle name="S2 187" xfId="795"/>
    <cellStyle name="S2 188" xfId="796"/>
    <cellStyle name="S2 189" xfId="797"/>
    <cellStyle name="S2 19" xfId="798"/>
    <cellStyle name="S2 190" xfId="799"/>
    <cellStyle name="S2 191" xfId="800"/>
    <cellStyle name="S2 192" xfId="801"/>
    <cellStyle name="S2 193" xfId="802"/>
    <cellStyle name="S2 194" xfId="803"/>
    <cellStyle name="S2 195" xfId="804"/>
    <cellStyle name="S2 196" xfId="805"/>
    <cellStyle name="S2 197" xfId="806"/>
    <cellStyle name="S2 198" xfId="807"/>
    <cellStyle name="S2 199" xfId="808"/>
    <cellStyle name="S2 2" xfId="809"/>
    <cellStyle name="S2 20" xfId="810"/>
    <cellStyle name="S2 200" xfId="811"/>
    <cellStyle name="S2 201" xfId="812"/>
    <cellStyle name="S2 202" xfId="813"/>
    <cellStyle name="S2 203" xfId="814"/>
    <cellStyle name="S2 204" xfId="815"/>
    <cellStyle name="S2 205" xfId="816"/>
    <cellStyle name="S2 206" xfId="817"/>
    <cellStyle name="S2 207" xfId="818"/>
    <cellStyle name="S2 208" xfId="819"/>
    <cellStyle name="S2 209" xfId="820"/>
    <cellStyle name="S2 21" xfId="821"/>
    <cellStyle name="S2 210" xfId="822"/>
    <cellStyle name="S2 211" xfId="823"/>
    <cellStyle name="S2 212" xfId="824"/>
    <cellStyle name="S2 213" xfId="825"/>
    <cellStyle name="S2 214" xfId="826"/>
    <cellStyle name="S2 215" xfId="827"/>
    <cellStyle name="S2 216" xfId="828"/>
    <cellStyle name="S2 217" xfId="829"/>
    <cellStyle name="S2 218" xfId="830"/>
    <cellStyle name="S2 219" xfId="831"/>
    <cellStyle name="S2 22" xfId="832"/>
    <cellStyle name="S2 220" xfId="833"/>
    <cellStyle name="S2 221" xfId="834"/>
    <cellStyle name="S2 222" xfId="835"/>
    <cellStyle name="S2 223" xfId="836"/>
    <cellStyle name="S2 224" xfId="837"/>
    <cellStyle name="S2 225" xfId="838"/>
    <cellStyle name="S2 226" xfId="839"/>
    <cellStyle name="S2 227" xfId="840"/>
    <cellStyle name="S2 228" xfId="841"/>
    <cellStyle name="S2 229" xfId="842"/>
    <cellStyle name="S2 23" xfId="843"/>
    <cellStyle name="S2 230" xfId="844"/>
    <cellStyle name="S2 231" xfId="845"/>
    <cellStyle name="S2 232" xfId="846"/>
    <cellStyle name="S2 233" xfId="847"/>
    <cellStyle name="S2 234" xfId="848"/>
    <cellStyle name="S2 235" xfId="849"/>
    <cellStyle name="S2 236" xfId="850"/>
    <cellStyle name="S2 237" xfId="851"/>
    <cellStyle name="S2 238" xfId="852"/>
    <cellStyle name="S2 239" xfId="853"/>
    <cellStyle name="S2 24" xfId="854"/>
    <cellStyle name="S2 240" xfId="855"/>
    <cellStyle name="S2 241" xfId="856"/>
    <cellStyle name="S2 242" xfId="857"/>
    <cellStyle name="S2 243" xfId="858"/>
    <cellStyle name="S2 244" xfId="859"/>
    <cellStyle name="S2 245" xfId="860"/>
    <cellStyle name="S2 246" xfId="861"/>
    <cellStyle name="S2 247" xfId="862"/>
    <cellStyle name="S2 248" xfId="863"/>
    <cellStyle name="S2 249" xfId="864"/>
    <cellStyle name="S2 25" xfId="865"/>
    <cellStyle name="S2 250" xfId="866"/>
    <cellStyle name="S2 251" xfId="867"/>
    <cellStyle name="S2 252" xfId="868"/>
    <cellStyle name="S2 253" xfId="869"/>
    <cellStyle name="S2 254" xfId="870"/>
    <cellStyle name="S2 255" xfId="871"/>
    <cellStyle name="S2 256" xfId="872"/>
    <cellStyle name="S2 257" xfId="873"/>
    <cellStyle name="S2 258" xfId="874"/>
    <cellStyle name="S2 259" xfId="875"/>
    <cellStyle name="S2 26" xfId="876"/>
    <cellStyle name="S2 260" xfId="877"/>
    <cellStyle name="S2 261" xfId="878"/>
    <cellStyle name="S2 262" xfId="879"/>
    <cellStyle name="S2 263" xfId="880"/>
    <cellStyle name="S2 264" xfId="881"/>
    <cellStyle name="S2 265" xfId="882"/>
    <cellStyle name="S2 265 2" xfId="883"/>
    <cellStyle name="S2 266" xfId="884"/>
    <cellStyle name="S2 267" xfId="885"/>
    <cellStyle name="S2 27" xfId="886"/>
    <cellStyle name="S2 28" xfId="887"/>
    <cellStyle name="S2 29" xfId="888"/>
    <cellStyle name="S2 3" xfId="889"/>
    <cellStyle name="S2 30" xfId="890"/>
    <cellStyle name="S2 31" xfId="891"/>
    <cellStyle name="S2 32" xfId="892"/>
    <cellStyle name="S2 33" xfId="893"/>
    <cellStyle name="S2 34" xfId="894"/>
    <cellStyle name="S2 35" xfId="895"/>
    <cellStyle name="S2 36" xfId="896"/>
    <cellStyle name="S2 37" xfId="897"/>
    <cellStyle name="S2 38" xfId="898"/>
    <cellStyle name="S2 39" xfId="899"/>
    <cellStyle name="S2 4" xfId="900"/>
    <cellStyle name="S2 40" xfId="901"/>
    <cellStyle name="S2 41" xfId="902"/>
    <cellStyle name="S2 42" xfId="903"/>
    <cellStyle name="S2 43" xfId="904"/>
    <cellStyle name="S2 44" xfId="905"/>
    <cellStyle name="S2 45" xfId="906"/>
    <cellStyle name="S2 46" xfId="907"/>
    <cellStyle name="S2 47" xfId="908"/>
    <cellStyle name="S2 48" xfId="909"/>
    <cellStyle name="S2 49" xfId="910"/>
    <cellStyle name="S2 5" xfId="911"/>
    <cellStyle name="S2 50" xfId="912"/>
    <cellStyle name="S2 51" xfId="913"/>
    <cellStyle name="S2 52" xfId="914"/>
    <cellStyle name="S2 53" xfId="915"/>
    <cellStyle name="S2 54" xfId="916"/>
    <cellStyle name="S2 55" xfId="917"/>
    <cellStyle name="S2 56" xfId="918"/>
    <cellStyle name="S2 57" xfId="919"/>
    <cellStyle name="S2 58" xfId="920"/>
    <cellStyle name="S2 59" xfId="921"/>
    <cellStyle name="S2 6" xfId="922"/>
    <cellStyle name="S2 60" xfId="923"/>
    <cellStyle name="S2 61" xfId="924"/>
    <cellStyle name="S2 62" xfId="925"/>
    <cellStyle name="S2 63" xfId="926"/>
    <cellStyle name="S2 64" xfId="927"/>
    <cellStyle name="S2 65" xfId="928"/>
    <cellStyle name="S2 66" xfId="929"/>
    <cellStyle name="S2 67" xfId="930"/>
    <cellStyle name="S2 68" xfId="931"/>
    <cellStyle name="S2 69" xfId="932"/>
    <cellStyle name="S2 7" xfId="933"/>
    <cellStyle name="S2 70" xfId="934"/>
    <cellStyle name="S2 71" xfId="935"/>
    <cellStyle name="S2 72" xfId="936"/>
    <cellStyle name="S2 73" xfId="937"/>
    <cellStyle name="S2 74" xfId="938"/>
    <cellStyle name="S2 75" xfId="939"/>
    <cellStyle name="S2 76" xfId="940"/>
    <cellStyle name="S2 77" xfId="941"/>
    <cellStyle name="S2 78" xfId="942"/>
    <cellStyle name="S2 79" xfId="943"/>
    <cellStyle name="S2 8" xfId="944"/>
    <cellStyle name="S2 80" xfId="945"/>
    <cellStyle name="S2 81" xfId="946"/>
    <cellStyle name="S2 82" xfId="947"/>
    <cellStyle name="S2 83" xfId="948"/>
    <cellStyle name="S2 84" xfId="949"/>
    <cellStyle name="S2 85" xfId="950"/>
    <cellStyle name="S2 86" xfId="951"/>
    <cellStyle name="S2 87" xfId="952"/>
    <cellStyle name="S2 88" xfId="953"/>
    <cellStyle name="S2 89" xfId="954"/>
    <cellStyle name="S2 9" xfId="955"/>
    <cellStyle name="S2 90" xfId="956"/>
    <cellStyle name="S2 91" xfId="957"/>
    <cellStyle name="S2 92" xfId="958"/>
    <cellStyle name="S2 93" xfId="959"/>
    <cellStyle name="S2 94" xfId="960"/>
    <cellStyle name="S2 95" xfId="961"/>
    <cellStyle name="S2 96" xfId="962"/>
    <cellStyle name="S2 97" xfId="963"/>
    <cellStyle name="S2 98" xfId="964"/>
    <cellStyle name="S2 99" xfId="965"/>
    <cellStyle name="S2_Pembelian" xfId="966"/>
    <cellStyle name="S3" xfId="967"/>
    <cellStyle name="S3 10" xfId="968"/>
    <cellStyle name="S3 11" xfId="969"/>
    <cellStyle name="S3 2" xfId="970"/>
    <cellStyle name="S3 3" xfId="971"/>
    <cellStyle name="S3 4" xfId="972"/>
    <cellStyle name="S3 5" xfId="973"/>
    <cellStyle name="S3 6" xfId="974"/>
    <cellStyle name="S3 7" xfId="975"/>
    <cellStyle name="S3 8" xfId="976"/>
    <cellStyle name="S3 9" xfId="977"/>
    <cellStyle name="S3 9 2" xfId="978"/>
    <cellStyle name="S3_Pembelian" xfId="979"/>
    <cellStyle name="S4" xfId="980"/>
    <cellStyle name="S4 10" xfId="981"/>
    <cellStyle name="S4 11" xfId="982"/>
    <cellStyle name="S4 12" xfId="983"/>
    <cellStyle name="S4 12 2" xfId="984"/>
    <cellStyle name="S4 13" xfId="985"/>
    <cellStyle name="S4 14" xfId="986"/>
    <cellStyle name="S4 14 2" xfId="987"/>
    <cellStyle name="S4 15" xfId="988"/>
    <cellStyle name="S4 16" xfId="989"/>
    <cellStyle name="S4 19" xfId="990"/>
    <cellStyle name="S4 2" xfId="991"/>
    <cellStyle name="S4 3" xfId="992"/>
    <cellStyle name="S4 4" xfId="993"/>
    <cellStyle name="S4 5" xfId="994"/>
    <cellStyle name="S4 6" xfId="995"/>
    <cellStyle name="S4 7" xfId="996"/>
    <cellStyle name="S4 8" xfId="997"/>
    <cellStyle name="S4 9" xfId="998"/>
    <cellStyle name="S4 9 2" xfId="999"/>
    <cellStyle name="S4_Pembelian" xfId="1000"/>
    <cellStyle name="S5" xfId="1001"/>
    <cellStyle name="S5 10" xfId="1002"/>
    <cellStyle name="S5 10 2" xfId="1003"/>
    <cellStyle name="S5 11" xfId="1004"/>
    <cellStyle name="S5 12" xfId="1005"/>
    <cellStyle name="S5 13" xfId="1006"/>
    <cellStyle name="S5 19" xfId="1007"/>
    <cellStyle name="S5 2" xfId="1008"/>
    <cellStyle name="S5 2 2" xfId="1009"/>
    <cellStyle name="S5 3" xfId="1010"/>
    <cellStyle name="S5 3 2" xfId="1011"/>
    <cellStyle name="S5 4" xfId="1012"/>
    <cellStyle name="S5 5" xfId="1013"/>
    <cellStyle name="S5 6" xfId="1014"/>
    <cellStyle name="S5 7" xfId="1015"/>
    <cellStyle name="S5 8" xfId="1016"/>
    <cellStyle name="S5 9" xfId="1017"/>
    <cellStyle name="S5 9 2" xfId="1018"/>
    <cellStyle name="S5_Pembelian" xfId="1019"/>
    <cellStyle name="S6" xfId="1020"/>
    <cellStyle name="S6 10" xfId="1021"/>
    <cellStyle name="S6 11" xfId="1022"/>
    <cellStyle name="S6 11 2" xfId="1023"/>
    <cellStyle name="S6 12" xfId="1024"/>
    <cellStyle name="S6 13" xfId="1025"/>
    <cellStyle name="S6 13 2" xfId="1026"/>
    <cellStyle name="S6 14" xfId="1027"/>
    <cellStyle name="S6 15" xfId="1028"/>
    <cellStyle name="S6 16" xfId="1029"/>
    <cellStyle name="S6 17" xfId="1030"/>
    <cellStyle name="S6 18" xfId="1031"/>
    <cellStyle name="S6 2" xfId="1032"/>
    <cellStyle name="S6 3" xfId="1033"/>
    <cellStyle name="S6 4" xfId="1034"/>
    <cellStyle name="S6 5" xfId="1035"/>
    <cellStyle name="S6 6" xfId="1036"/>
    <cellStyle name="S6 7" xfId="1037"/>
    <cellStyle name="S6 8" xfId="1038"/>
    <cellStyle name="S6 9" xfId="1039"/>
    <cellStyle name="S6_Pembelian" xfId="1040"/>
    <cellStyle name="S7" xfId="1041"/>
    <cellStyle name="S7 10" xfId="1042"/>
    <cellStyle name="S7 10 2" xfId="1043"/>
    <cellStyle name="S7 11" xfId="1044"/>
    <cellStyle name="S7 12" xfId="1045"/>
    <cellStyle name="S7 12 2" xfId="1046"/>
    <cellStyle name="S7 13" xfId="1047"/>
    <cellStyle name="S7 14" xfId="1048"/>
    <cellStyle name="S7 15" xfId="1049"/>
    <cellStyle name="S7 16" xfId="1050"/>
    <cellStyle name="S7 19" xfId="1051"/>
    <cellStyle name="S7 19 2" xfId="1052"/>
    <cellStyle name="S7 2" xfId="1053"/>
    <cellStyle name="S7 3" xfId="1054"/>
    <cellStyle name="S7 4" xfId="1055"/>
    <cellStyle name="S7 5" xfId="1056"/>
    <cellStyle name="S7 6" xfId="1057"/>
    <cellStyle name="S7 7" xfId="1058"/>
    <cellStyle name="S7 8" xfId="1059"/>
    <cellStyle name="S7 9" xfId="1060"/>
    <cellStyle name="S7_Pembelian" xfId="1061"/>
    <cellStyle name="S8" xfId="1062"/>
    <cellStyle name="S8 10" xfId="1063"/>
    <cellStyle name="S8 11" xfId="1064"/>
    <cellStyle name="S8 12" xfId="1065"/>
    <cellStyle name="S8 13" xfId="1066"/>
    <cellStyle name="S8 14" xfId="1067"/>
    <cellStyle name="S8 2" xfId="1068"/>
    <cellStyle name="S8 3" xfId="1069"/>
    <cellStyle name="S8 4" xfId="1070"/>
    <cellStyle name="S8 5" xfId="1071"/>
    <cellStyle name="S8 5 2" xfId="1072"/>
    <cellStyle name="S8 6" xfId="1073"/>
    <cellStyle name="S8 7" xfId="1074"/>
    <cellStyle name="S8 8" xfId="1075"/>
    <cellStyle name="S8 9" xfId="1076"/>
    <cellStyle name="S8 9 2" xfId="1077"/>
    <cellStyle name="S8_Pembelian" xfId="1078"/>
    <cellStyle name="S9" xfId="1079"/>
    <cellStyle name="S9 10" xfId="1080"/>
    <cellStyle name="S9 11" xfId="1081"/>
    <cellStyle name="S9 11 2" xfId="1082"/>
    <cellStyle name="S9 12" xfId="1083"/>
    <cellStyle name="S9 13" xfId="1084"/>
    <cellStyle name="S9 14" xfId="1085"/>
    <cellStyle name="S9 15" xfId="1086"/>
    <cellStyle name="S9 16" xfId="1087"/>
    <cellStyle name="S9 17" xfId="1088"/>
    <cellStyle name="S9 2" xfId="1089"/>
    <cellStyle name="S9 3" xfId="1090"/>
    <cellStyle name="S9 4" xfId="1091"/>
    <cellStyle name="S9 5" xfId="1092"/>
    <cellStyle name="S9 6" xfId="1093"/>
    <cellStyle name="S9 7" xfId="1094"/>
    <cellStyle name="S9 8" xfId="1095"/>
    <cellStyle name="S9 9" xfId="1096"/>
    <cellStyle name="S9_Pembelian" xfId="109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ahyu\1Pribadi\KPI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/>
  </sheetViews>
  <sheetFormatPr defaultColWidth="11.42578125" defaultRowHeight="14.25" x14ac:dyDescent="0.25"/>
  <cols>
    <col min="1" max="1" width="11.42578125" style="12"/>
    <col min="2" max="5" width="11.42578125" style="7"/>
    <col min="6" max="6" width="11.42578125" style="12"/>
    <col min="7" max="11" width="11.42578125" style="13"/>
    <col min="12" max="12" width="11.42578125" style="7"/>
    <col min="13" max="16384" width="11.42578125" style="53"/>
  </cols>
  <sheetData>
    <row r="1" spans="1:12" s="60" customFormat="1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4</v>
      </c>
      <c r="I1" s="5" t="s">
        <v>7</v>
      </c>
      <c r="J1" s="5" t="s">
        <v>3</v>
      </c>
      <c r="K1" s="6" t="s">
        <v>4</v>
      </c>
      <c r="L1" s="42" t="s">
        <v>25</v>
      </c>
    </row>
    <row r="2" spans="1:12" ht="15" x14ac:dyDescent="0.25">
      <c r="A2" s="43">
        <v>46082</v>
      </c>
      <c r="B2" s="44"/>
      <c r="C2" s="44"/>
      <c r="D2" s="44"/>
      <c r="E2" s="44"/>
      <c r="F2" s="43"/>
      <c r="G2" s="45"/>
      <c r="H2" s="46"/>
      <c r="I2" s="45"/>
      <c r="J2" s="45"/>
      <c r="K2" s="46"/>
      <c r="L2" s="44"/>
    </row>
    <row r="3" spans="1:12" ht="15" x14ac:dyDescent="0.25">
      <c r="A3" s="51">
        <v>46083</v>
      </c>
      <c r="B3" s="54">
        <v>14</v>
      </c>
      <c r="C3" s="54">
        <v>14.15</v>
      </c>
      <c r="D3" s="55" t="s">
        <v>8</v>
      </c>
      <c r="E3" s="55">
        <v>1</v>
      </c>
      <c r="F3" s="56">
        <v>46084</v>
      </c>
      <c r="G3" s="54">
        <v>11.1</v>
      </c>
      <c r="H3" s="57">
        <v>1</v>
      </c>
      <c r="I3" s="56">
        <v>46084</v>
      </c>
      <c r="J3" s="54" t="s">
        <v>26</v>
      </c>
      <c r="K3" s="57">
        <v>1</v>
      </c>
      <c r="L3" s="52"/>
    </row>
    <row r="4" spans="1:12" ht="15" x14ac:dyDescent="0.25">
      <c r="A4" s="51">
        <v>46084</v>
      </c>
      <c r="B4" s="54">
        <v>13.5</v>
      </c>
      <c r="C4" s="54">
        <v>14</v>
      </c>
      <c r="D4" s="55" t="s">
        <v>8</v>
      </c>
      <c r="E4" s="55">
        <v>1</v>
      </c>
      <c r="F4" s="56">
        <v>46085</v>
      </c>
      <c r="G4" s="54">
        <v>11</v>
      </c>
      <c r="H4" s="57">
        <v>1</v>
      </c>
      <c r="I4" s="56">
        <v>46085</v>
      </c>
      <c r="J4" s="54" t="s">
        <v>26</v>
      </c>
      <c r="K4" s="57">
        <v>1</v>
      </c>
      <c r="L4" s="52"/>
    </row>
    <row r="5" spans="1:12" ht="15" x14ac:dyDescent="0.25">
      <c r="A5" s="51">
        <v>46085</v>
      </c>
      <c r="B5" s="54">
        <v>14</v>
      </c>
      <c r="C5" s="54">
        <v>14.15</v>
      </c>
      <c r="D5" s="55" t="s">
        <v>8</v>
      </c>
      <c r="E5" s="55">
        <v>1</v>
      </c>
      <c r="F5" s="56">
        <v>46086</v>
      </c>
      <c r="G5" s="54">
        <v>10.59</v>
      </c>
      <c r="H5" s="57">
        <v>1</v>
      </c>
      <c r="I5" s="56">
        <v>46086</v>
      </c>
      <c r="J5" s="54" t="s">
        <v>26</v>
      </c>
      <c r="K5" s="57">
        <v>1</v>
      </c>
      <c r="L5" s="52"/>
    </row>
    <row r="6" spans="1:12" ht="15" x14ac:dyDescent="0.25">
      <c r="A6" s="51">
        <v>46086</v>
      </c>
      <c r="B6" s="54">
        <v>13</v>
      </c>
      <c r="C6" s="54">
        <v>13.16</v>
      </c>
      <c r="D6" s="55" t="s">
        <v>8</v>
      </c>
      <c r="E6" s="55">
        <v>1</v>
      </c>
      <c r="F6" s="56">
        <v>46087</v>
      </c>
      <c r="G6" s="54">
        <v>11</v>
      </c>
      <c r="H6" s="57">
        <v>1</v>
      </c>
      <c r="I6" s="56">
        <v>46087</v>
      </c>
      <c r="J6" s="54" t="s">
        <v>26</v>
      </c>
      <c r="K6" s="57">
        <v>1</v>
      </c>
      <c r="L6" s="58"/>
    </row>
    <row r="7" spans="1:12" ht="15" x14ac:dyDescent="0.25">
      <c r="A7" s="51">
        <v>46087</v>
      </c>
      <c r="B7" s="54">
        <v>14</v>
      </c>
      <c r="C7" s="54">
        <v>14.15</v>
      </c>
      <c r="D7" s="55" t="s">
        <v>8</v>
      </c>
      <c r="E7" s="55">
        <v>1</v>
      </c>
      <c r="F7" s="56">
        <v>46088</v>
      </c>
      <c r="G7" s="54">
        <v>11</v>
      </c>
      <c r="H7" s="57">
        <v>1</v>
      </c>
      <c r="I7" s="56">
        <v>46088</v>
      </c>
      <c r="J7" s="54" t="s">
        <v>26</v>
      </c>
      <c r="K7" s="57">
        <v>1</v>
      </c>
      <c r="L7" s="58"/>
    </row>
    <row r="8" spans="1:12" ht="15" x14ac:dyDescent="0.25">
      <c r="A8" s="51">
        <v>46088</v>
      </c>
      <c r="B8" s="54">
        <v>13.3</v>
      </c>
      <c r="C8" s="54">
        <v>13.45</v>
      </c>
      <c r="D8" s="55" t="s">
        <v>8</v>
      </c>
      <c r="E8" s="55">
        <v>1</v>
      </c>
      <c r="F8" s="56">
        <v>46090</v>
      </c>
      <c r="G8" s="54">
        <v>10.3</v>
      </c>
      <c r="H8" s="57">
        <v>1</v>
      </c>
      <c r="I8" s="56">
        <v>46090</v>
      </c>
      <c r="J8" s="54" t="s">
        <v>26</v>
      </c>
      <c r="K8" s="57">
        <v>1</v>
      </c>
      <c r="L8" s="58"/>
    </row>
    <row r="9" spans="1:12" ht="15" x14ac:dyDescent="0.25">
      <c r="A9" s="43">
        <v>46089</v>
      </c>
      <c r="B9" s="44"/>
      <c r="C9" s="48"/>
      <c r="D9" s="44"/>
      <c r="E9" s="44"/>
      <c r="F9" s="8"/>
      <c r="G9" s="9"/>
      <c r="H9" s="10"/>
      <c r="I9" s="8"/>
      <c r="J9" s="9"/>
      <c r="K9" s="10"/>
      <c r="L9" s="48"/>
    </row>
    <row r="10" spans="1:12" ht="15" x14ac:dyDescent="0.25">
      <c r="A10" s="51">
        <v>46090</v>
      </c>
      <c r="B10" s="54">
        <v>14</v>
      </c>
      <c r="C10" s="54">
        <v>14.15</v>
      </c>
      <c r="D10" s="55" t="s">
        <v>8</v>
      </c>
      <c r="E10" s="55">
        <v>1</v>
      </c>
      <c r="F10" s="56">
        <v>46091</v>
      </c>
      <c r="G10" s="54">
        <v>11</v>
      </c>
      <c r="H10" s="57">
        <v>1</v>
      </c>
      <c r="I10" s="56">
        <v>46091</v>
      </c>
      <c r="J10" s="54" t="s">
        <v>26</v>
      </c>
      <c r="K10" s="57">
        <v>1</v>
      </c>
      <c r="L10" s="58"/>
    </row>
    <row r="11" spans="1:12" ht="15" x14ac:dyDescent="0.25">
      <c r="A11" s="51">
        <v>46091</v>
      </c>
      <c r="B11" s="54">
        <v>14</v>
      </c>
      <c r="C11" s="54">
        <v>14.15</v>
      </c>
      <c r="D11" s="55" t="s">
        <v>8</v>
      </c>
      <c r="E11" s="55">
        <v>1</v>
      </c>
      <c r="F11" s="56">
        <v>46092</v>
      </c>
      <c r="G11" s="54">
        <v>11.05</v>
      </c>
      <c r="H11" s="57">
        <v>1</v>
      </c>
      <c r="I11" s="56">
        <v>46092</v>
      </c>
      <c r="J11" s="54" t="s">
        <v>26</v>
      </c>
      <c r="K11" s="57">
        <v>1</v>
      </c>
      <c r="L11" s="52"/>
    </row>
    <row r="12" spans="1:12" ht="15" x14ac:dyDescent="0.25">
      <c r="A12" s="51">
        <v>46092</v>
      </c>
      <c r="B12" s="54">
        <v>14</v>
      </c>
      <c r="C12" s="54">
        <v>14.15</v>
      </c>
      <c r="D12" s="55" t="s">
        <v>8</v>
      </c>
      <c r="E12" s="55">
        <v>1</v>
      </c>
      <c r="F12" s="56">
        <v>46093</v>
      </c>
      <c r="G12" s="54">
        <v>11.05</v>
      </c>
      <c r="H12" s="57">
        <v>1</v>
      </c>
      <c r="I12" s="56">
        <v>46093</v>
      </c>
      <c r="J12" s="54" t="s">
        <v>26</v>
      </c>
      <c r="K12" s="57">
        <v>1</v>
      </c>
      <c r="L12" s="52"/>
    </row>
    <row r="13" spans="1:12" ht="15" x14ac:dyDescent="0.25">
      <c r="A13" s="51">
        <v>46093</v>
      </c>
      <c r="B13" s="54">
        <v>14.1</v>
      </c>
      <c r="C13" s="54">
        <v>14.2</v>
      </c>
      <c r="D13" s="55" t="s">
        <v>8</v>
      </c>
      <c r="E13" s="55">
        <v>1</v>
      </c>
      <c r="F13" s="56">
        <v>46094</v>
      </c>
      <c r="G13" s="54">
        <v>11</v>
      </c>
      <c r="H13" s="57">
        <v>1</v>
      </c>
      <c r="I13" s="56">
        <v>46094</v>
      </c>
      <c r="J13" s="54" t="s">
        <v>26</v>
      </c>
      <c r="K13" s="57">
        <v>1</v>
      </c>
      <c r="L13" s="52"/>
    </row>
    <row r="14" spans="1:12" ht="15" x14ac:dyDescent="0.25">
      <c r="A14" s="51">
        <v>46094</v>
      </c>
      <c r="B14" s="54">
        <v>13</v>
      </c>
      <c r="C14" s="54">
        <v>13.15</v>
      </c>
      <c r="D14" s="55" t="s">
        <v>8</v>
      </c>
      <c r="E14" s="55">
        <v>1</v>
      </c>
      <c r="F14" s="56">
        <v>46095</v>
      </c>
      <c r="G14" s="54">
        <v>11.05</v>
      </c>
      <c r="H14" s="57">
        <v>1</v>
      </c>
      <c r="I14" s="56">
        <v>46095</v>
      </c>
      <c r="J14" s="54" t="s">
        <v>26</v>
      </c>
      <c r="K14" s="57">
        <v>1</v>
      </c>
      <c r="L14" s="52"/>
    </row>
    <row r="15" spans="1:12" ht="15" x14ac:dyDescent="0.25">
      <c r="A15" s="51">
        <v>46095</v>
      </c>
      <c r="B15" s="54">
        <v>14</v>
      </c>
      <c r="C15" s="54">
        <v>14.15</v>
      </c>
      <c r="D15" s="55" t="s">
        <v>8</v>
      </c>
      <c r="E15" s="55">
        <v>1</v>
      </c>
      <c r="F15" s="56">
        <v>46097</v>
      </c>
      <c r="G15" s="54">
        <v>11</v>
      </c>
      <c r="H15" s="57">
        <v>1</v>
      </c>
      <c r="I15" s="56">
        <v>46097</v>
      </c>
      <c r="J15" s="54" t="s">
        <v>26</v>
      </c>
      <c r="K15" s="57">
        <v>1</v>
      </c>
      <c r="L15" s="52"/>
    </row>
    <row r="16" spans="1:12" ht="15" x14ac:dyDescent="0.25">
      <c r="A16" s="43">
        <v>46096</v>
      </c>
      <c r="B16" s="44"/>
      <c r="C16" s="44"/>
      <c r="D16" s="44"/>
      <c r="E16" s="44"/>
      <c r="F16" s="43"/>
      <c r="G16" s="45"/>
      <c r="H16" s="46"/>
      <c r="I16" s="45"/>
      <c r="J16" s="45"/>
      <c r="K16" s="46"/>
      <c r="L16" s="48"/>
    </row>
    <row r="17" spans="1:12" ht="15" x14ac:dyDescent="0.25">
      <c r="A17" s="51">
        <v>46097</v>
      </c>
      <c r="B17" s="54">
        <v>14</v>
      </c>
      <c r="C17" s="54">
        <v>14.15</v>
      </c>
      <c r="D17" s="55" t="s">
        <v>8</v>
      </c>
      <c r="E17" s="55">
        <v>1</v>
      </c>
      <c r="F17" s="56">
        <v>46098</v>
      </c>
      <c r="G17" s="54">
        <v>11</v>
      </c>
      <c r="H17" s="57">
        <v>1</v>
      </c>
      <c r="I17" s="56">
        <v>46098</v>
      </c>
      <c r="J17" s="54" t="s">
        <v>26</v>
      </c>
      <c r="K17" s="57">
        <v>1</v>
      </c>
      <c r="L17" s="52"/>
    </row>
    <row r="18" spans="1:12" ht="15" x14ac:dyDescent="0.25">
      <c r="A18" s="51">
        <v>46098</v>
      </c>
      <c r="B18" s="54">
        <v>13.45</v>
      </c>
      <c r="C18" s="54">
        <v>14</v>
      </c>
      <c r="D18" s="55" t="s">
        <v>8</v>
      </c>
      <c r="E18" s="55">
        <v>1</v>
      </c>
      <c r="F18" s="56">
        <v>46099</v>
      </c>
      <c r="G18" s="54">
        <v>11.1</v>
      </c>
      <c r="H18" s="57">
        <v>1</v>
      </c>
      <c r="I18" s="56">
        <v>46099</v>
      </c>
      <c r="J18" s="54" t="s">
        <v>26</v>
      </c>
      <c r="K18" s="57">
        <v>1</v>
      </c>
      <c r="L18" s="52"/>
    </row>
    <row r="19" spans="1:12" ht="15" x14ac:dyDescent="0.25">
      <c r="A19" s="51">
        <v>46099</v>
      </c>
      <c r="B19" s="54">
        <v>13.5</v>
      </c>
      <c r="C19" s="54">
        <v>14.1</v>
      </c>
      <c r="D19" s="55" t="s">
        <v>8</v>
      </c>
      <c r="E19" s="55">
        <v>1</v>
      </c>
      <c r="F19" s="56">
        <v>46107</v>
      </c>
      <c r="G19" s="54">
        <v>10.3</v>
      </c>
      <c r="H19" s="57">
        <v>1</v>
      </c>
      <c r="I19" s="56">
        <v>46107</v>
      </c>
      <c r="J19" s="54" t="s">
        <v>26</v>
      </c>
      <c r="K19" s="57">
        <v>1</v>
      </c>
      <c r="L19" s="58"/>
    </row>
    <row r="20" spans="1:12" ht="15" x14ac:dyDescent="0.25">
      <c r="A20" s="43">
        <v>46100</v>
      </c>
      <c r="B20" s="9"/>
      <c r="C20" s="9"/>
      <c r="D20" s="59"/>
      <c r="E20" s="59"/>
      <c r="F20" s="8"/>
      <c r="G20" s="9"/>
      <c r="H20" s="10"/>
      <c r="I20" s="8"/>
      <c r="J20" s="9"/>
      <c r="K20" s="10"/>
      <c r="L20" s="44"/>
    </row>
    <row r="21" spans="1:12" ht="15" x14ac:dyDescent="0.25">
      <c r="A21" s="43">
        <v>46101</v>
      </c>
      <c r="B21" s="9"/>
      <c r="C21" s="9"/>
      <c r="D21" s="59"/>
      <c r="E21" s="59"/>
      <c r="F21" s="8"/>
      <c r="G21" s="9"/>
      <c r="H21" s="10"/>
      <c r="I21" s="8"/>
      <c r="J21" s="9"/>
      <c r="K21" s="10"/>
      <c r="L21" s="44"/>
    </row>
    <row r="22" spans="1:12" ht="15" x14ac:dyDescent="0.25">
      <c r="A22" s="43">
        <v>46102</v>
      </c>
      <c r="B22" s="9"/>
      <c r="C22" s="9"/>
      <c r="D22" s="59"/>
      <c r="E22" s="59"/>
      <c r="F22" s="8"/>
      <c r="G22" s="9"/>
      <c r="H22" s="10"/>
      <c r="I22" s="8"/>
      <c r="J22" s="9"/>
      <c r="K22" s="10"/>
      <c r="L22" s="44"/>
    </row>
    <row r="23" spans="1:12" ht="15" x14ac:dyDescent="0.25">
      <c r="A23" s="43">
        <v>46103</v>
      </c>
      <c r="B23" s="44"/>
      <c r="C23" s="44"/>
      <c r="D23" s="44"/>
      <c r="E23" s="44"/>
      <c r="F23" s="43"/>
      <c r="G23" s="45"/>
      <c r="H23" s="46"/>
      <c r="I23" s="49"/>
      <c r="J23" s="45"/>
      <c r="K23" s="46"/>
      <c r="L23" s="44"/>
    </row>
    <row r="24" spans="1:12" ht="15" x14ac:dyDescent="0.25">
      <c r="A24" s="43">
        <v>46104</v>
      </c>
      <c r="B24" s="9"/>
      <c r="C24" s="9"/>
      <c r="D24" s="59"/>
      <c r="E24" s="59"/>
      <c r="F24" s="8"/>
      <c r="G24" s="9"/>
      <c r="H24" s="10"/>
      <c r="I24" s="8"/>
      <c r="J24" s="9"/>
      <c r="K24" s="10"/>
      <c r="L24" s="44"/>
    </row>
    <row r="25" spans="1:12" ht="15" x14ac:dyDescent="0.25">
      <c r="A25" s="43">
        <v>46105</v>
      </c>
      <c r="B25" s="9"/>
      <c r="C25" s="9"/>
      <c r="D25" s="59"/>
      <c r="E25" s="59"/>
      <c r="F25" s="8"/>
      <c r="G25" s="9"/>
      <c r="H25" s="10"/>
      <c r="I25" s="8"/>
      <c r="J25" s="9"/>
      <c r="K25" s="10"/>
      <c r="L25" s="44"/>
    </row>
    <row r="26" spans="1:12" ht="15" x14ac:dyDescent="0.25">
      <c r="A26" s="43">
        <v>46106</v>
      </c>
      <c r="B26" s="9"/>
      <c r="C26" s="9"/>
      <c r="D26" s="59"/>
      <c r="E26" s="59"/>
      <c r="F26" s="8"/>
      <c r="G26" s="9"/>
      <c r="H26" s="10"/>
      <c r="I26" s="8"/>
      <c r="J26" s="9"/>
      <c r="K26" s="10"/>
      <c r="L26" s="44"/>
    </row>
    <row r="27" spans="1:12" ht="15" x14ac:dyDescent="0.25">
      <c r="A27" s="51">
        <v>46107</v>
      </c>
      <c r="B27" s="54">
        <v>14</v>
      </c>
      <c r="C27" s="54">
        <v>14.15</v>
      </c>
      <c r="D27" s="55" t="s">
        <v>8</v>
      </c>
      <c r="E27" s="55">
        <v>1</v>
      </c>
      <c r="F27" s="56">
        <v>46108</v>
      </c>
      <c r="G27" s="54">
        <v>10.5</v>
      </c>
      <c r="H27" s="57">
        <v>1</v>
      </c>
      <c r="I27" s="56">
        <v>46108</v>
      </c>
      <c r="J27" s="54" t="s">
        <v>26</v>
      </c>
      <c r="K27" s="57">
        <v>1</v>
      </c>
      <c r="L27" s="52"/>
    </row>
    <row r="28" spans="1:12" ht="15" x14ac:dyDescent="0.25">
      <c r="A28" s="51">
        <v>46108</v>
      </c>
      <c r="B28" s="54">
        <v>13.01</v>
      </c>
      <c r="C28" s="54">
        <v>13.1</v>
      </c>
      <c r="D28" s="55" t="s">
        <v>8</v>
      </c>
      <c r="E28" s="55">
        <v>1</v>
      </c>
      <c r="F28" s="56">
        <v>46109</v>
      </c>
      <c r="G28" s="54">
        <v>11</v>
      </c>
      <c r="H28" s="57">
        <v>1</v>
      </c>
      <c r="I28" s="56">
        <v>46109</v>
      </c>
      <c r="J28" s="54" t="s">
        <v>26</v>
      </c>
      <c r="K28" s="57">
        <v>1</v>
      </c>
      <c r="L28" s="52"/>
    </row>
    <row r="29" spans="1:12" ht="15" x14ac:dyDescent="0.25">
      <c r="A29" s="51">
        <v>46109</v>
      </c>
      <c r="B29" s="54">
        <v>14</v>
      </c>
      <c r="C29" s="54">
        <v>14.15</v>
      </c>
      <c r="D29" s="55" t="s">
        <v>8</v>
      </c>
      <c r="E29" s="55">
        <v>1</v>
      </c>
      <c r="F29" s="56">
        <v>46111</v>
      </c>
      <c r="G29" s="54">
        <v>10.59</v>
      </c>
      <c r="H29" s="57">
        <v>1</v>
      </c>
      <c r="I29" s="56">
        <v>46111</v>
      </c>
      <c r="J29" s="54" t="s">
        <v>26</v>
      </c>
      <c r="K29" s="57">
        <v>1</v>
      </c>
      <c r="L29" s="52"/>
    </row>
    <row r="30" spans="1:12" ht="15" x14ac:dyDescent="0.25">
      <c r="A30" s="43">
        <v>46110</v>
      </c>
      <c r="B30" s="9"/>
      <c r="C30" s="9"/>
      <c r="D30" s="59"/>
      <c r="E30" s="59"/>
      <c r="F30" s="8"/>
      <c r="G30" s="9"/>
      <c r="H30" s="10"/>
      <c r="I30" s="8"/>
      <c r="J30" s="9"/>
      <c r="K30" s="10"/>
      <c r="L30" s="44"/>
    </row>
    <row r="31" spans="1:12" ht="15" x14ac:dyDescent="0.25">
      <c r="A31" s="51">
        <v>46111</v>
      </c>
      <c r="B31" s="54">
        <v>14</v>
      </c>
      <c r="C31" s="54">
        <v>14.15</v>
      </c>
      <c r="D31" s="55" t="s">
        <v>8</v>
      </c>
      <c r="E31" s="55">
        <v>1</v>
      </c>
      <c r="F31" s="56">
        <v>46112</v>
      </c>
      <c r="G31" s="54">
        <v>11.05</v>
      </c>
      <c r="H31" s="57">
        <v>1</v>
      </c>
      <c r="I31" s="56">
        <v>46112</v>
      </c>
      <c r="J31" s="54" t="s">
        <v>26</v>
      </c>
      <c r="K31" s="57">
        <v>1</v>
      </c>
      <c r="L31" s="52"/>
    </row>
    <row r="32" spans="1:12" ht="15" x14ac:dyDescent="0.25">
      <c r="A32" s="51">
        <v>46112</v>
      </c>
      <c r="B32" s="54">
        <v>13.45</v>
      </c>
      <c r="C32" s="54">
        <v>14</v>
      </c>
      <c r="D32" s="55" t="s">
        <v>8</v>
      </c>
      <c r="E32" s="55">
        <v>1</v>
      </c>
      <c r="F32" s="56">
        <v>46113</v>
      </c>
      <c r="G32" s="54">
        <v>11.2</v>
      </c>
      <c r="H32" s="57">
        <v>1</v>
      </c>
      <c r="I32" s="56">
        <v>46113</v>
      </c>
      <c r="J32" s="54" t="s">
        <v>26</v>
      </c>
      <c r="K32" s="57">
        <v>1</v>
      </c>
      <c r="L32" s="52"/>
    </row>
    <row r="33" spans="1:12" ht="15" x14ac:dyDescent="0.25">
      <c r="A33" s="62" t="s">
        <v>27</v>
      </c>
      <c r="B33" s="63"/>
      <c r="C33" s="63"/>
      <c r="D33" s="64"/>
      <c r="E33" s="50">
        <f>AVERAGE(E2:E29)</f>
        <v>1</v>
      </c>
      <c r="F33" s="50"/>
      <c r="G33" s="50"/>
      <c r="H33" s="50">
        <f t="shared" ref="H33:K33" si="0">AVERAGE(H2:H29)</f>
        <v>1</v>
      </c>
      <c r="I33" s="50"/>
      <c r="J33" s="50"/>
      <c r="K33" s="50">
        <f t="shared" si="0"/>
        <v>1</v>
      </c>
      <c r="L33" s="47"/>
    </row>
    <row r="34" spans="1:12" ht="15" x14ac:dyDescent="0.25">
      <c r="B34" s="11"/>
      <c r="C34" s="11"/>
    </row>
  </sheetData>
  <mergeCells count="1">
    <mergeCell ref="A33:D3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tabSelected="1" zoomScaleNormal="100" workbookViewId="0">
      <selection activeCell="D8" sqref="D8"/>
    </sheetView>
  </sheetViews>
  <sheetFormatPr defaultColWidth="9.140625" defaultRowHeight="12.75" x14ac:dyDescent="0.2"/>
  <cols>
    <col min="1" max="1" width="17.42578125" style="14" bestFit="1" customWidth="1"/>
    <col min="2" max="2" width="8.140625" style="15" customWidth="1"/>
    <col min="3" max="3" width="7.7109375" style="15" bestFit="1" customWidth="1"/>
    <col min="4" max="4" width="14.140625" style="15" customWidth="1"/>
    <col min="5" max="5" width="13.42578125" style="16" bestFit="1" customWidth="1"/>
    <col min="6" max="6" width="8.140625" style="15" bestFit="1" customWidth="1"/>
    <col min="7" max="7" width="7.7109375" style="15" bestFit="1" customWidth="1"/>
    <col min="8" max="8" width="7.42578125" style="37" bestFit="1" customWidth="1"/>
    <col min="9" max="9" width="7.7109375" style="37" bestFit="1" customWidth="1"/>
    <col min="10" max="10" width="13.42578125" style="16" customWidth="1"/>
    <col min="11" max="11" width="12.28515625" style="16" bestFit="1" customWidth="1"/>
    <col min="12" max="12" width="9.5703125" style="15" bestFit="1" customWidth="1"/>
    <col min="13" max="13" width="7.7109375" style="15" bestFit="1" customWidth="1"/>
    <col min="14" max="14" width="13.42578125" style="16" bestFit="1" customWidth="1"/>
    <col min="15" max="15" width="9.7109375" style="17" bestFit="1" customWidth="1"/>
    <col min="16" max="16384" width="9.140625" style="17"/>
  </cols>
  <sheetData>
    <row r="1" spans="1:19" ht="15" x14ac:dyDescent="0.25">
      <c r="P1" s="18"/>
      <c r="Q1" s="18"/>
      <c r="R1" s="18"/>
      <c r="S1" s="18"/>
    </row>
    <row r="2" spans="1:19" ht="15" x14ac:dyDescent="0.25">
      <c r="A2" s="73" t="s">
        <v>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P2" s="18"/>
      <c r="Q2" s="18"/>
      <c r="R2" s="18"/>
      <c r="S2" s="18"/>
    </row>
    <row r="3" spans="1:19" ht="15" x14ac:dyDescent="0.25">
      <c r="A3" s="73" t="s">
        <v>21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P3" s="18"/>
      <c r="Q3" s="18"/>
      <c r="R3" s="18"/>
      <c r="S3" s="18"/>
    </row>
    <row r="4" spans="1:19" ht="15" x14ac:dyDescent="0.25">
      <c r="A4" s="74" t="s">
        <v>10</v>
      </c>
      <c r="B4" s="76" t="s">
        <v>11</v>
      </c>
      <c r="C4" s="77"/>
      <c r="D4" s="77"/>
      <c r="E4" s="78"/>
      <c r="F4" s="76" t="s">
        <v>12</v>
      </c>
      <c r="G4" s="77"/>
      <c r="H4" s="77"/>
      <c r="I4" s="77"/>
      <c r="J4" s="77"/>
      <c r="K4" s="78"/>
      <c r="L4" s="76" t="s">
        <v>13</v>
      </c>
      <c r="M4" s="77"/>
      <c r="N4" s="78"/>
      <c r="P4" s="18"/>
      <c r="Q4" s="18"/>
      <c r="R4" s="18"/>
      <c r="S4" s="18"/>
    </row>
    <row r="5" spans="1:19" ht="38.25" customHeight="1" x14ac:dyDescent="0.25">
      <c r="A5" s="75"/>
      <c r="B5" s="19" t="s">
        <v>14</v>
      </c>
      <c r="C5" s="19" t="s">
        <v>15</v>
      </c>
      <c r="D5" s="20" t="s">
        <v>16</v>
      </c>
      <c r="E5" s="20" t="s">
        <v>17</v>
      </c>
      <c r="F5" s="21" t="s">
        <v>18</v>
      </c>
      <c r="G5" s="21" t="s">
        <v>19</v>
      </c>
      <c r="H5" s="38" t="s">
        <v>22</v>
      </c>
      <c r="I5" s="38" t="s">
        <v>23</v>
      </c>
      <c r="J5" s="20" t="s">
        <v>20</v>
      </c>
      <c r="K5" s="20" t="s">
        <v>17</v>
      </c>
      <c r="L5" s="21" t="s">
        <v>18</v>
      </c>
      <c r="M5" s="21" t="s">
        <v>19</v>
      </c>
      <c r="N5" s="20" t="s">
        <v>20</v>
      </c>
      <c r="P5" s="18"/>
      <c r="Q5" s="18"/>
      <c r="R5" s="18"/>
      <c r="S5" s="18"/>
    </row>
    <row r="6" spans="1:19" ht="15" x14ac:dyDescent="0.25">
      <c r="A6" s="22">
        <v>46082</v>
      </c>
      <c r="B6" s="23"/>
      <c r="C6" s="23"/>
      <c r="D6" s="23"/>
      <c r="E6" s="24"/>
      <c r="F6" s="25"/>
      <c r="G6" s="25"/>
      <c r="H6" s="32"/>
      <c r="I6" s="32"/>
      <c r="J6" s="26"/>
      <c r="K6" s="24"/>
      <c r="L6" s="25"/>
      <c r="M6" s="25"/>
      <c r="N6" s="26"/>
      <c r="P6" s="18"/>
      <c r="Q6" s="18"/>
      <c r="R6" s="18"/>
      <c r="S6" s="18"/>
    </row>
    <row r="7" spans="1:19" ht="15" x14ac:dyDescent="0.25">
      <c r="A7" s="27">
        <f>A6+1</f>
        <v>46083</v>
      </c>
      <c r="B7" s="31">
        <v>13.15</v>
      </c>
      <c r="C7" s="31">
        <v>13.35</v>
      </c>
      <c r="D7" s="28">
        <v>20</v>
      </c>
      <c r="E7" s="28">
        <f>IF(D7=0,"",IF(D7&lt;=15,1,IF(AND(D7&gt;15,D7&lt;=20),2,IF(AND(D7&gt;20,D7&lt;=30),3,IF(AND(D7&gt;30,D7&lt;=60),4,5)))))</f>
        <v>2</v>
      </c>
      <c r="F7" s="29">
        <v>46083</v>
      </c>
      <c r="G7" s="29">
        <v>46083</v>
      </c>
      <c r="H7" s="31">
        <v>11</v>
      </c>
      <c r="I7" s="31">
        <v>16</v>
      </c>
      <c r="J7" s="28">
        <f t="shared" ref="J7:J33" si="0">+G7-F7</f>
        <v>0</v>
      </c>
      <c r="K7" s="30">
        <f t="shared" ref="K7:K33" si="1">IF(G7=0,"",IF(J7=0,1,IF(AND(J7=1,I7&lt;=11),1,IF(AND(J7=1,I7&gt;11,I7&lt;=12),2,3))))</f>
        <v>1</v>
      </c>
      <c r="L7" s="29">
        <v>46083</v>
      </c>
      <c r="M7" s="29">
        <v>46083</v>
      </c>
      <c r="N7" s="28">
        <f t="shared" ref="N7:N35" si="2">+M7-L7</f>
        <v>0</v>
      </c>
      <c r="P7" s="18"/>
      <c r="Q7" s="18"/>
      <c r="R7" s="18"/>
      <c r="S7" s="18"/>
    </row>
    <row r="8" spans="1:19" ht="15" x14ac:dyDescent="0.25">
      <c r="A8" s="27">
        <f t="shared" ref="A8:A33" si="3">A7+1</f>
        <v>46084</v>
      </c>
      <c r="B8" s="31">
        <v>13</v>
      </c>
      <c r="C8" s="31">
        <v>13.2</v>
      </c>
      <c r="D8" s="28">
        <v>20</v>
      </c>
      <c r="E8" s="30">
        <f t="shared" ref="E8:E35" si="4">IF(D8=0,"",IF(D8&lt;=15,1,IF(AND(D8&gt;15,D8&lt;=20),2,IF(AND(D8&gt;20,D8&lt;=30),3,IF(AND(D8&gt;30,D8&lt;=60),4,5)))))</f>
        <v>2</v>
      </c>
      <c r="F8" s="29">
        <v>46084</v>
      </c>
      <c r="G8" s="29">
        <v>46084</v>
      </c>
      <c r="H8" s="31">
        <v>12</v>
      </c>
      <c r="I8" s="31">
        <v>16</v>
      </c>
      <c r="J8" s="28">
        <f t="shared" si="0"/>
        <v>0</v>
      </c>
      <c r="K8" s="30">
        <f t="shared" si="1"/>
        <v>1</v>
      </c>
      <c r="L8" s="29">
        <v>46084</v>
      </c>
      <c r="M8" s="29">
        <v>46084</v>
      </c>
      <c r="N8" s="28">
        <f t="shared" si="2"/>
        <v>0</v>
      </c>
      <c r="P8" s="18"/>
      <c r="Q8" s="18"/>
      <c r="R8" s="18"/>
      <c r="S8" s="18"/>
    </row>
    <row r="9" spans="1:19" ht="15" x14ac:dyDescent="0.25">
      <c r="A9" s="27">
        <f t="shared" si="3"/>
        <v>46085</v>
      </c>
      <c r="B9" s="31">
        <v>13.2</v>
      </c>
      <c r="C9" s="31">
        <v>13.4</v>
      </c>
      <c r="D9" s="28">
        <v>20</v>
      </c>
      <c r="E9" s="28">
        <f t="shared" si="4"/>
        <v>2</v>
      </c>
      <c r="F9" s="29">
        <v>46085</v>
      </c>
      <c r="G9" s="29">
        <v>46085</v>
      </c>
      <c r="H9" s="31">
        <v>13</v>
      </c>
      <c r="I9" s="31">
        <v>16</v>
      </c>
      <c r="J9" s="28">
        <f t="shared" si="0"/>
        <v>0</v>
      </c>
      <c r="K9" s="30">
        <f t="shared" si="1"/>
        <v>1</v>
      </c>
      <c r="L9" s="29">
        <v>46085</v>
      </c>
      <c r="M9" s="29">
        <v>46085</v>
      </c>
      <c r="N9" s="28">
        <f t="shared" si="2"/>
        <v>0</v>
      </c>
      <c r="P9" s="18"/>
      <c r="Q9" s="18"/>
      <c r="R9" s="18"/>
      <c r="S9" s="18"/>
    </row>
    <row r="10" spans="1:19" ht="15" x14ac:dyDescent="0.25">
      <c r="A10" s="27">
        <f t="shared" si="3"/>
        <v>46086</v>
      </c>
      <c r="B10" s="31">
        <v>13.2</v>
      </c>
      <c r="C10" s="31">
        <v>13.35</v>
      </c>
      <c r="D10" s="28">
        <v>20</v>
      </c>
      <c r="E10" s="28">
        <f t="shared" si="4"/>
        <v>2</v>
      </c>
      <c r="F10" s="29">
        <v>46086</v>
      </c>
      <c r="G10" s="29">
        <v>46086</v>
      </c>
      <c r="H10" s="31">
        <v>11</v>
      </c>
      <c r="I10" s="31">
        <v>16</v>
      </c>
      <c r="J10" s="28">
        <f t="shared" si="0"/>
        <v>0</v>
      </c>
      <c r="K10" s="30">
        <f t="shared" si="1"/>
        <v>1</v>
      </c>
      <c r="L10" s="29">
        <v>46086</v>
      </c>
      <c r="M10" s="29">
        <v>46086</v>
      </c>
      <c r="N10" s="28">
        <f t="shared" si="2"/>
        <v>0</v>
      </c>
      <c r="P10" s="18"/>
      <c r="Q10" s="18"/>
      <c r="R10" s="18"/>
      <c r="S10" s="18"/>
    </row>
    <row r="11" spans="1:19" ht="15" x14ac:dyDescent="0.25">
      <c r="A11" s="27">
        <f t="shared" si="3"/>
        <v>46087</v>
      </c>
      <c r="B11" s="31">
        <v>13.3</v>
      </c>
      <c r="C11" s="31">
        <v>13.3</v>
      </c>
      <c r="D11" s="28">
        <v>29</v>
      </c>
      <c r="E11" s="28">
        <f t="shared" si="4"/>
        <v>3</v>
      </c>
      <c r="F11" s="29">
        <v>46087</v>
      </c>
      <c r="G11" s="29">
        <v>46087</v>
      </c>
      <c r="H11" s="31">
        <v>11</v>
      </c>
      <c r="I11" s="31">
        <v>16</v>
      </c>
      <c r="J11" s="28">
        <f t="shared" si="0"/>
        <v>0</v>
      </c>
      <c r="K11" s="30">
        <f t="shared" si="1"/>
        <v>1</v>
      </c>
      <c r="L11" s="29">
        <v>46087</v>
      </c>
      <c r="M11" s="29">
        <v>46088</v>
      </c>
      <c r="N11" s="28">
        <f t="shared" si="2"/>
        <v>1</v>
      </c>
      <c r="P11" s="18"/>
      <c r="Q11" s="18"/>
      <c r="R11" s="18"/>
      <c r="S11" s="18"/>
    </row>
    <row r="12" spans="1:19" ht="15" x14ac:dyDescent="0.25">
      <c r="A12" s="27">
        <f t="shared" si="3"/>
        <v>46088</v>
      </c>
      <c r="B12" s="31">
        <v>13</v>
      </c>
      <c r="C12" s="31">
        <v>13.21</v>
      </c>
      <c r="D12" s="28">
        <v>20</v>
      </c>
      <c r="E12" s="28">
        <f t="shared" si="4"/>
        <v>2</v>
      </c>
      <c r="F12" s="29">
        <v>46088</v>
      </c>
      <c r="G12" s="29">
        <v>46088</v>
      </c>
      <c r="H12" s="31">
        <v>11.3</v>
      </c>
      <c r="I12" s="31">
        <v>15</v>
      </c>
      <c r="J12" s="28">
        <f t="shared" si="0"/>
        <v>0</v>
      </c>
      <c r="K12" s="30">
        <f t="shared" si="1"/>
        <v>1</v>
      </c>
      <c r="L12" s="29">
        <v>46088</v>
      </c>
      <c r="M12" s="29">
        <v>46088</v>
      </c>
      <c r="N12" s="28">
        <f t="shared" si="2"/>
        <v>0</v>
      </c>
      <c r="P12" s="18"/>
      <c r="Q12" s="18"/>
      <c r="R12" s="18"/>
      <c r="S12" s="18"/>
    </row>
    <row r="13" spans="1:19" ht="15" x14ac:dyDescent="0.25">
      <c r="A13" s="22">
        <f t="shared" si="3"/>
        <v>46089</v>
      </c>
      <c r="B13" s="32"/>
      <c r="C13" s="32"/>
      <c r="D13" s="26"/>
      <c r="E13" s="26"/>
      <c r="F13" s="25"/>
      <c r="G13" s="25"/>
      <c r="H13" s="32"/>
      <c r="I13" s="32"/>
      <c r="J13" s="26"/>
      <c r="K13" s="24"/>
      <c r="L13" s="25"/>
      <c r="M13" s="25"/>
      <c r="N13" s="26"/>
      <c r="P13" s="18"/>
      <c r="Q13" s="18"/>
      <c r="R13" s="18"/>
      <c r="S13" s="18"/>
    </row>
    <row r="14" spans="1:19" ht="15" x14ac:dyDescent="0.25">
      <c r="A14" s="27">
        <f t="shared" si="3"/>
        <v>46090</v>
      </c>
      <c r="B14" s="31">
        <v>13.45</v>
      </c>
      <c r="C14" s="31">
        <v>14.05</v>
      </c>
      <c r="D14" s="28">
        <v>20</v>
      </c>
      <c r="E14" s="28">
        <f t="shared" ref="E14" si="5">IF(D14=0,"",IF(D14&lt;=15,1,IF(AND(D14&gt;15,D14&lt;=20),2,IF(AND(D14&gt;20,D14&lt;=30),3,IF(AND(D14&gt;30,D14&lt;=60),4,5)))))</f>
        <v>2</v>
      </c>
      <c r="F14" s="29">
        <v>46090</v>
      </c>
      <c r="G14" s="29">
        <v>46090</v>
      </c>
      <c r="H14" s="31">
        <v>15</v>
      </c>
      <c r="I14" s="31">
        <v>16</v>
      </c>
      <c r="J14" s="28">
        <f t="shared" ref="J14" si="6">+G14-F14</f>
        <v>0</v>
      </c>
      <c r="K14" s="30">
        <f t="shared" ref="K14" si="7">IF(G14=0,"",IF(J14=0,1,IF(AND(J14=1,I14&lt;=11),1,IF(AND(J14=1,I14&gt;11,I14&lt;=12),2,3))))</f>
        <v>1</v>
      </c>
      <c r="L14" s="29">
        <v>46090</v>
      </c>
      <c r="M14" s="29">
        <v>46090</v>
      </c>
      <c r="N14" s="28">
        <f t="shared" ref="N14" si="8">+M14-L14</f>
        <v>0</v>
      </c>
      <c r="P14" s="18"/>
      <c r="Q14" s="18"/>
      <c r="R14" s="18"/>
      <c r="S14" s="18"/>
    </row>
    <row r="15" spans="1:19" ht="15" x14ac:dyDescent="0.25">
      <c r="A15" s="27">
        <f t="shared" si="3"/>
        <v>46091</v>
      </c>
      <c r="B15" s="31">
        <v>13.3</v>
      </c>
      <c r="C15" s="31">
        <v>14</v>
      </c>
      <c r="D15" s="28">
        <v>30</v>
      </c>
      <c r="E15" s="30">
        <f t="shared" si="4"/>
        <v>3</v>
      </c>
      <c r="F15" s="29">
        <v>46091</v>
      </c>
      <c r="G15" s="29">
        <v>46091</v>
      </c>
      <c r="H15" s="31">
        <v>15</v>
      </c>
      <c r="I15" s="31">
        <v>16</v>
      </c>
      <c r="J15" s="28">
        <f t="shared" ref="J15" si="9">+G15-F15</f>
        <v>0</v>
      </c>
      <c r="K15" s="30">
        <f t="shared" ref="K15" si="10">IF(G15=0,"",IF(J15=0,1,IF(AND(J15=1,I15&lt;=11),1,IF(AND(J15=1,I15&gt;11,I15&lt;=12),2,3))))</f>
        <v>1</v>
      </c>
      <c r="L15" s="29">
        <v>46091</v>
      </c>
      <c r="M15" s="29">
        <v>46091</v>
      </c>
      <c r="N15" s="28">
        <f t="shared" si="2"/>
        <v>0</v>
      </c>
      <c r="P15" s="18"/>
      <c r="Q15" s="18"/>
      <c r="R15" s="18"/>
      <c r="S15" s="18"/>
    </row>
    <row r="16" spans="1:19" ht="15" x14ac:dyDescent="0.25">
      <c r="A16" s="27">
        <f t="shared" si="3"/>
        <v>46092</v>
      </c>
      <c r="B16" s="31">
        <v>13.1</v>
      </c>
      <c r="C16" s="31">
        <v>13.3</v>
      </c>
      <c r="D16" s="28">
        <v>20</v>
      </c>
      <c r="E16" s="28">
        <f t="shared" si="4"/>
        <v>2</v>
      </c>
      <c r="F16" s="29">
        <v>46092</v>
      </c>
      <c r="G16" s="29">
        <v>46092</v>
      </c>
      <c r="H16" s="31">
        <v>9</v>
      </c>
      <c r="I16" s="31">
        <v>16</v>
      </c>
      <c r="J16" s="28">
        <f t="shared" ref="J16" si="11">+G16-F16</f>
        <v>0</v>
      </c>
      <c r="K16" s="30">
        <f t="shared" ref="K16" si="12">IF(G16=0,"",IF(J16=0,1,IF(AND(J16=1,I16&lt;=11),1,IF(AND(J16=1,I16&gt;11,I16&lt;=12),2,3))))</f>
        <v>1</v>
      </c>
      <c r="L16" s="29">
        <v>46092</v>
      </c>
      <c r="M16" s="29">
        <v>46092</v>
      </c>
      <c r="N16" s="28">
        <f t="shared" ref="N16" si="13">+M16-L16</f>
        <v>0</v>
      </c>
      <c r="P16" s="18"/>
      <c r="Q16" s="18"/>
      <c r="R16" s="18"/>
      <c r="S16" s="18"/>
    </row>
    <row r="17" spans="1:19" ht="15" x14ac:dyDescent="0.25">
      <c r="A17" s="27">
        <f t="shared" si="3"/>
        <v>46093</v>
      </c>
      <c r="B17" s="31">
        <v>13.2</v>
      </c>
      <c r="C17" s="31">
        <v>13.4</v>
      </c>
      <c r="D17" s="28">
        <v>20</v>
      </c>
      <c r="E17" s="28">
        <f t="shared" si="4"/>
        <v>2</v>
      </c>
      <c r="F17" s="29">
        <v>46093</v>
      </c>
      <c r="G17" s="29">
        <v>46093</v>
      </c>
      <c r="H17" s="31">
        <v>10</v>
      </c>
      <c r="I17" s="31">
        <v>16</v>
      </c>
      <c r="J17" s="28">
        <f t="shared" ref="J17" si="14">+G17-F17</f>
        <v>0</v>
      </c>
      <c r="K17" s="30">
        <f t="shared" ref="K17" si="15">IF(G17=0,"",IF(J17=0,1,IF(AND(J17=1,I17&lt;=11),1,IF(AND(J17=1,I17&gt;11,I17&lt;=12),2,3))))</f>
        <v>1</v>
      </c>
      <c r="L17" s="29">
        <v>46093</v>
      </c>
      <c r="M17" s="29">
        <v>46094</v>
      </c>
      <c r="N17" s="28">
        <f t="shared" ref="N17" si="16">+M17-L17</f>
        <v>1</v>
      </c>
      <c r="P17" s="18"/>
      <c r="Q17" s="18"/>
      <c r="R17" s="18"/>
      <c r="S17" s="18"/>
    </row>
    <row r="18" spans="1:19" ht="15" x14ac:dyDescent="0.25">
      <c r="A18" s="27">
        <f t="shared" si="3"/>
        <v>46094</v>
      </c>
      <c r="B18" s="31">
        <v>13.3</v>
      </c>
      <c r="C18" s="31">
        <v>13.5</v>
      </c>
      <c r="D18" s="28">
        <v>20</v>
      </c>
      <c r="E18" s="28">
        <f t="shared" ref="E18" si="17">IF(D18=0,"",IF(D18&lt;=15,1,IF(AND(D18&gt;15,D18&lt;=20),2,IF(AND(D18&gt;20,D18&lt;=30),3,IF(AND(D18&gt;30,D18&lt;=60),4,5)))))</f>
        <v>2</v>
      </c>
      <c r="F18" s="29">
        <v>46094</v>
      </c>
      <c r="G18" s="29">
        <v>46094</v>
      </c>
      <c r="H18" s="31">
        <v>11</v>
      </c>
      <c r="I18" s="31">
        <v>16</v>
      </c>
      <c r="J18" s="28">
        <f t="shared" ref="J18" si="18">+G18-F18</f>
        <v>0</v>
      </c>
      <c r="K18" s="30">
        <f t="shared" ref="K18" si="19">IF(G18=0,"",IF(J18=0,1,IF(AND(J18=1,I18&lt;=11),1,IF(AND(J18=1,I18&gt;11,I18&lt;=12),2,3))))</f>
        <v>1</v>
      </c>
      <c r="L18" s="29">
        <v>46094</v>
      </c>
      <c r="M18" s="29">
        <v>46095</v>
      </c>
      <c r="N18" s="28">
        <f t="shared" ref="N18" si="20">+M18-L18</f>
        <v>1</v>
      </c>
      <c r="P18" s="18"/>
      <c r="Q18" s="18"/>
      <c r="R18" s="18"/>
      <c r="S18" s="18"/>
    </row>
    <row r="19" spans="1:19" ht="15" x14ac:dyDescent="0.25">
      <c r="A19" s="27">
        <f t="shared" si="3"/>
        <v>46095</v>
      </c>
      <c r="B19" s="31">
        <v>13.3</v>
      </c>
      <c r="C19" s="31">
        <v>13.45</v>
      </c>
      <c r="D19" s="28">
        <v>20</v>
      </c>
      <c r="E19" s="28">
        <f t="shared" si="4"/>
        <v>2</v>
      </c>
      <c r="F19" s="29">
        <v>46095</v>
      </c>
      <c r="G19" s="29">
        <v>46095</v>
      </c>
      <c r="H19" s="31">
        <v>11.1</v>
      </c>
      <c r="I19" s="31">
        <v>15</v>
      </c>
      <c r="J19" s="28">
        <f t="shared" si="0"/>
        <v>0</v>
      </c>
      <c r="K19" s="30">
        <f t="shared" si="1"/>
        <v>1</v>
      </c>
      <c r="L19" s="29">
        <v>46095</v>
      </c>
      <c r="M19" s="29">
        <v>46095</v>
      </c>
      <c r="N19" s="28">
        <f t="shared" si="2"/>
        <v>0</v>
      </c>
      <c r="P19" s="18"/>
      <c r="Q19" s="18"/>
      <c r="R19" s="18"/>
      <c r="S19" s="18"/>
    </row>
    <row r="20" spans="1:19" ht="15" x14ac:dyDescent="0.25">
      <c r="A20" s="22">
        <f t="shared" si="3"/>
        <v>46096</v>
      </c>
      <c r="B20" s="32"/>
      <c r="C20" s="32"/>
      <c r="D20" s="26"/>
      <c r="E20" s="26"/>
      <c r="F20" s="25"/>
      <c r="G20" s="25"/>
      <c r="H20" s="32"/>
      <c r="I20" s="32"/>
      <c r="J20" s="26"/>
      <c r="K20" s="24"/>
      <c r="L20" s="25"/>
      <c r="M20" s="25"/>
      <c r="N20" s="26"/>
      <c r="P20" s="18"/>
      <c r="Q20" s="18"/>
      <c r="R20" s="18"/>
      <c r="S20" s="18"/>
    </row>
    <row r="21" spans="1:19" ht="15" x14ac:dyDescent="0.25">
      <c r="A21" s="27">
        <f t="shared" si="3"/>
        <v>46097</v>
      </c>
      <c r="B21" s="31">
        <v>13.2</v>
      </c>
      <c r="C21" s="31">
        <v>13.4</v>
      </c>
      <c r="D21" s="28">
        <v>20</v>
      </c>
      <c r="E21" s="28">
        <f t="shared" si="4"/>
        <v>2</v>
      </c>
      <c r="F21" s="29">
        <v>46097</v>
      </c>
      <c r="G21" s="29">
        <v>46097</v>
      </c>
      <c r="H21" s="31">
        <v>14</v>
      </c>
      <c r="I21" s="31">
        <v>16</v>
      </c>
      <c r="J21" s="28">
        <f t="shared" si="0"/>
        <v>0</v>
      </c>
      <c r="K21" s="30">
        <f t="shared" si="1"/>
        <v>1</v>
      </c>
      <c r="L21" s="29">
        <v>46097</v>
      </c>
      <c r="M21" s="29">
        <v>46098</v>
      </c>
      <c r="N21" s="28">
        <f t="shared" si="2"/>
        <v>1</v>
      </c>
      <c r="P21" s="18"/>
      <c r="Q21" s="18"/>
      <c r="R21" s="18"/>
      <c r="S21" s="18"/>
    </row>
    <row r="22" spans="1:19" ht="15" x14ac:dyDescent="0.25">
      <c r="A22" s="27">
        <f t="shared" si="3"/>
        <v>46098</v>
      </c>
      <c r="B22" s="31">
        <v>13.1</v>
      </c>
      <c r="C22" s="31">
        <v>13.35</v>
      </c>
      <c r="D22" s="28">
        <v>25</v>
      </c>
      <c r="E22" s="30">
        <f t="shared" si="4"/>
        <v>3</v>
      </c>
      <c r="F22" s="29">
        <v>46098</v>
      </c>
      <c r="G22" s="29">
        <v>46098</v>
      </c>
      <c r="H22" s="31">
        <v>13.3</v>
      </c>
      <c r="I22" s="31">
        <v>16</v>
      </c>
      <c r="J22" s="28">
        <f t="shared" si="0"/>
        <v>0</v>
      </c>
      <c r="K22" s="30">
        <f t="shared" si="1"/>
        <v>1</v>
      </c>
      <c r="L22" s="29">
        <v>46098</v>
      </c>
      <c r="M22" s="29">
        <v>46098</v>
      </c>
      <c r="N22" s="28">
        <f t="shared" si="2"/>
        <v>0</v>
      </c>
      <c r="P22" s="18"/>
      <c r="Q22" s="18"/>
      <c r="R22" s="18"/>
      <c r="S22" s="18"/>
    </row>
    <row r="23" spans="1:19" ht="15" x14ac:dyDescent="0.25">
      <c r="A23" s="27">
        <f t="shared" si="3"/>
        <v>46099</v>
      </c>
      <c r="B23" s="31">
        <v>13.1</v>
      </c>
      <c r="C23" s="31">
        <v>13.3</v>
      </c>
      <c r="D23" s="28">
        <v>20</v>
      </c>
      <c r="E23" s="28">
        <f t="shared" si="4"/>
        <v>2</v>
      </c>
      <c r="F23" s="29">
        <v>46099</v>
      </c>
      <c r="G23" s="29">
        <v>46099</v>
      </c>
      <c r="H23" s="39">
        <v>11</v>
      </c>
      <c r="I23" s="39">
        <v>16</v>
      </c>
      <c r="J23" s="28">
        <f t="shared" si="0"/>
        <v>0</v>
      </c>
      <c r="K23" s="30">
        <f t="shared" si="1"/>
        <v>1</v>
      </c>
      <c r="L23" s="29">
        <v>46099</v>
      </c>
      <c r="M23" s="29">
        <v>46099</v>
      </c>
      <c r="N23" s="28">
        <f t="shared" si="2"/>
        <v>0</v>
      </c>
      <c r="P23" s="18"/>
      <c r="Q23" s="18"/>
      <c r="R23" s="18"/>
      <c r="S23" s="18"/>
    </row>
    <row r="24" spans="1:19" ht="15" x14ac:dyDescent="0.25">
      <c r="A24" s="22">
        <f t="shared" si="3"/>
        <v>46100</v>
      </c>
      <c r="B24" s="32"/>
      <c r="C24" s="32"/>
      <c r="D24" s="26"/>
      <c r="E24" s="26" t="str">
        <f t="shared" si="4"/>
        <v/>
      </c>
      <c r="F24" s="25"/>
      <c r="G24" s="25"/>
      <c r="H24" s="61"/>
      <c r="I24" s="61"/>
      <c r="J24" s="26">
        <f t="shared" si="0"/>
        <v>0</v>
      </c>
      <c r="K24" s="24" t="str">
        <f t="shared" si="1"/>
        <v/>
      </c>
      <c r="L24" s="25"/>
      <c r="M24" s="25"/>
      <c r="N24" s="26">
        <f t="shared" si="2"/>
        <v>0</v>
      </c>
      <c r="P24" s="18"/>
      <c r="Q24" s="18"/>
      <c r="R24" s="18"/>
      <c r="S24" s="18"/>
    </row>
    <row r="25" spans="1:19" ht="15" x14ac:dyDescent="0.25">
      <c r="A25" s="22">
        <f t="shared" si="3"/>
        <v>46101</v>
      </c>
      <c r="B25" s="32"/>
      <c r="C25" s="32"/>
      <c r="D25" s="26"/>
      <c r="E25" s="26" t="str">
        <f t="shared" si="4"/>
        <v/>
      </c>
      <c r="F25" s="25"/>
      <c r="G25" s="25"/>
      <c r="H25" s="32"/>
      <c r="I25" s="32"/>
      <c r="J25" s="26">
        <f t="shared" si="0"/>
        <v>0</v>
      </c>
      <c r="K25" s="24" t="str">
        <f t="shared" si="1"/>
        <v/>
      </c>
      <c r="L25" s="25"/>
      <c r="M25" s="25"/>
      <c r="N25" s="26">
        <f t="shared" si="2"/>
        <v>0</v>
      </c>
      <c r="P25" s="18"/>
      <c r="Q25" s="18"/>
      <c r="R25" s="18"/>
      <c r="S25" s="18"/>
    </row>
    <row r="26" spans="1:19" ht="15" x14ac:dyDescent="0.25">
      <c r="A26" s="22">
        <f t="shared" si="3"/>
        <v>46102</v>
      </c>
      <c r="B26" s="32"/>
      <c r="C26" s="32"/>
      <c r="D26" s="26"/>
      <c r="E26" s="26" t="str">
        <f t="shared" si="4"/>
        <v/>
      </c>
      <c r="F26" s="25"/>
      <c r="G26" s="25"/>
      <c r="H26" s="32"/>
      <c r="I26" s="32"/>
      <c r="J26" s="26">
        <f t="shared" si="0"/>
        <v>0</v>
      </c>
      <c r="K26" s="24" t="str">
        <f t="shared" si="1"/>
        <v/>
      </c>
      <c r="L26" s="25"/>
      <c r="M26" s="25"/>
      <c r="N26" s="26">
        <f t="shared" si="2"/>
        <v>0</v>
      </c>
      <c r="P26" s="18"/>
      <c r="Q26" s="18"/>
      <c r="R26" s="18"/>
      <c r="S26" s="18"/>
    </row>
    <row r="27" spans="1:19" ht="15" x14ac:dyDescent="0.25">
      <c r="A27" s="22">
        <f t="shared" si="3"/>
        <v>46103</v>
      </c>
      <c r="B27" s="32"/>
      <c r="C27" s="32"/>
      <c r="D27" s="26"/>
      <c r="E27" s="26"/>
      <c r="F27" s="25"/>
      <c r="G27" s="25"/>
      <c r="H27" s="32"/>
      <c r="I27" s="32"/>
      <c r="J27" s="26"/>
      <c r="K27" s="24"/>
      <c r="L27" s="25"/>
      <c r="M27" s="25"/>
      <c r="N27" s="26"/>
      <c r="P27" s="18"/>
      <c r="Q27" s="18"/>
      <c r="R27" s="18"/>
      <c r="S27" s="18"/>
    </row>
    <row r="28" spans="1:19" ht="15" x14ac:dyDescent="0.25">
      <c r="A28" s="22">
        <f t="shared" si="3"/>
        <v>46104</v>
      </c>
      <c r="B28" s="32"/>
      <c r="C28" s="32"/>
      <c r="D28" s="26"/>
      <c r="E28" s="26" t="str">
        <f t="shared" si="4"/>
        <v/>
      </c>
      <c r="F28" s="25"/>
      <c r="G28" s="25"/>
      <c r="H28" s="32"/>
      <c r="I28" s="32"/>
      <c r="J28" s="26">
        <f t="shared" si="0"/>
        <v>0</v>
      </c>
      <c r="K28" s="24" t="str">
        <f t="shared" si="1"/>
        <v/>
      </c>
      <c r="L28" s="25"/>
      <c r="M28" s="25"/>
      <c r="N28" s="26">
        <f t="shared" si="2"/>
        <v>0</v>
      </c>
      <c r="P28" s="18"/>
      <c r="Q28" s="18"/>
      <c r="R28" s="18"/>
      <c r="S28" s="18"/>
    </row>
    <row r="29" spans="1:19" ht="15" x14ac:dyDescent="0.25">
      <c r="A29" s="22">
        <f t="shared" si="3"/>
        <v>46105</v>
      </c>
      <c r="B29" s="32"/>
      <c r="C29" s="32"/>
      <c r="D29" s="26"/>
      <c r="E29" s="24" t="str">
        <f t="shared" si="4"/>
        <v/>
      </c>
      <c r="F29" s="25"/>
      <c r="G29" s="25"/>
      <c r="H29" s="32"/>
      <c r="I29" s="32"/>
      <c r="J29" s="26">
        <f t="shared" si="0"/>
        <v>0</v>
      </c>
      <c r="K29" s="24" t="str">
        <f t="shared" si="1"/>
        <v/>
      </c>
      <c r="L29" s="25"/>
      <c r="M29" s="25"/>
      <c r="N29" s="26">
        <f t="shared" si="2"/>
        <v>0</v>
      </c>
      <c r="P29" s="18"/>
      <c r="Q29" s="18"/>
      <c r="R29" s="18"/>
      <c r="S29" s="18"/>
    </row>
    <row r="30" spans="1:19" ht="15" x14ac:dyDescent="0.25">
      <c r="A30" s="22">
        <f t="shared" si="3"/>
        <v>46106</v>
      </c>
      <c r="B30" s="32"/>
      <c r="C30" s="32"/>
      <c r="D30" s="26"/>
      <c r="E30" s="26" t="str">
        <f t="shared" si="4"/>
        <v/>
      </c>
      <c r="F30" s="25"/>
      <c r="G30" s="25"/>
      <c r="H30" s="61"/>
      <c r="I30" s="61"/>
      <c r="J30" s="26">
        <f t="shared" si="0"/>
        <v>0</v>
      </c>
      <c r="K30" s="24" t="str">
        <f t="shared" si="1"/>
        <v/>
      </c>
      <c r="L30" s="25"/>
      <c r="M30" s="25"/>
      <c r="N30" s="26">
        <f t="shared" si="2"/>
        <v>0</v>
      </c>
      <c r="P30" s="18"/>
      <c r="Q30" s="18"/>
      <c r="R30" s="18"/>
      <c r="S30" s="18"/>
    </row>
    <row r="31" spans="1:19" ht="15" x14ac:dyDescent="0.25">
      <c r="A31" s="27">
        <f t="shared" si="3"/>
        <v>46107</v>
      </c>
      <c r="B31" s="31">
        <v>13.25</v>
      </c>
      <c r="C31" s="31">
        <v>13.45</v>
      </c>
      <c r="D31" s="28">
        <v>20</v>
      </c>
      <c r="E31" s="28">
        <f t="shared" si="4"/>
        <v>2</v>
      </c>
      <c r="F31" s="29">
        <v>46107</v>
      </c>
      <c r="G31" s="29">
        <v>46107</v>
      </c>
      <c r="H31" s="39">
        <v>14</v>
      </c>
      <c r="I31" s="39">
        <v>16</v>
      </c>
      <c r="J31" s="28">
        <f t="shared" si="0"/>
        <v>0</v>
      </c>
      <c r="K31" s="30">
        <f t="shared" si="1"/>
        <v>1</v>
      </c>
      <c r="L31" s="29">
        <v>46107</v>
      </c>
      <c r="M31" s="29">
        <v>46107</v>
      </c>
      <c r="N31" s="28">
        <f t="shared" si="2"/>
        <v>0</v>
      </c>
      <c r="P31" s="18"/>
      <c r="Q31" s="18"/>
      <c r="R31" s="18"/>
      <c r="S31" s="18"/>
    </row>
    <row r="32" spans="1:19" ht="15" x14ac:dyDescent="0.25">
      <c r="A32" s="27">
        <f t="shared" si="3"/>
        <v>46108</v>
      </c>
      <c r="B32" s="31">
        <v>13.4</v>
      </c>
      <c r="C32" s="31">
        <v>14</v>
      </c>
      <c r="D32" s="28">
        <v>20</v>
      </c>
      <c r="E32" s="28">
        <f t="shared" si="4"/>
        <v>2</v>
      </c>
      <c r="F32" s="29">
        <v>46108</v>
      </c>
      <c r="G32" s="29">
        <v>46108</v>
      </c>
      <c r="H32" s="39">
        <v>15</v>
      </c>
      <c r="I32" s="39">
        <v>16</v>
      </c>
      <c r="J32" s="28">
        <f t="shared" si="0"/>
        <v>0</v>
      </c>
      <c r="K32" s="30">
        <f t="shared" si="1"/>
        <v>1</v>
      </c>
      <c r="L32" s="29">
        <v>46108</v>
      </c>
      <c r="M32" s="29">
        <v>46109</v>
      </c>
      <c r="N32" s="28">
        <f t="shared" si="2"/>
        <v>1</v>
      </c>
      <c r="P32" s="18"/>
      <c r="Q32" s="18"/>
      <c r="R32" s="18"/>
      <c r="S32" s="18"/>
    </row>
    <row r="33" spans="1:19" ht="15" x14ac:dyDescent="0.25">
      <c r="A33" s="27">
        <f t="shared" si="3"/>
        <v>46109</v>
      </c>
      <c r="B33" s="31">
        <v>13.3</v>
      </c>
      <c r="C33" s="31">
        <v>13.5</v>
      </c>
      <c r="D33" s="28">
        <v>20</v>
      </c>
      <c r="E33" s="28">
        <f t="shared" si="4"/>
        <v>2</v>
      </c>
      <c r="F33" s="29">
        <v>46109</v>
      </c>
      <c r="G33" s="29">
        <v>46109</v>
      </c>
      <c r="H33" s="39">
        <v>13</v>
      </c>
      <c r="I33" s="39">
        <v>15</v>
      </c>
      <c r="J33" s="28">
        <f t="shared" si="0"/>
        <v>0</v>
      </c>
      <c r="K33" s="30">
        <f t="shared" si="1"/>
        <v>1</v>
      </c>
      <c r="L33" s="29">
        <v>46109</v>
      </c>
      <c r="M33" s="29">
        <v>46109</v>
      </c>
      <c r="N33" s="28">
        <f t="shared" si="2"/>
        <v>0</v>
      </c>
      <c r="P33" s="18"/>
      <c r="Q33" s="18"/>
      <c r="R33" s="18"/>
      <c r="S33" s="18"/>
    </row>
    <row r="34" spans="1:19" ht="15" x14ac:dyDescent="0.25">
      <c r="A34" s="22">
        <f>+A33+1</f>
        <v>46110</v>
      </c>
      <c r="B34" s="32"/>
      <c r="C34" s="32"/>
      <c r="D34" s="26"/>
      <c r="E34" s="26"/>
      <c r="F34" s="25"/>
      <c r="G34" s="25"/>
      <c r="H34" s="61"/>
      <c r="I34" s="61"/>
      <c r="J34" s="26"/>
      <c r="K34" s="24"/>
      <c r="L34" s="25"/>
      <c r="M34" s="25"/>
      <c r="N34" s="26"/>
      <c r="P34" s="18"/>
      <c r="Q34" s="18"/>
      <c r="R34" s="18"/>
      <c r="S34" s="18"/>
    </row>
    <row r="35" spans="1:19" ht="15" x14ac:dyDescent="0.25">
      <c r="A35" s="27">
        <f>+A34+1</f>
        <v>46111</v>
      </c>
      <c r="B35" s="31">
        <v>13.25</v>
      </c>
      <c r="C35" s="31">
        <v>13.5</v>
      </c>
      <c r="D35" s="28">
        <v>25</v>
      </c>
      <c r="E35" s="28">
        <f t="shared" si="4"/>
        <v>3</v>
      </c>
      <c r="F35" s="29">
        <v>46111</v>
      </c>
      <c r="G35" s="29">
        <v>46111</v>
      </c>
      <c r="H35" s="39">
        <v>14</v>
      </c>
      <c r="I35" s="39">
        <v>16</v>
      </c>
      <c r="J35" s="28">
        <f t="shared" ref="J35" si="21">+G35-F35</f>
        <v>0</v>
      </c>
      <c r="K35" s="30">
        <f t="shared" ref="K35" si="22">IF(G35=0,"",IF(J35=0,1,IF(AND(J35=1,I35&lt;=11),1,IF(AND(J35=1,I35&gt;11,I35&lt;=12),2,3))))</f>
        <v>1</v>
      </c>
      <c r="L35" s="29">
        <v>46111</v>
      </c>
      <c r="M35" s="29">
        <v>46111</v>
      </c>
      <c r="N35" s="28">
        <f t="shared" si="2"/>
        <v>0</v>
      </c>
      <c r="P35" s="18"/>
      <c r="Q35" s="18"/>
      <c r="R35" s="18"/>
      <c r="S35" s="18"/>
    </row>
    <row r="36" spans="1:19" ht="15" x14ac:dyDescent="0.25">
      <c r="A36" s="27">
        <f>+A35+1</f>
        <v>46112</v>
      </c>
      <c r="B36" s="31">
        <v>13.2</v>
      </c>
      <c r="C36" s="31">
        <v>13.45</v>
      </c>
      <c r="D36" s="28">
        <v>25</v>
      </c>
      <c r="E36" s="28">
        <f t="shared" ref="E36" si="23">IF(D36=0,"",IF(D36&lt;=15,1,IF(AND(D36&gt;15,D36&lt;=20),2,IF(AND(D36&gt;20,D36&lt;=30),3,IF(AND(D36&gt;30,D36&lt;=60),4,5)))))</f>
        <v>3</v>
      </c>
      <c r="F36" s="29">
        <v>46112</v>
      </c>
      <c r="G36" s="29">
        <v>46113</v>
      </c>
      <c r="H36" s="39">
        <v>14</v>
      </c>
      <c r="I36" s="39">
        <v>16</v>
      </c>
      <c r="J36" s="28">
        <f t="shared" ref="J36" si="24">+G36-F36</f>
        <v>1</v>
      </c>
      <c r="K36" s="30">
        <f t="shared" ref="K36" si="25">IF(G36=0,"",IF(J36=0,1,IF(AND(J36=1,I36&lt;=11),1,IF(AND(J36=1,I36&gt;11,I36&lt;=12),2,3))))</f>
        <v>3</v>
      </c>
      <c r="L36" s="29">
        <v>46112</v>
      </c>
      <c r="M36" s="29">
        <v>46113</v>
      </c>
      <c r="N36" s="28">
        <f t="shared" ref="N36" si="26">+M36-L36</f>
        <v>1</v>
      </c>
      <c r="P36" s="18"/>
      <c r="Q36" s="18"/>
      <c r="R36" s="18"/>
      <c r="S36" s="18"/>
    </row>
    <row r="37" spans="1:19" ht="15" x14ac:dyDescent="0.25">
      <c r="A37" s="65" t="s">
        <v>24</v>
      </c>
      <c r="B37" s="66"/>
      <c r="C37" s="66"/>
      <c r="D37" s="67"/>
      <c r="E37" s="40">
        <f>AVERAGE(E6:E36)</f>
        <v>2.25</v>
      </c>
      <c r="F37" s="68"/>
      <c r="G37" s="69"/>
      <c r="H37" s="69"/>
      <c r="I37" s="70"/>
      <c r="J37" s="40">
        <f>AVERAGE(J6:J36)</f>
        <v>3.8461538461538464E-2</v>
      </c>
      <c r="K37" s="40">
        <f>AVERAGE(K6:K36)</f>
        <v>1.1000000000000001</v>
      </c>
      <c r="L37" s="71"/>
      <c r="M37" s="72"/>
      <c r="N37" s="40">
        <f>AVERAGE(N6:N36)</f>
        <v>0.23076923076923078</v>
      </c>
      <c r="P37" s="18"/>
      <c r="Q37" s="18"/>
      <c r="R37" s="18"/>
      <c r="S37" s="18"/>
    </row>
    <row r="38" spans="1:19" ht="15" x14ac:dyDescent="0.25">
      <c r="A38" s="33"/>
      <c r="B38" s="34"/>
      <c r="C38" s="34"/>
      <c r="D38" s="34"/>
      <c r="E38" s="35"/>
      <c r="F38" s="34"/>
      <c r="G38" s="34"/>
      <c r="H38" s="41"/>
      <c r="I38" s="41"/>
      <c r="J38" s="35"/>
      <c r="K38" s="35"/>
      <c r="L38" s="34"/>
      <c r="M38" s="34"/>
      <c r="N38" s="35"/>
      <c r="P38" s="18"/>
      <c r="Q38" s="18"/>
      <c r="R38" s="18"/>
      <c r="S38" s="18"/>
    </row>
    <row r="39" spans="1:19" x14ac:dyDescent="0.2">
      <c r="A39" s="33"/>
      <c r="B39" s="34"/>
      <c r="C39" s="34"/>
      <c r="D39" s="34"/>
      <c r="E39" s="35"/>
      <c r="F39" s="34"/>
      <c r="G39" s="34"/>
      <c r="H39" s="41"/>
      <c r="I39" s="41"/>
      <c r="J39" s="35"/>
      <c r="K39" s="35"/>
      <c r="L39" s="34"/>
      <c r="M39" s="34"/>
      <c r="N39" s="35"/>
    </row>
    <row r="40" spans="1:19" x14ac:dyDescent="0.2">
      <c r="A40" s="33"/>
      <c r="B40" s="34"/>
      <c r="C40" s="34"/>
      <c r="D40" s="34"/>
      <c r="E40" s="35"/>
      <c r="F40" s="34"/>
      <c r="G40" s="34"/>
      <c r="H40" s="41"/>
      <c r="I40" s="41"/>
      <c r="J40" s="35"/>
      <c r="K40" s="35"/>
      <c r="L40" s="34"/>
      <c r="M40" s="34"/>
      <c r="N40" s="35"/>
    </row>
    <row r="41" spans="1:19" x14ac:dyDescent="0.2">
      <c r="A41" s="33"/>
      <c r="B41" s="34"/>
      <c r="C41" s="34"/>
      <c r="D41" s="34"/>
      <c r="E41" s="35"/>
      <c r="F41" s="34"/>
      <c r="G41" s="34"/>
      <c r="H41" s="41"/>
      <c r="I41" s="41"/>
      <c r="J41" s="35"/>
      <c r="K41" s="35"/>
      <c r="L41" s="34"/>
      <c r="M41" s="34"/>
      <c r="N41" s="35"/>
    </row>
    <row r="42" spans="1:19" x14ac:dyDescent="0.2">
      <c r="A42" s="33"/>
      <c r="B42" s="34"/>
      <c r="C42" s="34"/>
      <c r="D42" s="34"/>
      <c r="E42" s="35"/>
      <c r="F42" s="34"/>
      <c r="G42" s="34"/>
      <c r="H42" s="41"/>
      <c r="I42" s="41"/>
      <c r="J42" s="35"/>
      <c r="K42" s="35"/>
      <c r="L42" s="34"/>
      <c r="M42" s="34"/>
      <c r="N42" s="35"/>
    </row>
    <row r="43" spans="1:19" x14ac:dyDescent="0.2">
      <c r="A43" s="33"/>
      <c r="B43" s="34"/>
      <c r="C43" s="34"/>
      <c r="D43" s="34"/>
      <c r="E43" s="35"/>
      <c r="F43" s="34"/>
      <c r="G43" s="34"/>
      <c r="H43" s="41"/>
      <c r="I43" s="41"/>
      <c r="J43" s="35"/>
      <c r="K43" s="35"/>
      <c r="L43" s="34"/>
      <c r="M43" s="34"/>
      <c r="N43" s="35"/>
    </row>
    <row r="44" spans="1:19" x14ac:dyDescent="0.2">
      <c r="A44" s="17"/>
      <c r="B44" s="17"/>
      <c r="C44" s="17"/>
      <c r="D44" s="17"/>
      <c r="E44" s="17"/>
      <c r="F44" s="17"/>
      <c r="G44" s="17"/>
      <c r="H44" s="41"/>
      <c r="I44" s="41"/>
      <c r="J44" s="17"/>
      <c r="K44" s="17"/>
      <c r="L44" s="17"/>
      <c r="M44" s="17"/>
      <c r="N44" s="17"/>
    </row>
    <row r="45" spans="1:19" x14ac:dyDescent="0.2">
      <c r="A45" s="17"/>
      <c r="B45" s="17"/>
      <c r="C45" s="17"/>
      <c r="D45" s="17"/>
      <c r="E45" s="17"/>
      <c r="F45" s="17"/>
      <c r="G45" s="17"/>
      <c r="H45" s="41"/>
      <c r="I45" s="41"/>
      <c r="J45" s="17"/>
      <c r="K45" s="17"/>
      <c r="L45" s="17"/>
      <c r="M45" s="17"/>
      <c r="N45" s="17"/>
    </row>
    <row r="46" spans="1:19" x14ac:dyDescent="0.2">
      <c r="A46" s="17"/>
      <c r="B46" s="17"/>
      <c r="C46" s="17"/>
      <c r="D46" s="17"/>
      <c r="E46" s="17"/>
      <c r="F46" s="17"/>
      <c r="G46" s="17"/>
      <c r="H46" s="41"/>
      <c r="I46" s="41"/>
      <c r="J46" s="17"/>
      <c r="K46" s="17"/>
      <c r="L46" s="17"/>
      <c r="M46" s="17"/>
      <c r="N46" s="17"/>
    </row>
    <row r="47" spans="1:19" x14ac:dyDescent="0.2">
      <c r="A47" s="17"/>
      <c r="B47" s="17"/>
      <c r="C47" s="17"/>
      <c r="D47" s="17"/>
      <c r="E47" s="17"/>
      <c r="F47" s="17"/>
      <c r="G47" s="17"/>
      <c r="H47" s="41"/>
      <c r="I47" s="41"/>
      <c r="J47" s="17"/>
      <c r="K47" s="17"/>
      <c r="L47" s="17"/>
      <c r="M47" s="17"/>
      <c r="N47" s="17"/>
    </row>
    <row r="48" spans="1:19" x14ac:dyDescent="0.2">
      <c r="A48" s="36"/>
      <c r="B48" s="36"/>
      <c r="C48" s="36"/>
      <c r="D48" s="36"/>
      <c r="E48" s="36"/>
      <c r="F48" s="36"/>
      <c r="G48" s="36"/>
      <c r="J48" s="36"/>
      <c r="K48" s="36"/>
      <c r="L48" s="36"/>
      <c r="M48" s="36"/>
      <c r="N48" s="36"/>
    </row>
    <row r="49" spans="1:14" x14ac:dyDescent="0.2">
      <c r="A49" s="36"/>
      <c r="B49" s="36"/>
      <c r="C49" s="36"/>
      <c r="D49" s="36"/>
      <c r="E49" s="36"/>
      <c r="F49" s="36"/>
      <c r="G49" s="36"/>
      <c r="J49" s="36"/>
      <c r="K49" s="36"/>
      <c r="L49" s="36"/>
      <c r="M49" s="36"/>
      <c r="N49" s="36"/>
    </row>
  </sheetData>
  <mergeCells count="9">
    <mergeCell ref="A37:D37"/>
    <mergeCell ref="F37:I37"/>
    <mergeCell ref="L37:M37"/>
    <mergeCell ref="A2:N2"/>
    <mergeCell ref="A3:N3"/>
    <mergeCell ref="A4:A5"/>
    <mergeCell ref="B4:E4"/>
    <mergeCell ref="F4:K4"/>
    <mergeCell ref="L4:N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Kas</vt:lpstr>
      <vt:lpstr>Bank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Pratiwi</dc:creator>
  <cp:lastModifiedBy>Putri Pratiwi</cp:lastModifiedBy>
  <dcterms:created xsi:type="dcterms:W3CDTF">2026-02-19T04:44:06Z</dcterms:created>
  <dcterms:modified xsi:type="dcterms:W3CDTF">2026-04-02T05:24:18Z</dcterms:modified>
</cp:coreProperties>
</file>