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4B0AE139-4F8C-45F1-8B40-056A2B877C21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dashboard" sheetId="12" r:id="rId1"/>
    <sheet name="Pass" sheetId="114" state="veryHidden" r:id="rId2"/>
    <sheet name="KPI" sheetId="4" state="hidden" r:id="rId3"/>
    <sheet name="Form1" sheetId="124" r:id="rId4"/>
    <sheet name="Nilai KPI" sheetId="125" r:id="rId5"/>
    <sheet name="Simulasi KPI" sheetId="126" r:id="rId6"/>
  </sheets>
  <externalReferences>
    <externalReference r:id="rId7"/>
    <externalReference r:id="rId8"/>
  </externalReferences>
  <definedNames>
    <definedName name="_xlnm.Print_Area" localSheetId="3">Form1!$A$4:$I$69,Form1!$B$70:$I$119</definedName>
    <definedName name="Progresit">'[1]PROGRES TUGAS IT 2020'!$B$3:$L$215</definedName>
    <definedName name="WAHYUARIFPRASETYO" localSheetId="3">Form1!$AG$18:$AK$39</definedName>
    <definedName name="WAHYUARIFPRASETYO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125" l="1"/>
  <c r="O4" i="125"/>
  <c r="O5" i="125"/>
  <c r="O6" i="125"/>
  <c r="O13" i="125"/>
  <c r="N6" i="125"/>
  <c r="N5" i="125"/>
  <c r="N4" i="125"/>
  <c r="N3" i="125"/>
  <c r="J3" i="125"/>
  <c r="J4" i="125"/>
  <c r="J5" i="125"/>
  <c r="J6" i="125"/>
  <c r="AI30" i="124"/>
  <c r="J8" i="125"/>
  <c r="AI31" i="124"/>
  <c r="J9" i="125"/>
  <c r="AI32" i="124"/>
  <c r="J10" i="125"/>
  <c r="AI33" i="124"/>
  <c r="J11" i="125"/>
  <c r="AI34" i="124"/>
  <c r="J12" i="125"/>
  <c r="J13" i="125"/>
  <c r="I4" i="125"/>
  <c r="O24" i="125"/>
  <c r="N24" i="125"/>
  <c r="O23" i="125"/>
  <c r="N23" i="125"/>
  <c r="O22" i="125"/>
  <c r="N22" i="125"/>
  <c r="O21" i="125"/>
  <c r="J23" i="125"/>
  <c r="I5" i="125"/>
  <c r="H128" i="124"/>
  <c r="H129" i="124"/>
  <c r="H130" i="124"/>
  <c r="H131" i="124"/>
  <c r="H132" i="124"/>
  <c r="H133" i="124"/>
  <c r="H134" i="124"/>
  <c r="H135" i="124"/>
  <c r="K7" i="125"/>
  <c r="I3" i="125"/>
  <c r="H287" i="124"/>
  <c r="H288" i="124"/>
  <c r="H289" i="124"/>
  <c r="H290" i="124"/>
  <c r="H291" i="124"/>
  <c r="H292" i="124"/>
  <c r="H293" i="124"/>
  <c r="H294" i="124"/>
  <c r="I21" i="125"/>
  <c r="I6" i="125"/>
  <c r="P3" i="125"/>
  <c r="E211" i="124"/>
  <c r="L135" i="124"/>
  <c r="AI39" i="124"/>
  <c r="AI38" i="124"/>
  <c r="AH40" i="124"/>
  <c r="AH39" i="124"/>
  <c r="AH38" i="124"/>
  <c r="AI28" i="124"/>
  <c r="AI27" i="124"/>
  <c r="AH28" i="124"/>
  <c r="AH27" i="124"/>
  <c r="E127" i="124"/>
  <c r="L126" i="124"/>
  <c r="E137" i="124"/>
  <c r="L128" i="124"/>
  <c r="E147" i="124"/>
  <c r="L129" i="124"/>
  <c r="H147" i="124"/>
  <c r="H148" i="124"/>
  <c r="H149" i="124"/>
  <c r="H150" i="124"/>
  <c r="H151" i="124"/>
  <c r="H152" i="124"/>
  <c r="H153" i="124"/>
  <c r="H154" i="124"/>
  <c r="H155" i="124"/>
  <c r="E157" i="124"/>
  <c r="L130" i="124"/>
  <c r="H157" i="124"/>
  <c r="H158" i="124"/>
  <c r="H159" i="124"/>
  <c r="H160" i="124"/>
  <c r="H161" i="124"/>
  <c r="H162" i="124"/>
  <c r="H163" i="124"/>
  <c r="H164" i="124"/>
  <c r="H165" i="124"/>
  <c r="M126" i="124"/>
  <c r="K4" i="125"/>
  <c r="P31" i="125"/>
  <c r="N31" i="125"/>
  <c r="K31" i="125"/>
  <c r="I31" i="125"/>
  <c r="N30" i="125"/>
  <c r="J30" i="125"/>
  <c r="I30" i="125"/>
  <c r="N29" i="125"/>
  <c r="J29" i="125"/>
  <c r="I29" i="125"/>
  <c r="N28" i="125"/>
  <c r="J28" i="125"/>
  <c r="I28" i="125"/>
  <c r="N27" i="125"/>
  <c r="J27" i="125"/>
  <c r="I27" i="125"/>
  <c r="N26" i="125"/>
  <c r="J26" i="125"/>
  <c r="I26" i="125"/>
  <c r="N13" i="125"/>
  <c r="I13" i="125"/>
  <c r="G10" i="125"/>
  <c r="G28" i="125"/>
  <c r="G9" i="125"/>
  <c r="G27" i="125"/>
  <c r="G8" i="125"/>
  <c r="G26" i="125"/>
  <c r="J25" i="125"/>
  <c r="L25" i="125"/>
  <c r="G7" i="125"/>
  <c r="G25" i="125"/>
  <c r="G6" i="125"/>
  <c r="G24" i="125"/>
  <c r="G5" i="125"/>
  <c r="G23" i="125"/>
  <c r="G4" i="125"/>
  <c r="G22" i="125"/>
  <c r="W1376" i="124"/>
  <c r="V1376" i="124"/>
  <c r="W1374" i="124"/>
  <c r="V1373" i="124"/>
  <c r="H1348" i="124"/>
  <c r="H1349" i="124"/>
  <c r="H1350" i="124"/>
  <c r="H1351" i="124"/>
  <c r="H1352" i="124"/>
  <c r="H1353" i="124"/>
  <c r="H1354" i="124"/>
  <c r="H1355" i="124"/>
  <c r="H1356" i="124"/>
  <c r="E1348" i="124"/>
  <c r="L1221" i="124"/>
  <c r="H1338" i="124"/>
  <c r="H1339" i="124"/>
  <c r="H1340" i="124"/>
  <c r="H1341" i="124"/>
  <c r="H1342" i="124"/>
  <c r="H1343" i="124"/>
  <c r="H1344" i="124"/>
  <c r="H1345" i="124"/>
  <c r="H1346" i="124"/>
  <c r="E1338" i="124"/>
  <c r="L1220" i="124"/>
  <c r="H1328" i="124"/>
  <c r="H1329" i="124"/>
  <c r="H1330" i="124"/>
  <c r="H1331" i="124"/>
  <c r="H1332" i="124"/>
  <c r="H1333" i="124"/>
  <c r="H1334" i="124"/>
  <c r="H1335" i="124"/>
  <c r="H1336" i="124"/>
  <c r="E1328" i="124"/>
  <c r="L1219" i="124"/>
  <c r="H1318" i="124"/>
  <c r="H1319" i="124"/>
  <c r="H1320" i="124"/>
  <c r="H1321" i="124"/>
  <c r="H1322" i="124"/>
  <c r="H1323" i="124"/>
  <c r="H1324" i="124"/>
  <c r="H1325" i="124"/>
  <c r="H1326" i="124"/>
  <c r="E1318" i="124"/>
  <c r="L1218" i="124"/>
  <c r="H1308" i="124"/>
  <c r="H1309" i="124"/>
  <c r="H1310" i="124"/>
  <c r="H1311" i="124"/>
  <c r="H1312" i="124"/>
  <c r="H1313" i="124"/>
  <c r="H1314" i="124"/>
  <c r="H1315" i="124"/>
  <c r="H1316" i="124"/>
  <c r="E1308" i="124"/>
  <c r="L1217" i="124"/>
  <c r="H1298" i="124"/>
  <c r="H1299" i="124"/>
  <c r="H1300" i="124"/>
  <c r="H1301" i="124"/>
  <c r="H1302" i="124"/>
  <c r="H1303" i="124"/>
  <c r="H1304" i="124"/>
  <c r="H1305" i="124"/>
  <c r="H1306" i="124"/>
  <c r="E1298" i="124"/>
  <c r="L1216" i="124"/>
  <c r="H1288" i="124"/>
  <c r="H1289" i="124"/>
  <c r="H1290" i="124"/>
  <c r="H1291" i="124"/>
  <c r="H1292" i="124"/>
  <c r="H1293" i="124"/>
  <c r="H1294" i="124"/>
  <c r="H1295" i="124"/>
  <c r="H1296" i="124"/>
  <c r="E1288" i="124"/>
  <c r="L1215" i="124"/>
  <c r="H1278" i="124"/>
  <c r="H1279" i="124"/>
  <c r="H1280" i="124"/>
  <c r="H1281" i="124"/>
  <c r="H1282" i="124"/>
  <c r="H1283" i="124"/>
  <c r="H1284" i="124"/>
  <c r="H1285" i="124"/>
  <c r="H1286" i="124"/>
  <c r="E1278" i="124"/>
  <c r="L1214" i="124"/>
  <c r="H1268" i="124"/>
  <c r="H1269" i="124"/>
  <c r="H1270" i="124"/>
  <c r="H1271" i="124"/>
  <c r="H1272" i="124"/>
  <c r="H1273" i="124"/>
  <c r="H1274" i="124"/>
  <c r="H1275" i="124"/>
  <c r="H1276" i="124"/>
  <c r="E1268" i="124"/>
  <c r="L1213" i="124"/>
  <c r="H1258" i="124"/>
  <c r="H1259" i="124"/>
  <c r="H1260" i="124"/>
  <c r="H1261" i="124"/>
  <c r="H1262" i="124"/>
  <c r="H1263" i="124"/>
  <c r="H1264" i="124"/>
  <c r="H1265" i="124"/>
  <c r="H1266" i="124"/>
  <c r="E1258" i="124"/>
  <c r="L1212" i="124"/>
  <c r="H1244" i="124"/>
  <c r="H1245" i="124"/>
  <c r="H1246" i="124"/>
  <c r="H1247" i="124"/>
  <c r="H1248" i="124"/>
  <c r="H1249" i="124"/>
  <c r="H1250" i="124"/>
  <c r="H1251" i="124"/>
  <c r="H1252" i="124"/>
  <c r="E1244" i="124"/>
  <c r="L1208" i="124"/>
  <c r="H1234" i="124"/>
  <c r="H1235" i="124"/>
  <c r="H1236" i="124"/>
  <c r="H1237" i="124"/>
  <c r="H1238" i="124"/>
  <c r="H1239" i="124"/>
  <c r="H1240" i="124"/>
  <c r="H1241" i="124"/>
  <c r="H1242" i="124"/>
  <c r="E1234" i="124"/>
  <c r="L1207" i="124"/>
  <c r="H1224" i="124"/>
  <c r="H1225" i="124"/>
  <c r="H1226" i="124"/>
  <c r="H1227" i="124"/>
  <c r="H1228" i="124"/>
  <c r="H1229" i="124"/>
  <c r="H1230" i="124"/>
  <c r="H1231" i="124"/>
  <c r="H1232" i="124"/>
  <c r="E1224" i="124"/>
  <c r="L1206" i="124"/>
  <c r="H1214" i="124"/>
  <c r="H1215" i="124"/>
  <c r="H1216" i="124"/>
  <c r="H1217" i="124"/>
  <c r="H1218" i="124"/>
  <c r="H1219" i="124"/>
  <c r="H1220" i="124"/>
  <c r="H1221" i="124"/>
  <c r="H1222" i="124"/>
  <c r="E1214" i="124"/>
  <c r="L1205" i="124"/>
  <c r="H1204" i="124"/>
  <c r="H1205" i="124"/>
  <c r="H1206" i="124"/>
  <c r="H1207" i="124"/>
  <c r="H1208" i="124"/>
  <c r="H1209" i="124"/>
  <c r="H1210" i="124"/>
  <c r="H1211" i="124"/>
  <c r="H1212" i="124"/>
  <c r="E1204" i="124"/>
  <c r="L1204" i="124"/>
  <c r="H1188" i="124"/>
  <c r="H1189" i="124"/>
  <c r="H1190" i="124"/>
  <c r="H1191" i="124"/>
  <c r="H1192" i="124"/>
  <c r="H1193" i="124"/>
  <c r="H1194" i="124"/>
  <c r="H1195" i="124"/>
  <c r="H1196" i="124"/>
  <c r="E1188" i="124"/>
  <c r="L1061" i="124"/>
  <c r="H1178" i="124"/>
  <c r="H1179" i="124"/>
  <c r="H1180" i="124"/>
  <c r="H1181" i="124"/>
  <c r="H1182" i="124"/>
  <c r="H1183" i="124"/>
  <c r="H1184" i="124"/>
  <c r="H1185" i="124"/>
  <c r="H1186" i="124"/>
  <c r="E1178" i="124"/>
  <c r="L1060" i="124"/>
  <c r="H1168" i="124"/>
  <c r="H1169" i="124"/>
  <c r="H1170" i="124"/>
  <c r="H1171" i="124"/>
  <c r="H1172" i="124"/>
  <c r="H1173" i="124"/>
  <c r="H1174" i="124"/>
  <c r="H1175" i="124"/>
  <c r="H1176" i="124"/>
  <c r="E1168" i="124"/>
  <c r="L1059" i="124"/>
  <c r="H1158" i="124"/>
  <c r="H1159" i="124"/>
  <c r="H1160" i="124"/>
  <c r="H1161" i="124"/>
  <c r="H1162" i="124"/>
  <c r="H1163" i="124"/>
  <c r="H1164" i="124"/>
  <c r="H1165" i="124"/>
  <c r="H1166" i="124"/>
  <c r="E1158" i="124"/>
  <c r="L1058" i="124"/>
  <c r="H1148" i="124"/>
  <c r="H1149" i="124"/>
  <c r="H1150" i="124"/>
  <c r="H1151" i="124"/>
  <c r="H1152" i="124"/>
  <c r="H1153" i="124"/>
  <c r="H1154" i="124"/>
  <c r="H1155" i="124"/>
  <c r="H1156" i="124"/>
  <c r="E1148" i="124"/>
  <c r="L1057" i="124"/>
  <c r="H1138" i="124"/>
  <c r="H1139" i="124"/>
  <c r="H1140" i="124"/>
  <c r="H1141" i="124"/>
  <c r="H1142" i="124"/>
  <c r="H1143" i="124"/>
  <c r="H1144" i="124"/>
  <c r="H1145" i="124"/>
  <c r="H1146" i="124"/>
  <c r="E1138" i="124"/>
  <c r="L1056" i="124"/>
  <c r="H1128" i="124"/>
  <c r="H1129" i="124"/>
  <c r="H1130" i="124"/>
  <c r="H1131" i="124"/>
  <c r="H1132" i="124"/>
  <c r="H1133" i="124"/>
  <c r="H1134" i="124"/>
  <c r="H1135" i="124"/>
  <c r="H1136" i="124"/>
  <c r="E1128" i="124"/>
  <c r="L1055" i="124"/>
  <c r="H1118" i="124"/>
  <c r="H1119" i="124"/>
  <c r="H1120" i="124"/>
  <c r="H1121" i="124"/>
  <c r="H1122" i="124"/>
  <c r="H1123" i="124"/>
  <c r="H1124" i="124"/>
  <c r="H1125" i="124"/>
  <c r="H1126" i="124"/>
  <c r="E1118" i="124"/>
  <c r="L1054" i="124"/>
  <c r="H1108" i="124"/>
  <c r="H1109" i="124"/>
  <c r="H1110" i="124"/>
  <c r="H1111" i="124"/>
  <c r="H1112" i="124"/>
  <c r="H1113" i="124"/>
  <c r="H1114" i="124"/>
  <c r="H1115" i="124"/>
  <c r="H1116" i="124"/>
  <c r="E1108" i="124"/>
  <c r="L1053" i="124"/>
  <c r="H1098" i="124"/>
  <c r="H1099" i="124"/>
  <c r="H1100" i="124"/>
  <c r="H1101" i="124"/>
  <c r="H1102" i="124"/>
  <c r="H1103" i="124"/>
  <c r="H1104" i="124"/>
  <c r="H1105" i="124"/>
  <c r="H1106" i="124"/>
  <c r="E1098" i="124"/>
  <c r="L1052" i="124"/>
  <c r="H1084" i="124"/>
  <c r="H1085" i="124"/>
  <c r="H1086" i="124"/>
  <c r="H1087" i="124"/>
  <c r="H1088" i="124"/>
  <c r="H1089" i="124"/>
  <c r="H1090" i="124"/>
  <c r="H1091" i="124"/>
  <c r="H1092" i="124"/>
  <c r="E1084" i="124"/>
  <c r="L1048" i="124"/>
  <c r="H1074" i="124"/>
  <c r="H1075" i="124"/>
  <c r="H1076" i="124"/>
  <c r="H1077" i="124"/>
  <c r="H1078" i="124"/>
  <c r="H1079" i="124"/>
  <c r="H1080" i="124"/>
  <c r="H1081" i="124"/>
  <c r="H1082" i="124"/>
  <c r="E1074" i="124"/>
  <c r="L1047" i="124"/>
  <c r="H1064" i="124"/>
  <c r="H1065" i="124"/>
  <c r="H1066" i="124"/>
  <c r="H1067" i="124"/>
  <c r="H1068" i="124"/>
  <c r="H1069" i="124"/>
  <c r="H1070" i="124"/>
  <c r="H1071" i="124"/>
  <c r="H1072" i="124"/>
  <c r="E1064" i="124"/>
  <c r="L1046" i="124"/>
  <c r="H1054" i="124"/>
  <c r="H1055" i="124"/>
  <c r="H1056" i="124"/>
  <c r="H1057" i="124"/>
  <c r="H1058" i="124"/>
  <c r="H1059" i="124"/>
  <c r="H1060" i="124"/>
  <c r="H1061" i="124"/>
  <c r="H1062" i="124"/>
  <c r="E1054" i="124"/>
  <c r="L1045" i="124"/>
  <c r="H1044" i="124"/>
  <c r="H1045" i="124"/>
  <c r="H1046" i="124"/>
  <c r="H1047" i="124"/>
  <c r="H1048" i="124"/>
  <c r="H1049" i="124"/>
  <c r="H1050" i="124"/>
  <c r="H1051" i="124"/>
  <c r="H1052" i="124"/>
  <c r="E1044" i="124"/>
  <c r="L1044" i="124"/>
  <c r="H1028" i="124"/>
  <c r="H1029" i="124"/>
  <c r="H1030" i="124"/>
  <c r="H1031" i="124"/>
  <c r="H1032" i="124"/>
  <c r="H1033" i="124"/>
  <c r="H1034" i="124"/>
  <c r="H1035" i="124"/>
  <c r="H1036" i="124"/>
  <c r="E1028" i="124"/>
  <c r="L901" i="124"/>
  <c r="H1018" i="124"/>
  <c r="H1019" i="124"/>
  <c r="H1020" i="124"/>
  <c r="H1021" i="124"/>
  <c r="H1022" i="124"/>
  <c r="H1023" i="124"/>
  <c r="H1024" i="124"/>
  <c r="H1025" i="124"/>
  <c r="H1026" i="124"/>
  <c r="E1018" i="124"/>
  <c r="L900" i="124"/>
  <c r="H1008" i="124"/>
  <c r="H1009" i="124"/>
  <c r="H1010" i="124"/>
  <c r="H1011" i="124"/>
  <c r="H1012" i="124"/>
  <c r="H1013" i="124"/>
  <c r="H1014" i="124"/>
  <c r="H1015" i="124"/>
  <c r="H1016" i="124"/>
  <c r="E1008" i="124"/>
  <c r="L899" i="124"/>
  <c r="H998" i="124"/>
  <c r="H999" i="124"/>
  <c r="H1000" i="124"/>
  <c r="H1001" i="124"/>
  <c r="H1002" i="124"/>
  <c r="H1003" i="124"/>
  <c r="H1004" i="124"/>
  <c r="H1005" i="124"/>
  <c r="H1006" i="124"/>
  <c r="E998" i="124"/>
  <c r="L898" i="124"/>
  <c r="H988" i="124"/>
  <c r="H989" i="124"/>
  <c r="H990" i="124"/>
  <c r="H991" i="124"/>
  <c r="H992" i="124"/>
  <c r="H993" i="124"/>
  <c r="H994" i="124"/>
  <c r="H995" i="124"/>
  <c r="H996" i="124"/>
  <c r="E988" i="124"/>
  <c r="L897" i="124"/>
  <c r="H978" i="124"/>
  <c r="H979" i="124"/>
  <c r="H980" i="124"/>
  <c r="H981" i="124"/>
  <c r="H982" i="124"/>
  <c r="H983" i="124"/>
  <c r="H984" i="124"/>
  <c r="H985" i="124"/>
  <c r="H986" i="124"/>
  <c r="E978" i="124"/>
  <c r="L896" i="124"/>
  <c r="H968" i="124"/>
  <c r="H969" i="124"/>
  <c r="H970" i="124"/>
  <c r="H971" i="124"/>
  <c r="H972" i="124"/>
  <c r="H973" i="124"/>
  <c r="H974" i="124"/>
  <c r="H975" i="124"/>
  <c r="H976" i="124"/>
  <c r="E968" i="124"/>
  <c r="L895" i="124"/>
  <c r="H958" i="124"/>
  <c r="H959" i="124"/>
  <c r="H960" i="124"/>
  <c r="H961" i="124"/>
  <c r="H962" i="124"/>
  <c r="H963" i="124"/>
  <c r="H964" i="124"/>
  <c r="H965" i="124"/>
  <c r="H966" i="124"/>
  <c r="E958" i="124"/>
  <c r="L894" i="124"/>
  <c r="H948" i="124"/>
  <c r="H949" i="124"/>
  <c r="H950" i="124"/>
  <c r="H951" i="124"/>
  <c r="H952" i="124"/>
  <c r="H953" i="124"/>
  <c r="H954" i="124"/>
  <c r="H955" i="124"/>
  <c r="H956" i="124"/>
  <c r="E948" i="124"/>
  <c r="L893" i="124"/>
  <c r="H938" i="124"/>
  <c r="H939" i="124"/>
  <c r="H940" i="124"/>
  <c r="H941" i="124"/>
  <c r="H942" i="124"/>
  <c r="H943" i="124"/>
  <c r="H944" i="124"/>
  <c r="H945" i="124"/>
  <c r="H946" i="124"/>
  <c r="E938" i="124"/>
  <c r="L892" i="124"/>
  <c r="H924" i="124"/>
  <c r="H925" i="124"/>
  <c r="H926" i="124"/>
  <c r="H927" i="124"/>
  <c r="H928" i="124"/>
  <c r="H929" i="124"/>
  <c r="H930" i="124"/>
  <c r="H931" i="124"/>
  <c r="H932" i="124"/>
  <c r="E924" i="124"/>
  <c r="L888" i="124"/>
  <c r="H914" i="124"/>
  <c r="H915" i="124"/>
  <c r="H916" i="124"/>
  <c r="H917" i="124"/>
  <c r="H918" i="124"/>
  <c r="H919" i="124"/>
  <c r="H920" i="124"/>
  <c r="H921" i="124"/>
  <c r="H922" i="124"/>
  <c r="E914" i="124"/>
  <c r="L887" i="124"/>
  <c r="H904" i="124"/>
  <c r="H905" i="124"/>
  <c r="H906" i="124"/>
  <c r="H907" i="124"/>
  <c r="H908" i="124"/>
  <c r="H909" i="124"/>
  <c r="H910" i="124"/>
  <c r="H911" i="124"/>
  <c r="H912" i="124"/>
  <c r="E904" i="124"/>
  <c r="L886" i="124"/>
  <c r="H894" i="124"/>
  <c r="H895" i="124"/>
  <c r="H896" i="124"/>
  <c r="H897" i="124"/>
  <c r="H898" i="124"/>
  <c r="H899" i="124"/>
  <c r="H900" i="124"/>
  <c r="H901" i="124"/>
  <c r="H902" i="124"/>
  <c r="E894" i="124"/>
  <c r="L885" i="124"/>
  <c r="H884" i="124"/>
  <c r="H885" i="124"/>
  <c r="H886" i="124"/>
  <c r="H887" i="124"/>
  <c r="H888" i="124"/>
  <c r="H889" i="124"/>
  <c r="H890" i="124"/>
  <c r="H891" i="124"/>
  <c r="H892" i="124"/>
  <c r="E884" i="124"/>
  <c r="L884" i="124"/>
  <c r="H868" i="124"/>
  <c r="H869" i="124"/>
  <c r="H870" i="124"/>
  <c r="H871" i="124"/>
  <c r="H872" i="124"/>
  <c r="H873" i="124"/>
  <c r="H874" i="124"/>
  <c r="H875" i="124"/>
  <c r="H876" i="124"/>
  <c r="E868" i="124"/>
  <c r="L741" i="124"/>
  <c r="H858" i="124"/>
  <c r="H859" i="124"/>
  <c r="H860" i="124"/>
  <c r="H861" i="124"/>
  <c r="H862" i="124"/>
  <c r="H863" i="124"/>
  <c r="H864" i="124"/>
  <c r="H865" i="124"/>
  <c r="H866" i="124"/>
  <c r="E858" i="124"/>
  <c r="L740" i="124"/>
  <c r="H848" i="124"/>
  <c r="H849" i="124"/>
  <c r="H850" i="124"/>
  <c r="H851" i="124"/>
  <c r="H852" i="124"/>
  <c r="H853" i="124"/>
  <c r="H854" i="124"/>
  <c r="H855" i="124"/>
  <c r="H856" i="124"/>
  <c r="E848" i="124"/>
  <c r="L739" i="124"/>
  <c r="H838" i="124"/>
  <c r="H839" i="124"/>
  <c r="H840" i="124"/>
  <c r="H841" i="124"/>
  <c r="H842" i="124"/>
  <c r="H843" i="124"/>
  <c r="H844" i="124"/>
  <c r="H845" i="124"/>
  <c r="H846" i="124"/>
  <c r="E838" i="124"/>
  <c r="L738" i="124"/>
  <c r="H828" i="124"/>
  <c r="H829" i="124"/>
  <c r="H830" i="124"/>
  <c r="H831" i="124"/>
  <c r="H832" i="124"/>
  <c r="H833" i="124"/>
  <c r="H834" i="124"/>
  <c r="H835" i="124"/>
  <c r="H836" i="124"/>
  <c r="E828" i="124"/>
  <c r="L737" i="124"/>
  <c r="H818" i="124"/>
  <c r="H819" i="124"/>
  <c r="H820" i="124"/>
  <c r="H821" i="124"/>
  <c r="H822" i="124"/>
  <c r="H823" i="124"/>
  <c r="H824" i="124"/>
  <c r="H825" i="124"/>
  <c r="H826" i="124"/>
  <c r="E818" i="124"/>
  <c r="L736" i="124"/>
  <c r="H808" i="124"/>
  <c r="H809" i="124"/>
  <c r="H810" i="124"/>
  <c r="H811" i="124"/>
  <c r="H812" i="124"/>
  <c r="H813" i="124"/>
  <c r="H814" i="124"/>
  <c r="H815" i="124"/>
  <c r="H816" i="124"/>
  <c r="E808" i="124"/>
  <c r="L735" i="124"/>
  <c r="H798" i="124"/>
  <c r="H799" i="124"/>
  <c r="H800" i="124"/>
  <c r="H801" i="124"/>
  <c r="H802" i="124"/>
  <c r="H803" i="124"/>
  <c r="H804" i="124"/>
  <c r="H805" i="124"/>
  <c r="H806" i="124"/>
  <c r="E798" i="124"/>
  <c r="L734" i="124"/>
  <c r="H788" i="124"/>
  <c r="H789" i="124"/>
  <c r="H790" i="124"/>
  <c r="H791" i="124"/>
  <c r="H792" i="124"/>
  <c r="H793" i="124"/>
  <c r="H794" i="124"/>
  <c r="H795" i="124"/>
  <c r="H796" i="124"/>
  <c r="E788" i="124"/>
  <c r="L733" i="124"/>
  <c r="H778" i="124"/>
  <c r="H779" i="124"/>
  <c r="H780" i="124"/>
  <c r="H781" i="124"/>
  <c r="H782" i="124"/>
  <c r="H783" i="124"/>
  <c r="H784" i="124"/>
  <c r="H785" i="124"/>
  <c r="H786" i="124"/>
  <c r="E778" i="124"/>
  <c r="L732" i="124"/>
  <c r="H764" i="124"/>
  <c r="H765" i="124"/>
  <c r="H766" i="124"/>
  <c r="H767" i="124"/>
  <c r="H768" i="124"/>
  <c r="H769" i="124"/>
  <c r="H770" i="124"/>
  <c r="H771" i="124"/>
  <c r="H772" i="124"/>
  <c r="E764" i="124"/>
  <c r="L728" i="124"/>
  <c r="H754" i="124"/>
  <c r="H755" i="124"/>
  <c r="H756" i="124"/>
  <c r="H757" i="124"/>
  <c r="H758" i="124"/>
  <c r="H759" i="124"/>
  <c r="H760" i="124"/>
  <c r="H761" i="124"/>
  <c r="H762" i="124"/>
  <c r="E754" i="124"/>
  <c r="L727" i="124"/>
  <c r="H744" i="124"/>
  <c r="H745" i="124"/>
  <c r="H746" i="124"/>
  <c r="H747" i="124"/>
  <c r="H748" i="124"/>
  <c r="H749" i="124"/>
  <c r="H750" i="124"/>
  <c r="H751" i="124"/>
  <c r="H752" i="124"/>
  <c r="E744" i="124"/>
  <c r="L726" i="124"/>
  <c r="H734" i="124"/>
  <c r="H735" i="124"/>
  <c r="H736" i="124"/>
  <c r="H737" i="124"/>
  <c r="H738" i="124"/>
  <c r="H739" i="124"/>
  <c r="H740" i="124"/>
  <c r="H741" i="124"/>
  <c r="H742" i="124"/>
  <c r="E734" i="124"/>
  <c r="L725" i="124"/>
  <c r="H724" i="124"/>
  <c r="H725" i="124"/>
  <c r="H726" i="124"/>
  <c r="H727" i="124"/>
  <c r="H728" i="124"/>
  <c r="H729" i="124"/>
  <c r="H730" i="124"/>
  <c r="H731" i="124"/>
  <c r="H732" i="124"/>
  <c r="E724" i="124"/>
  <c r="L724" i="124"/>
  <c r="H708" i="124"/>
  <c r="H709" i="124"/>
  <c r="H710" i="124"/>
  <c r="H711" i="124"/>
  <c r="H712" i="124"/>
  <c r="H713" i="124"/>
  <c r="H714" i="124"/>
  <c r="H715" i="124"/>
  <c r="H716" i="124"/>
  <c r="E708" i="124"/>
  <c r="L581" i="124"/>
  <c r="H698" i="124"/>
  <c r="H699" i="124"/>
  <c r="H700" i="124"/>
  <c r="H701" i="124"/>
  <c r="H702" i="124"/>
  <c r="H703" i="124"/>
  <c r="H704" i="124"/>
  <c r="H705" i="124"/>
  <c r="H706" i="124"/>
  <c r="E698" i="124"/>
  <c r="L580" i="124"/>
  <c r="H688" i="124"/>
  <c r="H689" i="124"/>
  <c r="H690" i="124"/>
  <c r="H691" i="124"/>
  <c r="H692" i="124"/>
  <c r="H693" i="124"/>
  <c r="H694" i="124"/>
  <c r="H695" i="124"/>
  <c r="H696" i="124"/>
  <c r="E688" i="124"/>
  <c r="L579" i="124"/>
  <c r="H678" i="124"/>
  <c r="H679" i="124"/>
  <c r="H680" i="124"/>
  <c r="H681" i="124"/>
  <c r="H682" i="124"/>
  <c r="H683" i="124"/>
  <c r="H684" i="124"/>
  <c r="H685" i="124"/>
  <c r="H686" i="124"/>
  <c r="E678" i="124"/>
  <c r="L578" i="124"/>
  <c r="H668" i="124"/>
  <c r="H669" i="124"/>
  <c r="H670" i="124"/>
  <c r="H671" i="124"/>
  <c r="H672" i="124"/>
  <c r="H673" i="124"/>
  <c r="H674" i="124"/>
  <c r="H675" i="124"/>
  <c r="H676" i="124"/>
  <c r="E668" i="124"/>
  <c r="L577" i="124"/>
  <c r="H658" i="124"/>
  <c r="H659" i="124"/>
  <c r="H660" i="124"/>
  <c r="H661" i="124"/>
  <c r="H662" i="124"/>
  <c r="H663" i="124"/>
  <c r="H664" i="124"/>
  <c r="H665" i="124"/>
  <c r="H666" i="124"/>
  <c r="E658" i="124"/>
  <c r="L576" i="124"/>
  <c r="H648" i="124"/>
  <c r="H649" i="124"/>
  <c r="H650" i="124"/>
  <c r="H651" i="124"/>
  <c r="H652" i="124"/>
  <c r="H653" i="124"/>
  <c r="H654" i="124"/>
  <c r="H655" i="124"/>
  <c r="H656" i="124"/>
  <c r="E648" i="124"/>
  <c r="L575" i="124"/>
  <c r="H638" i="124"/>
  <c r="H639" i="124"/>
  <c r="H640" i="124"/>
  <c r="H641" i="124"/>
  <c r="H642" i="124"/>
  <c r="H643" i="124"/>
  <c r="H644" i="124"/>
  <c r="H645" i="124"/>
  <c r="H646" i="124"/>
  <c r="E638" i="124"/>
  <c r="L574" i="124"/>
  <c r="H628" i="124"/>
  <c r="H629" i="124"/>
  <c r="H630" i="124"/>
  <c r="H631" i="124"/>
  <c r="H632" i="124"/>
  <c r="H633" i="124"/>
  <c r="H634" i="124"/>
  <c r="H635" i="124"/>
  <c r="H636" i="124"/>
  <c r="E628" i="124"/>
  <c r="L573" i="124"/>
  <c r="H618" i="124"/>
  <c r="H619" i="124"/>
  <c r="H620" i="124"/>
  <c r="H621" i="124"/>
  <c r="H622" i="124"/>
  <c r="H623" i="124"/>
  <c r="H624" i="124"/>
  <c r="H625" i="124"/>
  <c r="H626" i="124"/>
  <c r="E618" i="124"/>
  <c r="L572" i="124"/>
  <c r="H604" i="124"/>
  <c r="H605" i="124"/>
  <c r="H606" i="124"/>
  <c r="H607" i="124"/>
  <c r="H608" i="124"/>
  <c r="H609" i="124"/>
  <c r="H610" i="124"/>
  <c r="H611" i="124"/>
  <c r="H612" i="124"/>
  <c r="E604" i="124"/>
  <c r="L568" i="124"/>
  <c r="H594" i="124"/>
  <c r="H595" i="124"/>
  <c r="H596" i="124"/>
  <c r="H597" i="124"/>
  <c r="H598" i="124"/>
  <c r="H599" i="124"/>
  <c r="H600" i="124"/>
  <c r="H601" i="124"/>
  <c r="H602" i="124"/>
  <c r="E594" i="124"/>
  <c r="L567" i="124"/>
  <c r="H584" i="124"/>
  <c r="H585" i="124"/>
  <c r="H586" i="124"/>
  <c r="H587" i="124"/>
  <c r="H588" i="124"/>
  <c r="H589" i="124"/>
  <c r="H590" i="124"/>
  <c r="H591" i="124"/>
  <c r="H592" i="124"/>
  <c r="E584" i="124"/>
  <c r="L566" i="124"/>
  <c r="H574" i="124"/>
  <c r="H575" i="124"/>
  <c r="H576" i="124"/>
  <c r="H577" i="124"/>
  <c r="H578" i="124"/>
  <c r="H579" i="124"/>
  <c r="H580" i="124"/>
  <c r="H581" i="124"/>
  <c r="H582" i="124"/>
  <c r="E574" i="124"/>
  <c r="L565" i="124"/>
  <c r="H564" i="124"/>
  <c r="H565" i="124"/>
  <c r="H566" i="124"/>
  <c r="H567" i="124"/>
  <c r="H568" i="124"/>
  <c r="H569" i="124"/>
  <c r="H570" i="124"/>
  <c r="H571" i="124"/>
  <c r="H572" i="124"/>
  <c r="E564" i="124"/>
  <c r="L564" i="124"/>
  <c r="H548" i="124"/>
  <c r="H549" i="124"/>
  <c r="H550" i="124"/>
  <c r="H551" i="124"/>
  <c r="H552" i="124"/>
  <c r="H553" i="124"/>
  <c r="H554" i="124"/>
  <c r="H555" i="124"/>
  <c r="H556" i="124"/>
  <c r="E548" i="124"/>
  <c r="L441" i="124"/>
  <c r="H538" i="124"/>
  <c r="H539" i="124"/>
  <c r="H540" i="124"/>
  <c r="H541" i="124"/>
  <c r="H542" i="124"/>
  <c r="H543" i="124"/>
  <c r="H544" i="124"/>
  <c r="H545" i="124"/>
  <c r="H546" i="124"/>
  <c r="E538" i="124"/>
  <c r="L440" i="124"/>
  <c r="H528" i="124"/>
  <c r="H529" i="124"/>
  <c r="H530" i="124"/>
  <c r="H531" i="124"/>
  <c r="H532" i="124"/>
  <c r="H533" i="124"/>
  <c r="H534" i="124"/>
  <c r="H535" i="124"/>
  <c r="H536" i="124"/>
  <c r="E528" i="124"/>
  <c r="L439" i="124"/>
  <c r="H518" i="124"/>
  <c r="H519" i="124"/>
  <c r="H520" i="124"/>
  <c r="H521" i="124"/>
  <c r="H522" i="124"/>
  <c r="H523" i="124"/>
  <c r="H524" i="124"/>
  <c r="H525" i="124"/>
  <c r="H526" i="124"/>
  <c r="E518" i="124"/>
  <c r="L438" i="124"/>
  <c r="H508" i="124"/>
  <c r="H509" i="124"/>
  <c r="H510" i="124"/>
  <c r="H511" i="124"/>
  <c r="H512" i="124"/>
  <c r="H513" i="124"/>
  <c r="H514" i="124"/>
  <c r="H515" i="124"/>
  <c r="H516" i="124"/>
  <c r="E508" i="124"/>
  <c r="L437" i="124"/>
  <c r="H498" i="124"/>
  <c r="H499" i="124"/>
  <c r="H500" i="124"/>
  <c r="H501" i="124"/>
  <c r="H502" i="124"/>
  <c r="H503" i="124"/>
  <c r="H504" i="124"/>
  <c r="H505" i="124"/>
  <c r="H506" i="124"/>
  <c r="E498" i="124"/>
  <c r="L436" i="124"/>
  <c r="L434" i="124"/>
  <c r="E478" i="124"/>
  <c r="L433" i="124"/>
  <c r="E468" i="124"/>
  <c r="L432" i="124"/>
  <c r="D465" i="124"/>
  <c r="E454" i="124"/>
  <c r="L428" i="124"/>
  <c r="E444" i="124"/>
  <c r="L426" i="124"/>
  <c r="E434" i="124"/>
  <c r="L425" i="124"/>
  <c r="E424" i="124"/>
  <c r="L424" i="124"/>
  <c r="H409" i="124"/>
  <c r="H410" i="124"/>
  <c r="H411" i="124"/>
  <c r="H412" i="124"/>
  <c r="H413" i="124"/>
  <c r="H414" i="124"/>
  <c r="H415" i="124"/>
  <c r="H416" i="124"/>
  <c r="H417" i="124"/>
  <c r="E409" i="124"/>
  <c r="H399" i="124"/>
  <c r="H400" i="124"/>
  <c r="H401" i="124"/>
  <c r="H402" i="124"/>
  <c r="H403" i="124"/>
  <c r="H404" i="124"/>
  <c r="H405" i="124"/>
  <c r="H406" i="124"/>
  <c r="H407" i="124"/>
  <c r="E399" i="124"/>
  <c r="H389" i="124"/>
  <c r="H390" i="124"/>
  <c r="H391" i="124"/>
  <c r="H392" i="124"/>
  <c r="H393" i="124"/>
  <c r="H394" i="124"/>
  <c r="H395" i="124"/>
  <c r="H396" i="124"/>
  <c r="H397" i="124"/>
  <c r="E389" i="124"/>
  <c r="H379" i="124"/>
  <c r="H380" i="124"/>
  <c r="H381" i="124"/>
  <c r="H382" i="124"/>
  <c r="H383" i="124"/>
  <c r="H384" i="124"/>
  <c r="H385" i="124"/>
  <c r="H386" i="124"/>
  <c r="H387" i="124"/>
  <c r="E379" i="124"/>
  <c r="H369" i="124"/>
  <c r="H370" i="124"/>
  <c r="H371" i="124"/>
  <c r="H372" i="124"/>
  <c r="H373" i="124"/>
  <c r="H374" i="124"/>
  <c r="H375" i="124"/>
  <c r="H376" i="124"/>
  <c r="H377" i="124"/>
  <c r="E369" i="124"/>
  <c r="H359" i="124"/>
  <c r="H360" i="124"/>
  <c r="H361" i="124"/>
  <c r="H362" i="124"/>
  <c r="H363" i="124"/>
  <c r="H364" i="124"/>
  <c r="H365" i="124"/>
  <c r="H366" i="124"/>
  <c r="H367" i="124"/>
  <c r="E359" i="124"/>
  <c r="H349" i="124"/>
  <c r="H350" i="124"/>
  <c r="H351" i="124"/>
  <c r="H352" i="124"/>
  <c r="H353" i="124"/>
  <c r="H354" i="124"/>
  <c r="H355" i="124"/>
  <c r="H356" i="124"/>
  <c r="H357" i="124"/>
  <c r="E349" i="124"/>
  <c r="E339" i="124"/>
  <c r="E330" i="124"/>
  <c r="L294" i="124"/>
  <c r="H316" i="124"/>
  <c r="H317" i="124"/>
  <c r="H318" i="124"/>
  <c r="H319" i="124"/>
  <c r="H320" i="124"/>
  <c r="H321" i="124"/>
  <c r="H322" i="124"/>
  <c r="H323" i="124"/>
  <c r="H324" i="124"/>
  <c r="E316" i="124"/>
  <c r="L290" i="124"/>
  <c r="H306" i="124"/>
  <c r="H307" i="124"/>
  <c r="H308" i="124"/>
  <c r="H309" i="124"/>
  <c r="H310" i="124"/>
  <c r="H311" i="124"/>
  <c r="H312" i="124"/>
  <c r="H313" i="124"/>
  <c r="H314" i="124"/>
  <c r="E306" i="124"/>
  <c r="L289" i="124"/>
  <c r="H304" i="124"/>
  <c r="E296" i="124"/>
  <c r="L288" i="124"/>
  <c r="E286" i="124"/>
  <c r="L286" i="124"/>
  <c r="H271" i="124"/>
  <c r="H272" i="124"/>
  <c r="H273" i="124"/>
  <c r="H274" i="124"/>
  <c r="H275" i="124"/>
  <c r="H276" i="124"/>
  <c r="H277" i="124"/>
  <c r="H278" i="124"/>
  <c r="H279" i="124"/>
  <c r="E271" i="124"/>
  <c r="H261" i="124"/>
  <c r="H262" i="124"/>
  <c r="H263" i="124"/>
  <c r="H264" i="124"/>
  <c r="H265" i="124"/>
  <c r="H266" i="124"/>
  <c r="H267" i="124"/>
  <c r="H268" i="124"/>
  <c r="H269" i="124"/>
  <c r="E261" i="124"/>
  <c r="H251" i="124"/>
  <c r="H252" i="124"/>
  <c r="H253" i="124"/>
  <c r="H254" i="124"/>
  <c r="H255" i="124"/>
  <c r="H256" i="124"/>
  <c r="H257" i="124"/>
  <c r="H258" i="124"/>
  <c r="H259" i="124"/>
  <c r="E251" i="124"/>
  <c r="H241" i="124"/>
  <c r="H242" i="124"/>
  <c r="H243" i="124"/>
  <c r="H244" i="124"/>
  <c r="H245" i="124"/>
  <c r="H246" i="124"/>
  <c r="H247" i="124"/>
  <c r="H248" i="124"/>
  <c r="H249" i="124"/>
  <c r="E241" i="124"/>
  <c r="H231" i="124"/>
  <c r="H232" i="124"/>
  <c r="H233" i="124"/>
  <c r="H234" i="124"/>
  <c r="H235" i="124"/>
  <c r="H236" i="124"/>
  <c r="H237" i="124"/>
  <c r="H238" i="124"/>
  <c r="H239" i="124"/>
  <c r="E231" i="124"/>
  <c r="E221" i="124"/>
  <c r="E202" i="124"/>
  <c r="L134" i="124"/>
  <c r="H188" i="124"/>
  <c r="H189" i="124"/>
  <c r="H190" i="124"/>
  <c r="H191" i="124"/>
  <c r="H192" i="124"/>
  <c r="H193" i="124"/>
  <c r="H194" i="124"/>
  <c r="H195" i="124"/>
  <c r="H196" i="124"/>
  <c r="E188" i="124"/>
  <c r="H178" i="124"/>
  <c r="H179" i="124"/>
  <c r="H180" i="124"/>
  <c r="H181" i="124"/>
  <c r="H182" i="124"/>
  <c r="H183" i="124"/>
  <c r="H184" i="124"/>
  <c r="H185" i="124"/>
  <c r="H186" i="124"/>
  <c r="E178" i="124"/>
  <c r="H168" i="124"/>
  <c r="H169" i="124"/>
  <c r="H170" i="124"/>
  <c r="H171" i="124"/>
  <c r="H172" i="124"/>
  <c r="H173" i="124"/>
  <c r="H174" i="124"/>
  <c r="H175" i="124"/>
  <c r="H176" i="124"/>
  <c r="E168" i="124"/>
  <c r="E111" i="124"/>
  <c r="E94" i="124"/>
  <c r="E84" i="124"/>
  <c r="AI37" i="124"/>
  <c r="AH37" i="124"/>
  <c r="H59" i="124"/>
  <c r="H60" i="124"/>
  <c r="H61" i="124"/>
  <c r="H62" i="124"/>
  <c r="H63" i="124"/>
  <c r="H64" i="124"/>
  <c r="H65" i="124"/>
  <c r="H66" i="124"/>
  <c r="H67" i="124"/>
  <c r="E59" i="124"/>
  <c r="L23" i="124"/>
  <c r="H49" i="124"/>
  <c r="H50" i="124"/>
  <c r="H51" i="124"/>
  <c r="H52" i="124"/>
  <c r="H53" i="124"/>
  <c r="H54" i="124"/>
  <c r="H55" i="124"/>
  <c r="H56" i="124"/>
  <c r="H57" i="124"/>
  <c r="E49" i="124"/>
  <c r="L22" i="124"/>
  <c r="AI46" i="124"/>
  <c r="AH46" i="124"/>
  <c r="N12" i="125"/>
  <c r="AI45" i="124"/>
  <c r="AH45" i="124"/>
  <c r="N11" i="125"/>
  <c r="AI44" i="124"/>
  <c r="AH44" i="124"/>
  <c r="N10" i="125"/>
  <c r="AJ43" i="124"/>
  <c r="AI43" i="124"/>
  <c r="AH43" i="124"/>
  <c r="N9" i="125"/>
  <c r="AI42" i="124"/>
  <c r="AH42" i="124"/>
  <c r="N8" i="125"/>
  <c r="N25" i="125"/>
  <c r="Q24" i="125"/>
  <c r="Q23" i="125"/>
  <c r="E39" i="124"/>
  <c r="L21" i="124"/>
  <c r="Q22" i="125"/>
  <c r="AH34" i="124"/>
  <c r="I12" i="125"/>
  <c r="AH33" i="124"/>
  <c r="I11" i="125"/>
  <c r="AH32" i="124"/>
  <c r="I10" i="125"/>
  <c r="AH31" i="124"/>
  <c r="I9" i="125"/>
  <c r="AH30" i="124"/>
  <c r="I8" i="125"/>
  <c r="I25" i="125"/>
  <c r="E29" i="124"/>
  <c r="I24" i="125"/>
  <c r="I23" i="125"/>
  <c r="AI26" i="124"/>
  <c r="AH26" i="124"/>
  <c r="AI25" i="124"/>
  <c r="AH25" i="124"/>
  <c r="AI23" i="124"/>
  <c r="AI22" i="124"/>
  <c r="AI21" i="124"/>
  <c r="AI20" i="124"/>
  <c r="AI19" i="124"/>
  <c r="E19" i="124"/>
  <c r="L19" i="124"/>
  <c r="AI18" i="124"/>
  <c r="AG47" i="124"/>
  <c r="L174" i="4"/>
  <c r="L175" i="4"/>
  <c r="I171" i="4"/>
  <c r="L167" i="4"/>
  <c r="L168" i="4"/>
  <c r="I164" i="4"/>
  <c r="H148" i="4"/>
  <c r="I148" i="4"/>
  <c r="H177" i="4"/>
  <c r="P15" i="4"/>
  <c r="Q15" i="4"/>
  <c r="I98" i="4"/>
  <c r="I109" i="4"/>
  <c r="I120" i="4"/>
  <c r="H129" i="4"/>
  <c r="P23" i="4"/>
  <c r="Q23" i="4"/>
  <c r="I76" i="4"/>
  <c r="I88" i="4"/>
  <c r="H95" i="4"/>
  <c r="P14" i="4"/>
  <c r="Q14" i="4"/>
  <c r="I62" i="4"/>
  <c r="I54" i="4"/>
  <c r="I44" i="4"/>
  <c r="I37" i="4"/>
  <c r="H71" i="4"/>
  <c r="P22" i="4"/>
  <c r="Q22" i="4"/>
  <c r="Q24" i="4"/>
  <c r="Q25" i="4"/>
  <c r="Q28" i="4"/>
  <c r="I18" i="4"/>
  <c r="I26" i="4"/>
  <c r="H34" i="4"/>
  <c r="P13" i="4"/>
  <c r="Q13" i="4"/>
  <c r="O25" i="4"/>
  <c r="O16" i="4"/>
  <c r="J24" i="12"/>
  <c r="I24" i="12"/>
  <c r="H24" i="12"/>
  <c r="G24" i="12"/>
  <c r="F24" i="12"/>
  <c r="E24" i="12"/>
  <c r="J23" i="12"/>
  <c r="I23" i="12"/>
  <c r="H23" i="12"/>
  <c r="G23" i="12"/>
  <c r="F23" i="12"/>
  <c r="E23" i="12"/>
  <c r="J22" i="12"/>
  <c r="I22" i="12"/>
  <c r="H22" i="12"/>
  <c r="G22" i="12"/>
  <c r="F22" i="12"/>
  <c r="E22" i="12"/>
  <c r="J21" i="12"/>
  <c r="I21" i="12"/>
  <c r="H21" i="12"/>
  <c r="G21" i="12"/>
  <c r="F21" i="12"/>
  <c r="E21" i="12"/>
  <c r="J20" i="12"/>
  <c r="I20" i="12"/>
  <c r="H20" i="12"/>
  <c r="G20" i="12"/>
  <c r="F20" i="12"/>
  <c r="E20" i="12"/>
  <c r="J19" i="12"/>
  <c r="I19" i="12"/>
  <c r="H19" i="12"/>
  <c r="G19" i="12"/>
  <c r="F19" i="12"/>
  <c r="E19" i="12"/>
  <c r="J18" i="12"/>
  <c r="I18" i="12"/>
  <c r="H18" i="12"/>
  <c r="G18" i="12"/>
  <c r="F18" i="12"/>
  <c r="E18" i="12"/>
  <c r="J17" i="12"/>
  <c r="I17" i="12"/>
  <c r="H17" i="12"/>
  <c r="G17" i="12"/>
  <c r="F17" i="12"/>
  <c r="E17" i="12"/>
  <c r="J16" i="12"/>
  <c r="I16" i="12"/>
  <c r="H16" i="12"/>
  <c r="G16" i="12"/>
  <c r="F16" i="12"/>
  <c r="E16" i="12"/>
  <c r="J15" i="12"/>
  <c r="I15" i="12"/>
  <c r="H15" i="12"/>
  <c r="G15" i="12"/>
  <c r="F15" i="12"/>
  <c r="E15" i="12"/>
  <c r="J14" i="12"/>
  <c r="I14" i="12"/>
  <c r="H14" i="12"/>
  <c r="G14" i="12"/>
  <c r="F14" i="12"/>
  <c r="E14" i="12"/>
  <c r="J13" i="12"/>
  <c r="I13" i="12"/>
  <c r="H13" i="12"/>
  <c r="G13" i="12"/>
  <c r="F13" i="12"/>
  <c r="E13" i="12"/>
  <c r="J12" i="12"/>
  <c r="I12" i="12"/>
  <c r="H12" i="12"/>
  <c r="G12" i="12"/>
  <c r="F12" i="12"/>
  <c r="E12" i="12"/>
  <c r="J11" i="12"/>
  <c r="I11" i="12"/>
  <c r="H11" i="12"/>
  <c r="G11" i="12"/>
  <c r="F11" i="12"/>
  <c r="E11" i="12"/>
  <c r="J10" i="12"/>
  <c r="I10" i="12"/>
  <c r="H10" i="12"/>
  <c r="G10" i="12"/>
  <c r="F10" i="12"/>
  <c r="E10" i="12"/>
  <c r="J9" i="12"/>
  <c r="I9" i="12"/>
  <c r="H9" i="12"/>
  <c r="G9" i="12"/>
  <c r="F9" i="12"/>
  <c r="E9" i="12"/>
  <c r="J8" i="12"/>
  <c r="I8" i="12"/>
  <c r="H8" i="12"/>
  <c r="G8" i="12"/>
  <c r="F8" i="12"/>
  <c r="E8" i="12"/>
  <c r="J7" i="12"/>
  <c r="I7" i="12"/>
  <c r="H7" i="12"/>
  <c r="G7" i="12"/>
  <c r="F7" i="12"/>
  <c r="E7" i="12"/>
  <c r="J21" i="125"/>
  <c r="L21" i="125"/>
  <c r="Q16" i="4"/>
  <c r="Q19" i="4"/>
  <c r="P31" i="4"/>
  <c r="P33" i="4"/>
  <c r="AI35" i="124"/>
  <c r="N21" i="125"/>
  <c r="O25" i="125"/>
  <c r="Q25" i="125"/>
  <c r="AI40" i="124"/>
  <c r="AI47" i="124"/>
  <c r="M134" i="124"/>
  <c r="L23" i="125"/>
  <c r="J24" i="125"/>
  <c r="L24" i="125"/>
  <c r="AK43" i="124"/>
  <c r="Q9" i="125"/>
  <c r="I22" i="125"/>
  <c r="J22" i="125"/>
  <c r="V1375" i="124"/>
  <c r="M564" i="124"/>
  <c r="AJ30" i="124"/>
  <c r="K8" i="125"/>
  <c r="D6" i="12"/>
  <c r="M294" i="124"/>
  <c r="P5" i="125"/>
  <c r="M432" i="124"/>
  <c r="P6" i="125"/>
  <c r="M572" i="124"/>
  <c r="M1044" i="124"/>
  <c r="AJ33" i="124"/>
  <c r="K11" i="125"/>
  <c r="M1052" i="124"/>
  <c r="AJ45" i="124"/>
  <c r="AK45" i="124"/>
  <c r="Q11" i="125"/>
  <c r="M724" i="124"/>
  <c r="AJ31" i="124"/>
  <c r="K9" i="125"/>
  <c r="AG21" i="124"/>
  <c r="M1204" i="124"/>
  <c r="AJ34" i="124"/>
  <c r="K12" i="125"/>
  <c r="M1212" i="124"/>
  <c r="AJ46" i="124"/>
  <c r="AK46" i="124"/>
  <c r="Q12" i="125"/>
  <c r="M286" i="124"/>
  <c r="K5" i="125"/>
  <c r="AJ26" i="124"/>
  <c r="AG32" i="124"/>
  <c r="AG30" i="124"/>
  <c r="AG40" i="124"/>
  <c r="AG24" i="124"/>
  <c r="AG34" i="124"/>
  <c r="AG37" i="124"/>
  <c r="M892" i="124"/>
  <c r="AJ44" i="124"/>
  <c r="AK44" i="124"/>
  <c r="Q10" i="125"/>
  <c r="M732" i="124"/>
  <c r="AJ42" i="124"/>
  <c r="AK42" i="124"/>
  <c r="Q8" i="125"/>
  <c r="M884" i="124"/>
  <c r="AJ32" i="124"/>
  <c r="M424" i="124"/>
  <c r="AJ28" i="124"/>
  <c r="M19" i="124"/>
  <c r="AJ25" i="124"/>
  <c r="K3" i="125"/>
  <c r="AG44" i="124"/>
  <c r="V1372" i="124"/>
  <c r="W1371" i="124"/>
  <c r="AG18" i="124"/>
  <c r="AG20" i="124"/>
  <c r="AG25" i="124"/>
  <c r="AG27" i="124"/>
  <c r="AG38" i="124"/>
  <c r="AG41" i="124"/>
  <c r="AG45" i="124"/>
  <c r="AG19" i="124"/>
  <c r="AG26" i="124"/>
  <c r="AG29" i="124"/>
  <c r="AG31" i="124"/>
  <c r="AG33" i="124"/>
  <c r="AG35" i="124"/>
  <c r="AG42" i="124"/>
  <c r="AG46" i="124"/>
  <c r="AG23" i="124"/>
  <c r="AG22" i="124"/>
  <c r="AG28" i="124"/>
  <c r="AG36" i="124"/>
  <c r="AG39" i="124"/>
  <c r="AG43" i="124"/>
  <c r="Q21" i="125"/>
  <c r="Q31" i="125"/>
  <c r="Q33" i="125"/>
  <c r="O31" i="125"/>
  <c r="AJ38" i="124"/>
  <c r="AK38" i="124"/>
  <c r="Q4" i="125"/>
  <c r="P4" i="125"/>
  <c r="AJ37" i="124"/>
  <c r="AK37" i="124"/>
  <c r="Q3" i="125"/>
  <c r="AK31" i="124"/>
  <c r="L9" i="125"/>
  <c r="AK30" i="124"/>
  <c r="L8" i="125"/>
  <c r="AJ40" i="124"/>
  <c r="AJ39" i="124"/>
  <c r="AK39" i="124"/>
  <c r="Q5" i="125"/>
  <c r="K6" i="125"/>
  <c r="AJ27" i="124"/>
  <c r="AK27" i="124"/>
  <c r="L5" i="125"/>
  <c r="AK33" i="124"/>
  <c r="L11" i="125"/>
  <c r="L22" i="125"/>
  <c r="L31" i="125"/>
  <c r="L33" i="125"/>
  <c r="J31" i="125"/>
  <c r="AK41" i="124"/>
  <c r="Q7" i="125"/>
  <c r="AK34" i="124"/>
  <c r="L12" i="125"/>
  <c r="K10" i="125"/>
  <c r="AK32" i="124"/>
  <c r="L10" i="125"/>
  <c r="AK26" i="124"/>
  <c r="L4" i="125"/>
  <c r="AK29" i="124"/>
  <c r="L7" i="125"/>
  <c r="AK25" i="124"/>
  <c r="L3" i="125"/>
  <c r="G31" i="125"/>
  <c r="F33" i="125"/>
  <c r="AJ35" i="124"/>
  <c r="AK28" i="124"/>
  <c r="L6" i="125"/>
  <c r="L13" i="125"/>
  <c r="L15" i="125"/>
  <c r="K13" i="125"/>
  <c r="AJ47" i="124"/>
  <c r="AK40" i="124"/>
  <c r="Q6" i="125"/>
  <c r="Q13" i="125"/>
  <c r="Q15" i="125"/>
  <c r="P13" i="125"/>
  <c r="AK35" i="124"/>
  <c r="AK47" i="124"/>
  <c r="G13" i="125"/>
  <c r="F15" i="125"/>
  <c r="J6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 e r u</author>
  </authors>
  <commentList>
    <comment ref="D19" authorId="0" shapeId="0" xr:uid="{00000000-0006-0000-0300-000001000000}">
      <text>
        <r>
          <rPr>
            <b/>
            <sz val="9"/>
            <rFont val="Tahoma"/>
            <family val="2"/>
          </rPr>
          <t>H e r u:</t>
        </r>
        <r>
          <rPr>
            <sz val="9"/>
            <rFont val="Tahoma"/>
            <family val="2"/>
          </rPr>
          <t xml:space="preserve">
Isi pencapaian disini</t>
        </r>
      </text>
    </comment>
    <comment ref="D29" authorId="0" shapeId="0" xr:uid="{00000000-0006-0000-0300-000002000000}">
      <text>
        <r>
          <rPr>
            <b/>
            <sz val="9"/>
            <rFont val="Tahoma"/>
            <family val="2"/>
          </rPr>
          <t>H e r u:</t>
        </r>
        <r>
          <rPr>
            <sz val="9"/>
            <rFont val="Tahoma"/>
            <family val="2"/>
          </rPr>
          <t xml:space="preserve">
Isi pencapaian disini</t>
        </r>
      </text>
    </comment>
    <comment ref="D39" authorId="0" shapeId="0" xr:uid="{00000000-0006-0000-0300-000003000000}">
      <text>
        <r>
          <rPr>
            <b/>
            <sz val="9"/>
            <rFont val="Tahoma"/>
            <family val="2"/>
          </rPr>
          <t>H e r u:</t>
        </r>
        <r>
          <rPr>
            <sz val="9"/>
            <rFont val="Tahoma"/>
            <family val="2"/>
          </rPr>
          <t xml:space="preserve">
Isi pencapaian disini</t>
        </r>
      </text>
    </comment>
    <comment ref="D74" authorId="0" shapeId="0" xr:uid="{00000000-0006-0000-0300-000004000000}">
      <text>
        <r>
          <rPr>
            <b/>
            <sz val="9"/>
            <rFont val="Tahoma"/>
            <family val="2"/>
          </rPr>
          <t>H e r u:</t>
        </r>
        <r>
          <rPr>
            <sz val="9"/>
            <rFont val="Tahoma"/>
            <family val="2"/>
          </rPr>
          <t xml:space="preserve">
Isi pencapaian disini</t>
        </r>
      </text>
    </comment>
    <comment ref="D84" authorId="0" shapeId="0" xr:uid="{00000000-0006-0000-0300-000005000000}">
      <text>
        <r>
          <rPr>
            <b/>
            <sz val="9"/>
            <rFont val="Tahoma"/>
            <family val="2"/>
          </rPr>
          <t>H e r u:</t>
        </r>
        <r>
          <rPr>
            <sz val="9"/>
            <rFont val="Tahoma"/>
            <family val="2"/>
          </rPr>
          <t xml:space="preserve">
Isi pencapaian disini</t>
        </r>
      </text>
    </comment>
    <comment ref="D127" authorId="0" shapeId="0" xr:uid="{00000000-0006-0000-0300-000006000000}">
      <text>
        <r>
          <rPr>
            <b/>
            <sz val="9"/>
            <rFont val="Tahoma"/>
            <family val="2"/>
          </rPr>
          <t>H e r u:</t>
        </r>
        <r>
          <rPr>
            <sz val="9"/>
            <rFont val="Tahoma"/>
            <family val="2"/>
          </rPr>
          <t xml:space="preserve">
Isi pencapaian disini</t>
        </r>
      </text>
    </comment>
    <comment ref="D202" authorId="0" shapeId="0" xr:uid="{00000000-0006-0000-0300-000007000000}">
      <text>
        <r>
          <rPr>
            <b/>
            <sz val="9"/>
            <rFont val="Tahoma"/>
            <family val="2"/>
          </rPr>
          <t>H e r u:</t>
        </r>
        <r>
          <rPr>
            <sz val="9"/>
            <rFont val="Tahoma"/>
            <family val="2"/>
          </rPr>
          <t xml:space="preserve">
Isi pencapaian disini</t>
        </r>
      </text>
    </comment>
    <comment ref="D211" authorId="0" shapeId="0" xr:uid="{00000000-0006-0000-0300-000008000000}">
      <text>
        <r>
          <rPr>
            <b/>
            <sz val="9"/>
            <rFont val="Tahoma"/>
            <family val="2"/>
          </rPr>
          <t>H e r u:</t>
        </r>
        <r>
          <rPr>
            <sz val="9"/>
            <rFont val="Tahoma"/>
            <family val="2"/>
          </rPr>
          <t xml:space="preserve">
Isi pencapaian disini</t>
        </r>
      </text>
    </comment>
    <comment ref="D286" authorId="0" shapeId="0" xr:uid="{00000000-0006-0000-0300-000009000000}">
      <text>
        <r>
          <rPr>
            <b/>
            <sz val="9"/>
            <rFont val="Tahoma"/>
            <family val="2"/>
          </rPr>
          <t>H e r u:</t>
        </r>
        <r>
          <rPr>
            <sz val="9"/>
            <rFont val="Tahoma"/>
            <family val="2"/>
          </rPr>
          <t xml:space="preserve">
Isi pencapaian disini</t>
        </r>
      </text>
    </comment>
    <comment ref="D296" authorId="0" shapeId="0" xr:uid="{00000000-0006-0000-0300-00000A000000}">
      <text>
        <r>
          <rPr>
            <b/>
            <sz val="9"/>
            <rFont val="Tahoma"/>
            <family val="2"/>
          </rPr>
          <t>H e r u:</t>
        </r>
        <r>
          <rPr>
            <sz val="9"/>
            <rFont val="Tahoma"/>
            <family val="2"/>
          </rPr>
          <t xml:space="preserve">
Isi pencapaian disini</t>
        </r>
      </text>
    </comment>
    <comment ref="D330" authorId="0" shapeId="0" xr:uid="{00000000-0006-0000-0300-00000B000000}">
      <text>
        <r>
          <rPr>
            <b/>
            <sz val="9"/>
            <rFont val="Tahoma"/>
            <family val="2"/>
          </rPr>
          <t>H e r u:</t>
        </r>
        <r>
          <rPr>
            <sz val="9"/>
            <rFont val="Tahoma"/>
            <family val="2"/>
          </rPr>
          <t xml:space="preserve">
Isi pencapaian disini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laptop kiu</author>
  </authors>
  <commentList>
    <comment ref="K2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laptop kiu:</t>
        </r>
        <r>
          <rPr>
            <sz val="9"/>
            <color indexed="81"/>
            <rFont val="Tahoma"/>
            <family val="2"/>
          </rPr>
          <t xml:space="preserve">
YTD Cling 0.0 ton
YTG Cling 2 ton
Total ton 2 awal jan
Forecast YTD Okt 0 Ton
YTD Bisi 959 1 Ton
YTG Bisi 959 5 Ton
Total 8 Ton
Forecast vs YTD Sep = 0.3 Ton Vs 1 Ton (30%)</t>
        </r>
      </text>
    </comment>
  </commentList>
</comments>
</file>

<file path=xl/sharedStrings.xml><?xml version="1.0" encoding="utf-8"?>
<sst xmlns="http://schemas.openxmlformats.org/spreadsheetml/2006/main" count="6374" uniqueCount="279">
  <si>
    <t/>
  </si>
  <si>
    <t>DEPARTEMEN SALES  &amp; MARKETING</t>
  </si>
  <si>
    <t>BAG</t>
  </si>
  <si>
    <t>No</t>
  </si>
  <si>
    <t>NAMA</t>
  </si>
  <si>
    <t>WHAT</t>
  </si>
  <si>
    <t>HOW</t>
  </si>
  <si>
    <t>WHAT + HOW</t>
  </si>
  <si>
    <t>BOBOT</t>
  </si>
  <si>
    <t>NILAI</t>
  </si>
  <si>
    <t>SUMMARY</t>
  </si>
  <si>
    <t>NITA</t>
  </si>
  <si>
    <t>NIA</t>
  </si>
  <si>
    <t>Naily</t>
  </si>
  <si>
    <t>Nonik</t>
  </si>
  <si>
    <t>HERU</t>
  </si>
  <si>
    <t>karisma</t>
  </si>
  <si>
    <t>admin</t>
  </si>
  <si>
    <t>kpi89</t>
  </si>
  <si>
    <t>IBNU</t>
  </si>
  <si>
    <t>ELOK</t>
  </si>
  <si>
    <t>EVI YULIA</t>
  </si>
  <si>
    <t>HADI</t>
  </si>
  <si>
    <t>HENDRA</t>
  </si>
  <si>
    <t>JAYA</t>
  </si>
  <si>
    <t>TAUFIK</t>
  </si>
  <si>
    <t>UMI ZULFA</t>
  </si>
  <si>
    <t>YUYUN</t>
  </si>
  <si>
    <t>ZAKIA</t>
  </si>
  <si>
    <t>DIAN</t>
  </si>
  <si>
    <t>HAFID</t>
  </si>
  <si>
    <t>JULKIFLI</t>
  </si>
  <si>
    <t>MUHLISIN</t>
  </si>
  <si>
    <t>TOMI</t>
  </si>
  <si>
    <t>WIRA</t>
  </si>
  <si>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</si>
  <si>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</si>
  <si>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</si>
  <si>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</si>
  <si>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</si>
  <si>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</si>
  <si>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</si>
  <si>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</si>
  <si>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</si>
  <si>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</si>
  <si>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</si>
  <si>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</si>
  <si>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</si>
  <si>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rPr>
        <b/>
        <sz val="10"/>
        <color theme="1"/>
        <rFont val="Arial"/>
        <family val="2"/>
      </rP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</si>
  <si>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</si>
  <si>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</si>
  <si>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</si>
  <si>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</si>
  <si>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</si>
  <si>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</si>
  <si>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</si>
  <si>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</si>
  <si>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</si>
  <si>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</si>
  <si>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</si>
  <si>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</si>
  <si>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</si>
  <si>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</si>
  <si>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</si>
  <si>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</si>
  <si>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</si>
  <si>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</si>
  <si>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</si>
  <si>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</si>
  <si>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</si>
  <si>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</si>
  <si>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</si>
  <si>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</si>
  <si>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</si>
  <si>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</si>
  <si>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</si>
  <si>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</si>
  <si>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</si>
  <si>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</si>
  <si>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</si>
  <si>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</si>
  <si>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</si>
  <si>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</si>
  <si>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</si>
  <si>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</si>
  <si>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</si>
  <si>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</si>
  <si>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</si>
  <si>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</si>
  <si>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</si>
  <si>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</si>
  <si>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</si>
  <si>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</si>
  <si>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</si>
  <si>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rPr>
        <sz val="11"/>
        <color theme="1"/>
        <rFont val="Calibri"/>
        <family val="2"/>
        <scheme val="minor"/>
      </rP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</si>
  <si>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</si>
  <si>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</si>
  <si>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</si>
  <si>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</si>
  <si>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</si>
  <si>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</si>
  <si>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</si>
  <si>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</si>
  <si>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</si>
  <si>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</si>
  <si>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</si>
  <si>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</si>
  <si>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</si>
  <si>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</si>
  <si>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</si>
  <si>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</si>
  <si>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</si>
  <si>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</si>
  <si>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</si>
  <si>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</si>
  <si>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</si>
  <si>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</si>
  <si>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</si>
  <si>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</si>
  <si>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</si>
  <si>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</si>
  <si>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</si>
  <si>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</si>
  <si>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</si>
  <si>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</si>
  <si>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</si>
  <si>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</si>
  <si>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</si>
  <si>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</si>
  <si>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</si>
  <si>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</si>
  <si>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</si>
  <si>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</si>
  <si>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</si>
  <si>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</si>
  <si>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</si>
  <si>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rPr>
        <b/>
        <sz val="10"/>
        <rFont val="Arial"/>
        <family val="2"/>
      </rP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</si>
  <si>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rPr>
        <b/>
        <sz val="10"/>
        <rFont val="Arial"/>
        <family val="2"/>
      </rP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</si>
  <si>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</si>
  <si>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</si>
  <si>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</si>
  <si>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</si>
  <si>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</si>
  <si>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</si>
  <si>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</si>
  <si>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</si>
  <si>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</si>
  <si>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</si>
  <si>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Komentar</t>
  </si>
  <si>
    <t>Bagian / Departement</t>
  </si>
  <si>
    <t>Tanggal review bulanan</t>
  </si>
  <si>
    <t>TUJUAN 1</t>
  </si>
  <si>
    <t>NO</t>
  </si>
  <si>
    <t>WHATS</t>
  </si>
  <si>
    <t>INDIKATOR WHATS TERCAPAI</t>
  </si>
  <si>
    <t>TOTAL WHATS</t>
  </si>
  <si>
    <t>TERCAPAI</t>
  </si>
  <si>
    <t>&gt;110%</t>
  </si>
  <si>
    <t>HASIL</t>
  </si>
  <si>
    <t>&gt;90-100%</t>
  </si>
  <si>
    <t>&gt;80-90%</t>
  </si>
  <si>
    <t>&gt;70-80%</t>
  </si>
  <si>
    <t>&gt;60-70%</t>
  </si>
  <si>
    <t>&lt;60%</t>
  </si>
  <si>
    <t>APPLIKASI</t>
  </si>
  <si>
    <t>HOW TUJUAN 1</t>
  </si>
  <si>
    <t>INDIKATOR HOW TERCAPAI</t>
  </si>
  <si>
    <t>TUJUAN 2</t>
  </si>
  <si>
    <t>TUJUAN 3</t>
  </si>
  <si>
    <t>H-1</t>
  </si>
  <si>
    <t>TUJUAN 4</t>
  </si>
  <si>
    <t>&lt;3%</t>
  </si>
  <si>
    <t>&gt;5%</t>
  </si>
  <si>
    <t>HOW TUJUAN 4</t>
  </si>
  <si>
    <t>TUJUAN 6</t>
  </si>
  <si>
    <t>HOW TUJUAN 6</t>
  </si>
  <si>
    <t>TUJUAN 7</t>
  </si>
  <si>
    <t>HOW TUJUAN 7</t>
  </si>
  <si>
    <t>TUJUAN 8</t>
  </si>
  <si>
    <t>HOW TUJUAN 8</t>
  </si>
  <si>
    <t>TUJUAN 9</t>
  </si>
  <si>
    <t>HOW TUJUAN 9</t>
  </si>
  <si>
    <t>TUJUAN 10</t>
  </si>
  <si>
    <t>HOW TUJUAN 10</t>
  </si>
  <si>
    <t>Perlu peningkatan akurasi forecast untuk Pestisida dan Corn</t>
  </si>
  <si>
    <t xml:space="preserve">Karyawan : </t>
  </si>
  <si>
    <t xml:space="preserve">Level Manager berikutnya : </t>
  </si>
  <si>
    <t>:</t>
  </si>
  <si>
    <t>KPI 2025</t>
  </si>
  <si>
    <t>SIMULASI  KPI 2025</t>
  </si>
  <si>
    <t>&gt;H+1</t>
  </si>
  <si>
    <t>&gt;1 x per bulan</t>
  </si>
  <si>
    <t>1 x per bulan</t>
  </si>
  <si>
    <t>Tidak ada review</t>
  </si>
  <si>
    <t>Tidak Ada Review</t>
  </si>
  <si>
    <t>&gt;1x</t>
  </si>
  <si>
    <t>1x</t>
  </si>
  <si>
    <t>2 bulan sekali</t>
  </si>
  <si>
    <t>3 bulan sekali 50</t>
  </si>
  <si>
    <t>&gt;H+2</t>
  </si>
  <si>
    <t>&lt;98.5%</t>
  </si>
  <si>
    <t>98.4 - 98.5%</t>
  </si>
  <si>
    <t>98.6 - 98.9%</t>
  </si>
  <si>
    <t>98.8 - 98.9%</t>
  </si>
  <si>
    <t>99.01 - 99.05%</t>
  </si>
  <si>
    <t>99.05 - 99.1%</t>
  </si>
  <si>
    <t>99.10 - 99.15%</t>
  </si>
  <si>
    <t>99.15 - 99.20%</t>
  </si>
  <si>
    <t>NN</t>
  </si>
  <si>
    <t>Tanggal 5 setiap bulan</t>
  </si>
  <si>
    <t>Arfin Indra C</t>
  </si>
  <si>
    <t>MARKETING DEVELOPMENT OFFICER (MDO)</t>
  </si>
  <si>
    <t>MDO</t>
  </si>
  <si>
    <t>Omset 9 produk fokus 1,2 Milyar</t>
  </si>
  <si>
    <t xml:space="preserve">Rata-rata  omzet  9 Produk Fokus 100juta per bulan </t>
  </si>
  <si>
    <t>100 Juta</t>
  </si>
  <si>
    <t>&gt;100 - 105</t>
  </si>
  <si>
    <t>&gt;105 - 110</t>
  </si>
  <si>
    <t>&gt;110</t>
  </si>
  <si>
    <t>&gt;95 - 99</t>
  </si>
  <si>
    <t>&gt;90 - 95</t>
  </si>
  <si>
    <t>&gt;85 - 90</t>
  </si>
  <si>
    <t>&gt;80 - 85</t>
  </si>
  <si>
    <t>&lt;= 80</t>
  </si>
  <si>
    <t xml:space="preserve">&lt;10% - 9% </t>
  </si>
  <si>
    <t>&lt;9% -  8%</t>
  </si>
  <si>
    <t>&lt;8%</t>
  </si>
  <si>
    <t>&gt;10% - 11%</t>
  </si>
  <si>
    <t>&gt;11% - 12%</t>
  </si>
  <si>
    <t>&gt;12% - 13%</t>
  </si>
  <si>
    <t>&gt;13%</t>
  </si>
  <si>
    <t>HOW 2</t>
  </si>
  <si>
    <t>Rata-rata demoplot 8X dalam 1 bulan</t>
  </si>
  <si>
    <t>8X</t>
  </si>
  <si>
    <t>9X</t>
  </si>
  <si>
    <t>10X</t>
  </si>
  <si>
    <t>&gt;10X</t>
  </si>
  <si>
    <t>&lt;5X</t>
  </si>
  <si>
    <t>5X - 7X</t>
  </si>
  <si>
    <t>100% ,8X, H+1</t>
  </si>
  <si>
    <t>100% ,5-7X, H+1</t>
  </si>
  <si>
    <t>&lt;70%-80%, &gt;H+1</t>
  </si>
  <si>
    <t>&lt;70%, &gt;H+2</t>
  </si>
  <si>
    <t>100% ,&gt;10X H+1</t>
  </si>
  <si>
    <t>100% ,9-10X H+1</t>
  </si>
  <si>
    <t>100% ,8X H+1</t>
  </si>
  <si>
    <t>80%-&lt;100%, H+1</t>
  </si>
  <si>
    <t xml:space="preserve">100% Melaporkan Hasil Demplot maksimal H+1 setelah pengamatan terakhir </t>
  </si>
  <si>
    <t>Membuat Testimoni Demoplot 75% dari total Demoplot, maksimal H-2 sebelum FFD/FM</t>
  </si>
  <si>
    <t>&gt;90-100%, H-2</t>
  </si>
  <si>
    <t>&gt;100-110, H-2</t>
  </si>
  <si>
    <t>&gt;80-90%, H-2</t>
  </si>
  <si>
    <t>&gt;70-80%, H-2</t>
  </si>
  <si>
    <t>&gt;60-70%, H-2</t>
  </si>
  <si>
    <t>&gt;50%, H-2</t>
  </si>
  <si>
    <t>&gt;110%, &gt;H-2</t>
  </si>
  <si>
    <t>&lt;50%, &lt;H-2</t>
  </si>
  <si>
    <t>Absensi</t>
  </si>
  <si>
    <t>Absensi 1 Tahun</t>
  </si>
  <si>
    <t>0 cuti</t>
  </si>
  <si>
    <t>1 cuti</t>
  </si>
  <si>
    <t>2 cuti</t>
  </si>
  <si>
    <t>3 cuti</t>
  </si>
  <si>
    <t>4 cuti</t>
  </si>
  <si>
    <t>5 cuti</t>
  </si>
  <si>
    <t>6 cuti</t>
  </si>
  <si>
    <t>7 cuti</t>
  </si>
  <si>
    <t>8 cuti</t>
  </si>
  <si>
    <t>9 cuti</t>
  </si>
  <si>
    <t xml:space="preserve"> Membuat FFD/FM 3 kali per bulan
</t>
  </si>
  <si>
    <t>Demoplot, Laporan Demoplot, Testimoni &amp; FFD</t>
  </si>
  <si>
    <t>3X</t>
  </si>
  <si>
    <t>4X</t>
  </si>
  <si>
    <t xml:space="preserve">5X </t>
  </si>
  <si>
    <t>&gt;5X</t>
  </si>
  <si>
    <t>2X</t>
  </si>
  <si>
    <t>&lt;2X</t>
  </si>
  <si>
    <t>HOW3</t>
  </si>
  <si>
    <t>C/H DCA Minimal 10%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</si>
</sst>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-* #,##0.00_-;\-* #,##0.00_-;_-* &quot;-&quot;??_-;_-@_-"/>
    <numFmt numFmtId="165" formatCode="[$-409]mmm\-yy;@"/>
    <numFmt numFmtId="166" formatCode="0.0"/>
    <numFmt numFmtId="167" formatCode="_-* #,##0_-;\-* #,##0_-;_-* &quot;-&quot;??_-;_-@_-"/>
    <numFmt numFmtId="168" formatCode="_-* #,##0.0_-;\-* #,##0.0_-;_-* &quot;-&quot;??_-;_-@_-"/>
    <numFmt numFmtId="169" formatCode="_(* #,##0.0_);_(* \(#,##0.0\);_(* &quot;-&quot;??_);_(@_)"/>
    <numFmt numFmtId="170" formatCode="0_ "/>
  </numFmts>
  <fonts count="4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b/>
      <sz val="11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0"/>
      <color rgb="FF0070C0"/>
      <name val="Arial"/>
      <family val="2"/>
    </font>
    <font>
      <sz val="10"/>
      <color theme="1"/>
      <name val="Calibri"/>
      <family val="2"/>
      <scheme val="minor"/>
    </font>
    <font>
      <sz val="9.5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.5"/>
      <color rgb="FFFF0000"/>
      <name val="Arial"/>
      <family val="2"/>
    </font>
    <font>
      <sz val="10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808080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22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color theme="1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FF"/>
      <name val="Calibri"/>
      <family val="2"/>
      <scheme val="minor"/>
    </font>
    <font>
      <b/>
      <sz val="8"/>
      <name val="Calibri"/>
      <family val="2"/>
      <scheme val="minor"/>
    </font>
    <font>
      <b/>
      <sz val="12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A2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00B050"/>
        <bgColor indexed="64"/>
      </patternFill>
    </fill>
    <fill>
      <gradientFill degree="270">
        <stop position="0">
          <color rgb="FF92D050"/>
        </stop>
        <stop position="1">
          <color rgb="FFFFFF00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theme="2" tint="-0.24997711111789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gradientFill degree="270">
        <stop position="0">
          <color theme="9" tint="-0.25098422193060094"/>
        </stop>
        <stop position="1">
          <color theme="9" tint="0.79998168889431442"/>
        </stop>
      </gradientFill>
    </fill>
    <fill>
      <gradientFill degree="270">
        <stop position="0">
          <color rgb="FF92D050"/>
        </stop>
        <stop position="1">
          <color theme="6" tint="0.79998168889431442"/>
        </stop>
      </gradientFill>
    </fill>
    <fill>
      <patternFill patternType="solid">
        <fgColor rgb="FFE75BC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</borders>
  <cellStyleXfs count="4">
    <xf numFmtId="0" fontId="0" fillId="0" borderId="0"/>
    <xf numFmtId="164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43" fontId="39" fillId="0" borderId="0" applyFont="0" applyFill="0" applyBorder="0" applyAlignment="0" applyProtection="0"/>
  </cellStyleXfs>
  <cellXfs count="519">
    <xf numFmtId="0" fontId="0" fillId="0" borderId="0" xfId="0"/>
    <xf numFmtId="0" fontId="0" fillId="3" borderId="0" xfId="0" applyFill="1"/>
    <xf numFmtId="0" fontId="6" fillId="0" borderId="5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165" fontId="7" fillId="0" borderId="6" xfId="0" applyNumberFormat="1" applyFont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17" fontId="10" fillId="0" borderId="17" xfId="0" applyNumberFormat="1" applyFont="1" applyBorder="1" applyAlignment="1">
      <alignment horizontal="left" vertical="top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left" indent="1"/>
    </xf>
    <xf numFmtId="9" fontId="0" fillId="0" borderId="22" xfId="2" applyFont="1" applyFill="1" applyBorder="1" applyAlignment="1">
      <alignment horizontal="center" vertical="center"/>
    </xf>
    <xf numFmtId="167" fontId="0" fillId="0" borderId="22" xfId="1" applyNumberFormat="1" applyFont="1" applyFill="1" applyBorder="1" applyAlignment="1">
      <alignment horizontal="center" vertical="center"/>
    </xf>
    <xf numFmtId="168" fontId="0" fillId="0" borderId="23" xfId="1" applyNumberFormat="1" applyFont="1" applyFill="1" applyBorder="1" applyAlignment="1">
      <alignment horizontal="center"/>
    </xf>
    <xf numFmtId="167" fontId="0" fillId="0" borderId="24" xfId="1" applyNumberFormat="1" applyFont="1" applyFill="1" applyBorder="1" applyAlignment="1">
      <alignment horizontal="center" vertical="center"/>
    </xf>
    <xf numFmtId="0" fontId="11" fillId="0" borderId="25" xfId="0" applyFont="1" applyBorder="1" applyAlignment="1">
      <alignment horizontal="left" indent="1"/>
    </xf>
    <xf numFmtId="9" fontId="0" fillId="0" borderId="26" xfId="2" applyFont="1" applyFill="1" applyBorder="1" applyAlignment="1">
      <alignment horizontal="center" vertical="center"/>
    </xf>
    <xf numFmtId="167" fontId="0" fillId="0" borderId="26" xfId="1" applyNumberFormat="1" applyFont="1" applyFill="1" applyBorder="1" applyAlignment="1">
      <alignment horizontal="center" vertical="center"/>
    </xf>
    <xf numFmtId="168" fontId="0" fillId="0" borderId="27" xfId="1" applyNumberFormat="1" applyFont="1" applyFill="1" applyBorder="1" applyAlignment="1">
      <alignment horizontal="center"/>
    </xf>
    <xf numFmtId="0" fontId="11" fillId="0" borderId="28" xfId="0" applyFont="1" applyBorder="1" applyAlignment="1">
      <alignment horizontal="left" indent="1"/>
    </xf>
    <xf numFmtId="0" fontId="11" fillId="0" borderId="29" xfId="0" applyFont="1" applyBorder="1" applyAlignment="1">
      <alignment horizontal="left" indent="1"/>
    </xf>
    <xf numFmtId="9" fontId="0" fillId="0" borderId="30" xfId="2" applyFont="1" applyFill="1" applyBorder="1" applyAlignment="1">
      <alignment horizontal="center" vertical="center"/>
    </xf>
    <xf numFmtId="167" fontId="0" fillId="0" borderId="30" xfId="1" applyNumberFormat="1" applyFont="1" applyFill="1" applyBorder="1" applyAlignment="1">
      <alignment horizontal="center" vertical="center"/>
    </xf>
    <xf numFmtId="168" fontId="0" fillId="0" borderId="31" xfId="1" applyNumberFormat="1" applyFont="1" applyFill="1" applyBorder="1" applyAlignment="1">
      <alignment horizontal="center"/>
    </xf>
    <xf numFmtId="167" fontId="0" fillId="0" borderId="32" xfId="1" applyNumberFormat="1" applyFont="1" applyFill="1" applyBorder="1" applyAlignment="1">
      <alignment horizontal="center" vertical="center"/>
    </xf>
    <xf numFmtId="0" fontId="11" fillId="0" borderId="33" xfId="0" applyFont="1" applyBorder="1" applyAlignment="1">
      <alignment horizontal="left" indent="1"/>
    </xf>
    <xf numFmtId="9" fontId="0" fillId="0" borderId="19" xfId="2" applyFont="1" applyFill="1" applyBorder="1" applyAlignment="1">
      <alignment horizontal="center" vertical="center"/>
    </xf>
    <xf numFmtId="167" fontId="0" fillId="0" borderId="19" xfId="1" applyNumberFormat="1" applyFont="1" applyFill="1" applyBorder="1" applyAlignment="1">
      <alignment horizontal="center" vertical="center"/>
    </xf>
    <xf numFmtId="168" fontId="0" fillId="0" borderId="20" xfId="1" applyNumberFormat="1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9" fontId="0" fillId="0" borderId="38" xfId="0" applyNumberFormat="1" applyBorder="1" applyAlignment="1">
      <alignment horizontal="center"/>
    </xf>
    <xf numFmtId="166" fontId="0" fillId="0" borderId="17" xfId="0" applyNumberFormat="1" applyBorder="1" applyAlignment="1">
      <alignment horizontal="center"/>
    </xf>
    <xf numFmtId="168" fontId="0" fillId="0" borderId="39" xfId="1" applyNumberFormat="1" applyFont="1" applyFill="1" applyBorder="1" applyAlignment="1">
      <alignment horizontal="center"/>
    </xf>
    <xf numFmtId="168" fontId="0" fillId="0" borderId="40" xfId="1" applyNumberFormat="1" applyFont="1" applyFill="1" applyBorder="1" applyAlignment="1">
      <alignment horizontal="center"/>
    </xf>
    <xf numFmtId="0" fontId="0" fillId="7" borderId="0" xfId="0" applyFill="1"/>
    <xf numFmtId="0" fontId="6" fillId="0" borderId="8" xfId="0" applyFont="1" applyBorder="1" applyAlignment="1">
      <alignment vertical="center"/>
    </xf>
    <xf numFmtId="0" fontId="6" fillId="0" borderId="41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6" fillId="0" borderId="43" xfId="0" applyFont="1" applyBorder="1" applyAlignment="1">
      <alignment vertical="center"/>
    </xf>
    <xf numFmtId="17" fontId="12" fillId="0" borderId="43" xfId="0" applyNumberFormat="1" applyFont="1" applyBorder="1" applyAlignment="1">
      <alignment horizontal="left" vertical="top"/>
    </xf>
    <xf numFmtId="17" fontId="10" fillId="0" borderId="43" xfId="0" applyNumberFormat="1" applyFont="1" applyBorder="1" applyAlignment="1">
      <alignment horizontal="left" vertical="top"/>
    </xf>
    <xf numFmtId="0" fontId="10" fillId="0" borderId="43" xfId="0" applyFont="1" applyBorder="1" applyAlignment="1">
      <alignment horizontal="left" vertical="top"/>
    </xf>
    <xf numFmtId="0" fontId="6" fillId="0" borderId="44" xfId="0" applyFont="1" applyBorder="1" applyAlignment="1">
      <alignment vertical="center"/>
    </xf>
    <xf numFmtId="0" fontId="6" fillId="0" borderId="38" xfId="0" applyFont="1" applyBorder="1" applyAlignment="1">
      <alignment vertical="center"/>
    </xf>
    <xf numFmtId="0" fontId="6" fillId="7" borderId="0" xfId="0" applyFont="1" applyFill="1" applyAlignment="1">
      <alignment horizontal="left" vertical="center"/>
    </xf>
    <xf numFmtId="17" fontId="10" fillId="7" borderId="0" xfId="0" applyNumberFormat="1" applyFont="1" applyFill="1" applyAlignment="1">
      <alignment horizontal="left" vertical="top"/>
    </xf>
    <xf numFmtId="0" fontId="13" fillId="3" borderId="1" xfId="0" applyFont="1" applyFill="1" applyBorder="1"/>
    <xf numFmtId="0" fontId="13" fillId="3" borderId="45" xfId="0" applyFont="1" applyFill="1" applyBorder="1"/>
    <xf numFmtId="0" fontId="13" fillId="3" borderId="15" xfId="0" applyFont="1" applyFill="1" applyBorder="1"/>
    <xf numFmtId="0" fontId="13" fillId="3" borderId="46" xfId="0" applyFont="1" applyFill="1" applyBorder="1"/>
    <xf numFmtId="0" fontId="0" fillId="0" borderId="47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50" xfId="0" applyBorder="1" applyAlignment="1">
      <alignment vertical="center"/>
    </xf>
    <xf numFmtId="0" fontId="0" fillId="0" borderId="33" xfId="0" applyBorder="1" applyAlignment="1">
      <alignment horizontal="center"/>
    </xf>
    <xf numFmtId="9" fontId="0" fillId="0" borderId="20" xfId="0" applyNumberFormat="1" applyBorder="1" applyAlignment="1">
      <alignment horizontal="center"/>
    </xf>
    <xf numFmtId="0" fontId="15" fillId="0" borderId="53" xfId="0" applyFont="1" applyBorder="1" applyAlignment="1">
      <alignment horizontal="center" vertical="center"/>
    </xf>
    <xf numFmtId="0" fontId="15" fillId="0" borderId="35" xfId="0" applyFont="1" applyBorder="1" applyAlignment="1">
      <alignment horizontal="left" vertical="top"/>
    </xf>
    <xf numFmtId="0" fontId="15" fillId="0" borderId="36" xfId="0" applyFont="1" applyBorder="1"/>
    <xf numFmtId="0" fontId="0" fillId="6" borderId="53" xfId="0" applyFill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43" xfId="0" applyFont="1" applyBorder="1" applyAlignment="1">
      <alignment horizontal="left" vertical="top"/>
    </xf>
    <xf numFmtId="0" fontId="15" fillId="0" borderId="6" xfId="0" applyFont="1" applyBorder="1"/>
    <xf numFmtId="0" fontId="0" fillId="6" borderId="10" xfId="0" applyFill="1" applyBorder="1" applyAlignment="1">
      <alignment horizontal="center" vertical="center"/>
    </xf>
    <xf numFmtId="0" fontId="0" fillId="6" borderId="44" xfId="0" applyFill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38" xfId="0" applyFont="1" applyBorder="1" applyAlignment="1">
      <alignment horizontal="left" vertical="top"/>
    </xf>
    <xf numFmtId="0" fontId="15" fillId="0" borderId="17" xfId="0" applyFont="1" applyBorder="1"/>
    <xf numFmtId="0" fontId="15" fillId="0" borderId="8" xfId="0" applyFont="1" applyBorder="1" applyAlignment="1">
      <alignment horizontal="center" vertical="center"/>
    </xf>
    <xf numFmtId="0" fontId="15" fillId="0" borderId="41" xfId="0" applyFont="1" applyBorder="1" applyAlignment="1">
      <alignment horizontal="left" vertical="top"/>
    </xf>
    <xf numFmtId="0" fontId="15" fillId="0" borderId="9" xfId="0" applyFont="1" applyBorder="1"/>
    <xf numFmtId="0" fontId="0" fillId="0" borderId="44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43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11" borderId="43" xfId="0" applyFill="1" applyBorder="1"/>
    <xf numFmtId="0" fontId="0" fillId="11" borderId="43" xfId="0" applyFill="1" applyBorder="1" applyAlignment="1">
      <alignment horizontal="center" vertical="center"/>
    </xf>
    <xf numFmtId="0" fontId="8" fillId="8" borderId="43" xfId="0" applyFont="1" applyFill="1" applyBorder="1" applyAlignment="1">
      <alignment vertical="top"/>
    </xf>
    <xf numFmtId="0" fontId="0" fillId="8" borderId="43" xfId="0" applyFill="1" applyBorder="1" applyAlignment="1">
      <alignment horizontal="center" vertical="top"/>
    </xf>
    <xf numFmtId="0" fontId="0" fillId="8" borderId="43" xfId="0" applyFill="1" applyBorder="1" applyAlignment="1">
      <alignment vertical="top"/>
    </xf>
    <xf numFmtId="0" fontId="8" fillId="2" borderId="43" xfId="0" applyFont="1" applyFill="1" applyBorder="1" applyAlignment="1">
      <alignment vertical="top"/>
    </xf>
    <xf numFmtId="0" fontId="0" fillId="2" borderId="43" xfId="0" applyFill="1" applyBorder="1"/>
    <xf numFmtId="0" fontId="15" fillId="7" borderId="0" xfId="0" applyFont="1" applyFill="1"/>
    <xf numFmtId="0" fontId="15" fillId="0" borderId="0" xfId="0" applyFont="1"/>
    <xf numFmtId="0" fontId="18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/>
    </xf>
    <xf numFmtId="0" fontId="18" fillId="7" borderId="0" xfId="0" applyFont="1" applyFill="1" applyAlignment="1">
      <alignment vertical="center"/>
    </xf>
    <xf numFmtId="17" fontId="20" fillId="7" borderId="0" xfId="0" applyNumberFormat="1" applyFont="1" applyFill="1" applyAlignment="1">
      <alignment horizontal="left" vertical="top"/>
    </xf>
    <xf numFmtId="0" fontId="18" fillId="7" borderId="0" xfId="0" applyFont="1" applyFill="1" applyAlignment="1">
      <alignment horizontal="left" vertical="top"/>
    </xf>
    <xf numFmtId="17" fontId="18" fillId="7" borderId="0" xfId="0" applyNumberFormat="1" applyFont="1" applyFill="1" applyAlignment="1">
      <alignment horizontal="left" vertical="top"/>
    </xf>
    <xf numFmtId="0" fontId="17" fillId="7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21" fillId="7" borderId="0" xfId="0" applyFont="1" applyFill="1" applyAlignment="1">
      <alignment horizontal="left" indent="1"/>
    </xf>
    <xf numFmtId="9" fontId="15" fillId="7" borderId="0" xfId="2" applyFont="1" applyFill="1" applyBorder="1" applyAlignment="1">
      <alignment horizontal="center" vertical="center"/>
    </xf>
    <xf numFmtId="1" fontId="15" fillId="0" borderId="0" xfId="1" applyNumberFormat="1" applyFont="1" applyFill="1" applyBorder="1" applyAlignment="1">
      <alignment horizontal="center"/>
    </xf>
    <xf numFmtId="169" fontId="15" fillId="0" borderId="0" xfId="3" applyNumberFormat="1" applyFont="1" applyFill="1" applyBorder="1" applyAlignment="1">
      <alignment horizontal="center"/>
    </xf>
    <xf numFmtId="9" fontId="21" fillId="7" borderId="0" xfId="0" applyNumberFormat="1" applyFont="1" applyFill="1" applyAlignment="1">
      <alignment horizontal="center" vertical="center"/>
    </xf>
    <xf numFmtId="1" fontId="21" fillId="0" borderId="0" xfId="1" applyNumberFormat="1" applyFont="1" applyFill="1" applyBorder="1" applyAlignment="1">
      <alignment horizontal="center" vertical="center"/>
    </xf>
    <xf numFmtId="9" fontId="21" fillId="7" borderId="0" xfId="0" applyNumberFormat="1" applyFont="1" applyFill="1" applyAlignment="1">
      <alignment horizontal="left" indent="1"/>
    </xf>
    <xf numFmtId="0" fontId="17" fillId="7" borderId="0" xfId="0" applyFont="1" applyFill="1" applyAlignment="1">
      <alignment horizontal="left" indent="1"/>
    </xf>
    <xf numFmtId="9" fontId="17" fillId="7" borderId="0" xfId="0" applyNumberFormat="1" applyFont="1" applyFill="1" applyAlignment="1">
      <alignment horizontal="center"/>
    </xf>
    <xf numFmtId="1" fontId="17" fillId="0" borderId="0" xfId="0" applyNumberFormat="1" applyFont="1" applyAlignment="1">
      <alignment horizontal="right"/>
    </xf>
    <xf numFmtId="169" fontId="17" fillId="0" borderId="0" xfId="0" applyNumberFormat="1" applyFont="1" applyAlignment="1">
      <alignment horizontal="right"/>
    </xf>
    <xf numFmtId="0" fontId="15" fillId="0" borderId="0" xfId="2" applyNumberFormat="1" applyFont="1" applyFill="1" applyBorder="1" applyAlignment="1">
      <alignment horizontal="center"/>
    </xf>
    <xf numFmtId="0" fontId="17" fillId="7" borderId="0" xfId="0" applyFont="1" applyFill="1" applyAlignment="1">
      <alignment horizontal="center"/>
    </xf>
    <xf numFmtId="0" fontId="17" fillId="0" borderId="0" xfId="0" applyFont="1" applyAlignment="1">
      <alignment horizontal="right"/>
    </xf>
    <xf numFmtId="0" fontId="0" fillId="7" borderId="0" xfId="0" applyFill="1" applyAlignment="1">
      <alignment horizontal="center" vertical="top"/>
    </xf>
    <xf numFmtId="0" fontId="0" fillId="7" borderId="0" xfId="0" applyFill="1" applyAlignment="1">
      <alignment horizontal="left" vertical="top" wrapText="1"/>
    </xf>
    <xf numFmtId="0" fontId="0" fillId="7" borderId="0" xfId="0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left" vertical="top"/>
    </xf>
    <xf numFmtId="0" fontId="22" fillId="7" borderId="0" xfId="0" applyFont="1" applyFill="1"/>
    <xf numFmtId="0" fontId="13" fillId="12" borderId="1" xfId="0" applyFont="1" applyFill="1" applyBorder="1"/>
    <xf numFmtId="0" fontId="13" fillId="12" borderId="45" xfId="0" applyFont="1" applyFill="1" applyBorder="1"/>
    <xf numFmtId="0" fontId="13" fillId="12" borderId="15" xfId="0" applyFont="1" applyFill="1" applyBorder="1"/>
    <xf numFmtId="0" fontId="13" fillId="12" borderId="46" xfId="0" applyFont="1" applyFill="1" applyBorder="1"/>
    <xf numFmtId="0" fontId="0" fillId="0" borderId="33" xfId="0" applyBorder="1"/>
    <xf numFmtId="9" fontId="0" fillId="0" borderId="20" xfId="0" applyNumberFormat="1" applyBorder="1"/>
    <xf numFmtId="10" fontId="15" fillId="0" borderId="43" xfId="0" applyNumberFormat="1" applyFont="1" applyBorder="1" applyAlignment="1">
      <alignment horizontal="left" vertical="top"/>
    </xf>
    <xf numFmtId="170" fontId="0" fillId="0" borderId="0" xfId="0" applyNumberFormat="1"/>
    <xf numFmtId="9" fontId="15" fillId="0" borderId="35" xfId="0" applyNumberFormat="1" applyFont="1" applyBorder="1" applyAlignment="1">
      <alignment horizontal="left" vertical="top"/>
    </xf>
    <xf numFmtId="0" fontId="15" fillId="0" borderId="43" xfId="0" applyFont="1" applyBorder="1" applyAlignment="1">
      <alignment horizontal="center" vertical="top"/>
    </xf>
    <xf numFmtId="0" fontId="15" fillId="0" borderId="35" xfId="0" applyFont="1" applyBorder="1" applyAlignment="1">
      <alignment horizontal="center" vertical="top"/>
    </xf>
    <xf numFmtId="0" fontId="0" fillId="0" borderId="44" xfId="0" applyBorder="1"/>
    <xf numFmtId="0" fontId="0" fillId="0" borderId="38" xfId="0" applyBorder="1"/>
    <xf numFmtId="0" fontId="0" fillId="0" borderId="17" xfId="0" applyBorder="1"/>
    <xf numFmtId="0" fontId="0" fillId="6" borderId="53" xfId="0" applyFill="1" applyBorder="1" applyAlignment="1">
      <alignment horizontal="left" vertical="center"/>
    </xf>
    <xf numFmtId="0" fontId="0" fillId="6" borderId="35" xfId="0" applyFill="1" applyBorder="1"/>
    <xf numFmtId="0" fontId="0" fillId="6" borderId="10" xfId="0" applyFill="1" applyBorder="1" applyAlignment="1">
      <alignment horizontal="left" vertical="center"/>
    </xf>
    <xf numFmtId="0" fontId="0" fillId="6" borderId="43" xfId="0" applyFill="1" applyBorder="1"/>
    <xf numFmtId="0" fontId="0" fillId="6" borderId="44" xfId="0" applyFill="1" applyBorder="1" applyAlignment="1">
      <alignment horizontal="left" vertical="center"/>
    </xf>
    <xf numFmtId="0" fontId="0" fillId="6" borderId="38" xfId="0" applyFill="1" applyBorder="1"/>
    <xf numFmtId="0" fontId="0" fillId="0" borderId="37" xfId="0" applyBorder="1"/>
    <xf numFmtId="0" fontId="0" fillId="0" borderId="63" xfId="0" applyBorder="1"/>
    <xf numFmtId="0" fontId="0" fillId="0" borderId="59" xfId="0" applyBorder="1"/>
    <xf numFmtId="9" fontId="15" fillId="0" borderId="43" xfId="0" applyNumberFormat="1" applyFont="1" applyBorder="1" applyAlignment="1">
      <alignment horizontal="left" vertical="top"/>
    </xf>
    <xf numFmtId="0" fontId="15" fillId="0" borderId="43" xfId="0" applyFont="1" applyBorder="1" applyAlignment="1">
      <alignment horizontal="center" vertical="center"/>
    </xf>
    <xf numFmtId="0" fontId="15" fillId="0" borderId="43" xfId="0" applyFont="1" applyBorder="1"/>
    <xf numFmtId="0" fontId="15" fillId="0" borderId="38" xfId="0" applyFont="1" applyBorder="1" applyAlignment="1">
      <alignment horizontal="center" vertical="top"/>
    </xf>
    <xf numFmtId="0" fontId="15" fillId="0" borderId="38" xfId="0" applyFont="1" applyBorder="1"/>
    <xf numFmtId="0" fontId="24" fillId="0" borderId="0" xfId="0" applyFont="1"/>
    <xf numFmtId="0" fontId="2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/>
    <xf numFmtId="0" fontId="23" fillId="0" borderId="0" xfId="0" applyFont="1" applyAlignment="1">
      <alignment vertical="top"/>
    </xf>
    <xf numFmtId="0" fontId="7" fillId="0" borderId="43" xfId="0" applyFont="1" applyBorder="1" applyAlignment="1">
      <alignment vertical="center"/>
    </xf>
    <xf numFmtId="0" fontId="0" fillId="0" borderId="43" xfId="0" applyBorder="1" applyAlignment="1">
      <alignment horizontal="left" vertical="top"/>
    </xf>
    <xf numFmtId="0" fontId="0" fillId="0" borderId="43" xfId="0" applyBorder="1" applyAlignment="1">
      <alignment vertical="top"/>
    </xf>
    <xf numFmtId="0" fontId="8" fillId="0" borderId="61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11" fillId="0" borderId="79" xfId="0" applyFont="1" applyBorder="1" applyAlignment="1">
      <alignment horizontal="left" indent="1"/>
    </xf>
    <xf numFmtId="9" fontId="0" fillId="0" borderId="79" xfId="2" applyFont="1" applyBorder="1" applyAlignment="1">
      <alignment horizontal="center"/>
    </xf>
    <xf numFmtId="0" fontId="0" fillId="0" borderId="79" xfId="2" applyNumberFormat="1" applyFont="1" applyBorder="1" applyAlignment="1">
      <alignment horizontal="center"/>
    </xf>
    <xf numFmtId="0" fontId="11" fillId="0" borderId="26" xfId="0" applyFont="1" applyBorder="1" applyAlignment="1">
      <alignment horizontal="left" indent="1"/>
    </xf>
    <xf numFmtId="9" fontId="0" fillId="0" borderId="80" xfId="2" applyFont="1" applyBorder="1" applyAlignment="1">
      <alignment horizontal="center"/>
    </xf>
    <xf numFmtId="0" fontId="0" fillId="0" borderId="26" xfId="2" applyNumberFormat="1" applyFont="1" applyBorder="1" applyAlignment="1">
      <alignment horizontal="center"/>
    </xf>
    <xf numFmtId="0" fontId="11" fillId="0" borderId="81" xfId="0" applyFont="1" applyBorder="1" applyAlignment="1">
      <alignment horizontal="left" indent="1"/>
    </xf>
    <xf numFmtId="9" fontId="0" fillId="0" borderId="81" xfId="2" applyFont="1" applyBorder="1" applyAlignment="1">
      <alignment horizontal="center"/>
    </xf>
    <xf numFmtId="0" fontId="0" fillId="0" borderId="81" xfId="2" applyNumberFormat="1" applyFont="1" applyBorder="1" applyAlignment="1">
      <alignment horizontal="center"/>
    </xf>
    <xf numFmtId="0" fontId="8" fillId="0" borderId="73" xfId="0" applyFont="1" applyBorder="1" applyAlignment="1">
      <alignment horizontal="left" indent="1"/>
    </xf>
    <xf numFmtId="9" fontId="8" fillId="0" borderId="35" xfId="0" applyNumberFormat="1" applyFont="1" applyBorder="1" applyAlignment="1">
      <alignment horizontal="center"/>
    </xf>
    <xf numFmtId="0" fontId="8" fillId="0" borderId="35" xfId="0" applyFont="1" applyBorder="1" applyAlignment="1">
      <alignment horizontal="right"/>
    </xf>
    <xf numFmtId="9" fontId="0" fillId="0" borderId="43" xfId="0" applyNumberFormat="1" applyBorder="1" applyAlignment="1">
      <alignment vertical="top"/>
    </xf>
    <xf numFmtId="0" fontId="8" fillId="0" borderId="0" xfId="0" applyFont="1" applyAlignment="1">
      <alignment horizontal="center"/>
    </xf>
    <xf numFmtId="9" fontId="8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43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43" xfId="0" applyNumberFormat="1" applyBorder="1" applyAlignment="1">
      <alignment horizontal="center"/>
    </xf>
    <xf numFmtId="0" fontId="8" fillId="0" borderId="73" xfId="0" applyFont="1" applyBorder="1" applyAlignment="1">
      <alignment horizontal="center"/>
    </xf>
    <xf numFmtId="0" fontId="0" fillId="0" borderId="0" xfId="0" applyAlignment="1">
      <alignment vertical="center"/>
    </xf>
    <xf numFmtId="169" fontId="0" fillId="0" borderId="79" xfId="3" applyNumberFormat="1" applyFont="1" applyBorder="1" applyAlignment="1">
      <alignment horizontal="center"/>
    </xf>
    <xf numFmtId="169" fontId="0" fillId="0" borderId="26" xfId="3" applyNumberFormat="1" applyFont="1" applyBorder="1" applyAlignment="1">
      <alignment horizontal="center"/>
    </xf>
    <xf numFmtId="169" fontId="0" fillId="0" borderId="81" xfId="3" applyNumberFormat="1" applyFon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0" fontId="0" fillId="0" borderId="42" xfId="0" applyBorder="1" applyAlignment="1">
      <alignment horizontal="center" vertical="top"/>
    </xf>
    <xf numFmtId="0" fontId="0" fillId="0" borderId="32" xfId="0" applyBorder="1" applyAlignment="1">
      <alignment horizontal="left" vertical="top"/>
    </xf>
    <xf numFmtId="0" fontId="0" fillId="0" borderId="43" xfId="0" applyBorder="1"/>
    <xf numFmtId="0" fontId="0" fillId="0" borderId="35" xfId="0" applyBorder="1" applyAlignment="1">
      <alignment horizontal="center" vertical="top"/>
    </xf>
    <xf numFmtId="0" fontId="0" fillId="0" borderId="35" xfId="0" applyBorder="1" applyAlignment="1">
      <alignment vertical="top"/>
    </xf>
    <xf numFmtId="166" fontId="0" fillId="0" borderId="43" xfId="0" applyNumberFormat="1" applyBorder="1" applyAlignment="1">
      <alignment vertical="top"/>
    </xf>
    <xf numFmtId="0" fontId="0" fillId="0" borderId="71" xfId="0" applyBorder="1" applyAlignment="1">
      <alignment horizontal="left" vertical="top"/>
    </xf>
    <xf numFmtId="0" fontId="0" fillId="0" borderId="71" xfId="0" applyBorder="1"/>
    <xf numFmtId="0" fontId="0" fillId="0" borderId="0" xfId="0" applyAlignment="1">
      <alignment horizontal="left" vertical="top"/>
    </xf>
    <xf numFmtId="0" fontId="0" fillId="0" borderId="74" xfId="0" applyBorder="1"/>
    <xf numFmtId="0" fontId="0" fillId="0" borderId="72" xfId="0" applyBorder="1"/>
    <xf numFmtId="0" fontId="0" fillId="0" borderId="78" xfId="0" applyBorder="1"/>
    <xf numFmtId="0" fontId="0" fillId="0" borderId="75" xfId="0" applyBorder="1"/>
    <xf numFmtId="0" fontId="0" fillId="5" borderId="0" xfId="0" applyFill="1"/>
    <xf numFmtId="0" fontId="8" fillId="16" borderId="0" xfId="0" applyFont="1" applyFill="1" applyAlignment="1">
      <alignment horizontal="center"/>
    </xf>
    <xf numFmtId="0" fontId="8" fillId="17" borderId="0" xfId="0" applyFont="1" applyFill="1" applyAlignment="1">
      <alignment horizontal="center"/>
    </xf>
    <xf numFmtId="0" fontId="32" fillId="18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9" fontId="0" fillId="10" borderId="0" xfId="0" applyNumberFormat="1" applyFill="1" applyAlignment="1">
      <alignment horizontal="center" vertical="center"/>
    </xf>
    <xf numFmtId="2" fontId="0" fillId="10" borderId="0" xfId="2" applyNumberFormat="1" applyFont="1" applyFill="1" applyBorder="1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9" fontId="0" fillId="8" borderId="0" xfId="0" applyNumberFormat="1" applyFill="1" applyAlignment="1">
      <alignment horizontal="center" vertical="center"/>
    </xf>
    <xf numFmtId="2" fontId="0" fillId="8" borderId="0" xfId="2" applyNumberFormat="1" applyFont="1" applyFill="1" applyBorder="1" applyAlignment="1">
      <alignment horizontal="center" vertical="center"/>
    </xf>
    <xf numFmtId="0" fontId="11" fillId="20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center"/>
    </xf>
    <xf numFmtId="0" fontId="8" fillId="22" borderId="0" xfId="0" applyFont="1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5" borderId="0" xfId="0" quotePrefix="1" applyFill="1"/>
    <xf numFmtId="0" fontId="0" fillId="0" borderId="43" xfId="0" quotePrefix="1" applyBorder="1" applyAlignment="1">
      <alignment horizontal="center"/>
    </xf>
    <xf numFmtId="0" fontId="0" fillId="7" borderId="0" xfId="0" quotePrefix="1" applyFill="1"/>
    <xf numFmtId="0" fontId="15" fillId="7" borderId="0" xfId="0" quotePrefix="1" applyFont="1" applyFill="1"/>
    <xf numFmtId="0" fontId="22" fillId="7" borderId="0" xfId="0" quotePrefix="1" applyFont="1" applyFill="1"/>
    <xf numFmtId="0" fontId="0" fillId="0" borderId="0" xfId="0" quotePrefix="1"/>
    <xf numFmtId="0" fontId="0" fillId="2" borderId="0" xfId="0" quotePrefix="1" applyFill="1"/>
    <xf numFmtId="0" fontId="0" fillId="3" borderId="0" xfId="0" quotePrefix="1" applyFill="1"/>
    <xf numFmtId="0" fontId="17" fillId="6" borderId="56" xfId="0" applyFont="1" applyFill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42" xfId="0" applyFont="1" applyBorder="1" applyAlignment="1">
      <alignment horizontal="left" vertical="top"/>
    </xf>
    <xf numFmtId="0" fontId="15" fillId="0" borderId="12" xfId="0" applyFont="1" applyBorder="1"/>
    <xf numFmtId="9" fontId="15" fillId="0" borderId="43" xfId="0" quotePrefix="1" applyNumberFormat="1" applyFont="1" applyBorder="1" applyAlignment="1">
      <alignment horizontal="left" vertical="top"/>
    </xf>
    <xf numFmtId="9" fontId="15" fillId="0" borderId="41" xfId="0" applyNumberFormat="1" applyFont="1" applyBorder="1" applyAlignment="1">
      <alignment horizontal="left" vertical="top"/>
    </xf>
    <xf numFmtId="0" fontId="0" fillId="0" borderId="52" xfId="0" applyBorder="1" applyAlignment="1">
      <alignment horizontal="center" vertical="top"/>
    </xf>
    <xf numFmtId="167" fontId="0" fillId="23" borderId="22" xfId="1" applyNumberFormat="1" applyFont="1" applyFill="1" applyBorder="1" applyAlignment="1">
      <alignment horizontal="center" vertical="center"/>
    </xf>
    <xf numFmtId="167" fontId="0" fillId="23" borderId="26" xfId="1" applyNumberFormat="1" applyFont="1" applyFill="1" applyBorder="1" applyAlignment="1">
      <alignment horizontal="center" vertical="center"/>
    </xf>
    <xf numFmtId="0" fontId="14" fillId="25" borderId="1" xfId="0" applyFont="1" applyFill="1" applyBorder="1"/>
    <xf numFmtId="0" fontId="14" fillId="25" borderId="45" xfId="0" applyFont="1" applyFill="1" applyBorder="1"/>
    <xf numFmtId="0" fontId="14" fillId="25" borderId="15" xfId="0" applyFont="1" applyFill="1" applyBorder="1"/>
    <xf numFmtId="0" fontId="14" fillId="25" borderId="46" xfId="0" applyFont="1" applyFill="1" applyBorder="1"/>
    <xf numFmtId="0" fontId="0" fillId="6" borderId="47" xfId="0" applyFill="1" applyBorder="1" applyAlignment="1">
      <alignment horizontal="center"/>
    </xf>
    <xf numFmtId="0" fontId="14" fillId="5" borderId="0" xfId="0" applyFont="1" applyFill="1"/>
    <xf numFmtId="9" fontId="14" fillId="5" borderId="0" xfId="0" applyNumberFormat="1" applyFont="1" applyFill="1"/>
    <xf numFmtId="0" fontId="14" fillId="7" borderId="0" xfId="0" applyFont="1" applyFill="1"/>
    <xf numFmtId="9" fontId="14" fillId="7" borderId="0" xfId="0" applyNumberFormat="1" applyFont="1" applyFill="1"/>
    <xf numFmtId="0" fontId="8" fillId="6" borderId="47" xfId="0" applyFont="1" applyFill="1" applyBorder="1" applyAlignment="1">
      <alignment horizontal="center" vertical="center"/>
    </xf>
    <xf numFmtId="0" fontId="0" fillId="6" borderId="47" xfId="0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 vertical="center"/>
    </xf>
    <xf numFmtId="0" fontId="44" fillId="25" borderId="15" xfId="0" applyFont="1" applyFill="1" applyBorder="1"/>
    <xf numFmtId="0" fontId="44" fillId="25" borderId="46" xfId="0" applyFont="1" applyFill="1" applyBorder="1"/>
    <xf numFmtId="0" fontId="14" fillId="7" borderId="77" xfId="0" applyFont="1" applyFill="1" applyBorder="1"/>
    <xf numFmtId="9" fontId="14" fillId="7" borderId="77" xfId="0" applyNumberFormat="1" applyFont="1" applyFill="1" applyBorder="1"/>
    <xf numFmtId="0" fontId="16" fillId="9" borderId="52" xfId="0" applyFont="1" applyFill="1" applyBorder="1" applyAlignment="1">
      <alignment vertical="top" wrapText="1"/>
    </xf>
    <xf numFmtId="0" fontId="16" fillId="0" borderId="10" xfId="0" applyFont="1" applyBorder="1" applyAlignment="1">
      <alignment horizontal="center" vertical="center"/>
    </xf>
    <xf numFmtId="9" fontId="16" fillId="0" borderId="43" xfId="0" applyNumberFormat="1" applyFont="1" applyBorder="1" applyAlignment="1">
      <alignment horizontal="left" vertical="top"/>
    </xf>
    <xf numFmtId="0" fontId="16" fillId="0" borderId="6" xfId="0" applyFont="1" applyBorder="1"/>
    <xf numFmtId="0" fontId="15" fillId="0" borderId="43" xfId="0" applyFont="1" applyBorder="1" applyAlignment="1">
      <alignment horizontal="left" vertical="center"/>
    </xf>
    <xf numFmtId="0" fontId="15" fillId="0" borderId="38" xfId="0" applyFont="1" applyBorder="1" applyAlignment="1">
      <alignment horizontal="left" vertical="center"/>
    </xf>
    <xf numFmtId="0" fontId="14" fillId="8" borderId="43" xfId="0" applyFont="1" applyFill="1" applyBorder="1" applyAlignment="1">
      <alignment horizontal="center"/>
    </xf>
    <xf numFmtId="9" fontId="14" fillId="8" borderId="43" xfId="0" applyNumberFormat="1" applyFont="1" applyFill="1" applyBorder="1" applyAlignment="1">
      <alignment horizontal="center"/>
    </xf>
    <xf numFmtId="0" fontId="0" fillId="0" borderId="51" xfId="0" applyBorder="1" applyAlignment="1">
      <alignment horizontal="center" vertical="top"/>
    </xf>
    <xf numFmtId="0" fontId="0" fillId="0" borderId="54" xfId="0" applyBorder="1" applyAlignment="1">
      <alignment horizontal="center" vertical="top"/>
    </xf>
    <xf numFmtId="0" fontId="8" fillId="10" borderId="61" xfId="0" applyFont="1" applyFill="1" applyBorder="1" applyAlignment="1">
      <alignment horizontal="center" vertical="center"/>
    </xf>
    <xf numFmtId="0" fontId="8" fillId="10" borderId="62" xfId="0" applyFont="1" applyFill="1" applyBorder="1" applyAlignment="1">
      <alignment horizontal="center" vertical="center"/>
    </xf>
    <xf numFmtId="0" fontId="0" fillId="10" borderId="43" xfId="0" applyFill="1" applyBorder="1" applyAlignment="1">
      <alignment horizontal="center"/>
    </xf>
    <xf numFmtId="0" fontId="7" fillId="0" borderId="41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6" fillId="0" borderId="43" xfId="0" applyFont="1" applyBorder="1" applyAlignment="1">
      <alignment horizontal="left" vertical="center"/>
    </xf>
    <xf numFmtId="0" fontId="6" fillId="0" borderId="6" xfId="0" applyFont="1" applyBorder="1" applyAlignment="1">
      <alignment horizontal="left" vertical="center"/>
    </xf>
    <xf numFmtId="17" fontId="12" fillId="0" borderId="43" xfId="0" applyNumberFormat="1" applyFont="1" applyBorder="1" applyAlignment="1">
      <alignment horizontal="left" vertical="top"/>
    </xf>
    <xf numFmtId="17" fontId="12" fillId="0" borderId="6" xfId="0" applyNumberFormat="1" applyFont="1" applyBorder="1" applyAlignment="1">
      <alignment horizontal="left" vertical="top"/>
    </xf>
    <xf numFmtId="17" fontId="10" fillId="0" borderId="43" xfId="0" applyNumberFormat="1" applyFont="1" applyBorder="1" applyAlignment="1">
      <alignment horizontal="left" vertical="top"/>
    </xf>
    <xf numFmtId="0" fontId="10" fillId="0" borderId="43" xfId="0" applyFont="1" applyBorder="1" applyAlignment="1">
      <alignment horizontal="left" vertical="top"/>
    </xf>
    <xf numFmtId="0" fontId="10" fillId="0" borderId="6" xfId="0" applyFont="1" applyBorder="1" applyAlignment="1">
      <alignment horizontal="left" vertical="top"/>
    </xf>
    <xf numFmtId="17" fontId="10" fillId="0" borderId="38" xfId="0" applyNumberFormat="1" applyFont="1" applyBorder="1" applyAlignment="1">
      <alignment horizontal="left" vertical="top"/>
    </xf>
    <xf numFmtId="17" fontId="10" fillId="0" borderId="17" xfId="0" applyNumberFormat="1" applyFont="1" applyBorder="1" applyAlignment="1">
      <alignment horizontal="left" vertical="top"/>
    </xf>
    <xf numFmtId="0" fontId="5" fillId="3" borderId="8" xfId="0" applyFont="1" applyFill="1" applyBorder="1" applyAlignment="1">
      <alignment horizontal="left" vertical="center" wrapText="1"/>
    </xf>
    <xf numFmtId="0" fontId="5" fillId="3" borderId="41" xfId="0" applyFont="1" applyFill="1" applyBorder="1" applyAlignment="1">
      <alignment horizontal="left" vertical="center" wrapText="1"/>
    </xf>
    <xf numFmtId="0" fontId="5" fillId="3" borderId="9" xfId="0" applyFont="1" applyFill="1" applyBorder="1" applyAlignment="1">
      <alignment horizontal="left" vertical="center" wrapText="1"/>
    </xf>
    <xf numFmtId="0" fontId="5" fillId="3" borderId="11" xfId="0" applyFont="1" applyFill="1" applyBorder="1" applyAlignment="1">
      <alignment horizontal="left" vertical="center" wrapText="1"/>
    </xf>
    <xf numFmtId="0" fontId="5" fillId="3" borderId="42" xfId="0" applyFont="1" applyFill="1" applyBorder="1" applyAlignment="1">
      <alignment horizontal="left" vertical="center" wrapText="1"/>
    </xf>
    <xf numFmtId="0" fontId="5" fillId="3" borderId="12" xfId="0" applyFont="1" applyFill="1" applyBorder="1" applyAlignment="1">
      <alignment horizontal="left" vertical="center" wrapText="1"/>
    </xf>
    <xf numFmtId="0" fontId="0" fillId="0" borderId="57" xfId="0" applyBorder="1" applyAlignment="1">
      <alignment horizontal="center" vertical="top"/>
    </xf>
    <xf numFmtId="0" fontId="0" fillId="0" borderId="52" xfId="0" applyBorder="1" applyAlignment="1">
      <alignment horizontal="center" vertical="top"/>
    </xf>
    <xf numFmtId="0" fontId="0" fillId="0" borderId="58" xfId="0" applyBorder="1" applyAlignment="1">
      <alignment horizontal="center" vertical="top"/>
    </xf>
    <xf numFmtId="0" fontId="0" fillId="0" borderId="5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9" fontId="0" fillId="0" borderId="18" xfId="0" applyNumberFormat="1" applyBorder="1" applyAlignment="1">
      <alignment horizontal="center" vertical="center"/>
    </xf>
    <xf numFmtId="9" fontId="0" fillId="0" borderId="50" xfId="0" applyNumberForma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9" fontId="0" fillId="0" borderId="83" xfId="0" applyNumberFormat="1" applyBorder="1" applyAlignment="1">
      <alignment horizontal="center" vertical="center"/>
    </xf>
    <xf numFmtId="9" fontId="0" fillId="0" borderId="59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8" fillId="0" borderId="45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46" xfId="0" applyFont="1" applyBorder="1" applyAlignment="1">
      <alignment horizontal="left" vertical="top" wrapText="1"/>
    </xf>
    <xf numFmtId="0" fontId="8" fillId="0" borderId="52" xfId="0" applyFont="1" applyBorder="1" applyAlignment="1">
      <alignment horizontal="center" vertical="top"/>
    </xf>
    <xf numFmtId="0" fontId="8" fillId="0" borderId="58" xfId="0" applyFont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56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55" xfId="0" applyBorder="1" applyAlignment="1">
      <alignment horizontal="center" vertical="top"/>
    </xf>
    <xf numFmtId="0" fontId="0" fillId="0" borderId="52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0" fontId="4" fillId="6" borderId="53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44" xfId="0" applyFill="1" applyBorder="1" applyAlignment="1">
      <alignment horizontal="center" vertical="center"/>
    </xf>
    <xf numFmtId="0" fontId="0" fillId="6" borderId="8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14" fillId="8" borderId="61" xfId="0" applyFont="1" applyFill="1" applyBorder="1" applyAlignment="1">
      <alignment horizontal="center"/>
    </xf>
    <xf numFmtId="9" fontId="14" fillId="8" borderId="61" xfId="0" applyNumberFormat="1" applyFont="1" applyFill="1" applyBorder="1" applyAlignment="1">
      <alignment horizontal="center"/>
    </xf>
    <xf numFmtId="0" fontId="14" fillId="8" borderId="41" xfId="0" applyFont="1" applyFill="1" applyBorder="1" applyAlignment="1">
      <alignment horizontal="center"/>
    </xf>
    <xf numFmtId="0" fontId="14" fillId="8" borderId="9" xfId="0" applyFont="1" applyFill="1" applyBorder="1" applyAlignment="1">
      <alignment horizontal="center"/>
    </xf>
    <xf numFmtId="9" fontId="14" fillId="8" borderId="76" xfId="0" applyNumberFormat="1" applyFont="1" applyFill="1" applyBorder="1" applyAlignment="1">
      <alignment horizontal="center"/>
    </xf>
    <xf numFmtId="9" fontId="14" fillId="8" borderId="62" xfId="0" applyNumberFormat="1" applyFont="1" applyFill="1" applyBorder="1" applyAlignment="1">
      <alignment horizontal="center"/>
    </xf>
    <xf numFmtId="0" fontId="14" fillId="8" borderId="45" xfId="0" applyFont="1" applyFill="1" applyBorder="1" applyAlignment="1">
      <alignment horizontal="center"/>
    </xf>
    <xf numFmtId="0" fontId="14" fillId="8" borderId="84" xfId="0" applyFont="1" applyFill="1" applyBorder="1" applyAlignment="1">
      <alignment horizontal="center"/>
    </xf>
    <xf numFmtId="9" fontId="14" fillId="8" borderId="46" xfId="0" applyNumberFormat="1" applyFont="1" applyFill="1" applyBorder="1" applyAlignment="1">
      <alignment horizontal="center"/>
    </xf>
    <xf numFmtId="9" fontId="14" fillId="8" borderId="83" xfId="0" applyNumberFormat="1" applyFont="1" applyFill="1" applyBorder="1" applyAlignment="1">
      <alignment horizontal="center"/>
    </xf>
    <xf numFmtId="9" fontId="14" fillId="8" borderId="38" xfId="0" applyNumberFormat="1" applyFont="1" applyFill="1" applyBorder="1" applyAlignment="1">
      <alignment horizontal="center"/>
    </xf>
    <xf numFmtId="0" fontId="14" fillId="8" borderId="38" xfId="0" applyFont="1" applyFill="1" applyBorder="1" applyAlignment="1">
      <alignment horizontal="center"/>
    </xf>
    <xf numFmtId="0" fontId="14" fillId="8" borderId="17" xfId="0" applyFont="1" applyFill="1" applyBorder="1" applyAlignment="1">
      <alignment horizontal="center"/>
    </xf>
    <xf numFmtId="0" fontId="14" fillId="8" borderId="64" xfId="0" applyFont="1" applyFill="1" applyBorder="1" applyAlignment="1">
      <alignment horizontal="center"/>
    </xf>
    <xf numFmtId="0" fontId="14" fillId="8" borderId="65" xfId="0" applyFont="1" applyFill="1" applyBorder="1" applyAlignment="1">
      <alignment horizontal="center"/>
    </xf>
    <xf numFmtId="0" fontId="14" fillId="8" borderId="68" xfId="0" applyFont="1" applyFill="1" applyBorder="1" applyAlignment="1">
      <alignment horizontal="center"/>
    </xf>
    <xf numFmtId="0" fontId="0" fillId="6" borderId="53" xfId="0" applyFill="1" applyBorder="1" applyAlignment="1">
      <alignment horizontal="center" vertical="center"/>
    </xf>
    <xf numFmtId="9" fontId="14" fillId="8" borderId="66" xfId="0" applyNumberFormat="1" applyFont="1" applyFill="1" applyBorder="1" applyAlignment="1">
      <alignment horizontal="center"/>
    </xf>
    <xf numFmtId="9" fontId="14" fillId="8" borderId="67" xfId="0" applyNumberFormat="1" applyFont="1" applyFill="1" applyBorder="1" applyAlignment="1">
      <alignment horizontal="center"/>
    </xf>
    <xf numFmtId="9" fontId="14" fillId="8" borderId="69" xfId="0" applyNumberFormat="1" applyFont="1" applyFill="1" applyBorder="1" applyAlignment="1">
      <alignment horizontal="center"/>
    </xf>
    <xf numFmtId="0" fontId="23" fillId="0" borderId="0" xfId="0" applyFont="1" applyAlignment="1">
      <alignment horizontal="left" vertical="top" wrapText="1"/>
    </xf>
    <xf numFmtId="0" fontId="14" fillId="25" borderId="1" xfId="0" applyFont="1" applyFill="1" applyBorder="1" applyAlignment="1">
      <alignment horizontal="left"/>
    </xf>
    <xf numFmtId="0" fontId="14" fillId="25" borderId="84" xfId="0" applyFont="1" applyFill="1" applyBorder="1" applyAlignment="1">
      <alignment horizontal="left"/>
    </xf>
    <xf numFmtId="0" fontId="0" fillId="0" borderId="52" xfId="0" applyBorder="1" applyAlignment="1">
      <alignment horizontal="left" vertical="top" wrapText="1"/>
    </xf>
    <xf numFmtId="0" fontId="0" fillId="0" borderId="58" xfId="0" applyBorder="1" applyAlignment="1">
      <alignment horizontal="left" vertical="top" wrapText="1"/>
    </xf>
    <xf numFmtId="0" fontId="8" fillId="0" borderId="52" xfId="0" applyFont="1" applyBorder="1" applyAlignment="1">
      <alignment horizontal="left" vertical="top" wrapText="1"/>
    </xf>
    <xf numFmtId="0" fontId="8" fillId="0" borderId="55" xfId="0" applyFont="1" applyBorder="1" applyAlignment="1">
      <alignment horizontal="left" vertical="top" wrapText="1"/>
    </xf>
    <xf numFmtId="0" fontId="16" fillId="9" borderId="52" xfId="0" applyFont="1" applyFill="1" applyBorder="1" applyAlignment="1">
      <alignment horizontal="left" vertical="top" wrapText="1"/>
    </xf>
    <xf numFmtId="0" fontId="16" fillId="9" borderId="58" xfId="0" applyFont="1" applyFill="1" applyBorder="1" applyAlignment="1">
      <alignment horizontal="left" vertical="top" wrapText="1"/>
    </xf>
    <xf numFmtId="0" fontId="0" fillId="0" borderId="55" xfId="0" applyBorder="1" applyAlignment="1">
      <alignment horizontal="left" vertical="top" wrapText="1"/>
    </xf>
    <xf numFmtId="0" fontId="8" fillId="23" borderId="52" xfId="0" applyFont="1" applyFill="1" applyBorder="1" applyAlignment="1">
      <alignment horizontal="left" vertical="top" wrapText="1"/>
    </xf>
    <xf numFmtId="0" fontId="0" fillId="23" borderId="55" xfId="0" applyFill="1" applyBorder="1" applyAlignment="1">
      <alignment horizontal="left" vertical="top" wrapText="1"/>
    </xf>
    <xf numFmtId="0" fontId="0" fillId="23" borderId="58" xfId="0" applyFill="1" applyBorder="1" applyAlignment="1">
      <alignment horizontal="left" vertical="top" wrapText="1"/>
    </xf>
    <xf numFmtId="0" fontId="14" fillId="25" borderId="45" xfId="0" applyFont="1" applyFill="1" applyBorder="1" applyAlignment="1">
      <alignment horizontal="left"/>
    </xf>
    <xf numFmtId="0" fontId="45" fillId="25" borderId="15" xfId="0" applyFont="1" applyFill="1" applyBorder="1" applyAlignment="1">
      <alignment horizontal="left"/>
    </xf>
    <xf numFmtId="0" fontId="45" fillId="25" borderId="83" xfId="0" applyFont="1" applyFill="1" applyBorder="1" applyAlignment="1">
      <alignment horizontal="left"/>
    </xf>
    <xf numFmtId="0" fontId="8" fillId="0" borderId="58" xfId="0" applyFont="1" applyBorder="1" applyAlignment="1">
      <alignment horizontal="left" vertical="top" wrapText="1"/>
    </xf>
    <xf numFmtId="0" fontId="16" fillId="24" borderId="52" xfId="0" applyFont="1" applyFill="1" applyBorder="1" applyAlignment="1">
      <alignment horizontal="left" vertical="top" wrapText="1"/>
    </xf>
    <xf numFmtId="0" fontId="0" fillId="24" borderId="58" xfId="0" applyFill="1" applyBorder="1" applyAlignment="1">
      <alignment horizontal="left" vertical="top" wrapText="1"/>
    </xf>
    <xf numFmtId="0" fontId="14" fillId="26" borderId="1" xfId="0" applyFont="1" applyFill="1" applyBorder="1" applyAlignment="1">
      <alignment horizontal="left"/>
    </xf>
    <xf numFmtId="0" fontId="14" fillId="26" borderId="45" xfId="0" applyFont="1" applyFill="1" applyBorder="1" applyAlignment="1">
      <alignment horizontal="left"/>
    </xf>
    <xf numFmtId="0" fontId="14" fillId="26" borderId="15" xfId="0" applyFont="1" applyFill="1" applyBorder="1" applyAlignment="1">
      <alignment horizontal="left"/>
    </xf>
    <xf numFmtId="0" fontId="14" fillId="26" borderId="46" xfId="0" applyFont="1" applyFill="1" applyBorder="1" applyAlignment="1">
      <alignment horizontal="left"/>
    </xf>
    <xf numFmtId="0" fontId="0" fillId="0" borderId="60" xfId="0" applyBorder="1" applyAlignment="1">
      <alignment horizontal="center" vertical="top"/>
    </xf>
    <xf numFmtId="0" fontId="8" fillId="0" borderId="52" xfId="0" applyFont="1" applyBorder="1" applyAlignment="1">
      <alignment horizontal="left" vertical="top"/>
    </xf>
    <xf numFmtId="0" fontId="8" fillId="0" borderId="55" xfId="0" applyFont="1" applyBorder="1" applyAlignment="1">
      <alignment horizontal="left" vertical="top"/>
    </xf>
    <xf numFmtId="0" fontId="8" fillId="0" borderId="58" xfId="0" applyFont="1" applyBorder="1" applyAlignment="1">
      <alignment horizontal="left" vertical="top"/>
    </xf>
    <xf numFmtId="0" fontId="3" fillId="0" borderId="52" xfId="0" applyFont="1" applyBorder="1" applyAlignment="1">
      <alignment horizontal="left" vertical="top" wrapText="1"/>
    </xf>
    <xf numFmtId="0" fontId="16" fillId="9" borderId="55" xfId="0" applyFont="1" applyFill="1" applyBorder="1" applyAlignment="1">
      <alignment horizontal="left" vertical="top" wrapText="1"/>
    </xf>
    <xf numFmtId="0" fontId="43" fillId="24" borderId="52" xfId="0" applyFont="1" applyFill="1" applyBorder="1" applyAlignment="1">
      <alignment horizontal="left" vertical="top" wrapText="1"/>
    </xf>
    <xf numFmtId="0" fontId="0" fillId="6" borderId="62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7" fillId="6" borderId="40" xfId="0" applyFont="1" applyFill="1" applyBorder="1" applyAlignment="1">
      <alignment horizontal="center" vertical="center"/>
    </xf>
    <xf numFmtId="0" fontId="17" fillId="6" borderId="59" xfId="0" applyFont="1" applyFill="1" applyBorder="1" applyAlignment="1">
      <alignment horizontal="center" vertical="center"/>
    </xf>
    <xf numFmtId="0" fontId="17" fillId="6" borderId="56" xfId="0" applyFont="1" applyFill="1" applyBorder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8" fillId="15" borderId="0" xfId="0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8" fillId="21" borderId="0" xfId="0" applyFont="1" applyFill="1" applyAlignment="1">
      <alignment horizontal="center"/>
    </xf>
    <xf numFmtId="0" fontId="0" fillId="14" borderId="0" xfId="0" quotePrefix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32" fillId="6" borderId="0" xfId="0" quotePrefix="1" applyFont="1" applyFill="1" applyAlignment="1">
      <alignment horizontal="center" vertical="center" wrapText="1"/>
    </xf>
    <xf numFmtId="0" fontId="32" fillId="6" borderId="0" xfId="0" applyFont="1" applyFill="1" applyAlignment="1">
      <alignment horizontal="center" vertical="center" wrapText="1"/>
    </xf>
    <xf numFmtId="0" fontId="11" fillId="17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16" borderId="0" xfId="0" quotePrefix="1" applyFill="1" applyAlignment="1">
      <alignment horizontal="center"/>
    </xf>
    <xf numFmtId="0" fontId="0" fillId="16" borderId="0" xfId="0" applyFill="1" applyAlignment="1">
      <alignment horizontal="center"/>
    </xf>
    <xf numFmtId="0" fontId="0" fillId="0" borderId="43" xfId="0" applyBorder="1" applyAlignment="1">
      <alignment horizontal="left" vertical="top"/>
    </xf>
    <xf numFmtId="0" fontId="0" fillId="0" borderId="43" xfId="0" applyBorder="1" applyAlignment="1">
      <alignment horizontal="center" vertical="top"/>
    </xf>
    <xf numFmtId="0" fontId="0" fillId="0" borderId="43" xfId="0" applyBorder="1" applyAlignment="1">
      <alignment horizontal="center" vertical="center"/>
    </xf>
    <xf numFmtId="0" fontId="0" fillId="0" borderId="70" xfId="0" applyBorder="1" applyAlignment="1">
      <alignment horizontal="left" vertical="top" wrapText="1"/>
    </xf>
    <xf numFmtId="0" fontId="0" fillId="0" borderId="71" xfId="0" applyBorder="1" applyAlignment="1">
      <alignment horizontal="left" vertical="top" wrapText="1"/>
    </xf>
    <xf numFmtId="0" fontId="0" fillId="0" borderId="72" xfId="0" applyBorder="1" applyAlignment="1">
      <alignment horizontal="left" vertical="top" wrapText="1"/>
    </xf>
    <xf numFmtId="0" fontId="0" fillId="0" borderId="77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78" xfId="0" applyBorder="1" applyAlignment="1">
      <alignment horizontal="left" vertical="top" wrapText="1"/>
    </xf>
    <xf numFmtId="0" fontId="0" fillId="0" borderId="73" xfId="0" applyBorder="1" applyAlignment="1">
      <alignment horizontal="left" vertical="top" wrapText="1"/>
    </xf>
    <xf numFmtId="0" fontId="0" fillId="0" borderId="74" xfId="0" applyBorder="1" applyAlignment="1">
      <alignment horizontal="left" vertical="top" wrapText="1"/>
    </xf>
    <xf numFmtId="0" fontId="0" fillId="0" borderId="75" xfId="0" applyBorder="1" applyAlignment="1">
      <alignment horizontal="left" vertical="top" wrapText="1"/>
    </xf>
    <xf numFmtId="0" fontId="27" fillId="0" borderId="43" xfId="0" applyFont="1" applyBorder="1" applyAlignment="1">
      <alignment horizontal="left" vertical="top"/>
    </xf>
    <xf numFmtId="0" fontId="0" fillId="0" borderId="43" xfId="0" applyBorder="1" applyAlignment="1">
      <alignment horizontal="left" vertical="top" wrapText="1"/>
    </xf>
    <xf numFmtId="0" fontId="0" fillId="0" borderId="43" xfId="0" applyBorder="1" applyAlignment="1">
      <alignment horizontal="center"/>
    </xf>
    <xf numFmtId="0" fontId="6" fillId="0" borderId="61" xfId="0" applyFont="1" applyBorder="1" applyAlignment="1">
      <alignment horizontal="left" vertical="center"/>
    </xf>
    <xf numFmtId="0" fontId="6" fillId="0" borderId="76" xfId="0" applyFont="1" applyBorder="1" applyAlignment="1">
      <alignment horizontal="left" vertical="center"/>
    </xf>
    <xf numFmtId="0" fontId="6" fillId="0" borderId="62" xfId="0" applyFont="1" applyBorder="1" applyAlignment="1">
      <alignment horizontal="left" vertical="center"/>
    </xf>
    <xf numFmtId="0" fontId="0" fillId="0" borderId="43" xfId="0" applyBorder="1" applyAlignment="1">
      <alignment horizontal="center" wrapText="1"/>
    </xf>
    <xf numFmtId="0" fontId="0" fillId="0" borderId="61" xfId="0" applyBorder="1" applyAlignment="1">
      <alignment horizontal="center" vertical="top"/>
    </xf>
    <xf numFmtId="0" fontId="0" fillId="0" borderId="76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0" fillId="0" borderId="6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1" xfId="0" applyBorder="1" applyAlignment="1">
      <alignment horizontal="left" vertical="top"/>
    </xf>
    <xf numFmtId="0" fontId="0" fillId="0" borderId="76" xfId="0" applyBorder="1" applyAlignment="1">
      <alignment horizontal="left" vertical="top"/>
    </xf>
    <xf numFmtId="0" fontId="0" fillId="0" borderId="62" xfId="0" applyBorder="1" applyAlignment="1">
      <alignment horizontal="left" vertical="top"/>
    </xf>
    <xf numFmtId="0" fontId="0" fillId="0" borderId="42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70" xfId="0" quotePrefix="1" applyBorder="1" applyAlignment="1">
      <alignment horizontal="left" vertical="top" wrapText="1"/>
    </xf>
    <xf numFmtId="0" fontId="0" fillId="0" borderId="43" xfId="0" quotePrefix="1" applyBorder="1" applyAlignment="1">
      <alignment horizontal="left" vertical="top" wrapText="1"/>
    </xf>
    <xf numFmtId="0" fontId="0" fillId="0" borderId="42" xfId="0" applyBorder="1" applyAlignment="1">
      <alignment horizontal="left" vertical="top"/>
    </xf>
    <xf numFmtId="0" fontId="0" fillId="0" borderId="32" xfId="0" applyBorder="1" applyAlignment="1">
      <alignment horizontal="left" vertical="top"/>
    </xf>
    <xf numFmtId="0" fontId="0" fillId="0" borderId="35" xfId="0" applyBorder="1" applyAlignment="1">
      <alignment horizontal="left" vertical="top"/>
    </xf>
    <xf numFmtId="0" fontId="0" fillId="0" borderId="43" xfId="0" applyBorder="1" applyAlignment="1">
      <alignment vertical="top"/>
    </xf>
    <xf numFmtId="0" fontId="28" fillId="0" borderId="43" xfId="0" applyFont="1" applyBorder="1" applyAlignment="1">
      <alignment horizontal="left" vertical="top"/>
    </xf>
    <xf numFmtId="0" fontId="0" fillId="0" borderId="43" xfId="0" applyBorder="1" applyAlignment="1">
      <alignment horizontal="left"/>
    </xf>
    <xf numFmtId="0" fontId="0" fillId="0" borderId="73" xfId="0" applyBorder="1" applyAlignment="1">
      <alignment horizontal="left" vertical="top"/>
    </xf>
    <xf numFmtId="0" fontId="0" fillId="0" borderId="74" xfId="0" applyBorder="1" applyAlignment="1">
      <alignment horizontal="left" vertical="top"/>
    </xf>
    <xf numFmtId="0" fontId="0" fillId="0" borderId="7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center" vertical="top"/>
    </xf>
    <xf numFmtId="0" fontId="0" fillId="0" borderId="32" xfId="0" applyBorder="1" applyAlignment="1">
      <alignment horizontal="center" vertical="top"/>
    </xf>
    <xf numFmtId="0" fontId="0" fillId="0" borderId="35" xfId="0" applyBorder="1" applyAlignment="1">
      <alignment horizontal="center" vertical="top"/>
    </xf>
    <xf numFmtId="0" fontId="30" fillId="0" borderId="71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23" fillId="0" borderId="74" xfId="0" applyFont="1" applyBorder="1" applyAlignment="1">
      <alignment horizontal="left" vertical="top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8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0" xfId="0" applyBorder="1" applyAlignment="1">
      <alignment horizontal="center" vertical="top" wrapText="1"/>
    </xf>
    <xf numFmtId="0" fontId="0" fillId="0" borderId="71" xfId="0" applyBorder="1" applyAlignment="1">
      <alignment horizontal="center" vertical="top" wrapText="1"/>
    </xf>
    <xf numFmtId="0" fontId="0" fillId="0" borderId="77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5" fillId="3" borderId="70" xfId="0" applyFont="1" applyFill="1" applyBorder="1" applyAlignment="1">
      <alignment horizontal="left" vertical="top" wrapText="1"/>
    </xf>
    <xf numFmtId="0" fontId="5" fillId="3" borderId="71" xfId="0" applyFont="1" applyFill="1" applyBorder="1" applyAlignment="1">
      <alignment horizontal="left" vertical="top" wrapText="1"/>
    </xf>
    <xf numFmtId="0" fontId="5" fillId="3" borderId="72" xfId="0" applyFont="1" applyFill="1" applyBorder="1" applyAlignment="1">
      <alignment horizontal="left" vertical="top" wrapText="1"/>
    </xf>
    <xf numFmtId="0" fontId="5" fillId="3" borderId="73" xfId="0" applyFont="1" applyFill="1" applyBorder="1" applyAlignment="1">
      <alignment horizontal="left" vertical="top" wrapText="1"/>
    </xf>
    <xf numFmtId="0" fontId="5" fillId="3" borderId="74" xfId="0" applyFont="1" applyFill="1" applyBorder="1" applyAlignment="1">
      <alignment horizontal="left" vertical="top" wrapText="1"/>
    </xf>
    <xf numFmtId="0" fontId="5" fillId="3" borderId="75" xfId="0" applyFont="1" applyFill="1" applyBorder="1" applyAlignment="1">
      <alignment horizontal="left" vertical="top" wrapText="1"/>
    </xf>
    <xf numFmtId="0" fontId="5" fillId="3" borderId="70" xfId="0" applyFont="1" applyFill="1" applyBorder="1" applyAlignment="1">
      <alignment horizontal="left" vertical="top"/>
    </xf>
    <xf numFmtId="0" fontId="5" fillId="3" borderId="71" xfId="0" applyFont="1" applyFill="1" applyBorder="1" applyAlignment="1">
      <alignment horizontal="left" vertical="top"/>
    </xf>
    <xf numFmtId="0" fontId="5" fillId="3" borderId="73" xfId="0" applyFont="1" applyFill="1" applyBorder="1" applyAlignment="1">
      <alignment horizontal="left" vertical="top"/>
    </xf>
    <xf numFmtId="0" fontId="5" fillId="3" borderId="74" xfId="0" applyFont="1" applyFill="1" applyBorder="1" applyAlignment="1">
      <alignment horizontal="left" vertical="top"/>
    </xf>
    <xf numFmtId="0" fontId="25" fillId="3" borderId="70" xfId="0" applyFont="1" applyFill="1" applyBorder="1" applyAlignment="1">
      <alignment horizontal="left" vertical="top"/>
    </xf>
    <xf numFmtId="0" fontId="25" fillId="3" borderId="71" xfId="0" applyFont="1" applyFill="1" applyBorder="1" applyAlignment="1">
      <alignment horizontal="left" vertical="top"/>
    </xf>
    <xf numFmtId="0" fontId="25" fillId="3" borderId="72" xfId="0" applyFont="1" applyFill="1" applyBorder="1" applyAlignment="1">
      <alignment horizontal="left" vertical="top"/>
    </xf>
    <xf numFmtId="0" fontId="25" fillId="3" borderId="73" xfId="0" applyFont="1" applyFill="1" applyBorder="1" applyAlignment="1">
      <alignment horizontal="left" vertical="top"/>
    </xf>
    <xf numFmtId="0" fontId="25" fillId="3" borderId="74" xfId="0" applyFont="1" applyFill="1" applyBorder="1" applyAlignment="1">
      <alignment horizontal="left" vertical="top"/>
    </xf>
    <xf numFmtId="0" fontId="25" fillId="3" borderId="75" xfId="0" applyFont="1" applyFill="1" applyBorder="1" applyAlignment="1">
      <alignment horizontal="left" vertical="top"/>
    </xf>
    <xf numFmtId="0" fontId="26" fillId="0" borderId="43" xfId="0" applyFont="1" applyBorder="1" applyAlignment="1">
      <alignment horizontal="left" vertical="top"/>
    </xf>
    <xf numFmtId="0" fontId="0" fillId="0" borderId="42" xfId="0" applyBorder="1" applyAlignment="1">
      <alignment vertical="top"/>
    </xf>
    <xf numFmtId="0" fontId="0" fillId="0" borderId="32" xfId="0" applyBorder="1" applyAlignment="1">
      <alignment vertical="top"/>
    </xf>
    <xf numFmtId="0" fontId="0" fillId="0" borderId="35" xfId="0" applyBorder="1" applyAlignment="1">
      <alignment vertical="top"/>
    </xf>
    <xf numFmtId="0" fontId="0" fillId="0" borderId="61" xfId="0" applyBorder="1" applyAlignment="1">
      <alignment horizontal="left" vertical="top" wrapText="1"/>
    </xf>
    <xf numFmtId="0" fontId="0" fillId="0" borderId="76" xfId="0" applyBorder="1" applyAlignment="1">
      <alignment horizontal="left" vertical="top" wrapText="1"/>
    </xf>
    <xf numFmtId="0" fontId="0" fillId="0" borderId="62" xfId="0" applyBorder="1" applyAlignment="1">
      <alignment horizontal="left" vertical="top" wrapText="1"/>
    </xf>
    <xf numFmtId="166" fontId="0" fillId="0" borderId="43" xfId="0" applyNumberFormat="1" applyBorder="1" applyAlignment="1">
      <alignment horizontal="center" vertical="center"/>
    </xf>
    <xf numFmtId="0" fontId="8" fillId="0" borderId="43" xfId="0" applyFont="1" applyBorder="1" applyAlignment="1">
      <alignment horizontal="center"/>
    </xf>
    <xf numFmtId="0" fontId="8" fillId="0" borderId="42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0" fillId="0" borderId="70" xfId="0" applyBorder="1" applyAlignment="1">
      <alignment horizontal="center" vertical="top"/>
    </xf>
    <xf numFmtId="0" fontId="0" fillId="0" borderId="71" xfId="0" applyBorder="1" applyAlignment="1">
      <alignment horizontal="center" vertical="top"/>
    </xf>
    <xf numFmtId="0" fontId="0" fillId="0" borderId="72" xfId="0" applyBorder="1" applyAlignment="1">
      <alignment horizontal="center" vertical="top"/>
    </xf>
    <xf numFmtId="0" fontId="0" fillId="0" borderId="73" xfId="0" applyBorder="1" applyAlignment="1">
      <alignment horizontal="center" vertical="top"/>
    </xf>
    <xf numFmtId="0" fontId="0" fillId="0" borderId="74" xfId="0" applyBorder="1" applyAlignment="1">
      <alignment horizontal="center" vertical="top"/>
    </xf>
    <xf numFmtId="0" fontId="0" fillId="0" borderId="75" xfId="0" applyBorder="1" applyAlignment="1">
      <alignment horizontal="center" vertical="top"/>
    </xf>
    <xf numFmtId="0" fontId="0" fillId="0" borderId="43" xfId="0" applyBorder="1" applyAlignment="1">
      <alignment vertical="top" wrapText="1"/>
    </xf>
    <xf numFmtId="0" fontId="29" fillId="0" borderId="43" xfId="0" applyFont="1" applyBorder="1" applyAlignment="1">
      <alignment horizontal="center" vertical="top"/>
    </xf>
    <xf numFmtId="0" fontId="0" fillId="0" borderId="77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78" xfId="0" applyBorder="1" applyAlignment="1">
      <alignment horizontal="center" vertical="top"/>
    </xf>
    <xf numFmtId="0" fontId="5" fillId="4" borderId="1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8" fillId="0" borderId="8" xfId="0" quotePrefix="1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166" fontId="8" fillId="0" borderId="6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</cellXfs>
  <cellStyles count="4">
    <cellStyle name="Comma" xfId="1" builtinId="3"/>
    <cellStyle name="Comma 2" xfId="3" xr:uid="{00000000-0005-0000-0000-000001000000}"/>
    <cellStyle name="Normal" xfId="0" builtinId="0"/>
    <cellStyle name="Percent" xfId="2" builtinId="5"/>
  </cellStyles>
  <dxfs count="64"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rgb="FF00B0F0"/>
      </font>
    </dxf>
    <dxf>
      <font>
        <color rgb="FFFFFF00"/>
      </font>
    </dxf>
  </dxfs>
  <tableStyles count="0" defaultTableStyle="TableStyleMedium2" defaultPivotStyle="PivotStyleLight16"/>
  <colors>
    <mruColors>
      <color rgb="FF00A200"/>
      <color rgb="FF008000"/>
      <color rgb="FF0000FF"/>
      <color rgb="FFE75BC2"/>
      <color rgb="FFFFFFCC"/>
      <color rgb="FF44E4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Farida!A1"/><Relationship Id="rId13" Type="http://schemas.openxmlformats.org/officeDocument/2006/relationships/hyperlink" Target="#dyus!A1"/><Relationship Id="rId18" Type="http://schemas.openxmlformats.org/officeDocument/2006/relationships/hyperlink" Target="#Dashboard!B6"/><Relationship Id="rId3" Type="http://schemas.openxmlformats.org/officeDocument/2006/relationships/hyperlink" Target="#'d7'!A1"/><Relationship Id="rId7" Type="http://schemas.openxmlformats.org/officeDocument/2006/relationships/hyperlink" Target="#'d13'!A1"/><Relationship Id="rId12" Type="http://schemas.openxmlformats.org/officeDocument/2006/relationships/hyperlink" Target="#dwahyu!A1"/><Relationship Id="rId17" Type="http://schemas.openxmlformats.org/officeDocument/2006/relationships/hyperlink" Target="#dsupri!A1"/><Relationship Id="rId2" Type="http://schemas.openxmlformats.org/officeDocument/2006/relationships/hyperlink" Target="#'d5'!A1"/><Relationship Id="rId16" Type="http://schemas.openxmlformats.org/officeDocument/2006/relationships/hyperlink" Target="#dtri!A1"/><Relationship Id="rId1" Type="http://schemas.openxmlformats.org/officeDocument/2006/relationships/hyperlink" Target="#'d4'!A1"/><Relationship Id="rId6" Type="http://schemas.openxmlformats.org/officeDocument/2006/relationships/hyperlink" Target="#'d12'!A1"/><Relationship Id="rId11" Type="http://schemas.openxmlformats.org/officeDocument/2006/relationships/hyperlink" Target="#ddewis!A1"/><Relationship Id="rId5" Type="http://schemas.openxmlformats.org/officeDocument/2006/relationships/hyperlink" Target="#dShofiahtu!A1"/><Relationship Id="rId15" Type="http://schemas.openxmlformats.org/officeDocument/2006/relationships/hyperlink" Target="#'d27'!A1"/><Relationship Id="rId10" Type="http://schemas.openxmlformats.org/officeDocument/2006/relationships/hyperlink" Target="#driza!A1"/><Relationship Id="rId19" Type="http://schemas.openxmlformats.org/officeDocument/2006/relationships/hyperlink" Target="#'d6'!A1"/><Relationship Id="rId4" Type="http://schemas.openxmlformats.org/officeDocument/2006/relationships/hyperlink" Target="#'dAdm Piutang'!A1"/><Relationship Id="rId9" Type="http://schemas.openxmlformats.org/officeDocument/2006/relationships/hyperlink" Target="#disti!A1"/><Relationship Id="rId14" Type="http://schemas.openxmlformats.org/officeDocument/2006/relationships/hyperlink" Target="#dAnis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d4'!A1"/><Relationship Id="rId1" Type="http://schemas.openxmlformats.org/officeDocument/2006/relationships/hyperlink" Target="#'d3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Form1!A1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22225</xdr:rowOff>
    </xdr:from>
    <xdr:to>
      <xdr:col>4</xdr:col>
      <xdr:colOff>0</xdr:colOff>
      <xdr:row>7</xdr:row>
      <xdr:rowOff>0</xdr:rowOff>
    </xdr:to>
    <xdr:sp macro="" textlink="$D$7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564640" y="1301115"/>
          <a:ext cx="1889125" cy="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91A48B1-ED37-4002-9530-91E9E518E8ED}" type="TxLink"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l"/>
            <a:t>NITA</a:t>
          </a:fld>
          <a:endParaRPr lang="en-US" sz="11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6350</xdr:colOff>
      <xdr:row>7</xdr:row>
      <xdr:rowOff>12700</xdr:rowOff>
    </xdr:from>
    <xdr:to>
      <xdr:col>4</xdr:col>
      <xdr:colOff>0</xdr:colOff>
      <xdr:row>8</xdr:row>
      <xdr:rowOff>0</xdr:rowOff>
    </xdr:to>
    <xdr:sp macro="" textlink="$D$8">
      <xdr:nvSpPr>
        <xdr:cNvPr id="8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70990" y="1301115"/>
          <a:ext cx="1882775" cy="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189CC121-EB7B-47CC-8107-52856B3A83FF}" type="TxLink">
            <a:rPr lang="en-US" sz="1100" b="1">
              <a:solidFill>
                <a:schemeClr val="bg1"/>
              </a:solidFill>
              <a:latin typeface="+mn-lt"/>
              <a:ea typeface="+mn-ea"/>
              <a:cs typeface="+mn-cs"/>
            </a:rPr>
            <a:pPr marL="0" indent="0" algn="l"/>
            <a:t>NIA</a:t>
          </a:fld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12700</xdr:colOff>
      <xdr:row>9</xdr:row>
      <xdr:rowOff>6349</xdr:rowOff>
    </xdr:from>
    <xdr:to>
      <xdr:col>4</xdr:col>
      <xdr:colOff>0</xdr:colOff>
      <xdr:row>9</xdr:row>
      <xdr:rowOff>257174</xdr:rowOff>
    </xdr:to>
    <xdr:sp macro="" textlink="$D$10">
      <xdr:nvSpPr>
        <xdr:cNvPr id="10" name="Rectangle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577340" y="1301115"/>
          <a:ext cx="1876425" cy="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FB863233-A57F-47E0-A62C-3C7E9C2D1193}" type="TxLink">
            <a:rPr lang="en-US" sz="1100" b="1">
              <a:solidFill>
                <a:schemeClr val="bg1"/>
              </a:solidFill>
              <a:latin typeface="+mn-lt"/>
              <a:ea typeface="+mn-ea"/>
              <a:cs typeface="+mn-cs"/>
            </a:rPr>
            <a:pPr marL="0" indent="0" algn="l"/>
            <a:t>Naily</a:t>
          </a:fld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6350</xdr:colOff>
      <xdr:row>10</xdr:row>
      <xdr:rowOff>12700</xdr:rowOff>
    </xdr:from>
    <xdr:to>
      <xdr:col>3</xdr:col>
      <xdr:colOff>1911350</xdr:colOff>
      <xdr:row>11</xdr:row>
      <xdr:rowOff>0</xdr:rowOff>
    </xdr:to>
    <xdr:sp macro="" textlink="$D$11">
      <xdr:nvSpPr>
        <xdr:cNvPr id="15" name="Rectangle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570990" y="1301115"/>
          <a:ext cx="1882775" cy="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96AD7D2-2BD1-4C3F-8446-3B7CD64C10E4}" type="TxLink"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l"/>
            <a:t> </a:t>
          </a:fld>
          <a:endParaRPr lang="en-US" sz="11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6350</xdr:colOff>
      <xdr:row>11</xdr:row>
      <xdr:rowOff>12700</xdr:rowOff>
    </xdr:from>
    <xdr:to>
      <xdr:col>3</xdr:col>
      <xdr:colOff>1911350</xdr:colOff>
      <xdr:row>12</xdr:row>
      <xdr:rowOff>0</xdr:rowOff>
    </xdr:to>
    <xdr:sp macro="" textlink="$D$12">
      <xdr:nvSpPr>
        <xdr:cNvPr id="16" name="Rectangle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570990" y="1301115"/>
          <a:ext cx="1882775" cy="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BF8136E0-FDC4-4651-A073-16E1600E7ADE}" type="TxLink">
            <a:rPr lang="en-US" sz="1100" b="1">
              <a:solidFill>
                <a:schemeClr val="bg1"/>
              </a:solidFill>
              <a:latin typeface="+mn-lt"/>
              <a:ea typeface="+mn-ea"/>
              <a:cs typeface="+mn-cs"/>
            </a:rPr>
            <a:pPr marL="0" indent="0" algn="l"/>
            <a:t> </a:t>
          </a:fld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6350</xdr:colOff>
      <xdr:row>12</xdr:row>
      <xdr:rowOff>25400</xdr:rowOff>
    </xdr:from>
    <xdr:to>
      <xdr:col>3</xdr:col>
      <xdr:colOff>1911350</xdr:colOff>
      <xdr:row>12</xdr:row>
      <xdr:rowOff>247650</xdr:rowOff>
    </xdr:to>
    <xdr:sp macro="" textlink="$D$13">
      <xdr:nvSpPr>
        <xdr:cNvPr id="17" name="Rectangl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570990" y="1301115"/>
          <a:ext cx="1882775" cy="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54DA57C1-C83C-4236-9373-8AA947369F36}" type="TxLink">
            <a:rPr 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pPr marL="0" indent="0" algn="l"/>
            <a:t>Nonik</a:t>
          </a:fld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12700</xdr:colOff>
      <xdr:row>12</xdr:row>
      <xdr:rowOff>257175</xdr:rowOff>
    </xdr:from>
    <xdr:to>
      <xdr:col>3</xdr:col>
      <xdr:colOff>1917700</xdr:colOff>
      <xdr:row>13</xdr:row>
      <xdr:rowOff>0</xdr:rowOff>
    </xdr:to>
    <xdr:sp macro="" textlink="#REF!">
      <xdr:nvSpPr>
        <xdr:cNvPr id="18" name="Rectangle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577340" y="1301115"/>
          <a:ext cx="1876425" cy="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3175</xdr:colOff>
      <xdr:row>13</xdr:row>
      <xdr:rowOff>12699</xdr:rowOff>
    </xdr:from>
    <xdr:to>
      <xdr:col>3</xdr:col>
      <xdr:colOff>1914525</xdr:colOff>
      <xdr:row>14</xdr:row>
      <xdr:rowOff>9525</xdr:rowOff>
    </xdr:to>
    <xdr:sp macro="" textlink="$D$14">
      <xdr:nvSpPr>
        <xdr:cNvPr id="23" name="Rectangle 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567815" y="1301115"/>
          <a:ext cx="1885950" cy="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B8894858-A66A-4044-880A-9DCD83CD78EE}" type="TxLink"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l"/>
            <a:t> </a:t>
          </a:fld>
          <a:endParaRPr lang="en-US" sz="11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6350</xdr:colOff>
      <xdr:row>14</xdr:row>
      <xdr:rowOff>9525</xdr:rowOff>
    </xdr:from>
    <xdr:to>
      <xdr:col>4</xdr:col>
      <xdr:colOff>0</xdr:colOff>
      <xdr:row>15</xdr:row>
      <xdr:rowOff>9525</xdr:rowOff>
    </xdr:to>
    <xdr:sp macro="" textlink="$D$15">
      <xdr:nvSpPr>
        <xdr:cNvPr id="24" name="Rectangle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70990" y="1301115"/>
          <a:ext cx="1882775" cy="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43CD61F4-86FB-43A2-A1A5-5B48BBFE1064}" type="TxLink">
            <a:rPr lang="en-US" sz="1100" b="1">
              <a:solidFill>
                <a:schemeClr val="bg1"/>
              </a:solidFill>
              <a:latin typeface="+mn-lt"/>
              <a:ea typeface="+mn-ea"/>
              <a:cs typeface="+mn-cs"/>
            </a:rPr>
            <a:pPr marL="0" indent="0" algn="l"/>
            <a:t> </a:t>
          </a:fld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6350</xdr:colOff>
      <xdr:row>15</xdr:row>
      <xdr:rowOff>19050</xdr:rowOff>
    </xdr:from>
    <xdr:to>
      <xdr:col>4</xdr:col>
      <xdr:colOff>0</xdr:colOff>
      <xdr:row>16</xdr:row>
      <xdr:rowOff>12700</xdr:rowOff>
    </xdr:to>
    <xdr:sp macro="" textlink="$D$16">
      <xdr:nvSpPr>
        <xdr:cNvPr id="25" name="Rectangle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570990" y="1301115"/>
          <a:ext cx="1882775" cy="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24AFC7B-CC3E-4FCD-9254-1923D4DA6ADD}" type="TxLink"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l"/>
            <a:t> </a:t>
          </a:fld>
          <a:endParaRPr lang="en-US" sz="11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6350</xdr:colOff>
      <xdr:row>16</xdr:row>
      <xdr:rowOff>22225</xdr:rowOff>
    </xdr:from>
    <xdr:to>
      <xdr:col>4</xdr:col>
      <xdr:colOff>0</xdr:colOff>
      <xdr:row>16</xdr:row>
      <xdr:rowOff>257175</xdr:rowOff>
    </xdr:to>
    <xdr:sp macro="" textlink="$D$17">
      <xdr:nvSpPr>
        <xdr:cNvPr id="26" name="Rectangle 2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570990" y="1301115"/>
          <a:ext cx="1882775" cy="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6533F7-8730-48F9-8682-82C4A81D6678}" type="TxLink">
            <a:rPr lang="en-US" sz="1100" b="1">
              <a:solidFill>
                <a:schemeClr val="bg1"/>
              </a:solidFill>
              <a:latin typeface="+mn-lt"/>
              <a:ea typeface="+mn-ea"/>
              <a:cs typeface="+mn-cs"/>
            </a:rPr>
            <a:pPr marL="0" indent="0" algn="l"/>
            <a:t> </a:t>
          </a:fld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15875</xdr:colOff>
      <xdr:row>17</xdr:row>
      <xdr:rowOff>0</xdr:rowOff>
    </xdr:from>
    <xdr:to>
      <xdr:col>3</xdr:col>
      <xdr:colOff>1920875</xdr:colOff>
      <xdr:row>17</xdr:row>
      <xdr:rowOff>263525</xdr:rowOff>
    </xdr:to>
    <xdr:sp macro="" textlink="$D$18">
      <xdr:nvSpPr>
        <xdr:cNvPr id="27" name="Rectangle 2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580515" y="1301115"/>
          <a:ext cx="1873250" cy="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DE46A1F-4736-4469-BFB5-E245135994D2}" type="TxLink"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l"/>
            <a:t> </a:t>
          </a:fld>
          <a:endParaRPr lang="en-US" sz="11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6350</xdr:colOff>
      <xdr:row>18</xdr:row>
      <xdr:rowOff>12700</xdr:rowOff>
    </xdr:from>
    <xdr:to>
      <xdr:col>3</xdr:col>
      <xdr:colOff>1911350</xdr:colOff>
      <xdr:row>19</xdr:row>
      <xdr:rowOff>0</xdr:rowOff>
    </xdr:to>
    <xdr:sp macro="" textlink="$D$19">
      <xdr:nvSpPr>
        <xdr:cNvPr id="28" name="Rectangle 2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570990" y="1301115"/>
          <a:ext cx="1882775" cy="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5DCA77A-9916-455A-B51E-4FAB02DBD636}" type="TxLink">
            <a:rPr lang="en-US" sz="1100" b="1">
              <a:solidFill>
                <a:schemeClr val="bg1"/>
              </a:solidFill>
              <a:latin typeface="+mn-lt"/>
              <a:ea typeface="+mn-ea"/>
              <a:cs typeface="+mn-cs"/>
            </a:rPr>
            <a:pPr marL="0" indent="0" algn="l"/>
            <a:t> </a:t>
          </a:fld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6350</xdr:colOff>
      <xdr:row>19</xdr:row>
      <xdr:rowOff>25400</xdr:rowOff>
    </xdr:from>
    <xdr:to>
      <xdr:col>3</xdr:col>
      <xdr:colOff>1911350</xdr:colOff>
      <xdr:row>19</xdr:row>
      <xdr:rowOff>247650</xdr:rowOff>
    </xdr:to>
    <xdr:sp macro="" textlink="$D$20">
      <xdr:nvSpPr>
        <xdr:cNvPr id="29" name="Rectangle 2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570990" y="1301115"/>
          <a:ext cx="1882775" cy="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5FDD705A-2F63-4F04-9DC1-76A99DE86B1C}" type="TxLink"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l"/>
            <a:t> </a:t>
          </a:fld>
          <a:endParaRPr lang="en-US" sz="11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12700</xdr:colOff>
      <xdr:row>20</xdr:row>
      <xdr:rowOff>0</xdr:rowOff>
    </xdr:from>
    <xdr:to>
      <xdr:col>3</xdr:col>
      <xdr:colOff>1917700</xdr:colOff>
      <xdr:row>20</xdr:row>
      <xdr:rowOff>247650</xdr:rowOff>
    </xdr:to>
    <xdr:sp macro="" textlink="$D$21">
      <xdr:nvSpPr>
        <xdr:cNvPr id="30" name="Rectangle 2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577340" y="1301115"/>
          <a:ext cx="1876425" cy="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11EDB99-3FD3-4361-B8B5-3EDD43A63BE7}" type="TxLink">
            <a:rPr lang="en-US" sz="1100" b="1">
              <a:solidFill>
                <a:schemeClr val="bg1"/>
              </a:solidFill>
              <a:latin typeface="+mn-lt"/>
              <a:ea typeface="+mn-ea"/>
              <a:cs typeface="+mn-cs"/>
            </a:rPr>
            <a:pPr marL="0" indent="0" algn="l"/>
            <a:t> </a:t>
          </a:fld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6350</xdr:colOff>
      <xdr:row>21</xdr:row>
      <xdr:rowOff>6350</xdr:rowOff>
    </xdr:from>
    <xdr:to>
      <xdr:col>3</xdr:col>
      <xdr:colOff>1911350</xdr:colOff>
      <xdr:row>21</xdr:row>
      <xdr:rowOff>247650</xdr:rowOff>
    </xdr:to>
    <xdr:sp macro="" textlink="$D$22">
      <xdr:nvSpPr>
        <xdr:cNvPr id="31" name="Rectangle 3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570990" y="1301115"/>
          <a:ext cx="1882775" cy="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525CC02-3EB1-41A9-8378-185C74CE8AFA}" type="TxLink"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l"/>
            <a:t> </a:t>
          </a:fld>
          <a:endParaRPr lang="en-US" sz="11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3175</xdr:colOff>
      <xdr:row>23</xdr:row>
      <xdr:rowOff>9525</xdr:rowOff>
    </xdr:from>
    <xdr:to>
      <xdr:col>3</xdr:col>
      <xdr:colOff>1908175</xdr:colOff>
      <xdr:row>24</xdr:row>
      <xdr:rowOff>19050</xdr:rowOff>
    </xdr:to>
    <xdr:sp macro="" textlink="$D$24">
      <xdr:nvSpPr>
        <xdr:cNvPr id="33" name="Rectangle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567815" y="1301115"/>
          <a:ext cx="1885950" cy="1905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507C1E5B-6A2E-439C-A99A-947889FE29F4}" type="TxLink"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l"/>
            <a:t> </a:t>
          </a:fld>
          <a:endParaRPr lang="en-US" sz="11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22</xdr:row>
      <xdr:rowOff>0</xdr:rowOff>
    </xdr:from>
    <xdr:to>
      <xdr:col>3</xdr:col>
      <xdr:colOff>1905000</xdr:colOff>
      <xdr:row>23</xdr:row>
      <xdr:rowOff>0</xdr:rowOff>
    </xdr:to>
    <xdr:sp macro="" textlink="$D$23">
      <xdr:nvSpPr>
        <xdr:cNvPr id="35" name="Rectangle 3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564640" y="1301115"/>
          <a:ext cx="1889125" cy="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A977934-3C6B-412B-9A40-D89E9C0654EF}" type="TxLink">
            <a:rPr lang="en-US" sz="1100" b="1">
              <a:solidFill>
                <a:schemeClr val="bg1"/>
              </a:solidFill>
              <a:latin typeface="+mn-lt"/>
              <a:ea typeface="+mn-ea"/>
              <a:cs typeface="+mn-cs"/>
            </a:rPr>
            <a:pPr marL="0" indent="0" algn="l"/>
            <a:t> </a:t>
          </a:fld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19050</xdr:colOff>
      <xdr:row>24</xdr:row>
      <xdr:rowOff>85725</xdr:rowOff>
    </xdr:from>
    <xdr:to>
      <xdr:col>2</xdr:col>
      <xdr:colOff>361950</xdr:colOff>
      <xdr:row>26</xdr:row>
      <xdr:rowOff>95250</xdr:rowOff>
    </xdr:to>
    <xdr:sp macro="" textlink="">
      <xdr:nvSpPr>
        <xdr:cNvPr id="2" name="Rounded Rectangle 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2090" y="1386840"/>
          <a:ext cx="1097280" cy="375285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>
    <xdr:from>
      <xdr:col>2</xdr:col>
      <xdr:colOff>606425</xdr:colOff>
      <xdr:row>8</xdr:row>
      <xdr:rowOff>3175</xdr:rowOff>
    </xdr:from>
    <xdr:to>
      <xdr:col>3</xdr:col>
      <xdr:colOff>1914525</xdr:colOff>
      <xdr:row>8</xdr:row>
      <xdr:rowOff>257175</xdr:rowOff>
    </xdr:to>
    <xdr:sp macro="" textlink="">
      <xdr:nvSpPr>
        <xdr:cNvPr id="9" name="Rectangle 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53845" y="1301115"/>
          <a:ext cx="1899920" cy="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FANI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5175" y="36089590"/>
          <a:ext cx="163830" cy="13398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90875" y="36080700"/>
          <a:ext cx="152400" cy="133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671185" y="36080700"/>
          <a:ext cx="152400" cy="133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65175" y="36455350"/>
          <a:ext cx="163830" cy="13398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190875" y="36446460"/>
          <a:ext cx="152400" cy="133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671185" y="36446460"/>
          <a:ext cx="152400" cy="133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1359</xdr:row>
      <xdr:rowOff>31750</xdr:rowOff>
    </xdr:from>
    <xdr:to>
      <xdr:col>6</xdr:col>
      <xdr:colOff>994834</xdr:colOff>
      <xdr:row>1364</xdr:row>
      <xdr:rowOff>143809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3500" y="51600806"/>
          <a:ext cx="7514167" cy="10292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3922</xdr:colOff>
      <xdr:row>0</xdr:row>
      <xdr:rowOff>38659</xdr:rowOff>
    </xdr:from>
    <xdr:to>
      <xdr:col>10</xdr:col>
      <xdr:colOff>439681</xdr:colOff>
      <xdr:row>2</xdr:row>
      <xdr:rowOff>161924</xdr:rowOff>
    </xdr:to>
    <xdr:sp macro="" textlink="">
      <xdr:nvSpPr>
        <xdr:cNvPr id="2" name="txtFPDeptCategory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>
        <a:xfrm>
          <a:off x="84455" y="38100"/>
          <a:ext cx="7341870" cy="580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3175">
              <a:solidFill>
                <a:srgbClr val="C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t" anchorCtr="0" upright="1">
          <a:noAutofit/>
        </a:bodyPr>
        <a:lstStyle/>
        <a:p>
          <a:pPr>
            <a:lnSpc>
              <a:spcPts val="2100"/>
            </a:lnSpc>
            <a:spcAft>
              <a:spcPts val="0"/>
            </a:spcAft>
          </a:pPr>
          <a:r>
            <a:rPr lang="en-GB" sz="2000" b="1">
              <a:solidFill>
                <a:srgbClr val="FFFF00"/>
              </a:solidFill>
              <a:effectLst/>
              <a:latin typeface="Arial" panose="020B0604020202020204"/>
              <a:ea typeface="Calibri" panose="020F0502020204030204"/>
              <a:cs typeface="Times New Roman" panose="02020603050405020304" pitchFamily="12"/>
            </a:rPr>
            <a:t>KEY</a:t>
          </a:r>
          <a:r>
            <a:rPr lang="en-GB" sz="2000" b="1" baseline="0">
              <a:solidFill>
                <a:srgbClr val="FFFF00"/>
              </a:solidFill>
              <a:effectLst/>
              <a:latin typeface="Arial" panose="020B0604020202020204"/>
              <a:ea typeface="Calibri" panose="020F0502020204030204"/>
              <a:cs typeface="Times New Roman" panose="02020603050405020304" pitchFamily="12"/>
            </a:rPr>
            <a:t> PERFORMANCE INDICATOR MDO</a:t>
          </a:r>
          <a:endParaRPr lang="en-GB" sz="1600" b="1">
            <a:solidFill>
              <a:srgbClr val="FFFF00"/>
            </a:solidFill>
            <a:effectLst/>
            <a:latin typeface="Arial" panose="020B0604020202020204"/>
            <a:ea typeface="Calibri" panose="020F0502020204030204"/>
            <a:cs typeface="Times New Roman" panose="02020603050405020304" pitchFamily="12"/>
          </a:endParaRPr>
        </a:p>
        <a:p>
          <a:pPr>
            <a:lnSpc>
              <a:spcPts val="2100"/>
            </a:lnSpc>
            <a:spcAft>
              <a:spcPts val="0"/>
            </a:spcAft>
          </a:pPr>
          <a:r>
            <a:rPr lang="en-GB" sz="1600">
              <a:solidFill>
                <a:srgbClr val="FFFF00"/>
              </a:solidFill>
              <a:effectLst/>
              <a:latin typeface="Arial" panose="020B0604020202020204"/>
              <a:ea typeface="Calibri" panose="020F0502020204030204"/>
              <a:cs typeface="Times New Roman" panose="02020603050405020304" pitchFamily="12"/>
            </a:rPr>
            <a:t>Tahun 202</a:t>
          </a:r>
          <a:r>
            <a:rPr lang="en-US" sz="1600">
              <a:solidFill>
                <a:srgbClr val="FFFF00"/>
              </a:solidFill>
              <a:effectLst/>
              <a:latin typeface="Arial" panose="020B0604020202020204"/>
              <a:ea typeface="Calibri" panose="020F0502020204030204"/>
              <a:cs typeface="Times New Roman" panose="02020603050405020304" pitchFamily="12"/>
            </a:rPr>
            <a:t>6</a:t>
          </a:r>
          <a:endParaRPr lang="en-US" altLang="en-GB" sz="1600">
            <a:solidFill>
              <a:srgbClr val="FFFF00"/>
            </a:solidFill>
            <a:effectLst/>
            <a:latin typeface="Arial" panose="020B0604020202020204"/>
            <a:ea typeface="Calibri" panose="020F0502020204030204"/>
            <a:cs typeface="Times New Roman" panose="02020603050405020304" pitchFamily="12"/>
          </a:endParaRPr>
        </a:p>
        <a:p>
          <a:pPr>
            <a:lnSpc>
              <a:spcPts val="2100"/>
            </a:lnSpc>
            <a:spcAft>
              <a:spcPts val="0"/>
            </a:spcAft>
          </a:pPr>
          <a:endParaRPr lang="en-GB" sz="1600">
            <a:solidFill>
              <a:srgbClr val="0000FF"/>
            </a:solidFill>
            <a:effectLst/>
            <a:latin typeface="Arial" panose="020B0604020202020204"/>
            <a:ea typeface="Calibri" panose="020F0502020204030204"/>
            <a:cs typeface="Times New Roman" panose="02020603050405020304" pitchFamily="12"/>
          </a:endParaRPr>
        </a:p>
        <a:p>
          <a:pPr>
            <a:spcAft>
              <a:spcPts val="0"/>
            </a:spcAft>
          </a:pPr>
          <a:r>
            <a:rPr lang="en-GB" sz="1100">
              <a:effectLst/>
              <a:latin typeface="Arial" panose="020B0604020202020204"/>
              <a:ea typeface="Calibri" panose="020F0502020204030204"/>
              <a:cs typeface="Times New Roman" panose="02020603050405020304" pitchFamily="12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 panose="020B0604020202020204"/>
              <a:ea typeface="Calibri" panose="020F0502020204030204"/>
              <a:cs typeface="Times New Roman" panose="02020603050405020304" pitchFamily="12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 panose="020B0604020202020204"/>
              <a:ea typeface="Calibri" panose="020F0502020204030204"/>
              <a:cs typeface="Times New Roman" panose="02020603050405020304" pitchFamily="12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 panose="020B0604020202020204"/>
              <a:ea typeface="Calibri" panose="020F0502020204030204"/>
              <a:cs typeface="Times New Roman" panose="02020603050405020304" pitchFamily="12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 panose="020B0604020202020204"/>
              <a:ea typeface="Calibri" panose="020F0502020204030204"/>
              <a:cs typeface="Times New Roman" panose="02020603050405020304" pitchFamily="12"/>
            </a:rPr>
            <a:t> </a:t>
          </a:r>
        </a:p>
      </xdr:txBody>
    </xdr:sp>
    <xdr:clientData/>
  </xdr:twoCellAnchor>
  <xdr:twoCellAnchor>
    <xdr:from>
      <xdr:col>0</xdr:col>
      <xdr:colOff>56029</xdr:colOff>
      <xdr:row>1365</xdr:row>
      <xdr:rowOff>15875</xdr:rowOff>
    </xdr:from>
    <xdr:to>
      <xdr:col>6</xdr:col>
      <xdr:colOff>1030111</xdr:colOff>
      <xdr:row>1369</xdr:row>
      <xdr:rowOff>112059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6029" y="52685597"/>
          <a:ext cx="7556915" cy="103457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878542</xdr:colOff>
      <xdr:row>1375</xdr:row>
      <xdr:rowOff>14899</xdr:rowOff>
    </xdr:from>
    <xdr:to>
      <xdr:col>2</xdr:col>
      <xdr:colOff>1057275</xdr:colOff>
      <xdr:row>1376</xdr:row>
      <xdr:rowOff>25377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401445" y="313840495"/>
          <a:ext cx="179070" cy="19304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878542</xdr:colOff>
      <xdr:row>1377</xdr:row>
      <xdr:rowOff>14899</xdr:rowOff>
    </xdr:from>
    <xdr:to>
      <xdr:col>2</xdr:col>
      <xdr:colOff>1057275</xdr:colOff>
      <xdr:row>1378</xdr:row>
      <xdr:rowOff>25377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401445" y="314206255"/>
          <a:ext cx="179070" cy="19304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1375</xdr:row>
      <xdr:rowOff>0</xdr:rowOff>
    </xdr:from>
    <xdr:to>
      <xdr:col>2</xdr:col>
      <xdr:colOff>2417108</xdr:colOff>
      <xdr:row>1376</xdr:row>
      <xdr:rowOff>10478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761615" y="313825890"/>
          <a:ext cx="178435" cy="19304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1377</xdr:row>
      <xdr:rowOff>0</xdr:rowOff>
    </xdr:from>
    <xdr:to>
      <xdr:col>2</xdr:col>
      <xdr:colOff>2417108</xdr:colOff>
      <xdr:row>1378</xdr:row>
      <xdr:rowOff>10478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761615" y="314191650"/>
          <a:ext cx="178435" cy="19304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1374</xdr:row>
      <xdr:rowOff>180975</xdr:rowOff>
    </xdr:from>
    <xdr:to>
      <xdr:col>5</xdr:col>
      <xdr:colOff>454958</xdr:colOff>
      <xdr:row>1376</xdr:row>
      <xdr:rowOff>953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895215" y="313823985"/>
          <a:ext cx="178435" cy="18542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1376</xdr:row>
      <xdr:rowOff>180975</xdr:rowOff>
    </xdr:from>
    <xdr:to>
      <xdr:col>5</xdr:col>
      <xdr:colOff>454958</xdr:colOff>
      <xdr:row>1378</xdr:row>
      <xdr:rowOff>953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895215" y="314189745"/>
          <a:ext cx="178435" cy="18542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1380</xdr:row>
      <xdr:rowOff>0</xdr:rowOff>
    </xdr:from>
    <xdr:to>
      <xdr:col>2</xdr:col>
      <xdr:colOff>1277470</xdr:colOff>
      <xdr:row>1382</xdr:row>
      <xdr:rowOff>11206</xdr:rowOff>
    </xdr:to>
    <xdr:sp macro="" textlink="$W$1371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80645" y="314740290"/>
          <a:ext cx="1719580" cy="5556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9C6977E-7FD4-4B59-87DF-15C332158C75}" type="TxLink">
            <a:rPr lang="en-US" sz="11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pPr algn="l"/>
            <a:t>Karyawan : NN</a:t>
          </a:fld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2</xdr:col>
      <xdr:colOff>1261224</xdr:colOff>
      <xdr:row>1380</xdr:row>
      <xdr:rowOff>0</xdr:rowOff>
    </xdr:from>
    <xdr:to>
      <xdr:col>4</xdr:col>
      <xdr:colOff>179294</xdr:colOff>
      <xdr:row>1382</xdr:row>
      <xdr:rowOff>11206</xdr:rowOff>
    </xdr:to>
    <xdr:sp macro="" textlink="$V$1375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784350" y="314740290"/>
          <a:ext cx="2502535" cy="5556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315A519-D77F-46D6-A90C-A8B776A13B04}" type="TxLink">
            <a:rPr lang="en-US" sz="11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pPr algn="l"/>
            <a:t>Atasan langsung : NN</a:t>
          </a:fld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4</xdr:col>
      <xdr:colOff>179294</xdr:colOff>
      <xdr:row>1380</xdr:row>
      <xdr:rowOff>0</xdr:rowOff>
    </xdr:from>
    <xdr:to>
      <xdr:col>7</xdr:col>
      <xdr:colOff>150718</xdr:colOff>
      <xdr:row>1382</xdr:row>
      <xdr:rowOff>11206</xdr:rowOff>
    </xdr:to>
    <xdr:sp macro="" textlink="$V$1373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4286885" y="314740290"/>
          <a:ext cx="2209165" cy="5556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B941BAD1-61E4-40E9-9F5E-D59A46805FF3}" type="TxLink">
            <a:rPr lang="en-US" sz="11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pPr algn="l"/>
            <a:t>Level Manager berikutnya : Arfin Indra C</a:t>
          </a:fld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0</xdr:col>
      <xdr:colOff>73958</xdr:colOff>
      <xdr:row>1382</xdr:row>
      <xdr:rowOff>6722</xdr:rowOff>
    </xdr:from>
    <xdr:to>
      <xdr:col>2</xdr:col>
      <xdr:colOff>1272987</xdr:colOff>
      <xdr:row>1384</xdr:row>
      <xdr:rowOff>56030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73660" y="315291470"/>
          <a:ext cx="1722120" cy="41529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t>TANGGAL</a:t>
          </a:r>
          <a:r>
            <a:rPr lang="en-US" sz="1100" b="0" i="0" u="none" strike="noStrike" baseline="0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2</xdr:col>
      <xdr:colOff>1256741</xdr:colOff>
      <xdr:row>1382</xdr:row>
      <xdr:rowOff>6722</xdr:rowOff>
    </xdr:from>
    <xdr:to>
      <xdr:col>4</xdr:col>
      <xdr:colOff>174811</xdr:colOff>
      <xdr:row>1384</xdr:row>
      <xdr:rowOff>56030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779905" y="315291470"/>
          <a:ext cx="2502535" cy="41529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 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4</xdr:col>
      <xdr:colOff>174811</xdr:colOff>
      <xdr:row>1382</xdr:row>
      <xdr:rowOff>6722</xdr:rowOff>
    </xdr:from>
    <xdr:to>
      <xdr:col>7</xdr:col>
      <xdr:colOff>146235</xdr:colOff>
      <xdr:row>1384</xdr:row>
      <xdr:rowOff>56030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4282440" y="315291470"/>
          <a:ext cx="2209165" cy="41529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19</xdr:col>
      <xdr:colOff>57150</xdr:colOff>
      <xdr:row>1</xdr:row>
      <xdr:rowOff>28575</xdr:rowOff>
    </xdr:from>
    <xdr:to>
      <xdr:col>19</xdr:col>
      <xdr:colOff>201084</xdr:colOff>
      <xdr:row>1</xdr:row>
      <xdr:rowOff>171450</xdr:rowOff>
    </xdr:to>
    <xdr:sp macro="[0]!w1_click" textlink="">
      <xdr:nvSpPr>
        <xdr:cNvPr id="17" name="Oval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287760" y="257175"/>
          <a:ext cx="143510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56886</xdr:colOff>
      <xdr:row>1</xdr:row>
      <xdr:rowOff>28575</xdr:rowOff>
    </xdr:from>
    <xdr:to>
      <xdr:col>20</xdr:col>
      <xdr:colOff>200820</xdr:colOff>
      <xdr:row>1</xdr:row>
      <xdr:rowOff>171450</xdr:rowOff>
    </xdr:to>
    <xdr:sp macro="[0]!w2_click" textlink="">
      <xdr:nvSpPr>
        <xdr:cNvPr id="18" name="Oval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11592560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56621</xdr:colOff>
      <xdr:row>1</xdr:row>
      <xdr:rowOff>28575</xdr:rowOff>
    </xdr:from>
    <xdr:to>
      <xdr:col>21</xdr:col>
      <xdr:colOff>200555</xdr:colOff>
      <xdr:row>1</xdr:row>
      <xdr:rowOff>171450</xdr:rowOff>
    </xdr:to>
    <xdr:sp macro="[0]!w3_click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1897995" y="257175"/>
          <a:ext cx="143510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56356</xdr:colOff>
      <xdr:row>1</xdr:row>
      <xdr:rowOff>28575</xdr:rowOff>
    </xdr:from>
    <xdr:to>
      <xdr:col>22</xdr:col>
      <xdr:colOff>200290</xdr:colOff>
      <xdr:row>1</xdr:row>
      <xdr:rowOff>171450</xdr:rowOff>
    </xdr:to>
    <xdr:sp macro="[0]!w4_click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2202795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67295</xdr:colOff>
      <xdr:row>2</xdr:row>
      <xdr:rowOff>28573</xdr:rowOff>
    </xdr:from>
    <xdr:to>
      <xdr:col>23</xdr:col>
      <xdr:colOff>211229</xdr:colOff>
      <xdr:row>2</xdr:row>
      <xdr:rowOff>171448</xdr:rowOff>
    </xdr:to>
    <xdr:sp macro="[0]!h5_click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12519025" y="485140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57150</xdr:colOff>
      <xdr:row>2</xdr:row>
      <xdr:rowOff>28575</xdr:rowOff>
    </xdr:from>
    <xdr:to>
      <xdr:col>19</xdr:col>
      <xdr:colOff>201084</xdr:colOff>
      <xdr:row>2</xdr:row>
      <xdr:rowOff>171450</xdr:rowOff>
    </xdr:to>
    <xdr:sp macro="[0]!h1_click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1287760" y="485775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56886</xdr:colOff>
      <xdr:row>2</xdr:row>
      <xdr:rowOff>28575</xdr:rowOff>
    </xdr:from>
    <xdr:to>
      <xdr:col>20</xdr:col>
      <xdr:colOff>200820</xdr:colOff>
      <xdr:row>2</xdr:row>
      <xdr:rowOff>171450</xdr:rowOff>
    </xdr:to>
    <xdr:sp macro="[0]!h2_click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1592560" y="485775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56621</xdr:colOff>
      <xdr:row>2</xdr:row>
      <xdr:rowOff>28575</xdr:rowOff>
    </xdr:from>
    <xdr:to>
      <xdr:col>21</xdr:col>
      <xdr:colOff>200555</xdr:colOff>
      <xdr:row>2</xdr:row>
      <xdr:rowOff>171450</xdr:rowOff>
    </xdr:to>
    <xdr:sp macro="[0]!h3_click" textlink="">
      <xdr:nvSpPr>
        <xdr:cNvPr id="24" name="Oval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1897995" y="485775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56356</xdr:colOff>
      <xdr:row>2</xdr:row>
      <xdr:rowOff>28575</xdr:rowOff>
    </xdr:from>
    <xdr:to>
      <xdr:col>22</xdr:col>
      <xdr:colOff>200290</xdr:colOff>
      <xdr:row>2</xdr:row>
      <xdr:rowOff>171450</xdr:rowOff>
    </xdr:to>
    <xdr:sp macro="[0]!h4_click" textlink="">
      <xdr:nvSpPr>
        <xdr:cNvPr id="25" name="Oval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2202795" y="485775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56091</xdr:colOff>
      <xdr:row>1</xdr:row>
      <xdr:rowOff>28575</xdr:rowOff>
    </xdr:from>
    <xdr:to>
      <xdr:col>23</xdr:col>
      <xdr:colOff>200025</xdr:colOff>
      <xdr:row>1</xdr:row>
      <xdr:rowOff>171450</xdr:rowOff>
    </xdr:to>
    <xdr:sp macro="[0]!w5_click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2508230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29</xdr:col>
      <xdr:colOff>142315</xdr:colOff>
      <xdr:row>0</xdr:row>
      <xdr:rowOff>65555</xdr:rowOff>
    </xdr:from>
    <xdr:to>
      <xdr:col>31</xdr:col>
      <xdr:colOff>65554</xdr:colOff>
      <xdr:row>3</xdr:row>
      <xdr:rowOff>56030</xdr:rowOff>
    </xdr:to>
    <xdr:sp macro="" textlink="">
      <xdr:nvSpPr>
        <xdr:cNvPr id="27" name="Right Arrow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14333855" y="65405"/>
          <a:ext cx="814705" cy="640080"/>
        </a:xfrm>
        <a:prstGeom prst="rightArrow">
          <a:avLst/>
        </a:prstGeom>
        <a:solidFill>
          <a:schemeClr val="bg2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accent2">
                  <a:lumMod val="75000"/>
                </a:schemeClr>
              </a:solidFill>
            </a:rPr>
            <a:t>Back</a:t>
          </a:r>
        </a:p>
      </xdr:txBody>
    </xdr:sp>
    <xdr:clientData/>
  </xdr:twoCellAnchor>
  <xdr:twoCellAnchor>
    <xdr:from>
      <xdr:col>24</xdr:col>
      <xdr:colOff>57150</xdr:colOff>
      <xdr:row>1</xdr:row>
      <xdr:rowOff>28575</xdr:rowOff>
    </xdr:from>
    <xdr:to>
      <xdr:col>24</xdr:col>
      <xdr:colOff>201084</xdr:colOff>
      <xdr:row>1</xdr:row>
      <xdr:rowOff>171450</xdr:rowOff>
    </xdr:to>
    <xdr:sp macro="[0]!w6_click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2814935" y="257175"/>
          <a:ext cx="143510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56886</xdr:colOff>
      <xdr:row>1</xdr:row>
      <xdr:rowOff>28575</xdr:rowOff>
    </xdr:from>
    <xdr:to>
      <xdr:col>25</xdr:col>
      <xdr:colOff>200820</xdr:colOff>
      <xdr:row>1</xdr:row>
      <xdr:rowOff>171450</xdr:rowOff>
    </xdr:to>
    <xdr:sp macro="[0]!w7_click" textlink="">
      <xdr:nvSpPr>
        <xdr:cNvPr id="29" name="Oval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3119735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56621</xdr:colOff>
      <xdr:row>1</xdr:row>
      <xdr:rowOff>28575</xdr:rowOff>
    </xdr:from>
    <xdr:to>
      <xdr:col>26</xdr:col>
      <xdr:colOff>200555</xdr:colOff>
      <xdr:row>1</xdr:row>
      <xdr:rowOff>171450</xdr:rowOff>
    </xdr:to>
    <xdr:sp macro="[0]!w8_click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3425170" y="257175"/>
          <a:ext cx="143510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56356</xdr:colOff>
      <xdr:row>1</xdr:row>
      <xdr:rowOff>28575</xdr:rowOff>
    </xdr:from>
    <xdr:to>
      <xdr:col>27</xdr:col>
      <xdr:colOff>200290</xdr:colOff>
      <xdr:row>1</xdr:row>
      <xdr:rowOff>171450</xdr:rowOff>
    </xdr:to>
    <xdr:sp macro="[0]!w9_click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3698855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28</xdr:col>
      <xdr:colOff>56090</xdr:colOff>
      <xdr:row>2</xdr:row>
      <xdr:rowOff>39779</xdr:rowOff>
    </xdr:from>
    <xdr:to>
      <xdr:col>28</xdr:col>
      <xdr:colOff>200024</xdr:colOff>
      <xdr:row>2</xdr:row>
      <xdr:rowOff>182654</xdr:rowOff>
    </xdr:to>
    <xdr:sp macro="[0]!h10_click" textlink="">
      <xdr:nvSpPr>
        <xdr:cNvPr id="32" name="Oval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3973175" y="496570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57150</xdr:colOff>
      <xdr:row>2</xdr:row>
      <xdr:rowOff>28575</xdr:rowOff>
    </xdr:from>
    <xdr:to>
      <xdr:col>24</xdr:col>
      <xdr:colOff>201084</xdr:colOff>
      <xdr:row>2</xdr:row>
      <xdr:rowOff>171450</xdr:rowOff>
    </xdr:to>
    <xdr:sp macro="[0]!h6_click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2814935" y="485775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56886</xdr:colOff>
      <xdr:row>2</xdr:row>
      <xdr:rowOff>28575</xdr:rowOff>
    </xdr:from>
    <xdr:to>
      <xdr:col>25</xdr:col>
      <xdr:colOff>200820</xdr:colOff>
      <xdr:row>2</xdr:row>
      <xdr:rowOff>171450</xdr:rowOff>
    </xdr:to>
    <xdr:sp macro="[0]!h7_click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3119735" y="485775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56621</xdr:colOff>
      <xdr:row>2</xdr:row>
      <xdr:rowOff>28575</xdr:rowOff>
    </xdr:from>
    <xdr:to>
      <xdr:col>26</xdr:col>
      <xdr:colOff>200555</xdr:colOff>
      <xdr:row>2</xdr:row>
      <xdr:rowOff>171450</xdr:rowOff>
    </xdr:to>
    <xdr:sp macro="[0]!h8_click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13425170" y="485775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56356</xdr:colOff>
      <xdr:row>2</xdr:row>
      <xdr:rowOff>28575</xdr:rowOff>
    </xdr:from>
    <xdr:to>
      <xdr:col>27</xdr:col>
      <xdr:colOff>200290</xdr:colOff>
      <xdr:row>2</xdr:row>
      <xdr:rowOff>171450</xdr:rowOff>
    </xdr:to>
    <xdr:sp macro="[0]!h9_click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13698855" y="485775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28</xdr:col>
      <xdr:colOff>56091</xdr:colOff>
      <xdr:row>1</xdr:row>
      <xdr:rowOff>28575</xdr:rowOff>
    </xdr:from>
    <xdr:to>
      <xdr:col>28</xdr:col>
      <xdr:colOff>200025</xdr:colOff>
      <xdr:row>1</xdr:row>
      <xdr:rowOff>171450</xdr:rowOff>
    </xdr:to>
    <xdr:sp macro="[0]!w10_click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3973175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235325</xdr:colOff>
      <xdr:row>1</xdr:row>
      <xdr:rowOff>67236</xdr:rowOff>
    </xdr:from>
    <xdr:to>
      <xdr:col>16</xdr:col>
      <xdr:colOff>89646</xdr:colOff>
      <xdr:row>1</xdr:row>
      <xdr:rowOff>212912</xdr:rowOff>
    </xdr:to>
    <xdr:sp macro="[2]!Oval253_Click" textlink="">
      <xdr:nvSpPr>
        <xdr:cNvPr id="38" name="Oval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10243820" y="295275"/>
          <a:ext cx="128905" cy="14605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56029</xdr:colOff>
      <xdr:row>1365</xdr:row>
      <xdr:rowOff>15875</xdr:rowOff>
    </xdr:from>
    <xdr:to>
      <xdr:col>6</xdr:col>
      <xdr:colOff>1030111</xdr:colOff>
      <xdr:row>1369</xdr:row>
      <xdr:rowOff>112059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6029" y="52685597"/>
          <a:ext cx="7556915" cy="103457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63500</xdr:colOff>
      <xdr:row>1359</xdr:row>
      <xdr:rowOff>31750</xdr:rowOff>
    </xdr:from>
    <xdr:to>
      <xdr:col>6</xdr:col>
      <xdr:colOff>994834</xdr:colOff>
      <xdr:row>1364</xdr:row>
      <xdr:rowOff>143809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63500" y="51600806"/>
          <a:ext cx="7514167" cy="10292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878542</xdr:colOff>
      <xdr:row>1375</xdr:row>
      <xdr:rowOff>14899</xdr:rowOff>
    </xdr:from>
    <xdr:to>
      <xdr:col>2</xdr:col>
      <xdr:colOff>1057275</xdr:colOff>
      <xdr:row>1376</xdr:row>
      <xdr:rowOff>25377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1401445" y="313840495"/>
          <a:ext cx="179070" cy="19304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878542</xdr:colOff>
      <xdr:row>1377</xdr:row>
      <xdr:rowOff>14899</xdr:rowOff>
    </xdr:from>
    <xdr:to>
      <xdr:col>2</xdr:col>
      <xdr:colOff>1057275</xdr:colOff>
      <xdr:row>1378</xdr:row>
      <xdr:rowOff>25377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1401445" y="314206255"/>
          <a:ext cx="179070" cy="19304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1375</xdr:row>
      <xdr:rowOff>0</xdr:rowOff>
    </xdr:from>
    <xdr:to>
      <xdr:col>2</xdr:col>
      <xdr:colOff>2417108</xdr:colOff>
      <xdr:row>1376</xdr:row>
      <xdr:rowOff>10478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2761615" y="313825890"/>
          <a:ext cx="178435" cy="19304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1377</xdr:row>
      <xdr:rowOff>0</xdr:rowOff>
    </xdr:from>
    <xdr:to>
      <xdr:col>2</xdr:col>
      <xdr:colOff>2417108</xdr:colOff>
      <xdr:row>1378</xdr:row>
      <xdr:rowOff>10478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2761615" y="314191650"/>
          <a:ext cx="178435" cy="19304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1374</xdr:row>
      <xdr:rowOff>180975</xdr:rowOff>
    </xdr:from>
    <xdr:to>
      <xdr:col>5</xdr:col>
      <xdr:colOff>454958</xdr:colOff>
      <xdr:row>1376</xdr:row>
      <xdr:rowOff>953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4895215" y="313823985"/>
          <a:ext cx="178435" cy="18542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1376</xdr:row>
      <xdr:rowOff>180975</xdr:rowOff>
    </xdr:from>
    <xdr:to>
      <xdr:col>5</xdr:col>
      <xdr:colOff>454958</xdr:colOff>
      <xdr:row>1378</xdr:row>
      <xdr:rowOff>953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4895215" y="314189745"/>
          <a:ext cx="178435" cy="18542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1380</xdr:row>
      <xdr:rowOff>0</xdr:rowOff>
    </xdr:from>
    <xdr:to>
      <xdr:col>2</xdr:col>
      <xdr:colOff>1277470</xdr:colOff>
      <xdr:row>1382</xdr:row>
      <xdr:rowOff>11206</xdr:rowOff>
    </xdr:to>
    <xdr:sp macro="" textlink="$W$1371">
      <xdr:nvSpPr>
        <xdr:cNvPr id="48" name="Rectangl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80645" y="314740290"/>
          <a:ext cx="1719580" cy="5556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9C6977E-7FD4-4B59-87DF-15C332158C75}" type="TxLink">
            <a:rPr lang="en-US" sz="11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pPr algn="l"/>
            <a:t>Karyawan : NN</a:t>
          </a:fld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2</xdr:col>
      <xdr:colOff>1261224</xdr:colOff>
      <xdr:row>1380</xdr:row>
      <xdr:rowOff>0</xdr:rowOff>
    </xdr:from>
    <xdr:to>
      <xdr:col>4</xdr:col>
      <xdr:colOff>179294</xdr:colOff>
      <xdr:row>1382</xdr:row>
      <xdr:rowOff>11206</xdr:rowOff>
    </xdr:to>
    <xdr:sp macro="" textlink="$V$1375">
      <xdr:nvSpPr>
        <xdr:cNvPr id="49" name="Rectangle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1784350" y="314740290"/>
          <a:ext cx="2502535" cy="5556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315A519-D77F-46D6-A90C-A8B776A13B04}" type="TxLink">
            <a:rPr lang="en-US" sz="11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pPr algn="l"/>
            <a:t>Atasan langsung : NN</a:t>
          </a:fld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4</xdr:col>
      <xdr:colOff>179294</xdr:colOff>
      <xdr:row>1380</xdr:row>
      <xdr:rowOff>0</xdr:rowOff>
    </xdr:from>
    <xdr:to>
      <xdr:col>7</xdr:col>
      <xdr:colOff>150718</xdr:colOff>
      <xdr:row>1382</xdr:row>
      <xdr:rowOff>11206</xdr:rowOff>
    </xdr:to>
    <xdr:sp macro="" textlink="$V$1373">
      <xdr:nvSpPr>
        <xdr:cNvPr id="50" name="Rectangl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4286885" y="314740290"/>
          <a:ext cx="2209165" cy="5556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B941BAD1-61E4-40E9-9F5E-D59A46805FF3}" type="TxLink">
            <a:rPr lang="en-US" sz="11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pPr algn="l"/>
            <a:t>Level Manager berikutnya : Arfin Indra C</a:t>
          </a:fld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0</xdr:col>
      <xdr:colOff>73958</xdr:colOff>
      <xdr:row>1382</xdr:row>
      <xdr:rowOff>6722</xdr:rowOff>
    </xdr:from>
    <xdr:to>
      <xdr:col>2</xdr:col>
      <xdr:colOff>1272987</xdr:colOff>
      <xdr:row>1384</xdr:row>
      <xdr:rowOff>56030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73660" y="315291470"/>
          <a:ext cx="1722120" cy="41529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t>TANGGAL</a:t>
          </a:r>
          <a:r>
            <a:rPr lang="en-US" sz="1100" b="0" i="0" u="none" strike="noStrike" baseline="0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2</xdr:col>
      <xdr:colOff>1256741</xdr:colOff>
      <xdr:row>1382</xdr:row>
      <xdr:rowOff>6722</xdr:rowOff>
    </xdr:from>
    <xdr:to>
      <xdr:col>4</xdr:col>
      <xdr:colOff>174811</xdr:colOff>
      <xdr:row>1384</xdr:row>
      <xdr:rowOff>56030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1779905" y="315291470"/>
          <a:ext cx="2502535" cy="41529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 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4</xdr:col>
      <xdr:colOff>174811</xdr:colOff>
      <xdr:row>1382</xdr:row>
      <xdr:rowOff>6722</xdr:rowOff>
    </xdr:from>
    <xdr:to>
      <xdr:col>7</xdr:col>
      <xdr:colOff>146235</xdr:colOff>
      <xdr:row>1384</xdr:row>
      <xdr:rowOff>56030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4282440" y="315291470"/>
          <a:ext cx="2209165" cy="41529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19</xdr:col>
      <xdr:colOff>57150</xdr:colOff>
      <xdr:row>1</xdr:row>
      <xdr:rowOff>28575</xdr:rowOff>
    </xdr:from>
    <xdr:to>
      <xdr:col>19</xdr:col>
      <xdr:colOff>201084</xdr:colOff>
      <xdr:row>1</xdr:row>
      <xdr:rowOff>171450</xdr:rowOff>
    </xdr:to>
    <xdr:sp macro="[0]!w1_click" textlink="">
      <xdr:nvSpPr>
        <xdr:cNvPr id="54" name="Oval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11287760" y="257175"/>
          <a:ext cx="143510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56886</xdr:colOff>
      <xdr:row>1</xdr:row>
      <xdr:rowOff>28575</xdr:rowOff>
    </xdr:from>
    <xdr:to>
      <xdr:col>20</xdr:col>
      <xdr:colOff>200820</xdr:colOff>
      <xdr:row>1</xdr:row>
      <xdr:rowOff>171450</xdr:rowOff>
    </xdr:to>
    <xdr:sp macro="[0]!w2_click" textlink="">
      <xdr:nvSpPr>
        <xdr:cNvPr id="55" name="Oval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11592560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56621</xdr:colOff>
      <xdr:row>1</xdr:row>
      <xdr:rowOff>28575</xdr:rowOff>
    </xdr:from>
    <xdr:to>
      <xdr:col>21</xdr:col>
      <xdr:colOff>200555</xdr:colOff>
      <xdr:row>1</xdr:row>
      <xdr:rowOff>171450</xdr:rowOff>
    </xdr:to>
    <xdr:sp macro="[0]!w3_click" textlink="">
      <xdr:nvSpPr>
        <xdr:cNvPr id="56" name="Oval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11897995" y="257175"/>
          <a:ext cx="143510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56356</xdr:colOff>
      <xdr:row>1</xdr:row>
      <xdr:rowOff>28575</xdr:rowOff>
    </xdr:from>
    <xdr:to>
      <xdr:col>22</xdr:col>
      <xdr:colOff>200290</xdr:colOff>
      <xdr:row>1</xdr:row>
      <xdr:rowOff>171450</xdr:rowOff>
    </xdr:to>
    <xdr:sp macro="[0]!w4_click" textlink="">
      <xdr:nvSpPr>
        <xdr:cNvPr id="57" name="Oval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12202795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67295</xdr:colOff>
      <xdr:row>2</xdr:row>
      <xdr:rowOff>28573</xdr:rowOff>
    </xdr:from>
    <xdr:to>
      <xdr:col>23</xdr:col>
      <xdr:colOff>211229</xdr:colOff>
      <xdr:row>2</xdr:row>
      <xdr:rowOff>171448</xdr:rowOff>
    </xdr:to>
    <xdr:sp macro="[0]!h5_click" textlink="">
      <xdr:nvSpPr>
        <xdr:cNvPr id="58" name="Oval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12519025" y="485140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57150</xdr:colOff>
      <xdr:row>2</xdr:row>
      <xdr:rowOff>28575</xdr:rowOff>
    </xdr:from>
    <xdr:to>
      <xdr:col>19</xdr:col>
      <xdr:colOff>201084</xdr:colOff>
      <xdr:row>2</xdr:row>
      <xdr:rowOff>171450</xdr:rowOff>
    </xdr:to>
    <xdr:sp macro="[0]!h1_click" textlink="">
      <xdr:nvSpPr>
        <xdr:cNvPr id="59" name="Oval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11287760" y="485775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56886</xdr:colOff>
      <xdr:row>2</xdr:row>
      <xdr:rowOff>28575</xdr:rowOff>
    </xdr:from>
    <xdr:to>
      <xdr:col>20</xdr:col>
      <xdr:colOff>200820</xdr:colOff>
      <xdr:row>2</xdr:row>
      <xdr:rowOff>171450</xdr:rowOff>
    </xdr:to>
    <xdr:sp macro="[0]!h2_click" textlink="">
      <xdr:nvSpPr>
        <xdr:cNvPr id="60" name="Oval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11592560" y="485775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56621</xdr:colOff>
      <xdr:row>2</xdr:row>
      <xdr:rowOff>28575</xdr:rowOff>
    </xdr:from>
    <xdr:to>
      <xdr:col>21</xdr:col>
      <xdr:colOff>200555</xdr:colOff>
      <xdr:row>2</xdr:row>
      <xdr:rowOff>171450</xdr:rowOff>
    </xdr:to>
    <xdr:sp macro="[0]!h3_click" textlink="">
      <xdr:nvSpPr>
        <xdr:cNvPr id="61" name="Oval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11897995" y="485775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56356</xdr:colOff>
      <xdr:row>2</xdr:row>
      <xdr:rowOff>28575</xdr:rowOff>
    </xdr:from>
    <xdr:to>
      <xdr:col>22</xdr:col>
      <xdr:colOff>200290</xdr:colOff>
      <xdr:row>2</xdr:row>
      <xdr:rowOff>171450</xdr:rowOff>
    </xdr:to>
    <xdr:sp macro="[0]!h4_click" textlink="">
      <xdr:nvSpPr>
        <xdr:cNvPr id="62" name="Oval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12202795" y="485775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56091</xdr:colOff>
      <xdr:row>1</xdr:row>
      <xdr:rowOff>28575</xdr:rowOff>
    </xdr:from>
    <xdr:to>
      <xdr:col>23</xdr:col>
      <xdr:colOff>200025</xdr:colOff>
      <xdr:row>1</xdr:row>
      <xdr:rowOff>171450</xdr:rowOff>
    </xdr:to>
    <xdr:sp macro="[0]!w5_click" textlink="">
      <xdr:nvSpPr>
        <xdr:cNvPr id="63" name="Oval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12508230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29</xdr:col>
      <xdr:colOff>142315</xdr:colOff>
      <xdr:row>0</xdr:row>
      <xdr:rowOff>65555</xdr:rowOff>
    </xdr:from>
    <xdr:to>
      <xdr:col>31</xdr:col>
      <xdr:colOff>65554</xdr:colOff>
      <xdr:row>3</xdr:row>
      <xdr:rowOff>56030</xdr:rowOff>
    </xdr:to>
    <xdr:sp macro="" textlink="">
      <xdr:nvSpPr>
        <xdr:cNvPr id="64" name="Right Arrow 6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14333855" y="65405"/>
          <a:ext cx="814705" cy="640080"/>
        </a:xfrm>
        <a:prstGeom prst="rightArrow">
          <a:avLst/>
        </a:prstGeom>
        <a:solidFill>
          <a:schemeClr val="bg2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accent2">
                  <a:lumMod val="75000"/>
                </a:schemeClr>
              </a:solidFill>
            </a:rPr>
            <a:t>Back</a:t>
          </a:r>
        </a:p>
      </xdr:txBody>
    </xdr:sp>
    <xdr:clientData/>
  </xdr:twoCellAnchor>
  <xdr:twoCellAnchor>
    <xdr:from>
      <xdr:col>24</xdr:col>
      <xdr:colOff>57150</xdr:colOff>
      <xdr:row>1</xdr:row>
      <xdr:rowOff>28575</xdr:rowOff>
    </xdr:from>
    <xdr:to>
      <xdr:col>24</xdr:col>
      <xdr:colOff>201084</xdr:colOff>
      <xdr:row>1</xdr:row>
      <xdr:rowOff>171450</xdr:rowOff>
    </xdr:to>
    <xdr:sp macro="[0]!w6_click" textlink="">
      <xdr:nvSpPr>
        <xdr:cNvPr id="65" name="Oval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12814935" y="257175"/>
          <a:ext cx="143510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56886</xdr:colOff>
      <xdr:row>1</xdr:row>
      <xdr:rowOff>28575</xdr:rowOff>
    </xdr:from>
    <xdr:to>
      <xdr:col>25</xdr:col>
      <xdr:colOff>200820</xdr:colOff>
      <xdr:row>1</xdr:row>
      <xdr:rowOff>171450</xdr:rowOff>
    </xdr:to>
    <xdr:sp macro="[0]!w7_click" textlink="">
      <xdr:nvSpPr>
        <xdr:cNvPr id="66" name="Oval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13119735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56621</xdr:colOff>
      <xdr:row>1</xdr:row>
      <xdr:rowOff>28575</xdr:rowOff>
    </xdr:from>
    <xdr:to>
      <xdr:col>26</xdr:col>
      <xdr:colOff>200555</xdr:colOff>
      <xdr:row>1</xdr:row>
      <xdr:rowOff>171450</xdr:rowOff>
    </xdr:to>
    <xdr:sp macro="[0]!w8_click" textlink="">
      <xdr:nvSpPr>
        <xdr:cNvPr id="67" name="Oval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13425170" y="257175"/>
          <a:ext cx="143510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56356</xdr:colOff>
      <xdr:row>1</xdr:row>
      <xdr:rowOff>28575</xdr:rowOff>
    </xdr:from>
    <xdr:to>
      <xdr:col>27</xdr:col>
      <xdr:colOff>200290</xdr:colOff>
      <xdr:row>1</xdr:row>
      <xdr:rowOff>171450</xdr:rowOff>
    </xdr:to>
    <xdr:sp macro="[0]!w9_click" textlink="">
      <xdr:nvSpPr>
        <xdr:cNvPr id="68" name="Oval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13698855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28</xdr:col>
      <xdr:colOff>56090</xdr:colOff>
      <xdr:row>2</xdr:row>
      <xdr:rowOff>39779</xdr:rowOff>
    </xdr:from>
    <xdr:to>
      <xdr:col>28</xdr:col>
      <xdr:colOff>200024</xdr:colOff>
      <xdr:row>2</xdr:row>
      <xdr:rowOff>182654</xdr:rowOff>
    </xdr:to>
    <xdr:sp macro="[0]!h10_click" textlink="">
      <xdr:nvSpPr>
        <xdr:cNvPr id="69" name="Oval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13973175" y="496570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57150</xdr:colOff>
      <xdr:row>2</xdr:row>
      <xdr:rowOff>28575</xdr:rowOff>
    </xdr:from>
    <xdr:to>
      <xdr:col>24</xdr:col>
      <xdr:colOff>201084</xdr:colOff>
      <xdr:row>2</xdr:row>
      <xdr:rowOff>171450</xdr:rowOff>
    </xdr:to>
    <xdr:sp macro="[0]!h6_click" textlink="">
      <xdr:nvSpPr>
        <xdr:cNvPr id="70" name="Oval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12814935" y="485775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56886</xdr:colOff>
      <xdr:row>2</xdr:row>
      <xdr:rowOff>28575</xdr:rowOff>
    </xdr:from>
    <xdr:to>
      <xdr:col>25</xdr:col>
      <xdr:colOff>200820</xdr:colOff>
      <xdr:row>2</xdr:row>
      <xdr:rowOff>171450</xdr:rowOff>
    </xdr:to>
    <xdr:sp macro="[0]!h7_click" textlink="">
      <xdr:nvSpPr>
        <xdr:cNvPr id="71" name="Oval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13119735" y="485775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56621</xdr:colOff>
      <xdr:row>2</xdr:row>
      <xdr:rowOff>28575</xdr:rowOff>
    </xdr:from>
    <xdr:to>
      <xdr:col>26</xdr:col>
      <xdr:colOff>200555</xdr:colOff>
      <xdr:row>2</xdr:row>
      <xdr:rowOff>171450</xdr:rowOff>
    </xdr:to>
    <xdr:sp macro="[0]!h8_click" textlink="">
      <xdr:nvSpPr>
        <xdr:cNvPr id="72" name="Oval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13425170" y="485775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56356</xdr:colOff>
      <xdr:row>2</xdr:row>
      <xdr:rowOff>28575</xdr:rowOff>
    </xdr:from>
    <xdr:to>
      <xdr:col>27</xdr:col>
      <xdr:colOff>200290</xdr:colOff>
      <xdr:row>2</xdr:row>
      <xdr:rowOff>171450</xdr:rowOff>
    </xdr:to>
    <xdr:sp macro="[0]!h9_click" textlink="">
      <xdr:nvSpPr>
        <xdr:cNvPr id="73" name="Oval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13698855" y="485775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28</xdr:col>
      <xdr:colOff>56091</xdr:colOff>
      <xdr:row>1</xdr:row>
      <xdr:rowOff>28575</xdr:rowOff>
    </xdr:from>
    <xdr:to>
      <xdr:col>28</xdr:col>
      <xdr:colOff>200025</xdr:colOff>
      <xdr:row>1</xdr:row>
      <xdr:rowOff>171450</xdr:rowOff>
    </xdr:to>
    <xdr:sp macro="[0]!w10_click" textlink="">
      <xdr:nvSpPr>
        <xdr:cNvPr id="74" name="Oval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13973175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75045</xdr:colOff>
      <xdr:row>1359</xdr:row>
      <xdr:rowOff>31750</xdr:rowOff>
    </xdr:from>
    <xdr:to>
      <xdr:col>6</xdr:col>
      <xdr:colOff>1013434</xdr:colOff>
      <xdr:row>1364</xdr:row>
      <xdr:rowOff>143809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75045" y="52049795"/>
          <a:ext cx="7507753" cy="10356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rgbClr val="FF0000"/>
              </a:solidFill>
            </a:rPr>
            <a:t>Silahkan ditulis</a:t>
          </a:r>
          <a:r>
            <a:rPr lang="en-GB" sz="1100" b="1" baseline="0">
              <a:solidFill>
                <a:srgbClr val="FF0000"/>
              </a:solidFill>
            </a:rPr>
            <a:t> komentar kinerja menurut anda</a:t>
          </a:r>
        </a:p>
        <a:p>
          <a:pPr algn="l"/>
          <a:r>
            <a:rPr lang="en-GB" sz="1100" b="1" baseline="0">
              <a:solidFill>
                <a:srgbClr val="FF0000"/>
              </a:solidFill>
            </a:rPr>
            <a:t>Masih belajar karena murid baru</a:t>
          </a:r>
        </a:p>
      </xdr:txBody>
    </xdr:sp>
    <xdr:clientData/>
  </xdr:twoCellAnchor>
  <xdr:twoCellAnchor>
    <xdr:from>
      <xdr:col>2</xdr:col>
      <xdr:colOff>878542</xdr:colOff>
      <xdr:row>1375</xdr:row>
      <xdr:rowOff>14899</xdr:rowOff>
    </xdr:from>
    <xdr:to>
      <xdr:col>2</xdr:col>
      <xdr:colOff>1057275</xdr:colOff>
      <xdr:row>1376</xdr:row>
      <xdr:rowOff>25377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1401445" y="313840495"/>
          <a:ext cx="179070" cy="19304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878542</xdr:colOff>
      <xdr:row>1377</xdr:row>
      <xdr:rowOff>14899</xdr:rowOff>
    </xdr:from>
    <xdr:to>
      <xdr:col>2</xdr:col>
      <xdr:colOff>1057275</xdr:colOff>
      <xdr:row>1378</xdr:row>
      <xdr:rowOff>25377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1401445" y="314206255"/>
          <a:ext cx="179070" cy="19304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1375</xdr:row>
      <xdr:rowOff>0</xdr:rowOff>
    </xdr:from>
    <xdr:to>
      <xdr:col>2</xdr:col>
      <xdr:colOff>2417108</xdr:colOff>
      <xdr:row>1376</xdr:row>
      <xdr:rowOff>10478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2761615" y="313825890"/>
          <a:ext cx="178435" cy="19304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Vv</a:t>
          </a:r>
        </a:p>
      </xdr:txBody>
    </xdr:sp>
    <xdr:clientData/>
  </xdr:twoCellAnchor>
  <xdr:twoCellAnchor>
    <xdr:from>
      <xdr:col>2</xdr:col>
      <xdr:colOff>2238375</xdr:colOff>
      <xdr:row>1377</xdr:row>
      <xdr:rowOff>0</xdr:rowOff>
    </xdr:from>
    <xdr:to>
      <xdr:col>2</xdr:col>
      <xdr:colOff>2417108</xdr:colOff>
      <xdr:row>1378</xdr:row>
      <xdr:rowOff>10478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2761615" y="314191650"/>
          <a:ext cx="178435" cy="19304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</a:t>
          </a:r>
        </a:p>
      </xdr:txBody>
    </xdr:sp>
    <xdr:clientData/>
  </xdr:twoCellAnchor>
  <xdr:twoCellAnchor>
    <xdr:from>
      <xdr:col>5</xdr:col>
      <xdr:colOff>276225</xdr:colOff>
      <xdr:row>1374</xdr:row>
      <xdr:rowOff>180975</xdr:rowOff>
    </xdr:from>
    <xdr:to>
      <xdr:col>5</xdr:col>
      <xdr:colOff>454958</xdr:colOff>
      <xdr:row>1376</xdr:row>
      <xdr:rowOff>953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4895215" y="313823985"/>
          <a:ext cx="178435" cy="18542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1376</xdr:row>
      <xdr:rowOff>180975</xdr:rowOff>
    </xdr:from>
    <xdr:to>
      <xdr:col>5</xdr:col>
      <xdr:colOff>454958</xdr:colOff>
      <xdr:row>1378</xdr:row>
      <xdr:rowOff>953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4895215" y="314189745"/>
          <a:ext cx="178435" cy="18542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1380</xdr:row>
      <xdr:rowOff>0</xdr:rowOff>
    </xdr:from>
    <xdr:to>
      <xdr:col>2</xdr:col>
      <xdr:colOff>1277470</xdr:colOff>
      <xdr:row>1382</xdr:row>
      <xdr:rowOff>11206</xdr:rowOff>
    </xdr:to>
    <xdr:sp macro="" textlink="$W$1371">
      <xdr:nvSpPr>
        <xdr:cNvPr id="84" name="Rectangle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80645" y="314740290"/>
          <a:ext cx="1719580" cy="5556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9C6977E-7FD4-4B59-87DF-15C332158C75}" type="TxLink">
            <a:rPr lang="en-US" sz="11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pPr algn="l"/>
            <a:t>Karyawan : NN</a:t>
          </a:fld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2</xdr:col>
      <xdr:colOff>1261224</xdr:colOff>
      <xdr:row>1380</xdr:row>
      <xdr:rowOff>0</xdr:rowOff>
    </xdr:from>
    <xdr:to>
      <xdr:col>4</xdr:col>
      <xdr:colOff>179294</xdr:colOff>
      <xdr:row>1382</xdr:row>
      <xdr:rowOff>11206</xdr:rowOff>
    </xdr:to>
    <xdr:sp macro="" textlink="$V$1375">
      <xdr:nvSpPr>
        <xdr:cNvPr id="85" name="Rectangle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1784350" y="314740290"/>
          <a:ext cx="2502535" cy="5556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315A519-D77F-46D6-A90C-A8B776A13B04}" type="TxLink">
            <a:rPr lang="en-US" sz="11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pPr algn="l"/>
            <a:t>Atasan langsung : NN</a:t>
          </a:fld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4</xdr:col>
      <xdr:colOff>179294</xdr:colOff>
      <xdr:row>1380</xdr:row>
      <xdr:rowOff>0</xdr:rowOff>
    </xdr:from>
    <xdr:to>
      <xdr:col>7</xdr:col>
      <xdr:colOff>150718</xdr:colOff>
      <xdr:row>1382</xdr:row>
      <xdr:rowOff>11206</xdr:rowOff>
    </xdr:to>
    <xdr:sp macro="" textlink="$V$1373">
      <xdr:nvSpPr>
        <xdr:cNvPr id="86" name="Rectangle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4286885" y="314740290"/>
          <a:ext cx="2209165" cy="5556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B941BAD1-61E4-40E9-9F5E-D59A46805FF3}" type="TxLink">
            <a:rPr lang="en-US" sz="11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pPr algn="l"/>
            <a:t>Level Manager berikutnya : Arfin Indra C</a:t>
          </a:fld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0</xdr:col>
      <xdr:colOff>73958</xdr:colOff>
      <xdr:row>1382</xdr:row>
      <xdr:rowOff>6722</xdr:rowOff>
    </xdr:from>
    <xdr:to>
      <xdr:col>2</xdr:col>
      <xdr:colOff>1315357</xdr:colOff>
      <xdr:row>1384</xdr:row>
      <xdr:rowOff>56030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73958" y="56763627"/>
          <a:ext cx="1778125" cy="41216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t>TANGGAL</a:t>
          </a:r>
          <a:r>
            <a:rPr lang="en-US" sz="1100" b="0" i="0" u="none" strike="noStrike" baseline="0">
              <a:solidFill>
                <a:srgbClr val="000000"/>
              </a:solidFill>
              <a:latin typeface="Calibri" panose="020F0502020204030204"/>
              <a:cs typeface="Calibri" panose="020F0502020204030204"/>
            </a:rPr>
            <a:t> : 05 Februari 2026</a:t>
          </a:r>
          <a:endParaRPr lang="en-US" sz="1100" b="0" i="0" u="none" strike="noStrike">
            <a:solidFill>
              <a:srgbClr val="000000"/>
            </a:solidFill>
            <a:latin typeface="Calibri" panose="020F0502020204030204"/>
            <a:cs typeface="Calibri" panose="020F0502020204030204"/>
          </a:endParaRPr>
        </a:p>
      </xdr:txBody>
    </xdr:sp>
    <xdr:clientData/>
  </xdr:twoCellAnchor>
  <xdr:twoCellAnchor>
    <xdr:from>
      <xdr:col>2</xdr:col>
      <xdr:colOff>1256741</xdr:colOff>
      <xdr:row>1382</xdr:row>
      <xdr:rowOff>6722</xdr:rowOff>
    </xdr:from>
    <xdr:to>
      <xdr:col>4</xdr:col>
      <xdr:colOff>174811</xdr:colOff>
      <xdr:row>1384</xdr:row>
      <xdr:rowOff>56030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1779905" y="315291470"/>
          <a:ext cx="2502535" cy="41529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 05 Februari 2026</a:t>
          </a:r>
          <a:endParaRPr lang="en-US">
            <a:effectLst/>
          </a:endParaRPr>
        </a:p>
      </xdr:txBody>
    </xdr:sp>
    <xdr:clientData/>
  </xdr:twoCellAnchor>
  <xdr:twoCellAnchor>
    <xdr:from>
      <xdr:col>4</xdr:col>
      <xdr:colOff>174811</xdr:colOff>
      <xdr:row>1382</xdr:row>
      <xdr:rowOff>6722</xdr:rowOff>
    </xdr:from>
    <xdr:to>
      <xdr:col>7</xdr:col>
      <xdr:colOff>146235</xdr:colOff>
      <xdr:row>1384</xdr:row>
      <xdr:rowOff>56030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4282440" y="315291470"/>
          <a:ext cx="2209165" cy="41529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 05 Februari 2026</a:t>
          </a:r>
          <a:endParaRPr lang="en-US">
            <a:effectLst/>
          </a:endParaRPr>
        </a:p>
      </xdr:txBody>
    </xdr:sp>
    <xdr:clientData/>
  </xdr:twoCellAnchor>
  <xdr:twoCellAnchor>
    <xdr:from>
      <xdr:col>19</xdr:col>
      <xdr:colOff>57150</xdr:colOff>
      <xdr:row>1</xdr:row>
      <xdr:rowOff>28575</xdr:rowOff>
    </xdr:from>
    <xdr:to>
      <xdr:col>19</xdr:col>
      <xdr:colOff>201084</xdr:colOff>
      <xdr:row>1</xdr:row>
      <xdr:rowOff>171450</xdr:rowOff>
    </xdr:to>
    <xdr:sp macro="[0]!w1_click" textlink="">
      <xdr:nvSpPr>
        <xdr:cNvPr id="90" name="Oval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11287760" y="257175"/>
          <a:ext cx="143510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56886</xdr:colOff>
      <xdr:row>1</xdr:row>
      <xdr:rowOff>28575</xdr:rowOff>
    </xdr:from>
    <xdr:to>
      <xdr:col>20</xdr:col>
      <xdr:colOff>200820</xdr:colOff>
      <xdr:row>1</xdr:row>
      <xdr:rowOff>171450</xdr:rowOff>
    </xdr:to>
    <xdr:sp macro="[0]!w2_click" textlink="">
      <xdr:nvSpPr>
        <xdr:cNvPr id="91" name="Oval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11592560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56621</xdr:colOff>
      <xdr:row>1</xdr:row>
      <xdr:rowOff>28575</xdr:rowOff>
    </xdr:from>
    <xdr:to>
      <xdr:col>21</xdr:col>
      <xdr:colOff>200555</xdr:colOff>
      <xdr:row>1</xdr:row>
      <xdr:rowOff>171450</xdr:rowOff>
    </xdr:to>
    <xdr:sp macro="[0]!w3_click" textlink="">
      <xdr:nvSpPr>
        <xdr:cNvPr id="92" name="Oval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11897995" y="257175"/>
          <a:ext cx="143510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56356</xdr:colOff>
      <xdr:row>1</xdr:row>
      <xdr:rowOff>28575</xdr:rowOff>
    </xdr:from>
    <xdr:to>
      <xdr:col>22</xdr:col>
      <xdr:colOff>200290</xdr:colOff>
      <xdr:row>1</xdr:row>
      <xdr:rowOff>171450</xdr:rowOff>
    </xdr:to>
    <xdr:sp macro="[0]!w4_click" textlink="">
      <xdr:nvSpPr>
        <xdr:cNvPr id="93" name="Oval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12202795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67295</xdr:colOff>
      <xdr:row>2</xdr:row>
      <xdr:rowOff>28573</xdr:rowOff>
    </xdr:from>
    <xdr:to>
      <xdr:col>23</xdr:col>
      <xdr:colOff>211229</xdr:colOff>
      <xdr:row>2</xdr:row>
      <xdr:rowOff>171448</xdr:rowOff>
    </xdr:to>
    <xdr:sp macro="[0]!h5_click" textlink="">
      <xdr:nvSpPr>
        <xdr:cNvPr id="94" name="Oval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12519025" y="485140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57150</xdr:colOff>
      <xdr:row>2</xdr:row>
      <xdr:rowOff>28575</xdr:rowOff>
    </xdr:from>
    <xdr:to>
      <xdr:col>19</xdr:col>
      <xdr:colOff>201084</xdr:colOff>
      <xdr:row>2</xdr:row>
      <xdr:rowOff>171450</xdr:rowOff>
    </xdr:to>
    <xdr:sp macro="[0]!h1_click" textlink="">
      <xdr:nvSpPr>
        <xdr:cNvPr id="95" name="Oval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11287760" y="485775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56886</xdr:colOff>
      <xdr:row>2</xdr:row>
      <xdr:rowOff>28575</xdr:rowOff>
    </xdr:from>
    <xdr:to>
      <xdr:col>20</xdr:col>
      <xdr:colOff>200820</xdr:colOff>
      <xdr:row>2</xdr:row>
      <xdr:rowOff>171450</xdr:rowOff>
    </xdr:to>
    <xdr:sp macro="[0]!h2_click" textlink="">
      <xdr:nvSpPr>
        <xdr:cNvPr id="96" name="Oval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11592560" y="485775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56621</xdr:colOff>
      <xdr:row>2</xdr:row>
      <xdr:rowOff>28575</xdr:rowOff>
    </xdr:from>
    <xdr:to>
      <xdr:col>21</xdr:col>
      <xdr:colOff>200555</xdr:colOff>
      <xdr:row>2</xdr:row>
      <xdr:rowOff>171450</xdr:rowOff>
    </xdr:to>
    <xdr:sp macro="[0]!h3_click" textlink="">
      <xdr:nvSpPr>
        <xdr:cNvPr id="97" name="Oval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11897995" y="485775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56356</xdr:colOff>
      <xdr:row>2</xdr:row>
      <xdr:rowOff>28575</xdr:rowOff>
    </xdr:from>
    <xdr:to>
      <xdr:col>22</xdr:col>
      <xdr:colOff>200290</xdr:colOff>
      <xdr:row>2</xdr:row>
      <xdr:rowOff>171450</xdr:rowOff>
    </xdr:to>
    <xdr:sp macro="[0]!h4_click" textlink="">
      <xdr:nvSpPr>
        <xdr:cNvPr id="98" name="Oval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12202795" y="485775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56091</xdr:colOff>
      <xdr:row>1</xdr:row>
      <xdr:rowOff>28575</xdr:rowOff>
    </xdr:from>
    <xdr:to>
      <xdr:col>23</xdr:col>
      <xdr:colOff>200025</xdr:colOff>
      <xdr:row>1</xdr:row>
      <xdr:rowOff>171450</xdr:rowOff>
    </xdr:to>
    <xdr:sp macro="[0]!w5_click" textlink="">
      <xdr:nvSpPr>
        <xdr:cNvPr id="99" name="Oval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12508230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29</xdr:col>
      <xdr:colOff>142315</xdr:colOff>
      <xdr:row>0</xdr:row>
      <xdr:rowOff>65555</xdr:rowOff>
    </xdr:from>
    <xdr:to>
      <xdr:col>31</xdr:col>
      <xdr:colOff>65554</xdr:colOff>
      <xdr:row>3</xdr:row>
      <xdr:rowOff>56030</xdr:rowOff>
    </xdr:to>
    <xdr:sp macro="" textlink="">
      <xdr:nvSpPr>
        <xdr:cNvPr id="100" name="Right Arrow 9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14333855" y="65405"/>
          <a:ext cx="814705" cy="640080"/>
        </a:xfrm>
        <a:prstGeom prst="rightArrow">
          <a:avLst/>
        </a:prstGeom>
        <a:solidFill>
          <a:schemeClr val="bg2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accent2">
                  <a:lumMod val="75000"/>
                </a:schemeClr>
              </a:solidFill>
            </a:rPr>
            <a:t>Back</a:t>
          </a:r>
        </a:p>
      </xdr:txBody>
    </xdr:sp>
    <xdr:clientData/>
  </xdr:twoCellAnchor>
  <xdr:twoCellAnchor>
    <xdr:from>
      <xdr:col>24</xdr:col>
      <xdr:colOff>57150</xdr:colOff>
      <xdr:row>1</xdr:row>
      <xdr:rowOff>28575</xdr:rowOff>
    </xdr:from>
    <xdr:to>
      <xdr:col>24</xdr:col>
      <xdr:colOff>201084</xdr:colOff>
      <xdr:row>1</xdr:row>
      <xdr:rowOff>171450</xdr:rowOff>
    </xdr:to>
    <xdr:sp macro="[0]!w6_click" textlink="">
      <xdr:nvSpPr>
        <xdr:cNvPr id="101" name="Oval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12814935" y="257175"/>
          <a:ext cx="143510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56886</xdr:colOff>
      <xdr:row>1</xdr:row>
      <xdr:rowOff>28575</xdr:rowOff>
    </xdr:from>
    <xdr:to>
      <xdr:col>25</xdr:col>
      <xdr:colOff>200820</xdr:colOff>
      <xdr:row>1</xdr:row>
      <xdr:rowOff>171450</xdr:rowOff>
    </xdr:to>
    <xdr:sp macro="[0]!w7_click" textlink="">
      <xdr:nvSpPr>
        <xdr:cNvPr id="102" name="Oval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13119735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56621</xdr:colOff>
      <xdr:row>1</xdr:row>
      <xdr:rowOff>28575</xdr:rowOff>
    </xdr:from>
    <xdr:to>
      <xdr:col>26</xdr:col>
      <xdr:colOff>200555</xdr:colOff>
      <xdr:row>1</xdr:row>
      <xdr:rowOff>171450</xdr:rowOff>
    </xdr:to>
    <xdr:sp macro="[0]!w8_click" textlink="">
      <xdr:nvSpPr>
        <xdr:cNvPr id="103" name="Oval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13425170" y="257175"/>
          <a:ext cx="143510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56356</xdr:colOff>
      <xdr:row>1</xdr:row>
      <xdr:rowOff>28575</xdr:rowOff>
    </xdr:from>
    <xdr:to>
      <xdr:col>27</xdr:col>
      <xdr:colOff>200290</xdr:colOff>
      <xdr:row>1</xdr:row>
      <xdr:rowOff>171450</xdr:rowOff>
    </xdr:to>
    <xdr:sp macro="[0]!w9_click" textlink="">
      <xdr:nvSpPr>
        <xdr:cNvPr id="104" name="Oval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13698855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28</xdr:col>
      <xdr:colOff>56090</xdr:colOff>
      <xdr:row>2</xdr:row>
      <xdr:rowOff>39779</xdr:rowOff>
    </xdr:from>
    <xdr:to>
      <xdr:col>28</xdr:col>
      <xdr:colOff>200024</xdr:colOff>
      <xdr:row>2</xdr:row>
      <xdr:rowOff>182654</xdr:rowOff>
    </xdr:to>
    <xdr:sp macro="[0]!h10_click" textlink="">
      <xdr:nvSpPr>
        <xdr:cNvPr id="105" name="Oval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13973175" y="496570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57150</xdr:colOff>
      <xdr:row>2</xdr:row>
      <xdr:rowOff>28575</xdr:rowOff>
    </xdr:from>
    <xdr:to>
      <xdr:col>24</xdr:col>
      <xdr:colOff>201084</xdr:colOff>
      <xdr:row>2</xdr:row>
      <xdr:rowOff>171450</xdr:rowOff>
    </xdr:to>
    <xdr:sp macro="[0]!h6_click" textlink="">
      <xdr:nvSpPr>
        <xdr:cNvPr id="106" name="Oval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12814935" y="485775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56886</xdr:colOff>
      <xdr:row>2</xdr:row>
      <xdr:rowOff>28575</xdr:rowOff>
    </xdr:from>
    <xdr:to>
      <xdr:col>25</xdr:col>
      <xdr:colOff>200820</xdr:colOff>
      <xdr:row>2</xdr:row>
      <xdr:rowOff>171450</xdr:rowOff>
    </xdr:to>
    <xdr:sp macro="[0]!h7_click" textlink="">
      <xdr:nvSpPr>
        <xdr:cNvPr id="107" name="Oval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13119735" y="485775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56621</xdr:colOff>
      <xdr:row>2</xdr:row>
      <xdr:rowOff>28575</xdr:rowOff>
    </xdr:from>
    <xdr:to>
      <xdr:col>26</xdr:col>
      <xdr:colOff>200555</xdr:colOff>
      <xdr:row>2</xdr:row>
      <xdr:rowOff>171450</xdr:rowOff>
    </xdr:to>
    <xdr:sp macro="[0]!h8_click" textlink="">
      <xdr:nvSpPr>
        <xdr:cNvPr id="108" name="Oval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13425170" y="485775"/>
          <a:ext cx="143510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56356</xdr:colOff>
      <xdr:row>2</xdr:row>
      <xdr:rowOff>28575</xdr:rowOff>
    </xdr:from>
    <xdr:to>
      <xdr:col>27</xdr:col>
      <xdr:colOff>200290</xdr:colOff>
      <xdr:row>2</xdr:row>
      <xdr:rowOff>171450</xdr:rowOff>
    </xdr:to>
    <xdr:sp macro="[0]!h9_click" textlink="">
      <xdr:nvSpPr>
        <xdr:cNvPr id="109" name="Oval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13698855" y="485775"/>
          <a:ext cx="144145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28</xdr:col>
      <xdr:colOff>56091</xdr:colOff>
      <xdr:row>1</xdr:row>
      <xdr:rowOff>28575</xdr:rowOff>
    </xdr:from>
    <xdr:to>
      <xdr:col>28</xdr:col>
      <xdr:colOff>200025</xdr:colOff>
      <xdr:row>1</xdr:row>
      <xdr:rowOff>171450</xdr:rowOff>
    </xdr:to>
    <xdr:sp macro="[0]!w10_click" textlink="">
      <xdr:nvSpPr>
        <xdr:cNvPr id="110" name="Oval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13973175" y="257175"/>
          <a:ext cx="144145" cy="142875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235325</xdr:colOff>
      <xdr:row>1</xdr:row>
      <xdr:rowOff>67236</xdr:rowOff>
    </xdr:from>
    <xdr:to>
      <xdr:col>16</xdr:col>
      <xdr:colOff>89646</xdr:colOff>
      <xdr:row>1</xdr:row>
      <xdr:rowOff>212912</xdr:rowOff>
    </xdr:to>
    <xdr:sp macro="[2]!Oval253_Click" textlink="">
      <xdr:nvSpPr>
        <xdr:cNvPr id="111" name="Oval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10243820" y="295275"/>
          <a:ext cx="128905" cy="14605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171450</xdr:rowOff>
    </xdr:from>
    <xdr:to>
      <xdr:col>3</xdr:col>
      <xdr:colOff>409575</xdr:colOff>
      <xdr:row>10</xdr:row>
      <xdr:rowOff>123825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3985" y="1864995"/>
          <a:ext cx="1528445" cy="69342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1">
                  <a:lumMod val="9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DETAIL</a:t>
          </a:r>
        </a:p>
      </xdr:txBody>
    </xdr:sp>
    <xdr:clientData/>
  </xdr:twoCellAnchor>
  <xdr:twoCellAnchor>
    <xdr:from>
      <xdr:col>1</xdr:col>
      <xdr:colOff>0</xdr:colOff>
      <xdr:row>11</xdr:row>
      <xdr:rowOff>70598</xdr:rowOff>
    </xdr:from>
    <xdr:to>
      <xdr:col>3</xdr:col>
      <xdr:colOff>400050</xdr:colOff>
      <xdr:row>15</xdr:row>
      <xdr:rowOff>53229</xdr:rowOff>
    </xdr:to>
    <xdr:sp macro="" textlink="">
      <xdr:nvSpPr>
        <xdr:cNvPr id="3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4460" y="2697480"/>
          <a:ext cx="1528445" cy="74422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GB" sz="18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DASHBOARD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3</xdr:col>
      <xdr:colOff>400050</xdr:colOff>
      <xdr:row>6</xdr:row>
      <xdr:rowOff>57150</xdr:rowOff>
    </xdr:to>
    <xdr:sp macro="" textlink="$G$4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4460" y="446405"/>
          <a:ext cx="1528445" cy="130429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fld id="{642F8893-5E72-49A7-86F4-E81829DA385A}" type="TxLink">
            <a:rPr lang="en-US" sz="1600" b="1" i="0" u="none" strike="noStrike" cap="none" spc="50">
              <a:ln w="11430"/>
              <a:solidFill>
                <a:srgbClr val="0070C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Arial" panose="020B0604020202020204"/>
              <a:cs typeface="Arial" panose="020B0604020202020204"/>
            </a:rPr>
            <a:pPr algn="ctr"/>
            <a:t>NN</a:t>
          </a:fld>
          <a:endParaRPr lang="en-US" sz="1600" b="1" i="0" u="none" strike="noStrike" cap="none" spc="50">
            <a:ln w="11430"/>
            <a:solidFill>
              <a:srgbClr val="0070C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  <a:latin typeface="Arial" panose="020B0604020202020204"/>
            <a:cs typeface="Arial" panose="020B0604020202020204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ahyu\1Pribadi\KPI%20EXCE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EOPLE\KPI\SC\2021\KPI%20DIGITAL%20SALES%202021_SC_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 xml:space="preserve"> </v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 xml:space="preserve"> </v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 xml:space="preserve"> </v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 xml:space="preserve"> </v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 xml:space="preserve"> </v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 xml:space="preserve"> </v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 xml:space="preserve"> </v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 xml:space="preserve"> </v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 xml:space="preserve"> </v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 xml:space="preserve"> </v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 xml:space="preserve"> </v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 xml:space="preserve"> </v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 xml:space="preserve"> </v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 xml:space="preserve"> </v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 xml:space="preserve"> </v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gin"/>
      <sheetName val="dashboard"/>
      <sheetName val="Pass"/>
      <sheetName val="1"/>
      <sheetName val="d1"/>
      <sheetName val="2"/>
      <sheetName val="d2"/>
      <sheetName val="KPI"/>
      <sheetName val="3"/>
      <sheetName val="d3"/>
      <sheetName val="4"/>
      <sheetName val="d4"/>
      <sheetName val="5"/>
      <sheetName val="d5"/>
      <sheetName val="6"/>
      <sheetName val="d6"/>
      <sheetName val="7"/>
      <sheetName val="d7"/>
      <sheetName val="8"/>
      <sheetName val="d8"/>
      <sheetName val="9"/>
      <sheetName val="d9"/>
      <sheetName val="10"/>
      <sheetName val="d10"/>
      <sheetName val="11"/>
      <sheetName val="d11"/>
      <sheetName val="12"/>
      <sheetName val="d12"/>
      <sheetName val="13"/>
      <sheetName val="d13"/>
      <sheetName val="14"/>
      <sheetName val="d14"/>
      <sheetName val="15"/>
      <sheetName val="d15"/>
      <sheetName val="16"/>
      <sheetName val="d16"/>
      <sheetName val="17"/>
      <sheetName val="d17"/>
      <sheetName val="18"/>
      <sheetName val="d18"/>
      <sheetName val="19"/>
      <sheetName val="d19"/>
      <sheetName val="20"/>
      <sheetName val="d20"/>
      <sheetName val="21"/>
      <sheetName val="d21"/>
      <sheetName val="22"/>
      <sheetName val="d22"/>
      <sheetName val="23"/>
      <sheetName val="d23"/>
      <sheetName val="24"/>
      <sheetName val="d24"/>
      <sheetName val="KPI DIGITAL SALES 2021_SC_SE"/>
    </sheetNames>
    <definedNames>
      <definedName name="Oval253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8">
          <cell r="D8" t="str">
            <v>Ibnu Sutoro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3"/>
  <sheetViews>
    <sheetView showGridLines="0" workbookViewId="0">
      <pane xSplit="1" ySplit="5" topLeftCell="B79" activePane="bottomRight" state="frozen"/>
      <selection pane="topRight"/>
      <selection pane="bottomLeft"/>
      <selection pane="bottomRight" activeCell="G54" sqref="G54"/>
    </sheetView>
  </sheetViews>
  <sheetFormatPr defaultColWidth="9" defaultRowHeight="14.5"/>
  <cols>
    <col min="1" max="1" width="2.81640625" customWidth="1"/>
    <col min="2" max="2" width="11" customWidth="1"/>
    <col min="4" max="4" width="27.54296875" customWidth="1"/>
    <col min="5" max="10" width="11.7265625" customWidth="1"/>
  </cols>
  <sheetData>
    <row r="1" spans="1:24">
      <c r="A1" s="195"/>
      <c r="B1" s="210" t="s">
        <v>0</v>
      </c>
      <c r="C1" s="210" t="s">
        <v>0</v>
      </c>
      <c r="D1" s="210" t="s">
        <v>0</v>
      </c>
      <c r="E1" s="210" t="s">
        <v>0</v>
      </c>
      <c r="F1" s="210" t="s">
        <v>0</v>
      </c>
      <c r="G1" s="210" t="s">
        <v>0</v>
      </c>
      <c r="H1" s="210" t="s">
        <v>0</v>
      </c>
      <c r="I1" s="210" t="s">
        <v>0</v>
      </c>
      <c r="J1" s="210" t="s">
        <v>0</v>
      </c>
      <c r="K1" s="210" t="s">
        <v>0</v>
      </c>
      <c r="L1" s="210" t="s">
        <v>0</v>
      </c>
      <c r="M1" s="210" t="s">
        <v>0</v>
      </c>
      <c r="N1" s="210" t="s">
        <v>0</v>
      </c>
      <c r="O1" s="210" t="s">
        <v>0</v>
      </c>
      <c r="P1" s="210" t="s">
        <v>0</v>
      </c>
      <c r="Q1" s="210" t="s">
        <v>0</v>
      </c>
      <c r="R1" s="210" t="s">
        <v>0</v>
      </c>
      <c r="S1" s="210" t="s">
        <v>0</v>
      </c>
      <c r="T1" s="210" t="s">
        <v>0</v>
      </c>
      <c r="U1" s="210" t="s">
        <v>0</v>
      </c>
      <c r="V1" s="210" t="s">
        <v>0</v>
      </c>
      <c r="W1" s="210" t="s">
        <v>0</v>
      </c>
      <c r="X1" s="210" t="s">
        <v>0</v>
      </c>
    </row>
    <row r="2" spans="1:24" ht="28.5" customHeight="1">
      <c r="A2" s="210" t="s">
        <v>0</v>
      </c>
      <c r="B2" s="384" t="s">
        <v>1</v>
      </c>
      <c r="C2" s="384"/>
      <c r="D2" s="384"/>
      <c r="E2" s="384"/>
      <c r="F2" s="384"/>
      <c r="G2" s="384"/>
      <c r="H2" s="384"/>
      <c r="I2" s="384"/>
      <c r="J2" s="384"/>
      <c r="K2" s="210" t="s">
        <v>0</v>
      </c>
      <c r="L2" s="210" t="s">
        <v>0</v>
      </c>
      <c r="M2" s="210" t="s">
        <v>0</v>
      </c>
      <c r="N2" s="210" t="s">
        <v>0</v>
      </c>
      <c r="O2" s="210" t="s">
        <v>0</v>
      </c>
      <c r="P2" s="210" t="s">
        <v>0</v>
      </c>
      <c r="Q2" s="210" t="s">
        <v>0</v>
      </c>
      <c r="R2" s="210" t="s">
        <v>0</v>
      </c>
      <c r="S2" s="210" t="s">
        <v>0</v>
      </c>
      <c r="T2" s="210" t="s">
        <v>0</v>
      </c>
      <c r="U2" s="210" t="s">
        <v>0</v>
      </c>
      <c r="V2" s="210" t="s">
        <v>0</v>
      </c>
      <c r="W2" s="210" t="s">
        <v>0</v>
      </c>
      <c r="X2" s="210" t="s">
        <v>0</v>
      </c>
    </row>
    <row r="3" spans="1:24" ht="9.75" customHeight="1">
      <c r="A3" s="210" t="s">
        <v>0</v>
      </c>
      <c r="B3" s="210" t="s">
        <v>0</v>
      </c>
      <c r="C3" s="210" t="s">
        <v>0</v>
      </c>
      <c r="D3" s="210" t="s">
        <v>0</v>
      </c>
      <c r="E3" s="210" t="s">
        <v>0</v>
      </c>
      <c r="F3" s="210" t="s">
        <v>0</v>
      </c>
      <c r="G3" s="210" t="s">
        <v>0</v>
      </c>
      <c r="H3" s="210" t="s">
        <v>0</v>
      </c>
      <c r="I3" s="210" t="s">
        <v>0</v>
      </c>
      <c r="J3" s="210" t="s">
        <v>0</v>
      </c>
      <c r="K3" s="210" t="s">
        <v>0</v>
      </c>
      <c r="L3" s="210" t="s">
        <v>0</v>
      </c>
      <c r="M3" s="210" t="s">
        <v>0</v>
      </c>
      <c r="N3" s="210" t="s">
        <v>0</v>
      </c>
      <c r="O3" s="210" t="s">
        <v>0</v>
      </c>
      <c r="P3" s="210" t="s">
        <v>0</v>
      </c>
      <c r="Q3" s="210" t="s">
        <v>0</v>
      </c>
      <c r="R3" s="210" t="s">
        <v>0</v>
      </c>
      <c r="S3" s="210" t="s">
        <v>0</v>
      </c>
      <c r="T3" s="210" t="s">
        <v>0</v>
      </c>
      <c r="U3" s="210" t="s">
        <v>0</v>
      </c>
      <c r="V3" s="210" t="s">
        <v>0</v>
      </c>
      <c r="W3" s="210" t="s">
        <v>0</v>
      </c>
      <c r="X3" s="210" t="s">
        <v>0</v>
      </c>
    </row>
    <row r="4" spans="1:24">
      <c r="A4" s="210" t="s">
        <v>0</v>
      </c>
      <c r="B4" s="388" t="s">
        <v>2</v>
      </c>
      <c r="C4" s="388" t="s">
        <v>3</v>
      </c>
      <c r="D4" s="390" t="s">
        <v>4</v>
      </c>
      <c r="E4" s="385" t="s">
        <v>5</v>
      </c>
      <c r="F4" s="385"/>
      <c r="G4" s="386" t="s">
        <v>6</v>
      </c>
      <c r="H4" s="386"/>
      <c r="I4" s="387" t="s">
        <v>7</v>
      </c>
      <c r="J4" s="387"/>
      <c r="K4" s="210" t="s">
        <v>0</v>
      </c>
      <c r="L4" s="210" t="s">
        <v>0</v>
      </c>
      <c r="M4" s="210" t="s">
        <v>0</v>
      </c>
      <c r="N4" s="210" t="s">
        <v>0</v>
      </c>
      <c r="O4" s="210" t="s">
        <v>0</v>
      </c>
      <c r="P4" s="210" t="s">
        <v>0</v>
      </c>
      <c r="Q4" s="210" t="s">
        <v>0</v>
      </c>
      <c r="R4" s="210" t="s">
        <v>0</v>
      </c>
      <c r="S4" s="210" t="s">
        <v>0</v>
      </c>
      <c r="T4" s="210" t="s">
        <v>0</v>
      </c>
      <c r="U4" s="210" t="s">
        <v>0</v>
      </c>
      <c r="V4" s="210" t="s">
        <v>0</v>
      </c>
      <c r="W4" s="210" t="s">
        <v>0</v>
      </c>
      <c r="X4" s="210" t="s">
        <v>0</v>
      </c>
    </row>
    <row r="5" spans="1:24">
      <c r="A5" s="210" t="s">
        <v>0</v>
      </c>
      <c r="B5" s="389"/>
      <c r="C5" s="389"/>
      <c r="D5" s="390"/>
      <c r="E5" s="196" t="s">
        <v>8</v>
      </c>
      <c r="F5" s="197" t="s">
        <v>9</v>
      </c>
      <c r="G5" s="196" t="s">
        <v>8</v>
      </c>
      <c r="H5" s="197" t="s">
        <v>9</v>
      </c>
      <c r="I5" s="206" t="s">
        <v>9</v>
      </c>
      <c r="J5" s="207" t="s">
        <v>10</v>
      </c>
      <c r="K5" s="210" t="s">
        <v>0</v>
      </c>
      <c r="L5" s="210" t="s">
        <v>0</v>
      </c>
      <c r="M5" s="210" t="s">
        <v>0</v>
      </c>
      <c r="N5" s="210" t="s">
        <v>0</v>
      </c>
      <c r="O5" s="210" t="s">
        <v>0</v>
      </c>
      <c r="P5" s="210" t="s">
        <v>0</v>
      </c>
      <c r="Q5" s="210" t="s">
        <v>0</v>
      </c>
      <c r="R5" s="210" t="s">
        <v>0</v>
      </c>
      <c r="S5" s="210" t="s">
        <v>0</v>
      </c>
      <c r="T5" s="210" t="s">
        <v>0</v>
      </c>
      <c r="U5" s="210" t="s">
        <v>0</v>
      </c>
      <c r="V5" s="210" t="s">
        <v>0</v>
      </c>
      <c r="W5" s="210" t="s">
        <v>0</v>
      </c>
      <c r="X5" s="210" t="s">
        <v>0</v>
      </c>
    </row>
    <row r="6" spans="1:24" ht="21" customHeight="1">
      <c r="A6" s="210" t="s">
        <v>0</v>
      </c>
      <c r="B6" s="391" t="s">
        <v>212</v>
      </c>
      <c r="C6" s="198">
        <v>1</v>
      </c>
      <c r="D6" s="199" t="str">
        <f>'Nilai KPI'!G4</f>
        <v>NN</v>
      </c>
      <c r="E6" s="200">
        <v>0</v>
      </c>
      <c r="F6" s="201">
        <v>0</v>
      </c>
      <c r="G6" s="200">
        <v>0</v>
      </c>
      <c r="H6" s="201">
        <v>0</v>
      </c>
      <c r="I6" s="208">
        <v>0</v>
      </c>
      <c r="J6" s="149" t="str">
        <f>'Nilai KPI'!$F$15</f>
        <v>POOR</v>
      </c>
      <c r="K6" s="195"/>
      <c r="L6" s="210" t="s">
        <v>0</v>
      </c>
      <c r="M6" s="210" t="s">
        <v>0</v>
      </c>
      <c r="N6" s="210" t="s">
        <v>0</v>
      </c>
      <c r="O6" s="210" t="s">
        <v>0</v>
      </c>
      <c r="P6" s="210" t="s">
        <v>0</v>
      </c>
      <c r="Q6" s="210" t="s">
        <v>0</v>
      </c>
      <c r="R6" s="210" t="s">
        <v>0</v>
      </c>
      <c r="S6" s="210" t="s">
        <v>0</v>
      </c>
      <c r="T6" s="210" t="s">
        <v>0</v>
      </c>
      <c r="U6" s="210" t="s">
        <v>0</v>
      </c>
      <c r="V6" s="210" t="s">
        <v>0</v>
      </c>
      <c r="W6" s="210" t="s">
        <v>0</v>
      </c>
      <c r="X6" s="210" t="s">
        <v>0</v>
      </c>
    </row>
    <row r="7" spans="1:24" ht="21" hidden="1" customHeight="1">
      <c r="A7" s="210" t="s">
        <v>0</v>
      </c>
      <c r="B7" s="392"/>
      <c r="C7" s="202">
        <v>2</v>
      </c>
      <c r="D7" t="s">
        <v>11</v>
      </c>
      <c r="E7" s="203" t="e">
        <f>#REF!</f>
        <v>#REF!</v>
      </c>
      <c r="F7" s="204" t="e">
        <f>#REF!</f>
        <v>#REF!</v>
      </c>
      <c r="G7" s="203" t="e">
        <f>#REF!</f>
        <v>#REF!</v>
      </c>
      <c r="H7" s="204" t="e">
        <f>#REF!</f>
        <v>#REF!</v>
      </c>
      <c r="I7" s="209" t="e">
        <f>#REF!</f>
        <v>#REF!</v>
      </c>
      <c r="J7" s="149" t="e">
        <f>#REF!</f>
        <v>#REF!</v>
      </c>
      <c r="K7" s="195"/>
      <c r="L7" s="210" t="s">
        <v>0</v>
      </c>
      <c r="M7" s="210" t="s">
        <v>0</v>
      </c>
      <c r="N7" s="210" t="s">
        <v>0</v>
      </c>
      <c r="O7" s="210" t="s">
        <v>0</v>
      </c>
      <c r="P7" s="210" t="s">
        <v>0</v>
      </c>
      <c r="Q7" s="210" t="s">
        <v>0</v>
      </c>
      <c r="R7" s="210" t="s">
        <v>0</v>
      </c>
      <c r="S7" s="210" t="s">
        <v>0</v>
      </c>
      <c r="T7" s="210" t="s">
        <v>0</v>
      </c>
      <c r="U7" s="210" t="s">
        <v>0</v>
      </c>
      <c r="V7" s="210" t="s">
        <v>0</v>
      </c>
      <c r="W7" s="210" t="s">
        <v>0</v>
      </c>
      <c r="X7" s="210" t="s">
        <v>0</v>
      </c>
    </row>
    <row r="8" spans="1:24" ht="21" hidden="1" customHeight="1">
      <c r="A8" s="210" t="s">
        <v>0</v>
      </c>
      <c r="B8" s="392"/>
      <c r="C8" s="198">
        <v>3</v>
      </c>
      <c r="D8" t="s">
        <v>12</v>
      </c>
      <c r="E8" s="200" t="e">
        <f>#REF!</f>
        <v>#REF!</v>
      </c>
      <c r="F8" s="201" t="e">
        <f>#REF!</f>
        <v>#REF!</v>
      </c>
      <c r="G8" s="200" t="e">
        <f>#REF!</f>
        <v>#REF!</v>
      </c>
      <c r="H8" s="201" t="e">
        <f>#REF!</f>
        <v>#REF!</v>
      </c>
      <c r="I8" s="208" t="e">
        <f>#REF!</f>
        <v>#REF!</v>
      </c>
      <c r="J8" s="149" t="e">
        <f>#REF!</f>
        <v>#REF!</v>
      </c>
      <c r="K8" s="195"/>
      <c r="L8" s="210" t="s">
        <v>0</v>
      </c>
      <c r="M8" s="210" t="s">
        <v>0</v>
      </c>
      <c r="N8" s="210" t="s">
        <v>0</v>
      </c>
      <c r="O8" s="210" t="s">
        <v>0</v>
      </c>
      <c r="P8" s="210" t="s">
        <v>0</v>
      </c>
      <c r="Q8" s="210" t="s">
        <v>0</v>
      </c>
      <c r="R8" s="210" t="s">
        <v>0</v>
      </c>
      <c r="S8" s="210" t="s">
        <v>0</v>
      </c>
      <c r="T8" s="210" t="s">
        <v>0</v>
      </c>
      <c r="U8" s="210" t="s">
        <v>0</v>
      </c>
      <c r="V8" s="210" t="s">
        <v>0</v>
      </c>
      <c r="W8" s="210" t="s">
        <v>0</v>
      </c>
      <c r="X8" s="210" t="s">
        <v>0</v>
      </c>
    </row>
    <row r="9" spans="1:24" ht="21" hidden="1" customHeight="1">
      <c r="A9" s="210" t="s">
        <v>0</v>
      </c>
      <c r="B9" s="392"/>
      <c r="C9" s="202">
        <v>4</v>
      </c>
      <c r="E9" s="203" t="e">
        <f>#REF!</f>
        <v>#REF!</v>
      </c>
      <c r="F9" s="204" t="e">
        <f>#REF!</f>
        <v>#REF!</v>
      </c>
      <c r="G9" s="203" t="e">
        <f>#REF!</f>
        <v>#REF!</v>
      </c>
      <c r="H9" s="204" t="e">
        <f>#REF!</f>
        <v>#REF!</v>
      </c>
      <c r="I9" s="209" t="e">
        <f>#REF!</f>
        <v>#REF!</v>
      </c>
      <c r="J9" s="149" t="e">
        <f>#REF!</f>
        <v>#REF!</v>
      </c>
      <c r="K9" s="195"/>
      <c r="L9" s="210" t="s">
        <v>0</v>
      </c>
      <c r="M9" s="210" t="s">
        <v>0</v>
      </c>
      <c r="N9" s="210" t="s">
        <v>0</v>
      </c>
      <c r="O9" s="210" t="s">
        <v>0</v>
      </c>
      <c r="P9" s="210" t="s">
        <v>0</v>
      </c>
      <c r="Q9" s="210" t="s">
        <v>0</v>
      </c>
      <c r="R9" s="210" t="s">
        <v>0</v>
      </c>
      <c r="S9" s="210" t="s">
        <v>0</v>
      </c>
      <c r="T9" s="210" t="s">
        <v>0</v>
      </c>
      <c r="U9" s="210" t="s">
        <v>0</v>
      </c>
      <c r="V9" s="210" t="s">
        <v>0</v>
      </c>
      <c r="W9" s="210" t="s">
        <v>0</v>
      </c>
      <c r="X9" s="210" t="s">
        <v>0</v>
      </c>
    </row>
    <row r="10" spans="1:24" ht="21" hidden="1" customHeight="1">
      <c r="A10" s="210" t="s">
        <v>0</v>
      </c>
      <c r="B10" s="392"/>
      <c r="C10" s="198">
        <v>5</v>
      </c>
      <c r="D10" t="s">
        <v>13</v>
      </c>
      <c r="E10" s="200" t="e">
        <f>#REF!</f>
        <v>#REF!</v>
      </c>
      <c r="F10" s="201" t="e">
        <f>#REF!</f>
        <v>#REF!</v>
      </c>
      <c r="G10" s="200" t="e">
        <f>#REF!</f>
        <v>#REF!</v>
      </c>
      <c r="H10" s="201" t="e">
        <f>#REF!</f>
        <v>#REF!</v>
      </c>
      <c r="I10" s="208" t="e">
        <f>#REF!</f>
        <v>#REF!</v>
      </c>
      <c r="J10" s="149" t="e">
        <f>#REF!</f>
        <v>#REF!</v>
      </c>
      <c r="K10" s="195"/>
      <c r="L10" s="210" t="s">
        <v>0</v>
      </c>
      <c r="M10" s="210" t="s">
        <v>0</v>
      </c>
      <c r="N10" s="210" t="s">
        <v>0</v>
      </c>
      <c r="O10" s="210" t="s">
        <v>0</v>
      </c>
      <c r="P10" s="210" t="s">
        <v>0</v>
      </c>
      <c r="Q10" s="210" t="s">
        <v>0</v>
      </c>
      <c r="R10" s="210" t="s">
        <v>0</v>
      </c>
      <c r="S10" s="210" t="s">
        <v>0</v>
      </c>
      <c r="T10" s="210" t="s">
        <v>0</v>
      </c>
      <c r="U10" s="210" t="s">
        <v>0</v>
      </c>
      <c r="V10" s="210" t="s">
        <v>0</v>
      </c>
      <c r="W10" s="210" t="s">
        <v>0</v>
      </c>
      <c r="X10" s="210" t="s">
        <v>0</v>
      </c>
    </row>
    <row r="11" spans="1:24" ht="21" hidden="1" customHeight="1">
      <c r="A11" s="210" t="s">
        <v>0</v>
      </c>
      <c r="B11" s="392"/>
      <c r="C11" s="202">
        <v>12</v>
      </c>
      <c r="E11" s="203" t="e">
        <f>#REF!</f>
        <v>#REF!</v>
      </c>
      <c r="F11" s="204" t="e">
        <f>#REF!</f>
        <v>#REF!</v>
      </c>
      <c r="G11" s="203" t="e">
        <f>#REF!</f>
        <v>#REF!</v>
      </c>
      <c r="H11" s="204" t="e">
        <f>#REF!</f>
        <v>#REF!</v>
      </c>
      <c r="I11" s="209" t="e">
        <f>#REF!</f>
        <v>#REF!</v>
      </c>
      <c r="J11" s="149" t="e">
        <f>#REF!</f>
        <v>#REF!</v>
      </c>
      <c r="K11" s="195"/>
      <c r="L11" s="210" t="s">
        <v>0</v>
      </c>
      <c r="M11" s="210" t="s">
        <v>0</v>
      </c>
      <c r="N11" s="210" t="s">
        <v>0</v>
      </c>
      <c r="O11" s="210" t="s">
        <v>0</v>
      </c>
      <c r="P11" s="210" t="s">
        <v>0</v>
      </c>
      <c r="Q11" s="210" t="s">
        <v>0</v>
      </c>
      <c r="R11" s="210" t="s">
        <v>0</v>
      </c>
      <c r="S11" s="210" t="s">
        <v>0</v>
      </c>
      <c r="T11" s="210" t="s">
        <v>0</v>
      </c>
      <c r="U11" s="210" t="s">
        <v>0</v>
      </c>
      <c r="V11" s="210" t="s">
        <v>0</v>
      </c>
      <c r="W11" s="210" t="s">
        <v>0</v>
      </c>
      <c r="X11" s="210" t="s">
        <v>0</v>
      </c>
    </row>
    <row r="12" spans="1:24" ht="21" hidden="1" customHeight="1">
      <c r="A12" s="210" t="s">
        <v>0</v>
      </c>
      <c r="B12" s="392"/>
      <c r="C12" s="198">
        <v>13</v>
      </c>
      <c r="E12" s="200" t="e">
        <f>#REF!</f>
        <v>#REF!</v>
      </c>
      <c r="F12" s="201" t="e">
        <f>#REF!</f>
        <v>#REF!</v>
      </c>
      <c r="G12" s="200" t="e">
        <f>#REF!</f>
        <v>#REF!</v>
      </c>
      <c r="H12" s="201" t="e">
        <f>#REF!</f>
        <v>#REF!</v>
      </c>
      <c r="I12" s="208" t="e">
        <f>#REF!</f>
        <v>#REF!</v>
      </c>
      <c r="J12" s="149" t="e">
        <f>#REF!</f>
        <v>#REF!</v>
      </c>
      <c r="K12" s="195"/>
      <c r="L12" s="210" t="s">
        <v>0</v>
      </c>
      <c r="M12" s="210" t="s">
        <v>0</v>
      </c>
      <c r="N12" s="210" t="s">
        <v>0</v>
      </c>
      <c r="O12" s="210" t="s">
        <v>0</v>
      </c>
      <c r="P12" s="210" t="s">
        <v>0</v>
      </c>
      <c r="Q12" s="210" t="s">
        <v>0</v>
      </c>
      <c r="R12" s="210" t="s">
        <v>0</v>
      </c>
      <c r="S12" s="210" t="s">
        <v>0</v>
      </c>
      <c r="T12" s="210" t="s">
        <v>0</v>
      </c>
      <c r="U12" s="210" t="s">
        <v>0</v>
      </c>
      <c r="V12" s="210" t="s">
        <v>0</v>
      </c>
      <c r="W12" s="210" t="s">
        <v>0</v>
      </c>
      <c r="X12" s="210" t="s">
        <v>0</v>
      </c>
    </row>
    <row r="13" spans="1:24" ht="21" hidden="1" customHeight="1">
      <c r="A13" s="210" t="s">
        <v>0</v>
      </c>
      <c r="B13" s="392"/>
      <c r="C13" s="202">
        <v>12</v>
      </c>
      <c r="D13" t="s">
        <v>14</v>
      </c>
      <c r="E13" s="203" t="e">
        <f>#REF!</f>
        <v>#REF!</v>
      </c>
      <c r="F13" s="204" t="e">
        <f>#REF!</f>
        <v>#REF!</v>
      </c>
      <c r="G13" s="203" t="e">
        <f>#REF!</f>
        <v>#REF!</v>
      </c>
      <c r="H13" s="204" t="e">
        <f>#REF!</f>
        <v>#REF!</v>
      </c>
      <c r="I13" s="209" t="e">
        <f>#REF!</f>
        <v>#REF!</v>
      </c>
      <c r="J13" s="149" t="e">
        <f>#REF!</f>
        <v>#REF!</v>
      </c>
      <c r="K13" s="195"/>
      <c r="L13" s="210" t="s">
        <v>0</v>
      </c>
      <c r="M13" s="210" t="s">
        <v>0</v>
      </c>
      <c r="N13" s="210" t="s">
        <v>0</v>
      </c>
      <c r="O13" s="210" t="s">
        <v>0</v>
      </c>
      <c r="P13" s="210" t="s">
        <v>0</v>
      </c>
      <c r="Q13" s="210" t="s">
        <v>0</v>
      </c>
      <c r="R13" s="210" t="s">
        <v>0</v>
      </c>
      <c r="S13" s="210" t="s">
        <v>0</v>
      </c>
      <c r="T13" s="210" t="s">
        <v>0</v>
      </c>
      <c r="U13" s="210" t="s">
        <v>0</v>
      </c>
      <c r="V13" s="210" t="s">
        <v>0</v>
      </c>
      <c r="W13" s="210" t="s">
        <v>0</v>
      </c>
      <c r="X13" s="210" t="s">
        <v>0</v>
      </c>
    </row>
    <row r="14" spans="1:24" ht="21" hidden="1" customHeight="1">
      <c r="A14" s="210" t="s">
        <v>0</v>
      </c>
      <c r="B14" s="392"/>
      <c r="C14" s="202">
        <v>18</v>
      </c>
      <c r="E14" s="203" t="e">
        <f>#REF!</f>
        <v>#REF!</v>
      </c>
      <c r="F14" s="204" t="e">
        <f>#REF!</f>
        <v>#REF!</v>
      </c>
      <c r="G14" s="203" t="e">
        <f>#REF!</f>
        <v>#REF!</v>
      </c>
      <c r="H14" s="204" t="e">
        <f>#REF!</f>
        <v>#REF!</v>
      </c>
      <c r="I14" s="209" t="e">
        <f>#REF!</f>
        <v>#REF!</v>
      </c>
      <c r="J14" s="149" t="e">
        <f>#REF!</f>
        <v>#REF!</v>
      </c>
      <c r="K14" s="195"/>
      <c r="L14" s="210" t="s">
        <v>0</v>
      </c>
      <c r="M14" s="210" t="s">
        <v>0</v>
      </c>
      <c r="N14" s="210" t="s">
        <v>0</v>
      </c>
      <c r="O14" s="210" t="s">
        <v>0</v>
      </c>
      <c r="P14" s="210" t="s">
        <v>0</v>
      </c>
      <c r="Q14" s="210" t="s">
        <v>0</v>
      </c>
      <c r="R14" s="210" t="s">
        <v>0</v>
      </c>
      <c r="S14" s="210" t="s">
        <v>0</v>
      </c>
      <c r="T14" s="210" t="s">
        <v>0</v>
      </c>
      <c r="U14" s="210" t="s">
        <v>0</v>
      </c>
      <c r="V14" s="210" t="s">
        <v>0</v>
      </c>
      <c r="W14" s="210" t="s">
        <v>0</v>
      </c>
      <c r="X14" s="210" t="s">
        <v>0</v>
      </c>
    </row>
    <row r="15" spans="1:24" ht="21" hidden="1" customHeight="1">
      <c r="A15" s="210" t="s">
        <v>0</v>
      </c>
      <c r="B15" s="392"/>
      <c r="C15" s="198">
        <v>19</v>
      </c>
      <c r="E15" s="200" t="e">
        <f>#REF!</f>
        <v>#REF!</v>
      </c>
      <c r="F15" s="201" t="e">
        <f>#REF!</f>
        <v>#REF!</v>
      </c>
      <c r="G15" s="200" t="e">
        <f>#REF!</f>
        <v>#REF!</v>
      </c>
      <c r="H15" s="201" t="e">
        <f>#REF!</f>
        <v>#REF!</v>
      </c>
      <c r="I15" s="208" t="e">
        <f>#REF!</f>
        <v>#REF!</v>
      </c>
      <c r="J15" s="149" t="e">
        <f>#REF!</f>
        <v>#REF!</v>
      </c>
      <c r="K15" s="195"/>
      <c r="L15" s="210" t="s">
        <v>0</v>
      </c>
      <c r="M15" s="210" t="s">
        <v>0</v>
      </c>
      <c r="N15" s="210" t="s">
        <v>0</v>
      </c>
      <c r="O15" s="210" t="s">
        <v>0</v>
      </c>
      <c r="P15" s="210" t="s">
        <v>0</v>
      </c>
      <c r="Q15" s="210" t="s">
        <v>0</v>
      </c>
      <c r="R15" s="210" t="s">
        <v>0</v>
      </c>
      <c r="S15" s="210" t="s">
        <v>0</v>
      </c>
      <c r="T15" s="210" t="s">
        <v>0</v>
      </c>
      <c r="U15" s="210" t="s">
        <v>0</v>
      </c>
      <c r="V15" s="210" t="s">
        <v>0</v>
      </c>
      <c r="W15" s="210" t="s">
        <v>0</v>
      </c>
      <c r="X15" s="210" t="s">
        <v>0</v>
      </c>
    </row>
    <row r="16" spans="1:24" ht="21" hidden="1" customHeight="1">
      <c r="A16" s="210" t="s">
        <v>0</v>
      </c>
      <c r="B16" s="393"/>
      <c r="C16" s="202">
        <v>18</v>
      </c>
      <c r="E16" s="203" t="e">
        <f>#REF!</f>
        <v>#REF!</v>
      </c>
      <c r="F16" s="204" t="e">
        <f>#REF!</f>
        <v>#REF!</v>
      </c>
      <c r="G16" s="203" t="e">
        <f>#REF!</f>
        <v>#REF!</v>
      </c>
      <c r="H16" s="204" t="e">
        <f>#REF!</f>
        <v>#REF!</v>
      </c>
      <c r="I16" s="209" t="e">
        <f>#REF!</f>
        <v>#REF!</v>
      </c>
      <c r="J16" s="149" t="e">
        <f>#REF!</f>
        <v>#REF!</v>
      </c>
      <c r="K16" s="195"/>
      <c r="L16" s="210" t="s">
        <v>0</v>
      </c>
      <c r="M16" s="210" t="s">
        <v>0</v>
      </c>
      <c r="N16" s="210" t="s">
        <v>0</v>
      </c>
      <c r="O16" s="210" t="s">
        <v>0</v>
      </c>
      <c r="P16" s="210" t="s">
        <v>0</v>
      </c>
      <c r="Q16" s="210" t="s">
        <v>0</v>
      </c>
      <c r="R16" s="210" t="s">
        <v>0</v>
      </c>
      <c r="S16" s="210" t="s">
        <v>0</v>
      </c>
      <c r="T16" s="210" t="s">
        <v>0</v>
      </c>
      <c r="U16" s="210" t="s">
        <v>0</v>
      </c>
      <c r="V16" s="210" t="s">
        <v>0</v>
      </c>
      <c r="W16" s="210" t="s">
        <v>0</v>
      </c>
      <c r="X16" s="210" t="s">
        <v>0</v>
      </c>
    </row>
    <row r="17" spans="1:24" ht="21" hidden="1" customHeight="1">
      <c r="A17" s="210" t="s">
        <v>0</v>
      </c>
      <c r="B17" s="393"/>
      <c r="C17" s="198">
        <v>19</v>
      </c>
      <c r="E17" s="200" t="e">
        <f>#REF!</f>
        <v>#REF!</v>
      </c>
      <c r="F17" s="201" t="e">
        <f>#REF!</f>
        <v>#REF!</v>
      </c>
      <c r="G17" s="200" t="e">
        <f>#REF!</f>
        <v>#REF!</v>
      </c>
      <c r="H17" s="201" t="e">
        <f>#REF!</f>
        <v>#REF!</v>
      </c>
      <c r="I17" s="208" t="e">
        <f>#REF!</f>
        <v>#REF!</v>
      </c>
      <c r="J17" s="149" t="e">
        <f>#REF!</f>
        <v>#REF!</v>
      </c>
      <c r="K17" s="195"/>
      <c r="L17" s="210" t="s">
        <v>0</v>
      </c>
      <c r="M17" s="210" t="s">
        <v>0</v>
      </c>
      <c r="N17" s="210" t="s">
        <v>0</v>
      </c>
      <c r="O17" s="210" t="s">
        <v>0</v>
      </c>
      <c r="P17" s="210" t="s">
        <v>0</v>
      </c>
      <c r="Q17" s="210" t="s">
        <v>0</v>
      </c>
      <c r="R17" s="210" t="s">
        <v>0</v>
      </c>
      <c r="S17" s="210" t="s">
        <v>0</v>
      </c>
      <c r="T17" s="210" t="s">
        <v>0</v>
      </c>
      <c r="U17" s="210" t="s">
        <v>0</v>
      </c>
      <c r="V17" s="210" t="s">
        <v>0</v>
      </c>
      <c r="W17" s="210" t="s">
        <v>0</v>
      </c>
      <c r="X17" s="210" t="s">
        <v>0</v>
      </c>
    </row>
    <row r="18" spans="1:24" ht="21" hidden="1" customHeight="1">
      <c r="A18" s="210" t="s">
        <v>0</v>
      </c>
      <c r="B18" s="394"/>
      <c r="C18" s="202">
        <v>20</v>
      </c>
      <c r="E18" s="203" t="e">
        <f>#REF!</f>
        <v>#REF!</v>
      </c>
      <c r="F18" s="204" t="e">
        <f>#REF!</f>
        <v>#REF!</v>
      </c>
      <c r="G18" s="203" t="e">
        <f>#REF!</f>
        <v>#REF!</v>
      </c>
      <c r="H18" s="204" t="e">
        <f>#REF!</f>
        <v>#REF!</v>
      </c>
      <c r="I18" s="209" t="e">
        <f>#REF!</f>
        <v>#REF!</v>
      </c>
      <c r="J18" s="149" t="e">
        <f>#REF!</f>
        <v>#REF!</v>
      </c>
      <c r="K18" s="195"/>
      <c r="L18" s="210" t="s">
        <v>0</v>
      </c>
      <c r="M18" s="210" t="s">
        <v>0</v>
      </c>
      <c r="N18" s="210" t="s">
        <v>0</v>
      </c>
      <c r="O18" s="210" t="s">
        <v>0</v>
      </c>
      <c r="P18" s="210" t="s">
        <v>0</v>
      </c>
      <c r="Q18" s="210" t="s">
        <v>0</v>
      </c>
      <c r="R18" s="210" t="s">
        <v>0</v>
      </c>
      <c r="S18" s="210" t="s">
        <v>0</v>
      </c>
      <c r="T18" s="210" t="s">
        <v>0</v>
      </c>
      <c r="U18" s="210" t="s">
        <v>0</v>
      </c>
      <c r="V18" s="210" t="s">
        <v>0</v>
      </c>
      <c r="W18" s="210" t="s">
        <v>0</v>
      </c>
      <c r="X18" s="210" t="s">
        <v>0</v>
      </c>
    </row>
    <row r="19" spans="1:24" ht="21" hidden="1" customHeight="1">
      <c r="A19" s="210" t="s">
        <v>0</v>
      </c>
      <c r="B19" s="394"/>
      <c r="C19" s="198">
        <v>21</v>
      </c>
      <c r="E19" s="200" t="e">
        <f>#REF!</f>
        <v>#REF!</v>
      </c>
      <c r="F19" s="201" t="e">
        <f>#REF!</f>
        <v>#REF!</v>
      </c>
      <c r="G19" s="200" t="e">
        <f>#REF!</f>
        <v>#REF!</v>
      </c>
      <c r="H19" s="201" t="e">
        <f>#REF!</f>
        <v>#REF!</v>
      </c>
      <c r="I19" s="208" t="e">
        <f>#REF!</f>
        <v>#REF!</v>
      </c>
      <c r="J19" s="149" t="e">
        <f>#REF!</f>
        <v>#REF!</v>
      </c>
      <c r="K19" s="195"/>
      <c r="L19" s="210" t="s">
        <v>0</v>
      </c>
      <c r="M19" s="210" t="s">
        <v>0</v>
      </c>
      <c r="N19" s="210" t="s">
        <v>0</v>
      </c>
      <c r="O19" s="210" t="s">
        <v>0</v>
      </c>
      <c r="P19" s="210" t="s">
        <v>0</v>
      </c>
      <c r="Q19" s="210" t="s">
        <v>0</v>
      </c>
      <c r="R19" s="210" t="s">
        <v>0</v>
      </c>
      <c r="S19" s="210" t="s">
        <v>0</v>
      </c>
      <c r="T19" s="210" t="s">
        <v>0</v>
      </c>
      <c r="U19" s="210" t="s">
        <v>0</v>
      </c>
      <c r="V19" s="210" t="s">
        <v>0</v>
      </c>
      <c r="W19" s="210" t="s">
        <v>0</v>
      </c>
      <c r="X19" s="210" t="s">
        <v>0</v>
      </c>
    </row>
    <row r="20" spans="1:24" ht="21" hidden="1" customHeight="1">
      <c r="A20" s="210" t="s">
        <v>0</v>
      </c>
      <c r="B20" s="205"/>
      <c r="C20" s="202">
        <v>22</v>
      </c>
      <c r="E20" s="203" t="e">
        <f>#REF!</f>
        <v>#REF!</v>
      </c>
      <c r="F20" s="204" t="e">
        <f>#REF!</f>
        <v>#REF!</v>
      </c>
      <c r="G20" s="203" t="e">
        <f>#REF!</f>
        <v>#REF!</v>
      </c>
      <c r="H20" s="204" t="e">
        <f>#REF!</f>
        <v>#REF!</v>
      </c>
      <c r="I20" s="209" t="e">
        <f>#REF!</f>
        <v>#REF!</v>
      </c>
      <c r="J20" s="149" t="e">
        <f>#REF!</f>
        <v>#REF!</v>
      </c>
      <c r="K20" s="195"/>
      <c r="L20" s="210" t="s">
        <v>0</v>
      </c>
      <c r="M20" s="210" t="s">
        <v>0</v>
      </c>
      <c r="N20" s="210" t="s">
        <v>0</v>
      </c>
      <c r="O20" s="210" t="s">
        <v>0</v>
      </c>
      <c r="P20" s="210" t="s">
        <v>0</v>
      </c>
      <c r="Q20" s="210" t="s">
        <v>0</v>
      </c>
      <c r="R20" s="210" t="s">
        <v>0</v>
      </c>
      <c r="S20" s="210" t="s">
        <v>0</v>
      </c>
      <c r="T20" s="210" t="s">
        <v>0</v>
      </c>
      <c r="U20" s="210" t="s">
        <v>0</v>
      </c>
      <c r="V20" s="210" t="s">
        <v>0</v>
      </c>
      <c r="W20" s="210" t="s">
        <v>0</v>
      </c>
      <c r="X20" s="210" t="s">
        <v>0</v>
      </c>
    </row>
    <row r="21" spans="1:24" ht="21" hidden="1" customHeight="1">
      <c r="A21" s="210" t="s">
        <v>0</v>
      </c>
      <c r="B21" s="395" t="s">
        <v>0</v>
      </c>
      <c r="C21" s="198">
        <v>23</v>
      </c>
      <c r="E21" s="200" t="e">
        <f>#REF!</f>
        <v>#REF!</v>
      </c>
      <c r="F21" s="201" t="e">
        <f>#REF!</f>
        <v>#REF!</v>
      </c>
      <c r="G21" s="200" t="e">
        <f>#REF!</f>
        <v>#REF!</v>
      </c>
      <c r="H21" s="201" t="e">
        <f>#REF!</f>
        <v>#REF!</v>
      </c>
      <c r="I21" s="208" t="e">
        <f>#REF!</f>
        <v>#REF!</v>
      </c>
      <c r="J21" s="149" t="e">
        <f>#REF!</f>
        <v>#REF!</v>
      </c>
      <c r="K21" s="195"/>
      <c r="L21" s="210" t="s">
        <v>0</v>
      </c>
      <c r="M21" s="210" t="s">
        <v>0</v>
      </c>
      <c r="N21" s="210" t="s">
        <v>0</v>
      </c>
      <c r="O21" s="210" t="s">
        <v>0</v>
      </c>
      <c r="P21" s="210" t="s">
        <v>0</v>
      </c>
      <c r="Q21" s="210" t="s">
        <v>0</v>
      </c>
      <c r="R21" s="210" t="s">
        <v>0</v>
      </c>
      <c r="S21" s="210" t="s">
        <v>0</v>
      </c>
      <c r="T21" s="210" t="s">
        <v>0</v>
      </c>
      <c r="U21" s="210" t="s">
        <v>0</v>
      </c>
      <c r="V21" s="210" t="s">
        <v>0</v>
      </c>
      <c r="W21" s="210" t="s">
        <v>0</v>
      </c>
      <c r="X21" s="210" t="s">
        <v>0</v>
      </c>
    </row>
    <row r="22" spans="1:24" ht="21" hidden="1" customHeight="1">
      <c r="A22" s="210" t="s">
        <v>0</v>
      </c>
      <c r="B22" s="396"/>
      <c r="C22" s="202">
        <v>24</v>
      </c>
      <c r="E22" s="203" t="e">
        <f>#REF!</f>
        <v>#REF!</v>
      </c>
      <c r="F22" s="204" t="e">
        <f>#REF!</f>
        <v>#REF!</v>
      </c>
      <c r="G22" s="203" t="e">
        <f>#REF!</f>
        <v>#REF!</v>
      </c>
      <c r="H22" s="204" t="e">
        <f>#REF!</f>
        <v>#REF!</v>
      </c>
      <c r="I22" s="209" t="e">
        <f>#REF!</f>
        <v>#REF!</v>
      </c>
      <c r="J22" s="149" t="e">
        <f>#REF!</f>
        <v>#REF!</v>
      </c>
      <c r="K22" s="195"/>
      <c r="L22" s="210" t="s">
        <v>0</v>
      </c>
      <c r="M22" s="210" t="s">
        <v>0</v>
      </c>
      <c r="N22" s="210" t="s">
        <v>0</v>
      </c>
      <c r="O22" s="210" t="s">
        <v>0</v>
      </c>
      <c r="P22" s="210" t="s">
        <v>0</v>
      </c>
      <c r="Q22" s="210" t="s">
        <v>0</v>
      </c>
      <c r="R22" s="210" t="s">
        <v>0</v>
      </c>
      <c r="S22" s="210" t="s">
        <v>0</v>
      </c>
      <c r="T22" s="210" t="s">
        <v>0</v>
      </c>
      <c r="U22" s="210" t="s">
        <v>0</v>
      </c>
      <c r="V22" s="210" t="s">
        <v>0</v>
      </c>
      <c r="W22" s="210" t="s">
        <v>0</v>
      </c>
      <c r="X22" s="210" t="s">
        <v>0</v>
      </c>
    </row>
    <row r="23" spans="1:24" ht="21" hidden="1" customHeight="1">
      <c r="A23" s="210" t="s">
        <v>0</v>
      </c>
      <c r="B23" s="396"/>
      <c r="C23" s="198">
        <v>25</v>
      </c>
      <c r="E23" s="200" t="e">
        <f>#REF!</f>
        <v>#REF!</v>
      </c>
      <c r="F23" s="201" t="e">
        <f>#REF!</f>
        <v>#REF!</v>
      </c>
      <c r="G23" s="200" t="e">
        <f>#REF!</f>
        <v>#REF!</v>
      </c>
      <c r="H23" s="201" t="e">
        <f>#REF!</f>
        <v>#REF!</v>
      </c>
      <c r="I23" s="208" t="e">
        <f>#REF!</f>
        <v>#REF!</v>
      </c>
      <c r="J23" s="149" t="e">
        <f>#REF!</f>
        <v>#REF!</v>
      </c>
      <c r="K23" s="195"/>
      <c r="L23" s="210" t="s">
        <v>0</v>
      </c>
      <c r="M23" s="210" t="s">
        <v>0</v>
      </c>
      <c r="N23" s="210" t="s">
        <v>0</v>
      </c>
      <c r="O23" s="210" t="s">
        <v>0</v>
      </c>
      <c r="P23" s="210" t="s">
        <v>0</v>
      </c>
      <c r="Q23" s="210" t="s">
        <v>0</v>
      </c>
      <c r="R23" s="210" t="s">
        <v>0</v>
      </c>
      <c r="S23" s="210" t="s">
        <v>0</v>
      </c>
      <c r="T23" s="210" t="s">
        <v>0</v>
      </c>
      <c r="U23" s="210" t="s">
        <v>0</v>
      </c>
      <c r="V23" s="210" t="s">
        <v>0</v>
      </c>
      <c r="W23" s="210" t="s">
        <v>0</v>
      </c>
      <c r="X23" s="210" t="s">
        <v>0</v>
      </c>
    </row>
    <row r="24" spans="1:24" ht="21" hidden="1" customHeight="1">
      <c r="A24" s="210" t="s">
        <v>0</v>
      </c>
      <c r="B24" s="396"/>
      <c r="C24" s="202">
        <v>26</v>
      </c>
      <c r="E24" s="203" t="e">
        <f>#REF!</f>
        <v>#REF!</v>
      </c>
      <c r="F24" s="204" t="e">
        <f>#REF!</f>
        <v>#REF!</v>
      </c>
      <c r="G24" s="203" t="e">
        <f>#REF!</f>
        <v>#REF!</v>
      </c>
      <c r="H24" s="204" t="e">
        <f>#REF!</f>
        <v>#REF!</v>
      </c>
      <c r="I24" s="209" t="e">
        <f>#REF!</f>
        <v>#REF!</v>
      </c>
      <c r="J24" s="149" t="e">
        <f>#REF!</f>
        <v>#REF!</v>
      </c>
      <c r="K24" s="195"/>
      <c r="L24" s="210" t="s">
        <v>0</v>
      </c>
      <c r="M24" s="210" t="s">
        <v>0</v>
      </c>
      <c r="N24" s="210" t="s">
        <v>0</v>
      </c>
      <c r="O24" s="210" t="s">
        <v>0</v>
      </c>
      <c r="P24" s="210" t="s">
        <v>0</v>
      </c>
      <c r="Q24" s="210" t="s">
        <v>0</v>
      </c>
      <c r="R24" s="210" t="s">
        <v>0</v>
      </c>
      <c r="S24" s="210" t="s">
        <v>0</v>
      </c>
      <c r="T24" s="210" t="s">
        <v>0</v>
      </c>
      <c r="U24" s="210" t="s">
        <v>0</v>
      </c>
      <c r="V24" s="210" t="s">
        <v>0</v>
      </c>
      <c r="W24" s="210" t="s">
        <v>0</v>
      </c>
      <c r="X24" s="210" t="s">
        <v>0</v>
      </c>
    </row>
    <row r="25" spans="1:24">
      <c r="A25" s="195"/>
      <c r="B25" s="195"/>
      <c r="C25" s="195"/>
      <c r="D25" s="210" t="s">
        <v>0</v>
      </c>
      <c r="E25" s="210" t="s">
        <v>0</v>
      </c>
      <c r="F25" s="210" t="s">
        <v>0</v>
      </c>
      <c r="G25" s="210" t="s">
        <v>0</v>
      </c>
      <c r="H25" s="210" t="s">
        <v>0</v>
      </c>
      <c r="I25" s="210" t="s">
        <v>0</v>
      </c>
      <c r="J25" s="210" t="s">
        <v>0</v>
      </c>
      <c r="K25" s="195"/>
      <c r="L25" s="210" t="s">
        <v>0</v>
      </c>
      <c r="M25" s="210" t="s">
        <v>0</v>
      </c>
      <c r="N25" s="210" t="s">
        <v>0</v>
      </c>
      <c r="O25" s="210" t="s">
        <v>0</v>
      </c>
      <c r="P25" s="210" t="s">
        <v>0</v>
      </c>
      <c r="Q25" s="210" t="s">
        <v>0</v>
      </c>
      <c r="R25" s="210" t="s">
        <v>0</v>
      </c>
      <c r="S25" s="210" t="s">
        <v>0</v>
      </c>
      <c r="T25" s="210" t="s">
        <v>0</v>
      </c>
      <c r="U25" s="210" t="s">
        <v>0</v>
      </c>
      <c r="V25" s="210" t="s">
        <v>0</v>
      </c>
      <c r="W25" s="210" t="s">
        <v>0</v>
      </c>
      <c r="X25" s="210" t="s">
        <v>0</v>
      </c>
    </row>
    <row r="26" spans="1:24">
      <c r="A26" s="195"/>
      <c r="B26" s="195"/>
      <c r="C26" s="195"/>
      <c r="D26" s="210" t="s">
        <v>0</v>
      </c>
      <c r="E26" s="210" t="s">
        <v>0</v>
      </c>
      <c r="F26" s="210" t="s">
        <v>0</v>
      </c>
      <c r="G26" s="210" t="s">
        <v>0</v>
      </c>
      <c r="H26" s="210" t="s">
        <v>0</v>
      </c>
      <c r="I26" s="210" t="s">
        <v>0</v>
      </c>
      <c r="J26" s="210" t="s">
        <v>0</v>
      </c>
      <c r="K26" s="195"/>
      <c r="L26" s="210" t="s">
        <v>0</v>
      </c>
      <c r="M26" s="210" t="s">
        <v>0</v>
      </c>
      <c r="N26" s="210" t="s">
        <v>0</v>
      </c>
      <c r="O26" s="210" t="s">
        <v>0</v>
      </c>
      <c r="P26" s="210" t="s">
        <v>0</v>
      </c>
      <c r="Q26" s="210" t="s">
        <v>0</v>
      </c>
      <c r="R26" s="210" t="s">
        <v>0</v>
      </c>
      <c r="S26" s="210" t="s">
        <v>0</v>
      </c>
      <c r="T26" s="210" t="s">
        <v>0</v>
      </c>
      <c r="U26" s="210" t="s">
        <v>0</v>
      </c>
      <c r="V26" s="210" t="s">
        <v>0</v>
      </c>
      <c r="W26" s="210" t="s">
        <v>0</v>
      </c>
      <c r="X26" s="210" t="s">
        <v>0</v>
      </c>
    </row>
    <row r="27" spans="1:24">
      <c r="A27" s="195"/>
      <c r="B27" s="195"/>
      <c r="C27" s="195"/>
      <c r="D27" s="210" t="s">
        <v>0</v>
      </c>
      <c r="E27" s="210" t="s">
        <v>0</v>
      </c>
      <c r="F27" s="210" t="s">
        <v>0</v>
      </c>
      <c r="G27" s="210" t="s">
        <v>0</v>
      </c>
      <c r="H27" s="210" t="s">
        <v>0</v>
      </c>
      <c r="I27" s="210" t="s">
        <v>0</v>
      </c>
      <c r="J27" s="210" t="s">
        <v>0</v>
      </c>
      <c r="K27" s="195"/>
      <c r="L27" s="210" t="s">
        <v>0</v>
      </c>
      <c r="M27" s="210" t="s">
        <v>0</v>
      </c>
      <c r="N27" s="210" t="s">
        <v>0</v>
      </c>
      <c r="O27" s="210" t="s">
        <v>0</v>
      </c>
      <c r="P27" s="210" t="s">
        <v>0</v>
      </c>
      <c r="Q27" s="210" t="s">
        <v>0</v>
      </c>
      <c r="R27" s="210" t="s">
        <v>0</v>
      </c>
      <c r="S27" s="210" t="s">
        <v>0</v>
      </c>
      <c r="T27" s="210" t="s">
        <v>0</v>
      </c>
      <c r="U27" s="210" t="s">
        <v>0</v>
      </c>
      <c r="V27" s="210" t="s">
        <v>0</v>
      </c>
      <c r="W27" s="210" t="s">
        <v>0</v>
      </c>
      <c r="X27" s="210" t="s">
        <v>0</v>
      </c>
    </row>
    <row r="28" spans="1:24">
      <c r="A28" s="195"/>
      <c r="B28" s="195"/>
      <c r="C28" s="195"/>
      <c r="D28" s="210" t="s">
        <v>0</v>
      </c>
      <c r="E28" s="210" t="s">
        <v>0</v>
      </c>
      <c r="F28" s="210" t="s">
        <v>0</v>
      </c>
      <c r="G28" s="210" t="s">
        <v>0</v>
      </c>
      <c r="H28" s="210" t="s">
        <v>0</v>
      </c>
      <c r="I28" s="210" t="s">
        <v>0</v>
      </c>
      <c r="J28" s="210" t="s">
        <v>0</v>
      </c>
      <c r="K28" s="195"/>
      <c r="L28" s="210" t="s">
        <v>0</v>
      </c>
      <c r="M28" s="210" t="s">
        <v>0</v>
      </c>
      <c r="N28" s="210" t="s">
        <v>0</v>
      </c>
      <c r="O28" s="210" t="s">
        <v>0</v>
      </c>
      <c r="P28" s="210" t="s">
        <v>0</v>
      </c>
      <c r="Q28" s="210" t="s">
        <v>0</v>
      </c>
      <c r="R28" s="210" t="s">
        <v>0</v>
      </c>
      <c r="S28" s="210" t="s">
        <v>0</v>
      </c>
      <c r="T28" s="210" t="s">
        <v>0</v>
      </c>
      <c r="U28" s="210" t="s">
        <v>0</v>
      </c>
      <c r="V28" s="210" t="s">
        <v>0</v>
      </c>
      <c r="W28" s="210" t="s">
        <v>0</v>
      </c>
      <c r="X28" s="210" t="s">
        <v>0</v>
      </c>
    </row>
    <row r="29" spans="1:24">
      <c r="A29" s="195"/>
      <c r="B29" s="195"/>
      <c r="C29" s="195"/>
      <c r="D29" s="210" t="s">
        <v>0</v>
      </c>
      <c r="E29" s="210" t="s">
        <v>0</v>
      </c>
      <c r="F29" s="210" t="s">
        <v>0</v>
      </c>
      <c r="G29" s="210" t="s">
        <v>0</v>
      </c>
      <c r="H29" s="210" t="s">
        <v>0</v>
      </c>
      <c r="I29" s="210" t="s">
        <v>0</v>
      </c>
      <c r="J29" s="210" t="s">
        <v>0</v>
      </c>
      <c r="K29" s="195"/>
      <c r="L29" s="210" t="s">
        <v>0</v>
      </c>
      <c r="M29" s="210" t="s">
        <v>0</v>
      </c>
      <c r="N29" s="210" t="s">
        <v>0</v>
      </c>
      <c r="O29" s="210" t="s">
        <v>0</v>
      </c>
      <c r="P29" s="210" t="s">
        <v>0</v>
      </c>
      <c r="Q29" s="210" t="s">
        <v>0</v>
      </c>
      <c r="R29" s="210" t="s">
        <v>0</v>
      </c>
      <c r="S29" s="210" t="s">
        <v>0</v>
      </c>
      <c r="T29" s="210" t="s">
        <v>0</v>
      </c>
      <c r="U29" s="210" t="s">
        <v>0</v>
      </c>
      <c r="V29" s="210" t="s">
        <v>0</v>
      </c>
      <c r="W29" s="210" t="s">
        <v>0</v>
      </c>
      <c r="X29" s="210" t="s">
        <v>0</v>
      </c>
    </row>
    <row r="30" spans="1:24">
      <c r="A30" s="195"/>
      <c r="B30" s="195"/>
      <c r="C30" s="195"/>
      <c r="D30" s="210" t="s">
        <v>0</v>
      </c>
      <c r="E30" s="210" t="s">
        <v>0</v>
      </c>
      <c r="F30" s="210" t="s">
        <v>0</v>
      </c>
      <c r="G30" s="210" t="s">
        <v>0</v>
      </c>
      <c r="H30" s="210" t="s">
        <v>0</v>
      </c>
      <c r="I30" s="210" t="s">
        <v>0</v>
      </c>
      <c r="J30" s="210" t="s">
        <v>0</v>
      </c>
      <c r="K30" s="195"/>
      <c r="L30" s="210" t="s">
        <v>0</v>
      </c>
      <c r="M30" s="210" t="s">
        <v>0</v>
      </c>
      <c r="N30" s="210" t="s">
        <v>0</v>
      </c>
      <c r="O30" s="210" t="s">
        <v>0</v>
      </c>
      <c r="P30" s="210" t="s">
        <v>0</v>
      </c>
      <c r="Q30" s="210" t="s">
        <v>0</v>
      </c>
      <c r="R30" s="210" t="s">
        <v>0</v>
      </c>
      <c r="S30" s="210" t="s">
        <v>0</v>
      </c>
      <c r="T30" s="210" t="s">
        <v>0</v>
      </c>
      <c r="U30" s="210" t="s">
        <v>0</v>
      </c>
      <c r="V30" s="210" t="s">
        <v>0</v>
      </c>
      <c r="W30" s="210" t="s">
        <v>0</v>
      </c>
      <c r="X30" s="210" t="s">
        <v>0</v>
      </c>
    </row>
    <row r="31" spans="1:24">
      <c r="A31" s="195"/>
      <c r="B31" s="195"/>
      <c r="C31" s="195"/>
      <c r="D31" s="210" t="s">
        <v>0</v>
      </c>
      <c r="E31" s="210" t="s">
        <v>0</v>
      </c>
      <c r="F31" s="210" t="s">
        <v>0</v>
      </c>
      <c r="G31" s="210" t="s">
        <v>0</v>
      </c>
      <c r="H31" s="210" t="s">
        <v>0</v>
      </c>
      <c r="I31" s="210" t="s">
        <v>0</v>
      </c>
      <c r="J31" s="210" t="s">
        <v>0</v>
      </c>
      <c r="K31" s="195"/>
      <c r="L31" s="210" t="s">
        <v>0</v>
      </c>
      <c r="M31" s="210" t="s">
        <v>0</v>
      </c>
      <c r="N31" s="210" t="s">
        <v>0</v>
      </c>
      <c r="O31" s="210" t="s">
        <v>0</v>
      </c>
      <c r="P31" s="210" t="s">
        <v>0</v>
      </c>
      <c r="Q31" s="210" t="s">
        <v>0</v>
      </c>
      <c r="R31" s="210" t="s">
        <v>0</v>
      </c>
      <c r="S31" s="210" t="s">
        <v>0</v>
      </c>
      <c r="T31" s="210" t="s">
        <v>0</v>
      </c>
      <c r="U31" s="210" t="s">
        <v>0</v>
      </c>
      <c r="V31" s="210" t="s">
        <v>0</v>
      </c>
      <c r="W31" s="210" t="s">
        <v>0</v>
      </c>
      <c r="X31" s="210" t="s">
        <v>0</v>
      </c>
    </row>
    <row r="32" spans="1:24">
      <c r="A32" s="195"/>
      <c r="B32" s="195"/>
      <c r="C32" s="195"/>
      <c r="D32" s="210" t="s">
        <v>0</v>
      </c>
      <c r="E32" s="210" t="s">
        <v>0</v>
      </c>
      <c r="F32" s="210" t="s">
        <v>0</v>
      </c>
      <c r="G32" s="210" t="s">
        <v>0</v>
      </c>
      <c r="H32" s="210" t="s">
        <v>0</v>
      </c>
      <c r="I32" s="210" t="s">
        <v>0</v>
      </c>
      <c r="J32" s="210" t="s">
        <v>0</v>
      </c>
      <c r="K32" s="195"/>
      <c r="L32" s="210" t="s">
        <v>0</v>
      </c>
      <c r="M32" s="210" t="s">
        <v>0</v>
      </c>
      <c r="N32" s="210" t="s">
        <v>0</v>
      </c>
      <c r="O32" s="210" t="s">
        <v>0</v>
      </c>
      <c r="P32" s="210" t="s">
        <v>0</v>
      </c>
      <c r="Q32" s="210" t="s">
        <v>0</v>
      </c>
      <c r="R32" s="210" t="s">
        <v>0</v>
      </c>
      <c r="S32" s="210" t="s">
        <v>0</v>
      </c>
      <c r="T32" s="210" t="s">
        <v>0</v>
      </c>
      <c r="U32" s="210" t="s">
        <v>0</v>
      </c>
      <c r="V32" s="210" t="s">
        <v>0</v>
      </c>
      <c r="W32" s="210" t="s">
        <v>0</v>
      </c>
      <c r="X32" s="210" t="s">
        <v>0</v>
      </c>
    </row>
    <row r="33" spans="1:24">
      <c r="A33" s="195"/>
      <c r="B33" s="195"/>
      <c r="C33" s="195"/>
      <c r="D33" s="210" t="s">
        <v>0</v>
      </c>
      <c r="E33" s="210" t="s">
        <v>0</v>
      </c>
      <c r="F33" s="210" t="s">
        <v>0</v>
      </c>
      <c r="G33" s="210" t="s">
        <v>0</v>
      </c>
      <c r="H33" s="210" t="s">
        <v>0</v>
      </c>
      <c r="I33" s="210" t="s">
        <v>0</v>
      </c>
      <c r="J33" s="210" t="s">
        <v>0</v>
      </c>
      <c r="K33" s="195"/>
      <c r="L33" s="210" t="s">
        <v>0</v>
      </c>
      <c r="M33" s="210" t="s">
        <v>0</v>
      </c>
      <c r="N33" s="210" t="s">
        <v>0</v>
      </c>
      <c r="O33" s="210" t="s">
        <v>0</v>
      </c>
      <c r="P33" s="210" t="s">
        <v>0</v>
      </c>
      <c r="Q33" s="210" t="s">
        <v>0</v>
      </c>
      <c r="R33" s="210" t="s">
        <v>0</v>
      </c>
      <c r="S33" s="210" t="s">
        <v>0</v>
      </c>
      <c r="T33" s="210" t="s">
        <v>0</v>
      </c>
      <c r="U33" s="210" t="s">
        <v>0</v>
      </c>
      <c r="V33" s="210" t="s">
        <v>0</v>
      </c>
      <c r="W33" s="210" t="s">
        <v>0</v>
      </c>
      <c r="X33" s="210" t="s">
        <v>0</v>
      </c>
    </row>
    <row r="34" spans="1:24">
      <c r="A34" s="195"/>
      <c r="B34" s="195"/>
      <c r="C34" s="195"/>
      <c r="D34" s="210" t="s">
        <v>0</v>
      </c>
      <c r="E34" s="210" t="s">
        <v>0</v>
      </c>
      <c r="F34" s="210" t="s">
        <v>0</v>
      </c>
      <c r="G34" s="210" t="s">
        <v>0</v>
      </c>
      <c r="H34" s="210" t="s">
        <v>0</v>
      </c>
      <c r="I34" s="210" t="s">
        <v>0</v>
      </c>
      <c r="J34" s="210" t="s">
        <v>0</v>
      </c>
      <c r="K34" s="195"/>
      <c r="L34" s="210" t="s">
        <v>0</v>
      </c>
      <c r="M34" s="210" t="s">
        <v>0</v>
      </c>
      <c r="N34" s="210" t="s">
        <v>0</v>
      </c>
      <c r="O34" s="210" t="s">
        <v>0</v>
      </c>
      <c r="P34" s="210" t="s">
        <v>0</v>
      </c>
      <c r="Q34" s="210" t="s">
        <v>0</v>
      </c>
      <c r="R34" s="210" t="s">
        <v>0</v>
      </c>
      <c r="S34" s="210" t="s">
        <v>0</v>
      </c>
      <c r="T34" s="210" t="s">
        <v>0</v>
      </c>
      <c r="U34" s="210" t="s">
        <v>0</v>
      </c>
      <c r="V34" s="210" t="s">
        <v>0</v>
      </c>
      <c r="W34" s="210" t="s">
        <v>0</v>
      </c>
      <c r="X34" s="210" t="s">
        <v>0</v>
      </c>
    </row>
    <row r="35" spans="1:24">
      <c r="A35" s="195"/>
      <c r="B35" s="195"/>
      <c r="C35" s="195"/>
      <c r="D35" s="210" t="s">
        <v>0</v>
      </c>
      <c r="E35" s="210" t="s">
        <v>0</v>
      </c>
      <c r="F35" s="210" t="s">
        <v>0</v>
      </c>
      <c r="G35" s="210" t="s">
        <v>0</v>
      </c>
      <c r="H35" s="210" t="s">
        <v>0</v>
      </c>
      <c r="I35" s="210" t="s">
        <v>0</v>
      </c>
      <c r="J35" s="210" t="s">
        <v>0</v>
      </c>
      <c r="K35" s="195"/>
      <c r="L35" s="210" t="s">
        <v>0</v>
      </c>
      <c r="M35" s="210" t="s">
        <v>0</v>
      </c>
      <c r="N35" s="210" t="s">
        <v>0</v>
      </c>
      <c r="O35" s="210" t="s">
        <v>0</v>
      </c>
      <c r="P35" s="210" t="s">
        <v>0</v>
      </c>
      <c r="Q35" s="210" t="s">
        <v>0</v>
      </c>
      <c r="R35" s="210" t="s">
        <v>0</v>
      </c>
      <c r="S35" s="210" t="s">
        <v>0</v>
      </c>
      <c r="T35" s="210" t="s">
        <v>0</v>
      </c>
      <c r="U35" s="210" t="s">
        <v>0</v>
      </c>
      <c r="V35" s="210" t="s">
        <v>0</v>
      </c>
      <c r="W35" s="210" t="s">
        <v>0</v>
      </c>
      <c r="X35" s="210" t="s">
        <v>0</v>
      </c>
    </row>
    <row r="36" spans="1:24">
      <c r="A36" s="195"/>
      <c r="B36" s="195"/>
      <c r="C36" s="195"/>
      <c r="D36" s="210" t="s">
        <v>0</v>
      </c>
      <c r="E36" s="210" t="s">
        <v>0</v>
      </c>
      <c r="F36" s="210" t="s">
        <v>0</v>
      </c>
      <c r="G36" s="210" t="s">
        <v>0</v>
      </c>
      <c r="H36" s="210" t="s">
        <v>0</v>
      </c>
      <c r="I36" s="210" t="s">
        <v>0</v>
      </c>
      <c r="J36" s="210" t="s">
        <v>0</v>
      </c>
      <c r="K36" s="195"/>
      <c r="L36" s="210" t="s">
        <v>0</v>
      </c>
      <c r="M36" s="210" t="s">
        <v>0</v>
      </c>
      <c r="N36" s="210" t="s">
        <v>0</v>
      </c>
      <c r="O36" s="210" t="s">
        <v>0</v>
      </c>
      <c r="P36" s="210" t="s">
        <v>0</v>
      </c>
      <c r="Q36" s="210" t="s">
        <v>0</v>
      </c>
      <c r="R36" s="210" t="s">
        <v>0</v>
      </c>
      <c r="S36" s="210" t="s">
        <v>0</v>
      </c>
      <c r="T36" s="210" t="s">
        <v>0</v>
      </c>
      <c r="U36" s="210" t="s">
        <v>0</v>
      </c>
      <c r="V36" s="210" t="s">
        <v>0</v>
      </c>
      <c r="W36" s="210" t="s">
        <v>0</v>
      </c>
      <c r="X36" s="210" t="s">
        <v>0</v>
      </c>
    </row>
    <row r="37" spans="1:24">
      <c r="A37" s="195"/>
      <c r="B37" s="195"/>
      <c r="C37" s="195"/>
      <c r="D37" s="210" t="s">
        <v>0</v>
      </c>
      <c r="E37" s="210" t="s">
        <v>0</v>
      </c>
      <c r="F37" s="210" t="s">
        <v>0</v>
      </c>
      <c r="G37" s="210" t="s">
        <v>0</v>
      </c>
      <c r="H37" s="210" t="s">
        <v>0</v>
      </c>
      <c r="I37" s="210" t="s">
        <v>0</v>
      </c>
      <c r="J37" s="210" t="s">
        <v>0</v>
      </c>
      <c r="K37" s="195"/>
      <c r="L37" s="210" t="s">
        <v>0</v>
      </c>
      <c r="M37" s="210" t="s">
        <v>0</v>
      </c>
      <c r="N37" s="210" t="s">
        <v>0</v>
      </c>
      <c r="O37" s="210" t="s">
        <v>0</v>
      </c>
      <c r="P37" s="210" t="s">
        <v>0</v>
      </c>
      <c r="Q37" s="210" t="s">
        <v>0</v>
      </c>
      <c r="R37" s="210" t="s">
        <v>0</v>
      </c>
      <c r="S37" s="210" t="s">
        <v>0</v>
      </c>
      <c r="T37" s="210" t="s">
        <v>0</v>
      </c>
      <c r="U37" s="210" t="s">
        <v>0</v>
      </c>
      <c r="V37" s="210" t="s">
        <v>0</v>
      </c>
      <c r="W37" s="210" t="s">
        <v>0</v>
      </c>
      <c r="X37" s="210" t="s">
        <v>0</v>
      </c>
    </row>
    <row r="38" spans="1:24">
      <c r="A38" s="195"/>
      <c r="B38" s="195"/>
      <c r="C38" s="195"/>
      <c r="D38" s="210" t="s">
        <v>0</v>
      </c>
      <c r="E38" s="210" t="s">
        <v>0</v>
      </c>
      <c r="F38" s="210" t="s">
        <v>0</v>
      </c>
      <c r="G38" s="210" t="s">
        <v>0</v>
      </c>
      <c r="H38" s="210" t="s">
        <v>0</v>
      </c>
      <c r="I38" s="210" t="s">
        <v>0</v>
      </c>
      <c r="J38" s="210" t="s">
        <v>0</v>
      </c>
      <c r="K38" s="195"/>
      <c r="L38" s="210" t="s">
        <v>0</v>
      </c>
      <c r="M38" s="210" t="s">
        <v>0</v>
      </c>
      <c r="N38" s="210" t="s">
        <v>0</v>
      </c>
      <c r="O38" s="210" t="s">
        <v>0</v>
      </c>
      <c r="P38" s="210" t="s">
        <v>0</v>
      </c>
      <c r="Q38" s="210" t="s">
        <v>0</v>
      </c>
      <c r="R38" s="210" t="s">
        <v>0</v>
      </c>
      <c r="S38" s="210" t="s">
        <v>0</v>
      </c>
      <c r="T38" s="210" t="s">
        <v>0</v>
      </c>
      <c r="U38" s="210" t="s">
        <v>0</v>
      </c>
      <c r="V38" s="210" t="s">
        <v>0</v>
      </c>
      <c r="W38" s="210" t="s">
        <v>0</v>
      </c>
      <c r="X38" s="210" t="s">
        <v>0</v>
      </c>
    </row>
    <row r="39" spans="1:24">
      <c r="A39" s="195"/>
      <c r="B39" s="195"/>
      <c r="C39" s="195"/>
      <c r="D39" s="210" t="s">
        <v>0</v>
      </c>
      <c r="E39" s="210" t="s">
        <v>0</v>
      </c>
      <c r="F39" s="210" t="s">
        <v>0</v>
      </c>
      <c r="G39" s="210" t="s">
        <v>0</v>
      </c>
      <c r="H39" s="210" t="s">
        <v>0</v>
      </c>
      <c r="I39" s="210" t="s">
        <v>0</v>
      </c>
      <c r="J39" s="210" t="s">
        <v>0</v>
      </c>
      <c r="K39" s="195"/>
      <c r="L39" s="210" t="s">
        <v>0</v>
      </c>
      <c r="M39" s="210" t="s">
        <v>0</v>
      </c>
      <c r="N39" s="210" t="s">
        <v>0</v>
      </c>
      <c r="O39" s="210" t="s">
        <v>0</v>
      </c>
      <c r="P39" s="210" t="s">
        <v>0</v>
      </c>
      <c r="Q39" s="210" t="s">
        <v>0</v>
      </c>
      <c r="R39" s="210" t="s">
        <v>0</v>
      </c>
      <c r="S39" s="210" t="s">
        <v>0</v>
      </c>
      <c r="T39" s="210" t="s">
        <v>0</v>
      </c>
      <c r="U39" s="210" t="s">
        <v>0</v>
      </c>
      <c r="V39" s="210" t="s">
        <v>0</v>
      </c>
      <c r="W39" s="210" t="s">
        <v>0</v>
      </c>
      <c r="X39" s="210" t="s">
        <v>0</v>
      </c>
    </row>
    <row r="40" spans="1:24">
      <c r="A40" s="195"/>
      <c r="B40" s="195"/>
      <c r="C40" s="195"/>
      <c r="D40" s="210" t="s">
        <v>0</v>
      </c>
      <c r="E40" s="210" t="s">
        <v>0</v>
      </c>
      <c r="F40" s="210" t="s">
        <v>0</v>
      </c>
      <c r="G40" s="210" t="s">
        <v>0</v>
      </c>
      <c r="H40" s="210" t="s">
        <v>0</v>
      </c>
      <c r="I40" s="210" t="s">
        <v>0</v>
      </c>
      <c r="J40" s="210" t="s">
        <v>0</v>
      </c>
      <c r="K40" s="195"/>
      <c r="L40" s="210" t="s">
        <v>0</v>
      </c>
      <c r="M40" s="210" t="s">
        <v>0</v>
      </c>
      <c r="N40" s="210" t="s">
        <v>0</v>
      </c>
      <c r="O40" s="210" t="s">
        <v>0</v>
      </c>
      <c r="P40" s="210" t="s">
        <v>0</v>
      </c>
      <c r="Q40" s="210" t="s">
        <v>0</v>
      </c>
      <c r="R40" s="210" t="s">
        <v>0</v>
      </c>
      <c r="S40" s="210" t="s">
        <v>0</v>
      </c>
      <c r="T40" s="210" t="s">
        <v>0</v>
      </c>
      <c r="U40" s="210" t="s">
        <v>0</v>
      </c>
      <c r="V40" s="210" t="s">
        <v>0</v>
      </c>
      <c r="W40" s="210" t="s">
        <v>0</v>
      </c>
      <c r="X40" s="210" t="s">
        <v>0</v>
      </c>
    </row>
    <row r="41" spans="1:24">
      <c r="A41" s="195"/>
      <c r="B41" s="195"/>
      <c r="C41" s="195"/>
      <c r="D41" s="210" t="s">
        <v>0</v>
      </c>
      <c r="E41" s="210" t="s">
        <v>0</v>
      </c>
      <c r="F41" s="210" t="s">
        <v>0</v>
      </c>
      <c r="G41" s="210" t="s">
        <v>0</v>
      </c>
      <c r="H41" s="210" t="s">
        <v>0</v>
      </c>
      <c r="I41" s="210" t="s">
        <v>0</v>
      </c>
      <c r="J41" s="210" t="s">
        <v>0</v>
      </c>
      <c r="K41" s="195"/>
      <c r="L41" s="210" t="s">
        <v>0</v>
      </c>
      <c r="M41" s="210" t="s">
        <v>0</v>
      </c>
      <c r="N41" s="210" t="s">
        <v>0</v>
      </c>
      <c r="O41" s="210" t="s">
        <v>0</v>
      </c>
      <c r="P41" s="210" t="s">
        <v>0</v>
      </c>
      <c r="Q41" s="210" t="s">
        <v>0</v>
      </c>
      <c r="R41" s="210" t="s">
        <v>0</v>
      </c>
      <c r="S41" s="210" t="s">
        <v>0</v>
      </c>
      <c r="T41" s="210" t="s">
        <v>0</v>
      </c>
      <c r="U41" s="210" t="s">
        <v>0</v>
      </c>
      <c r="V41" s="210" t="s">
        <v>0</v>
      </c>
      <c r="W41" s="210" t="s">
        <v>0</v>
      </c>
      <c r="X41" s="210" t="s">
        <v>0</v>
      </c>
    </row>
    <row r="42" spans="1:24">
      <c r="A42" s="195"/>
      <c r="B42" s="195"/>
      <c r="C42" s="195"/>
      <c r="D42" s="210" t="s">
        <v>0</v>
      </c>
      <c r="E42" s="210" t="s">
        <v>0</v>
      </c>
      <c r="F42" s="210" t="s">
        <v>0</v>
      </c>
      <c r="G42" s="210" t="s">
        <v>0</v>
      </c>
      <c r="H42" s="210" t="s">
        <v>0</v>
      </c>
      <c r="I42" s="210" t="s">
        <v>0</v>
      </c>
      <c r="J42" s="210" t="s">
        <v>0</v>
      </c>
      <c r="K42" s="195"/>
      <c r="L42" s="210" t="s">
        <v>0</v>
      </c>
      <c r="M42" s="210" t="s">
        <v>0</v>
      </c>
      <c r="N42" s="210" t="s">
        <v>0</v>
      </c>
      <c r="O42" s="210" t="s">
        <v>0</v>
      </c>
      <c r="P42" s="210" t="s">
        <v>0</v>
      </c>
      <c r="Q42" s="210" t="s">
        <v>0</v>
      </c>
      <c r="R42" s="210" t="s">
        <v>0</v>
      </c>
      <c r="S42" s="210" t="s">
        <v>0</v>
      </c>
      <c r="T42" s="210" t="s">
        <v>0</v>
      </c>
      <c r="U42" s="210" t="s">
        <v>0</v>
      </c>
      <c r="V42" s="210" t="s">
        <v>0</v>
      </c>
      <c r="W42" s="210" t="s">
        <v>0</v>
      </c>
      <c r="X42" s="210" t="s">
        <v>0</v>
      </c>
    </row>
    <row r="43" spans="1:24">
      <c r="A43" s="195"/>
      <c r="B43" s="195"/>
      <c r="C43" s="195"/>
      <c r="D43" s="210" t="s">
        <v>0</v>
      </c>
      <c r="E43" s="210" t="s">
        <v>0</v>
      </c>
      <c r="F43" s="210" t="s">
        <v>0</v>
      </c>
      <c r="G43" s="210" t="s">
        <v>0</v>
      </c>
      <c r="H43" s="210" t="s">
        <v>0</v>
      </c>
      <c r="I43" s="210" t="s">
        <v>0</v>
      </c>
      <c r="J43" s="210" t="s">
        <v>0</v>
      </c>
      <c r="K43" s="195"/>
      <c r="L43" s="210" t="s">
        <v>0</v>
      </c>
      <c r="M43" s="210" t="s">
        <v>0</v>
      </c>
      <c r="N43" s="210" t="s">
        <v>0</v>
      </c>
      <c r="O43" s="210" t="s">
        <v>0</v>
      </c>
      <c r="P43" s="210" t="s">
        <v>0</v>
      </c>
      <c r="Q43" s="210" t="s">
        <v>0</v>
      </c>
      <c r="R43" s="210" t="s">
        <v>0</v>
      </c>
      <c r="S43" s="210" t="s">
        <v>0</v>
      </c>
      <c r="T43" s="210" t="s">
        <v>0</v>
      </c>
      <c r="U43" s="210" t="s">
        <v>0</v>
      </c>
      <c r="V43" s="210" t="s">
        <v>0</v>
      </c>
      <c r="W43" s="210" t="s">
        <v>0</v>
      </c>
      <c r="X43" s="210" t="s">
        <v>0</v>
      </c>
    </row>
  </sheetData>
  <sortState xmlns:xlrd2="http://schemas.microsoft.com/office/spreadsheetml/2017/richdata2" ref="D5:J22">
    <sortCondition ref="D5:D22"/>
  </sortState>
  <mergeCells count="11">
    <mergeCell ref="B6:B15"/>
    <mergeCell ref="B16:B17"/>
    <mergeCell ref="B18:B19"/>
    <mergeCell ref="B21:B24"/>
    <mergeCell ref="C4:C5"/>
    <mergeCell ref="B2:J2"/>
    <mergeCell ref="E4:F4"/>
    <mergeCell ref="G4:H4"/>
    <mergeCell ref="I4:J4"/>
    <mergeCell ref="B4:B5"/>
    <mergeCell ref="D4:D5"/>
  </mergeCells>
  <conditionalFormatting sqref="J6">
    <cfRule type="beginsWith" dxfId="63" priority="81" operator="beginsWith" text="GOOD">
      <formula>LEFT(J6,LEN("GOOD"))="GOOD"</formula>
    </cfRule>
    <cfRule type="containsText" dxfId="62" priority="82" operator="containsText" text="Excellent">
      <formula>NOT(ISERROR(SEARCH("Excellent",J6)))</formula>
    </cfRule>
    <cfRule type="containsText" dxfId="61" priority="83" operator="containsText" text="Very">
      <formula>NOT(ISERROR(SEARCH("Very",J6)))</formula>
    </cfRule>
    <cfRule type="containsText" dxfId="60" priority="84" operator="containsText" text="POOR">
      <formula>NOT(ISERROR(SEARCH("POOR",J6)))</formula>
    </cfRule>
  </conditionalFormatting>
  <conditionalFormatting sqref="J7">
    <cfRule type="beginsWith" dxfId="59" priority="41" operator="beginsWith" text="GOOD">
      <formula>LEFT(J7,LEN("GOOD"))="GOOD"</formula>
    </cfRule>
    <cfRule type="containsText" dxfId="58" priority="42" operator="containsText" text="Excellent">
      <formula>NOT(ISERROR(SEARCH("Excellent",J7)))</formula>
    </cfRule>
    <cfRule type="containsText" dxfId="57" priority="43" operator="containsText" text="Very">
      <formula>NOT(ISERROR(SEARCH("Very",J7)))</formula>
    </cfRule>
    <cfRule type="containsText" dxfId="56" priority="44" operator="containsText" text="POOR">
      <formula>NOT(ISERROR(SEARCH("POOR",J7)))</formula>
    </cfRule>
  </conditionalFormatting>
  <conditionalFormatting sqref="J8">
    <cfRule type="beginsWith" dxfId="55" priority="89" operator="beginsWith" text="GOOD">
      <formula>LEFT(J8,LEN("GOOD"))="GOOD"</formula>
    </cfRule>
    <cfRule type="containsText" dxfId="54" priority="90" operator="containsText" text="Excellent">
      <formula>NOT(ISERROR(SEARCH("Excellent",J8)))</formula>
    </cfRule>
    <cfRule type="containsText" dxfId="53" priority="91" operator="containsText" text="Very">
      <formula>NOT(ISERROR(SEARCH("Very",J8)))</formula>
    </cfRule>
    <cfRule type="containsText" dxfId="52" priority="92" operator="containsText" text="POOR">
      <formula>NOT(ISERROR(SEARCH("POOR",J8)))</formula>
    </cfRule>
  </conditionalFormatting>
  <conditionalFormatting sqref="J9">
    <cfRule type="beginsWith" dxfId="51" priority="45" operator="beginsWith" text="GOOD">
      <formula>LEFT(J9,LEN("GOOD"))="GOOD"</formula>
    </cfRule>
    <cfRule type="containsText" dxfId="50" priority="46" operator="containsText" text="Excellent">
      <formula>NOT(ISERROR(SEARCH("Excellent",J9)))</formula>
    </cfRule>
    <cfRule type="containsText" dxfId="49" priority="47" operator="containsText" text="Very">
      <formula>NOT(ISERROR(SEARCH("Very",J9)))</formula>
    </cfRule>
    <cfRule type="containsText" dxfId="48" priority="48" operator="containsText" text="POOR">
      <formula>NOT(ISERROR(SEARCH("POOR",J9)))</formula>
    </cfRule>
  </conditionalFormatting>
  <conditionalFormatting sqref="J11">
    <cfRule type="beginsWith" dxfId="47" priority="57" operator="beginsWith" text="GOOD">
      <formula>LEFT(J11,LEN("GOOD"))="GOOD"</formula>
    </cfRule>
    <cfRule type="containsText" dxfId="46" priority="58" operator="containsText" text="Excellent">
      <formula>NOT(ISERROR(SEARCH("Excellent",J11)))</formula>
    </cfRule>
    <cfRule type="containsText" dxfId="45" priority="59" operator="containsText" text="Very">
      <formula>NOT(ISERROR(SEARCH("Very",J11)))</formula>
    </cfRule>
    <cfRule type="containsText" dxfId="44" priority="60" operator="containsText" text="POOR">
      <formula>NOT(ISERROR(SEARCH("POOR",J11)))</formula>
    </cfRule>
  </conditionalFormatting>
  <conditionalFormatting sqref="J13">
    <cfRule type="beginsWith" dxfId="43" priority="61" operator="beginsWith" text="GOOD">
      <formula>LEFT(J13,LEN("GOOD"))="GOOD"</formula>
    </cfRule>
    <cfRule type="containsText" dxfId="42" priority="62" operator="containsText" text="Excellent">
      <formula>NOT(ISERROR(SEARCH("Excellent",J13)))</formula>
    </cfRule>
    <cfRule type="containsText" dxfId="41" priority="63" operator="containsText" text="Very">
      <formula>NOT(ISERROR(SEARCH("Very",J13)))</formula>
    </cfRule>
    <cfRule type="containsText" dxfId="40" priority="64" operator="containsText" text="POOR">
      <formula>NOT(ISERROR(SEARCH("POOR",J13)))</formula>
    </cfRule>
  </conditionalFormatting>
  <conditionalFormatting sqref="J14">
    <cfRule type="beginsWith" dxfId="39" priority="5" operator="beginsWith" text="GOOD">
      <formula>LEFT(J14,LEN("GOOD"))="GOOD"</formula>
    </cfRule>
    <cfRule type="containsText" dxfId="38" priority="6" operator="containsText" text="Excellent">
      <formula>NOT(ISERROR(SEARCH("Excellent",J14)))</formula>
    </cfRule>
    <cfRule type="containsText" dxfId="37" priority="7" operator="containsText" text="Very">
      <formula>NOT(ISERROR(SEARCH("Very",J14)))</formula>
    </cfRule>
    <cfRule type="containsText" dxfId="36" priority="8" operator="containsText" text="POOR">
      <formula>NOT(ISERROR(SEARCH("POOR",J14)))</formula>
    </cfRule>
  </conditionalFormatting>
  <conditionalFormatting sqref="J16">
    <cfRule type="beginsWith" dxfId="35" priority="9" operator="beginsWith" text="GOOD">
      <formula>LEFT(J16,LEN("GOOD"))="GOOD"</formula>
    </cfRule>
    <cfRule type="containsText" dxfId="34" priority="10" operator="containsText" text="Excellent">
      <formula>NOT(ISERROR(SEARCH("Excellent",J16)))</formula>
    </cfRule>
    <cfRule type="containsText" dxfId="33" priority="11" operator="containsText" text="Very">
      <formula>NOT(ISERROR(SEARCH("Very",J16)))</formula>
    </cfRule>
    <cfRule type="containsText" dxfId="32" priority="12" operator="containsText" text="POOR">
      <formula>NOT(ISERROR(SEARCH("POOR",J16)))</formula>
    </cfRule>
  </conditionalFormatting>
  <conditionalFormatting sqref="J18">
    <cfRule type="beginsWith" dxfId="31" priority="13" operator="beginsWith" text="GOOD">
      <formula>LEFT(J18,LEN("GOOD"))="GOOD"</formula>
    </cfRule>
    <cfRule type="containsText" dxfId="30" priority="14" operator="containsText" text="Excellent">
      <formula>NOT(ISERROR(SEARCH("Excellent",J18)))</formula>
    </cfRule>
    <cfRule type="containsText" dxfId="29" priority="15" operator="containsText" text="Very">
      <formula>NOT(ISERROR(SEARCH("Very",J18)))</formula>
    </cfRule>
    <cfRule type="containsText" dxfId="28" priority="16" operator="containsText" text="POOR">
      <formula>NOT(ISERROR(SEARCH("POOR",J18)))</formula>
    </cfRule>
  </conditionalFormatting>
  <conditionalFormatting sqref="J20">
    <cfRule type="beginsWith" dxfId="27" priority="17" operator="beginsWith" text="GOOD">
      <formula>LEFT(J20,LEN("GOOD"))="GOOD"</formula>
    </cfRule>
    <cfRule type="containsText" dxfId="26" priority="18" operator="containsText" text="Excellent">
      <formula>NOT(ISERROR(SEARCH("Excellent",J20)))</formula>
    </cfRule>
    <cfRule type="containsText" dxfId="25" priority="19" operator="containsText" text="Very">
      <formula>NOT(ISERROR(SEARCH("Very",J20)))</formula>
    </cfRule>
    <cfRule type="containsText" dxfId="24" priority="20" operator="containsText" text="POOR">
      <formula>NOT(ISERROR(SEARCH("POOR",J20)))</formula>
    </cfRule>
  </conditionalFormatting>
  <conditionalFormatting sqref="J22">
    <cfRule type="beginsWith" dxfId="23" priority="21" operator="beginsWith" text="GOOD">
      <formula>LEFT(J22,LEN("GOOD"))="GOOD"</formula>
    </cfRule>
    <cfRule type="containsText" dxfId="22" priority="22" operator="containsText" text="Excellent">
      <formula>NOT(ISERROR(SEARCH("Excellent",J22)))</formula>
    </cfRule>
    <cfRule type="containsText" dxfId="21" priority="23" operator="containsText" text="Very">
      <formula>NOT(ISERROR(SEARCH("Very",J22)))</formula>
    </cfRule>
    <cfRule type="containsText" dxfId="20" priority="24" operator="containsText" text="POOR">
      <formula>NOT(ISERROR(SEARCH("POOR",J22)))</formula>
    </cfRule>
  </conditionalFormatting>
  <conditionalFormatting sqref="J24">
    <cfRule type="beginsWith" dxfId="19" priority="25" operator="beginsWith" text="GOOD">
      <formula>LEFT(J24,LEN("GOOD"))="GOOD"</formula>
    </cfRule>
    <cfRule type="containsText" dxfId="18" priority="26" operator="containsText" text="Excellent">
      <formula>NOT(ISERROR(SEARCH("Excellent",J24)))</formula>
    </cfRule>
    <cfRule type="containsText" dxfId="17" priority="27" operator="containsText" text="Very">
      <formula>NOT(ISERROR(SEARCH("Very",J24)))</formula>
    </cfRule>
    <cfRule type="containsText" dxfId="16" priority="28" operator="containsText" text="POOR">
      <formula>NOT(ISERROR(SEARCH("POOR",J24)))</formula>
    </cfRule>
  </conditionalFormatting>
  <conditionalFormatting sqref="J10 J12">
    <cfRule type="beginsWith" dxfId="15" priority="73" operator="beginsWith" text="GOOD">
      <formula>LEFT(J10,LEN("GOOD"))="GOOD"</formula>
    </cfRule>
    <cfRule type="containsText" dxfId="14" priority="74" operator="containsText" text="Excellent">
      <formula>NOT(ISERROR(SEARCH("Excellent",J10)))</formula>
    </cfRule>
    <cfRule type="containsText" dxfId="13" priority="75" operator="containsText" text="Very">
      <formula>NOT(ISERROR(SEARCH("Very",J10)))</formula>
    </cfRule>
    <cfRule type="containsText" dxfId="12" priority="76" operator="containsText" text="POOR">
      <formula>NOT(ISERROR(SEARCH("POOR",J10)))</formula>
    </cfRule>
  </conditionalFormatting>
  <conditionalFormatting sqref="J23 J21 J19 J17 J15">
    <cfRule type="beginsWith" dxfId="11" priority="29" operator="beginsWith" text="GOOD">
      <formula>LEFT(J15,LEN("GOOD"))="GOOD"</formula>
    </cfRule>
    <cfRule type="containsText" dxfId="10" priority="30" operator="containsText" text="Excellent">
      <formula>NOT(ISERROR(SEARCH("Excellent",J15)))</formula>
    </cfRule>
    <cfRule type="containsText" dxfId="9" priority="31" operator="containsText" text="Very">
      <formula>NOT(ISERROR(SEARCH("Very",J15)))</formula>
    </cfRule>
    <cfRule type="containsText" dxfId="8" priority="32" operator="containsText" text="POOR">
      <formula>NOT(ISERROR(SEARCH("POOR",J15)))</formula>
    </cfRule>
  </conditionalFormatting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30"/>
  <sheetViews>
    <sheetView zoomScale="70" zoomScaleNormal="70" workbookViewId="0">
      <selection activeCell="D1" sqref="D1"/>
    </sheetView>
  </sheetViews>
  <sheetFormatPr defaultColWidth="9" defaultRowHeight="14.5"/>
  <cols>
    <col min="1" max="1" width="3.90625" customWidth="1"/>
    <col min="2" max="2" width="11.1796875" customWidth="1"/>
    <col min="4" max="4" width="28" customWidth="1"/>
    <col min="5" max="5" width="19.26953125" customWidth="1"/>
    <col min="6" max="6" width="28.36328125" customWidth="1"/>
    <col min="7" max="11" width="9.1796875" customWidth="1"/>
  </cols>
  <sheetData>
    <row r="1" spans="1:5">
      <c r="A1">
        <v>1</v>
      </c>
      <c r="B1" t="s">
        <v>15</v>
      </c>
      <c r="C1" t="s">
        <v>16</v>
      </c>
      <c r="D1" t="s">
        <v>17</v>
      </c>
      <c r="E1" t="s">
        <v>18</v>
      </c>
    </row>
    <row r="2" spans="1:5">
      <c r="A2">
        <v>2</v>
      </c>
      <c r="B2" t="s">
        <v>19</v>
      </c>
      <c r="C2" t="s">
        <v>16</v>
      </c>
    </row>
    <row r="3" spans="1:5">
      <c r="A3">
        <v>3</v>
      </c>
      <c r="B3" t="s">
        <v>20</v>
      </c>
      <c r="C3" t="s">
        <v>16</v>
      </c>
    </row>
    <row r="4" spans="1:5">
      <c r="A4">
        <v>4</v>
      </c>
      <c r="B4" t="s">
        <v>21</v>
      </c>
      <c r="C4" t="s">
        <v>16</v>
      </c>
    </row>
    <row r="5" spans="1:5">
      <c r="A5">
        <v>5</v>
      </c>
      <c r="B5" t="s">
        <v>22</v>
      </c>
      <c r="C5" t="s">
        <v>16</v>
      </c>
    </row>
    <row r="6" spans="1:5">
      <c r="A6">
        <v>6</v>
      </c>
      <c r="B6" t="s">
        <v>23</v>
      </c>
      <c r="C6" t="s">
        <v>16</v>
      </c>
    </row>
    <row r="7" spans="1:5">
      <c r="A7">
        <v>7</v>
      </c>
      <c r="B7" t="s">
        <v>24</v>
      </c>
      <c r="C7" t="s">
        <v>16</v>
      </c>
    </row>
    <row r="8" spans="1:5">
      <c r="A8">
        <v>8</v>
      </c>
      <c r="B8" t="s">
        <v>25</v>
      </c>
      <c r="C8" t="s">
        <v>16</v>
      </c>
    </row>
    <row r="9" spans="1:5">
      <c r="A9">
        <v>9</v>
      </c>
      <c r="B9" t="s">
        <v>26</v>
      </c>
      <c r="C9" t="s">
        <v>16</v>
      </c>
    </row>
    <row r="10" spans="1:5">
      <c r="A10">
        <v>10</v>
      </c>
      <c r="B10" t="s">
        <v>27</v>
      </c>
      <c r="C10" t="s">
        <v>16</v>
      </c>
    </row>
    <row r="11" spans="1:5">
      <c r="A11">
        <v>11</v>
      </c>
      <c r="B11" t="s">
        <v>28</v>
      </c>
      <c r="C11" t="s">
        <v>16</v>
      </c>
    </row>
    <row r="12" spans="1:5">
      <c r="A12">
        <v>12</v>
      </c>
      <c r="B12" t="s">
        <v>29</v>
      </c>
      <c r="C12" t="s">
        <v>16</v>
      </c>
    </row>
    <row r="13" spans="1:5">
      <c r="A13">
        <v>13</v>
      </c>
      <c r="B13" t="s">
        <v>30</v>
      </c>
      <c r="C13" t="s">
        <v>16</v>
      </c>
    </row>
    <row r="14" spans="1:5">
      <c r="A14">
        <v>14</v>
      </c>
      <c r="B14" t="s">
        <v>31</v>
      </c>
      <c r="C14" t="s">
        <v>16</v>
      </c>
    </row>
    <row r="15" spans="1:5">
      <c r="A15">
        <v>15</v>
      </c>
      <c r="B15" t="s">
        <v>32</v>
      </c>
      <c r="C15" t="s">
        <v>16</v>
      </c>
    </row>
    <row r="16" spans="1:5">
      <c r="A16">
        <v>16</v>
      </c>
      <c r="B16" t="s">
        <v>33</v>
      </c>
      <c r="C16" t="s">
        <v>16</v>
      </c>
    </row>
    <row r="17" spans="1:3">
      <c r="A17">
        <v>17</v>
      </c>
      <c r="B17" t="s">
        <v>34</v>
      </c>
      <c r="C17" t="s">
        <v>16</v>
      </c>
    </row>
    <row r="18" spans="1:3">
      <c r="A18">
        <v>18</v>
      </c>
    </row>
    <row r="19" spans="1:3">
      <c r="A19">
        <v>19</v>
      </c>
    </row>
    <row r="20" spans="1:3">
      <c r="A20">
        <v>20</v>
      </c>
    </row>
    <row r="21" spans="1:3">
      <c r="A21">
        <v>21</v>
      </c>
    </row>
    <row r="22" spans="1:3">
      <c r="A22">
        <v>22</v>
      </c>
    </row>
    <row r="23" spans="1:3">
      <c r="A23">
        <v>23</v>
      </c>
    </row>
    <row r="24" spans="1:3">
      <c r="A24">
        <v>24</v>
      </c>
    </row>
    <row r="25" spans="1:3">
      <c r="A25">
        <v>25</v>
      </c>
    </row>
    <row r="26" spans="1:3">
      <c r="A26">
        <v>26</v>
      </c>
    </row>
    <row r="27" spans="1:3">
      <c r="A27">
        <v>27</v>
      </c>
    </row>
    <row r="28" spans="1:3">
      <c r="A28">
        <v>28</v>
      </c>
    </row>
    <row r="29" spans="1:3">
      <c r="A29">
        <v>29</v>
      </c>
    </row>
    <row r="30" spans="1:3">
      <c r="A30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autoPageBreaks="0"/>
  </sheetPr>
  <dimension ref="B1:Y204"/>
  <sheetViews>
    <sheetView showGridLines="0" topLeftCell="L16" workbookViewId="0">
      <selection activeCell="Q19" sqref="Q19"/>
    </sheetView>
  </sheetViews>
  <sheetFormatPr defaultColWidth="9" defaultRowHeight="14.5"/>
  <cols>
    <col min="1" max="1" width="3" customWidth="1"/>
    <col min="2" max="2" width="4.54296875" customWidth="1"/>
    <col min="3" max="3" width="6.08984375" customWidth="1"/>
    <col min="4" max="4" width="16.1796875" customWidth="1"/>
    <col min="5" max="5" width="19.7265625" customWidth="1"/>
    <col min="10" max="10" width="5.54296875" customWidth="1"/>
    <col min="11" max="11" width="9.54296875" customWidth="1"/>
    <col min="12" max="12" width="11.1796875" customWidth="1"/>
    <col min="14" max="14" width="42.90625" customWidth="1"/>
    <col min="15" max="15" width="15.1796875" customWidth="1"/>
    <col min="16" max="16" width="17.6328125" customWidth="1"/>
    <col min="17" max="17" width="11.7265625" customWidth="1"/>
  </cols>
  <sheetData>
    <row r="1" spans="2:18">
      <c r="B1" s="459" t="s">
        <v>35</v>
      </c>
      <c r="C1" s="460"/>
      <c r="D1" s="460"/>
      <c r="E1" s="461"/>
    </row>
    <row r="2" spans="2:18">
      <c r="B2" s="462"/>
      <c r="C2" s="463"/>
      <c r="D2" s="463"/>
      <c r="E2" s="464"/>
    </row>
    <row r="3" spans="2:18">
      <c r="B3" s="412" t="s">
        <v>36</v>
      </c>
      <c r="C3" s="413"/>
      <c r="D3" s="414"/>
      <c r="E3" s="152" t="s">
        <v>37</v>
      </c>
    </row>
    <row r="4" spans="2:18">
      <c r="B4" s="412" t="s">
        <v>38</v>
      </c>
      <c r="C4" s="413"/>
      <c r="D4" s="414"/>
      <c r="E4" s="40" t="s">
        <v>39</v>
      </c>
    </row>
    <row r="5" spans="2:18">
      <c r="B5" s="412" t="s">
        <v>40</v>
      </c>
      <c r="C5" s="413"/>
      <c r="D5" s="414"/>
      <c r="E5" s="40" t="s">
        <v>41</v>
      </c>
    </row>
    <row r="6" spans="2:18">
      <c r="B6" s="412" t="s">
        <v>42</v>
      </c>
      <c r="C6" s="413"/>
      <c r="D6" s="414"/>
      <c r="E6" s="41">
        <v>44075</v>
      </c>
    </row>
    <row r="7" spans="2:18">
      <c r="B7" s="412" t="s">
        <v>43</v>
      </c>
      <c r="C7" s="413"/>
      <c r="D7" s="414"/>
      <c r="E7" s="43" t="s">
        <v>44</v>
      </c>
    </row>
    <row r="8" spans="2:18">
      <c r="B8" s="412" t="s">
        <v>45</v>
      </c>
      <c r="C8" s="413"/>
      <c r="D8" s="414"/>
      <c r="E8" s="42">
        <v>44136</v>
      </c>
    </row>
    <row r="10" spans="2:18">
      <c r="B10" s="465" t="s">
        <v>46</v>
      </c>
      <c r="C10" s="466"/>
      <c r="D10" s="466"/>
      <c r="E10" s="466"/>
      <c r="F10" s="466"/>
      <c r="G10" s="466"/>
      <c r="H10" s="469" t="s">
        <v>47</v>
      </c>
      <c r="I10" s="470"/>
      <c r="J10" s="470"/>
      <c r="K10" s="470"/>
      <c r="L10" s="471"/>
    </row>
    <row r="11" spans="2:18">
      <c r="B11" s="467"/>
      <c r="C11" s="468"/>
      <c r="D11" s="468"/>
      <c r="E11" s="468"/>
      <c r="F11" s="468"/>
      <c r="G11" s="468"/>
      <c r="H11" s="472"/>
      <c r="I11" s="473"/>
      <c r="J11" s="473"/>
      <c r="K11" s="473"/>
      <c r="L11" s="474"/>
    </row>
    <row r="12" spans="2:18">
      <c r="B12" s="398">
        <v>1</v>
      </c>
      <c r="C12" s="475" t="s">
        <v>48</v>
      </c>
      <c r="D12" s="475"/>
      <c r="E12" s="475"/>
      <c r="F12" s="475"/>
      <c r="G12" s="475"/>
      <c r="H12" s="397" t="s">
        <v>49</v>
      </c>
      <c r="I12" s="397"/>
      <c r="J12" s="397"/>
      <c r="K12" s="397"/>
      <c r="L12" s="153" t="s">
        <v>50</v>
      </c>
      <c r="N12" s="155" t="s">
        <v>5</v>
      </c>
      <c r="O12" s="156" t="s">
        <v>8</v>
      </c>
      <c r="P12" s="156" t="s">
        <v>51</v>
      </c>
      <c r="Q12" s="156" t="s">
        <v>52</v>
      </c>
      <c r="R12" s="177"/>
    </row>
    <row r="13" spans="2:18">
      <c r="B13" s="398"/>
      <c r="C13" s="475"/>
      <c r="D13" s="475"/>
      <c r="E13" s="475"/>
      <c r="F13" s="475"/>
      <c r="G13" s="475"/>
      <c r="H13" s="397" t="s">
        <v>53</v>
      </c>
      <c r="I13" s="397"/>
      <c r="J13" s="397"/>
      <c r="K13" s="397"/>
      <c r="L13" s="153" t="s">
        <v>54</v>
      </c>
      <c r="N13" s="157" t="s">
        <v>55</v>
      </c>
      <c r="O13" s="158">
        <v>0.4</v>
      </c>
      <c r="P13" s="159">
        <f>H34</f>
        <v>108.80000000000001</v>
      </c>
      <c r="Q13" s="178">
        <f t="shared" ref="Q13:Q15" si="0">O13*P13</f>
        <v>43.52000000000001</v>
      </c>
    </row>
    <row r="14" spans="2:18">
      <c r="B14" s="398"/>
      <c r="C14" s="475"/>
      <c r="D14" s="475"/>
      <c r="E14" s="475"/>
      <c r="F14" s="475"/>
      <c r="G14" s="475"/>
      <c r="H14" s="397" t="s">
        <v>56</v>
      </c>
      <c r="I14" s="397"/>
      <c r="J14" s="397"/>
      <c r="K14" s="397"/>
      <c r="L14" s="153" t="s">
        <v>57</v>
      </c>
      <c r="N14" s="160" t="s">
        <v>58</v>
      </c>
      <c r="O14" s="161">
        <v>0.4</v>
      </c>
      <c r="P14" s="162">
        <f>H95</f>
        <v>143</v>
      </c>
      <c r="Q14" s="179">
        <f t="shared" si="0"/>
        <v>57.2</v>
      </c>
    </row>
    <row r="15" spans="2:18">
      <c r="B15" s="398"/>
      <c r="C15" s="475"/>
      <c r="D15" s="475"/>
      <c r="E15" s="475"/>
      <c r="F15" s="475"/>
      <c r="G15" s="475"/>
      <c r="H15" s="397" t="s">
        <v>59</v>
      </c>
      <c r="I15" s="397"/>
      <c r="J15" s="397"/>
      <c r="K15" s="397"/>
      <c r="L15" s="153">
        <v>110</v>
      </c>
      <c r="N15" s="163" t="s">
        <v>60</v>
      </c>
      <c r="O15" s="164">
        <v>0.2</v>
      </c>
      <c r="P15" s="165">
        <f>H177</f>
        <v>104</v>
      </c>
      <c r="Q15" s="180">
        <f t="shared" si="0"/>
        <v>20.8</v>
      </c>
    </row>
    <row r="16" spans="2:18" ht="15.75" customHeight="1">
      <c r="B16" s="398"/>
      <c r="C16" s="409" t="s">
        <v>61</v>
      </c>
      <c r="D16" s="409"/>
      <c r="E16" s="409"/>
      <c r="F16" s="409"/>
      <c r="G16" s="409"/>
      <c r="H16" s="397" t="s">
        <v>62</v>
      </c>
      <c r="I16" s="397"/>
      <c r="J16" s="397"/>
      <c r="K16" s="397"/>
      <c r="L16" s="397"/>
      <c r="N16" s="166" t="s">
        <v>63</v>
      </c>
      <c r="O16" s="167">
        <f>SUM(O13:O15)</f>
        <v>1</v>
      </c>
      <c r="P16" s="168"/>
      <c r="Q16" s="168">
        <f>SUM(Q13:Q15)</f>
        <v>121.52000000000001</v>
      </c>
      <c r="R16" s="150"/>
    </row>
    <row r="17" spans="2:25" ht="15.75" customHeight="1">
      <c r="B17" s="398"/>
      <c r="C17" s="397">
        <v>1</v>
      </c>
      <c r="D17" s="410" t="s">
        <v>64</v>
      </c>
      <c r="E17" s="410"/>
      <c r="F17" s="410"/>
      <c r="G17" s="410"/>
      <c r="H17" s="154" t="s">
        <v>65</v>
      </c>
      <c r="I17" s="169">
        <v>0.6</v>
      </c>
      <c r="J17" s="397" t="s">
        <v>66</v>
      </c>
      <c r="K17" s="397"/>
      <c r="L17" s="397"/>
      <c r="N17" s="170"/>
      <c r="O17" s="171"/>
      <c r="P17" s="172"/>
      <c r="Q17" s="172"/>
      <c r="R17" s="150"/>
    </row>
    <row r="18" spans="2:25" ht="15" customHeight="1">
      <c r="B18" s="398"/>
      <c r="C18" s="397"/>
      <c r="D18" s="410"/>
      <c r="E18" s="410"/>
      <c r="F18" s="410"/>
      <c r="G18" s="410"/>
      <c r="H18" s="399">
        <v>4</v>
      </c>
      <c r="I18" s="399">
        <f>VLOOKUP(H18,$J$18:$L$23,3,0)*I17</f>
        <v>66</v>
      </c>
      <c r="J18" s="153">
        <v>5</v>
      </c>
      <c r="K18" s="153" t="s">
        <v>67</v>
      </c>
      <c r="L18" s="153">
        <v>115</v>
      </c>
      <c r="N18" s="170"/>
      <c r="O18" s="484" t="s">
        <v>5</v>
      </c>
      <c r="P18" s="173" t="s">
        <v>8</v>
      </c>
      <c r="Q18" s="173" t="s">
        <v>68</v>
      </c>
      <c r="R18" s="170"/>
      <c r="W18" s="174"/>
      <c r="X18" s="174"/>
      <c r="Y18" s="174"/>
    </row>
    <row r="19" spans="2:25">
      <c r="B19" s="398"/>
      <c r="C19" s="397"/>
      <c r="D19" s="410"/>
      <c r="E19" s="410"/>
      <c r="F19" s="410"/>
      <c r="G19" s="410"/>
      <c r="H19" s="399"/>
      <c r="I19" s="399"/>
      <c r="J19" s="153">
        <v>4</v>
      </c>
      <c r="K19" s="153" t="s">
        <v>67</v>
      </c>
      <c r="L19" s="153">
        <v>110</v>
      </c>
      <c r="N19" s="174"/>
      <c r="O19" s="485"/>
      <c r="P19" s="175">
        <v>0.6</v>
      </c>
      <c r="Q19" s="181">
        <f>P19*Q16</f>
        <v>72.912000000000006</v>
      </c>
    </row>
    <row r="20" spans="2:25">
      <c r="B20" s="398"/>
      <c r="C20" s="397"/>
      <c r="D20" s="410"/>
      <c r="E20" s="410"/>
      <c r="F20" s="410"/>
      <c r="G20" s="410"/>
      <c r="H20" s="399"/>
      <c r="I20" s="399"/>
      <c r="J20" s="153">
        <v>3</v>
      </c>
      <c r="K20" s="153" t="s">
        <v>67</v>
      </c>
      <c r="L20" s="153">
        <v>105</v>
      </c>
    </row>
    <row r="21" spans="2:25">
      <c r="B21" s="398"/>
      <c r="C21" s="397"/>
      <c r="D21" s="410"/>
      <c r="E21" s="410"/>
      <c r="F21" s="410"/>
      <c r="G21" s="410"/>
      <c r="H21" s="399"/>
      <c r="I21" s="399"/>
      <c r="J21" s="153">
        <v>2</v>
      </c>
      <c r="K21" s="153" t="s">
        <v>67</v>
      </c>
      <c r="L21" s="153">
        <v>100</v>
      </c>
      <c r="N21" s="155" t="s">
        <v>6</v>
      </c>
      <c r="O21" s="156" t="s">
        <v>8</v>
      </c>
      <c r="P21" s="156" t="s">
        <v>51</v>
      </c>
      <c r="Q21" s="156" t="s">
        <v>52</v>
      </c>
    </row>
    <row r="22" spans="2:25" ht="18.75" customHeight="1">
      <c r="B22" s="398"/>
      <c r="C22" s="397"/>
      <c r="D22" s="397" t="s">
        <v>69</v>
      </c>
      <c r="E22" s="397"/>
      <c r="F22" s="397"/>
      <c r="G22" s="397"/>
      <c r="H22" s="399"/>
      <c r="I22" s="399"/>
      <c r="J22" s="153">
        <v>1</v>
      </c>
      <c r="K22" s="153" t="s">
        <v>67</v>
      </c>
      <c r="L22" s="153">
        <v>90</v>
      </c>
      <c r="N22" s="157" t="s">
        <v>55</v>
      </c>
      <c r="O22" s="158">
        <v>0.4</v>
      </c>
      <c r="P22" s="159">
        <f>H71</f>
        <v>109.55000000000001</v>
      </c>
      <c r="Q22" s="178">
        <f>O22*P22</f>
        <v>43.820000000000007</v>
      </c>
    </row>
    <row r="23" spans="2:25">
      <c r="B23" s="398"/>
      <c r="C23" s="397"/>
      <c r="D23" s="397" t="s">
        <v>70</v>
      </c>
      <c r="E23" s="397"/>
      <c r="F23" s="397"/>
      <c r="G23" s="397"/>
      <c r="H23" s="399"/>
      <c r="I23" s="399"/>
      <c r="J23" s="153">
        <v>0</v>
      </c>
      <c r="K23" s="153" t="s">
        <v>67</v>
      </c>
      <c r="L23" s="153">
        <v>50</v>
      </c>
      <c r="N23" s="160" t="s">
        <v>58</v>
      </c>
      <c r="O23" s="161">
        <v>0.4</v>
      </c>
      <c r="P23" s="162">
        <f>H129</f>
        <v>98.6</v>
      </c>
      <c r="Q23" s="179">
        <f t="shared" ref="Q23:Q24" si="1">O23*P23</f>
        <v>39.44</v>
      </c>
    </row>
    <row r="24" spans="2:25">
      <c r="B24" s="398"/>
      <c r="C24" s="397"/>
      <c r="D24" s="397"/>
      <c r="E24" s="397"/>
      <c r="F24" s="397"/>
      <c r="G24" s="397"/>
      <c r="H24" s="397" t="s">
        <v>62</v>
      </c>
      <c r="I24" s="397"/>
      <c r="J24" s="397"/>
      <c r="K24" s="397"/>
      <c r="L24" s="397"/>
      <c r="N24" s="163" t="s">
        <v>60</v>
      </c>
      <c r="O24" s="164">
        <v>0.2</v>
      </c>
      <c r="P24" s="165">
        <v>104</v>
      </c>
      <c r="Q24" s="180">
        <f t="shared" si="1"/>
        <v>20.8</v>
      </c>
    </row>
    <row r="25" spans="2:25">
      <c r="B25" s="398"/>
      <c r="C25" s="397">
        <v>2</v>
      </c>
      <c r="D25" s="410" t="s">
        <v>71</v>
      </c>
      <c r="E25" s="410"/>
      <c r="F25" s="410"/>
      <c r="G25" s="410"/>
      <c r="H25" s="154" t="s">
        <v>65</v>
      </c>
      <c r="I25" s="169">
        <v>0.4</v>
      </c>
      <c r="J25" s="397" t="s">
        <v>72</v>
      </c>
      <c r="K25" s="397"/>
      <c r="L25" s="397"/>
      <c r="N25" s="176" t="s">
        <v>63</v>
      </c>
      <c r="O25" s="167">
        <f>SUM(O22:O24)</f>
        <v>1</v>
      </c>
      <c r="P25" s="168"/>
      <c r="Q25" s="168">
        <f>SUM(Q22:Q24)</f>
        <v>104.06</v>
      </c>
    </row>
    <row r="26" spans="2:25">
      <c r="B26" s="398"/>
      <c r="C26" s="397"/>
      <c r="D26" s="410"/>
      <c r="E26" s="410"/>
      <c r="F26" s="410"/>
      <c r="G26" s="410"/>
      <c r="H26" s="425">
        <v>9</v>
      </c>
      <c r="I26" s="399">
        <f>VLOOKUP(H26,$J$26:$L$33,3,0)*I25</f>
        <v>42.800000000000004</v>
      </c>
      <c r="J26" s="153">
        <v>10</v>
      </c>
      <c r="K26" s="153" t="s">
        <v>73</v>
      </c>
      <c r="L26" s="153">
        <v>110</v>
      </c>
      <c r="N26" s="170"/>
      <c r="O26" s="171"/>
      <c r="P26" s="172"/>
      <c r="Q26" s="172"/>
    </row>
    <row r="27" spans="2:25">
      <c r="B27" s="398"/>
      <c r="C27" s="397"/>
      <c r="D27" s="397" t="s">
        <v>69</v>
      </c>
      <c r="E27" s="397"/>
      <c r="F27" s="397"/>
      <c r="G27" s="397"/>
      <c r="H27" s="426"/>
      <c r="I27" s="399"/>
      <c r="J27" s="153">
        <v>9</v>
      </c>
      <c r="K27" s="153" t="s">
        <v>73</v>
      </c>
      <c r="L27" s="153">
        <v>107</v>
      </c>
      <c r="N27" s="170"/>
      <c r="O27" s="484" t="s">
        <v>6</v>
      </c>
      <c r="P27" s="173" t="s">
        <v>8</v>
      </c>
      <c r="Q27" s="173" t="s">
        <v>68</v>
      </c>
    </row>
    <row r="28" spans="2:25">
      <c r="B28" s="398"/>
      <c r="C28" s="397"/>
      <c r="D28" s="410" t="s">
        <v>74</v>
      </c>
      <c r="E28" s="410"/>
      <c r="F28" s="410"/>
      <c r="G28" s="410"/>
      <c r="H28" s="426"/>
      <c r="I28" s="399"/>
      <c r="J28" s="153">
        <v>8</v>
      </c>
      <c r="K28" s="153" t="s">
        <v>73</v>
      </c>
      <c r="L28" s="153">
        <v>105</v>
      </c>
      <c r="N28" s="174"/>
      <c r="O28" s="485"/>
      <c r="P28" s="175">
        <v>0.4</v>
      </c>
      <c r="Q28" s="181">
        <f>P28*Q25</f>
        <v>41.624000000000002</v>
      </c>
    </row>
    <row r="29" spans="2:25">
      <c r="B29" s="398"/>
      <c r="C29" s="397"/>
      <c r="D29" s="410"/>
      <c r="E29" s="410"/>
      <c r="F29" s="410"/>
      <c r="G29" s="410"/>
      <c r="H29" s="426"/>
      <c r="I29" s="399"/>
      <c r="J29" s="153">
        <v>7</v>
      </c>
      <c r="K29" s="153" t="s">
        <v>73</v>
      </c>
      <c r="L29" s="153">
        <v>102</v>
      </c>
    </row>
    <row r="30" spans="2:25">
      <c r="B30" s="398"/>
      <c r="C30" s="397"/>
      <c r="D30" s="410"/>
      <c r="E30" s="410"/>
      <c r="F30" s="410"/>
      <c r="G30" s="410"/>
      <c r="H30" s="426"/>
      <c r="I30" s="399"/>
      <c r="J30" s="153">
        <v>6</v>
      </c>
      <c r="K30" s="153" t="s">
        <v>73</v>
      </c>
      <c r="L30" s="153">
        <v>100</v>
      </c>
    </row>
    <row r="31" spans="2:25">
      <c r="B31" s="398"/>
      <c r="C31" s="397"/>
      <c r="D31" s="410"/>
      <c r="E31" s="410"/>
      <c r="F31" s="410"/>
      <c r="G31" s="410"/>
      <c r="H31" s="426"/>
      <c r="I31" s="399"/>
      <c r="J31" s="153">
        <v>5</v>
      </c>
      <c r="K31" s="153" t="s">
        <v>73</v>
      </c>
      <c r="L31" s="153">
        <v>95</v>
      </c>
      <c r="N31" s="177"/>
      <c r="O31" s="156" t="s">
        <v>75</v>
      </c>
      <c r="P31" s="482">
        <f>Q19+Q28</f>
        <v>114.536</v>
      </c>
      <c r="Q31" s="482"/>
    </row>
    <row r="32" spans="2:25" ht="15" customHeight="1">
      <c r="B32" s="398"/>
      <c r="C32" s="397"/>
      <c r="D32" s="410"/>
      <c r="E32" s="410"/>
      <c r="F32" s="410"/>
      <c r="G32" s="410"/>
      <c r="H32" s="426"/>
      <c r="I32" s="399"/>
      <c r="J32" s="153">
        <v>4</v>
      </c>
      <c r="K32" s="153" t="s">
        <v>73</v>
      </c>
      <c r="L32" s="153">
        <v>90</v>
      </c>
      <c r="O32" s="211" t="s">
        <v>7</v>
      </c>
      <c r="P32" s="482"/>
      <c r="Q32" s="482"/>
    </row>
    <row r="33" spans="2:17">
      <c r="B33" s="398"/>
      <c r="C33" s="397"/>
      <c r="D33" s="410"/>
      <c r="E33" s="410"/>
      <c r="F33" s="410"/>
      <c r="G33" s="410"/>
      <c r="H33" s="427"/>
      <c r="I33" s="399"/>
      <c r="J33" s="153">
        <v>3</v>
      </c>
      <c r="K33" s="153" t="s">
        <v>73</v>
      </c>
      <c r="L33" s="153">
        <v>85</v>
      </c>
      <c r="O33" s="173" t="s">
        <v>76</v>
      </c>
      <c r="P33" s="483" t="str">
        <f>IF(P31&lt;90,"POOR",IF(P31&lt;=100,"GOOD",IF(P31&lt;=110,"Very Good",IF(P31&gt;110,"Excellent"))))</f>
        <v>Excellent</v>
      </c>
      <c r="Q33" s="483"/>
    </row>
    <row r="34" spans="2:17">
      <c r="B34" s="398"/>
      <c r="C34" s="416" t="s">
        <v>77</v>
      </c>
      <c r="D34" s="417"/>
      <c r="E34" s="417"/>
      <c r="F34" s="417"/>
      <c r="G34" s="418"/>
      <c r="H34" s="419">
        <f>SUM(I18,I26)</f>
        <v>108.80000000000001</v>
      </c>
      <c r="I34" s="420"/>
      <c r="J34" s="420"/>
      <c r="K34" s="420"/>
      <c r="L34" s="421"/>
    </row>
    <row r="35" spans="2:17">
      <c r="B35" s="398"/>
      <c r="C35" s="397" t="s">
        <v>78</v>
      </c>
      <c r="D35" s="397"/>
      <c r="E35" s="397"/>
      <c r="F35" s="397"/>
      <c r="G35" s="397"/>
      <c r="H35" s="397" t="s">
        <v>62</v>
      </c>
      <c r="I35" s="397"/>
      <c r="J35" s="397"/>
      <c r="K35" s="397"/>
      <c r="L35" s="397"/>
    </row>
    <row r="36" spans="2:17" ht="15" customHeight="1">
      <c r="B36" s="398"/>
      <c r="C36" s="397">
        <v>1</v>
      </c>
      <c r="D36" s="410" t="s">
        <v>79</v>
      </c>
      <c r="E36" s="410"/>
      <c r="F36" s="410"/>
      <c r="G36" s="410"/>
      <c r="H36" s="154" t="s">
        <v>65</v>
      </c>
      <c r="I36" s="169">
        <v>0.25</v>
      </c>
      <c r="J36" s="397" t="s">
        <v>80</v>
      </c>
      <c r="K36" s="397"/>
      <c r="L36" s="397"/>
    </row>
    <row r="37" spans="2:17">
      <c r="B37" s="398"/>
      <c r="C37" s="397"/>
      <c r="D37" s="410"/>
      <c r="E37" s="410"/>
      <c r="F37" s="410"/>
      <c r="G37" s="410"/>
      <c r="H37" s="399">
        <v>8</v>
      </c>
      <c r="I37" s="399">
        <f>115*I36</f>
        <v>28.75</v>
      </c>
      <c r="J37" s="153">
        <v>4</v>
      </c>
      <c r="K37" s="153" t="s">
        <v>81</v>
      </c>
      <c r="L37" s="153">
        <v>115</v>
      </c>
    </row>
    <row r="38" spans="2:17">
      <c r="B38" s="398"/>
      <c r="C38" s="397"/>
      <c r="D38" s="410"/>
      <c r="E38" s="410"/>
      <c r="F38" s="410"/>
      <c r="G38" s="410"/>
      <c r="H38" s="399"/>
      <c r="I38" s="399"/>
      <c r="J38" s="153">
        <v>3</v>
      </c>
      <c r="K38" s="153" t="s">
        <v>81</v>
      </c>
      <c r="L38" s="153">
        <v>110</v>
      </c>
    </row>
    <row r="39" spans="2:17">
      <c r="B39" s="398"/>
      <c r="C39" s="397"/>
      <c r="D39" s="479" t="s">
        <v>69</v>
      </c>
      <c r="E39" s="480"/>
      <c r="F39" s="480"/>
      <c r="G39" s="481"/>
      <c r="H39" s="399"/>
      <c r="I39" s="399"/>
      <c r="J39" s="153">
        <v>2</v>
      </c>
      <c r="K39" s="153" t="s">
        <v>81</v>
      </c>
      <c r="L39" s="153">
        <v>105</v>
      </c>
    </row>
    <row r="40" spans="2:17" ht="15" customHeight="1">
      <c r="B40" s="398"/>
      <c r="C40" s="397"/>
      <c r="D40" s="410" t="s">
        <v>82</v>
      </c>
      <c r="E40" s="410"/>
      <c r="F40" s="410"/>
      <c r="G40" s="410"/>
      <c r="H40" s="399"/>
      <c r="I40" s="399"/>
      <c r="J40" s="153">
        <v>1</v>
      </c>
      <c r="K40" s="153" t="s">
        <v>81</v>
      </c>
      <c r="L40" s="153">
        <v>100</v>
      </c>
    </row>
    <row r="41" spans="2:17">
      <c r="B41" s="398"/>
      <c r="C41" s="397"/>
      <c r="D41" s="410"/>
      <c r="E41" s="410"/>
      <c r="F41" s="410"/>
      <c r="G41" s="410"/>
      <c r="H41" s="399"/>
      <c r="I41" s="399"/>
      <c r="J41" s="153">
        <v>0</v>
      </c>
      <c r="K41" s="153" t="s">
        <v>81</v>
      </c>
      <c r="L41" s="153">
        <v>50</v>
      </c>
    </row>
    <row r="42" spans="2:17">
      <c r="B42" s="398"/>
      <c r="C42" s="397"/>
      <c r="D42" s="410"/>
      <c r="E42" s="410"/>
      <c r="F42" s="410"/>
      <c r="G42" s="410"/>
      <c r="H42" s="397" t="s">
        <v>62</v>
      </c>
      <c r="I42" s="397"/>
      <c r="J42" s="397"/>
      <c r="K42" s="397"/>
      <c r="L42" s="397"/>
    </row>
    <row r="43" spans="2:17" ht="15" customHeight="1">
      <c r="B43" s="398"/>
      <c r="C43" s="397">
        <v>2</v>
      </c>
      <c r="D43" s="400" t="s">
        <v>83</v>
      </c>
      <c r="E43" s="401"/>
      <c r="F43" s="401"/>
      <c r="G43" s="402"/>
      <c r="H43" s="154" t="s">
        <v>65</v>
      </c>
      <c r="I43" s="169">
        <v>0.3</v>
      </c>
      <c r="J43" s="397" t="s">
        <v>84</v>
      </c>
      <c r="K43" s="397"/>
      <c r="L43" s="397"/>
    </row>
    <row r="44" spans="2:17">
      <c r="B44" s="398"/>
      <c r="C44" s="397"/>
      <c r="D44" s="403"/>
      <c r="E44" s="404"/>
      <c r="F44" s="404"/>
      <c r="G44" s="405"/>
      <c r="H44" s="399" t="s">
        <v>85</v>
      </c>
      <c r="I44" s="399">
        <f>98*I43</f>
        <v>29.4</v>
      </c>
      <c r="J44" s="153">
        <v>0</v>
      </c>
      <c r="K44" s="153" t="s">
        <v>86</v>
      </c>
      <c r="L44" s="153">
        <v>120</v>
      </c>
    </row>
    <row r="45" spans="2:17">
      <c r="B45" s="398"/>
      <c r="C45" s="397"/>
      <c r="D45" s="403"/>
      <c r="E45" s="404"/>
      <c r="F45" s="404"/>
      <c r="G45" s="405"/>
      <c r="H45" s="399"/>
      <c r="I45" s="399"/>
      <c r="J45" s="153">
        <v>1</v>
      </c>
      <c r="K45" s="153" t="s">
        <v>86</v>
      </c>
      <c r="L45" s="153">
        <v>110</v>
      </c>
    </row>
    <row r="46" spans="2:17" ht="15" customHeight="1">
      <c r="B46" s="398"/>
      <c r="C46" s="397"/>
      <c r="D46" s="406"/>
      <c r="E46" s="407"/>
      <c r="F46" s="407"/>
      <c r="G46" s="408"/>
      <c r="H46" s="399"/>
      <c r="I46" s="399"/>
      <c r="J46" s="153">
        <v>2</v>
      </c>
      <c r="K46" s="153" t="s">
        <v>86</v>
      </c>
      <c r="L46" s="153">
        <v>105</v>
      </c>
    </row>
    <row r="47" spans="2:17" ht="14.25" customHeight="1">
      <c r="B47" s="398"/>
      <c r="C47" s="397"/>
      <c r="D47" s="400" t="s">
        <v>87</v>
      </c>
      <c r="E47" s="401"/>
      <c r="F47" s="401"/>
      <c r="G47" s="402"/>
      <c r="H47" s="399"/>
      <c r="I47" s="399"/>
      <c r="J47" s="153">
        <v>3</v>
      </c>
      <c r="K47" s="153" t="s">
        <v>86</v>
      </c>
      <c r="L47" s="153">
        <v>100</v>
      </c>
    </row>
    <row r="48" spans="2:17">
      <c r="B48" s="398"/>
      <c r="C48" s="397"/>
      <c r="D48" s="403"/>
      <c r="E48" s="404"/>
      <c r="F48" s="404"/>
      <c r="G48" s="405"/>
      <c r="H48" s="399"/>
      <c r="I48" s="399"/>
      <c r="J48" s="153">
        <v>4</v>
      </c>
      <c r="K48" s="153" t="s">
        <v>86</v>
      </c>
      <c r="L48" s="153">
        <v>95</v>
      </c>
    </row>
    <row r="49" spans="2:12">
      <c r="B49" s="398"/>
      <c r="C49" s="397"/>
      <c r="D49" s="403"/>
      <c r="E49" s="404"/>
      <c r="F49" s="404"/>
      <c r="G49" s="405"/>
      <c r="H49" s="399"/>
      <c r="I49" s="399"/>
      <c r="J49" s="153">
        <v>5</v>
      </c>
      <c r="K49" s="153" t="s">
        <v>86</v>
      </c>
      <c r="L49" s="153">
        <v>90</v>
      </c>
    </row>
    <row r="50" spans="2:12">
      <c r="B50" s="398"/>
      <c r="C50" s="397"/>
      <c r="D50" s="403"/>
      <c r="E50" s="404"/>
      <c r="F50" s="404"/>
      <c r="G50" s="405"/>
      <c r="H50" s="399"/>
      <c r="I50" s="399"/>
      <c r="J50" s="153">
        <v>6</v>
      </c>
      <c r="K50" s="153" t="s">
        <v>86</v>
      </c>
      <c r="L50" s="153">
        <v>85</v>
      </c>
    </row>
    <row r="51" spans="2:12">
      <c r="B51" s="398"/>
      <c r="C51" s="397"/>
      <c r="D51" s="403"/>
      <c r="E51" s="404"/>
      <c r="F51" s="404"/>
      <c r="G51" s="405"/>
      <c r="H51" s="399"/>
      <c r="I51" s="399"/>
      <c r="J51" s="153">
        <v>7</v>
      </c>
      <c r="K51" s="153" t="s">
        <v>86</v>
      </c>
      <c r="L51" s="153">
        <v>80</v>
      </c>
    </row>
    <row r="52" spans="2:12">
      <c r="B52" s="398"/>
      <c r="C52" s="397"/>
      <c r="D52" s="406"/>
      <c r="E52" s="407"/>
      <c r="F52" s="407"/>
      <c r="G52" s="408"/>
      <c r="H52" s="397" t="s">
        <v>62</v>
      </c>
      <c r="I52" s="397"/>
      <c r="J52" s="397"/>
      <c r="K52" s="397"/>
      <c r="L52" s="397"/>
    </row>
    <row r="53" spans="2:12" ht="15" customHeight="1">
      <c r="B53" s="398"/>
      <c r="C53" s="397">
        <v>3</v>
      </c>
      <c r="D53" s="410" t="s">
        <v>88</v>
      </c>
      <c r="E53" s="410"/>
      <c r="F53" s="410"/>
      <c r="G53" s="410"/>
      <c r="H53" s="154" t="s">
        <v>65</v>
      </c>
      <c r="I53" s="169">
        <v>0.25</v>
      </c>
      <c r="J53" s="397" t="s">
        <v>84</v>
      </c>
      <c r="K53" s="397"/>
      <c r="L53" s="397"/>
    </row>
    <row r="54" spans="2:12">
      <c r="B54" s="398"/>
      <c r="C54" s="397"/>
      <c r="D54" s="410"/>
      <c r="E54" s="410"/>
      <c r="F54" s="410"/>
      <c r="G54" s="410"/>
      <c r="H54" s="399">
        <v>5</v>
      </c>
      <c r="I54" s="399">
        <f>VLOOKUP(H54,$J$54:$L$59,3,0)*I53</f>
        <v>30</v>
      </c>
      <c r="J54" s="153">
        <v>5</v>
      </c>
      <c r="K54" s="153" t="s">
        <v>89</v>
      </c>
      <c r="L54" s="153">
        <v>120</v>
      </c>
    </row>
    <row r="55" spans="2:12">
      <c r="B55" s="398"/>
      <c r="C55" s="397"/>
      <c r="D55" s="410"/>
      <c r="E55" s="410"/>
      <c r="F55" s="410"/>
      <c r="G55" s="410"/>
      <c r="H55" s="399"/>
      <c r="I55" s="399"/>
      <c r="J55" s="153">
        <v>4</v>
      </c>
      <c r="K55" s="153" t="s">
        <v>89</v>
      </c>
      <c r="L55" s="153">
        <v>110</v>
      </c>
    </row>
    <row r="56" spans="2:12">
      <c r="B56" s="398"/>
      <c r="C56" s="397"/>
      <c r="D56" s="410"/>
      <c r="E56" s="410"/>
      <c r="F56" s="410"/>
      <c r="G56" s="410"/>
      <c r="H56" s="399"/>
      <c r="I56" s="399"/>
      <c r="J56" s="153">
        <v>3</v>
      </c>
      <c r="K56" s="153" t="s">
        <v>89</v>
      </c>
      <c r="L56" s="153">
        <v>105</v>
      </c>
    </row>
    <row r="57" spans="2:12">
      <c r="B57" s="398"/>
      <c r="C57" s="397"/>
      <c r="D57" s="411" t="s">
        <v>69</v>
      </c>
      <c r="E57" s="411"/>
      <c r="F57" s="411"/>
      <c r="G57" s="411"/>
      <c r="H57" s="399"/>
      <c r="I57" s="399"/>
      <c r="J57" s="153">
        <v>2</v>
      </c>
      <c r="K57" s="153" t="s">
        <v>89</v>
      </c>
      <c r="L57" s="153">
        <v>100</v>
      </c>
    </row>
    <row r="58" spans="2:12" ht="15" customHeight="1">
      <c r="B58" s="398"/>
      <c r="C58" s="397"/>
      <c r="D58" s="410" t="s">
        <v>90</v>
      </c>
      <c r="E58" s="410"/>
      <c r="F58" s="410"/>
      <c r="G58" s="410"/>
      <c r="H58" s="399"/>
      <c r="I58" s="399"/>
      <c r="J58" s="153">
        <v>1</v>
      </c>
      <c r="K58" s="153" t="s">
        <v>89</v>
      </c>
      <c r="L58" s="153">
        <v>95</v>
      </c>
    </row>
    <row r="59" spans="2:12">
      <c r="B59" s="398"/>
      <c r="C59" s="397"/>
      <c r="D59" s="410"/>
      <c r="E59" s="410"/>
      <c r="F59" s="410"/>
      <c r="G59" s="410"/>
      <c r="H59" s="399"/>
      <c r="I59" s="399"/>
      <c r="J59" s="153">
        <v>0</v>
      </c>
      <c r="K59" s="153" t="s">
        <v>89</v>
      </c>
      <c r="L59" s="153">
        <v>50</v>
      </c>
    </row>
    <row r="60" spans="2:12">
      <c r="B60" s="398"/>
      <c r="C60" s="397"/>
      <c r="D60" s="410"/>
      <c r="E60" s="410"/>
      <c r="F60" s="410"/>
      <c r="G60" s="410"/>
      <c r="H60" s="397" t="s">
        <v>62</v>
      </c>
      <c r="I60" s="397"/>
      <c r="J60" s="397"/>
      <c r="K60" s="397"/>
      <c r="L60" s="397"/>
    </row>
    <row r="61" spans="2:12">
      <c r="B61" s="398"/>
      <c r="C61" s="397">
        <v>4</v>
      </c>
      <c r="D61" s="410" t="s">
        <v>91</v>
      </c>
      <c r="E61" s="410"/>
      <c r="F61" s="410"/>
      <c r="G61" s="410"/>
      <c r="H61" s="154" t="s">
        <v>65</v>
      </c>
      <c r="I61" s="169">
        <v>0.2</v>
      </c>
      <c r="J61" s="397" t="s">
        <v>84</v>
      </c>
      <c r="K61" s="397"/>
      <c r="L61" s="397"/>
    </row>
    <row r="62" spans="2:12">
      <c r="B62" s="398"/>
      <c r="C62" s="397"/>
      <c r="D62" s="410"/>
      <c r="E62" s="410"/>
      <c r="F62" s="410"/>
      <c r="G62" s="410"/>
      <c r="H62" s="399">
        <v>9</v>
      </c>
      <c r="I62" s="399">
        <f>VLOOKUP(H62,$J$62:$L$70,3,0)*I61</f>
        <v>21.400000000000002</v>
      </c>
      <c r="J62" s="153">
        <v>10</v>
      </c>
      <c r="K62" s="153" t="s">
        <v>89</v>
      </c>
      <c r="L62" s="153">
        <v>110</v>
      </c>
    </row>
    <row r="63" spans="2:12">
      <c r="B63" s="398"/>
      <c r="C63" s="397"/>
      <c r="D63" s="397" t="s">
        <v>69</v>
      </c>
      <c r="E63" s="397"/>
      <c r="F63" s="397"/>
      <c r="G63" s="397"/>
      <c r="H63" s="399"/>
      <c r="I63" s="399"/>
      <c r="J63" s="153">
        <v>9</v>
      </c>
      <c r="K63" s="153" t="s">
        <v>89</v>
      </c>
      <c r="L63" s="153">
        <v>107</v>
      </c>
    </row>
    <row r="64" spans="2:12">
      <c r="B64" s="398"/>
      <c r="C64" s="397"/>
      <c r="D64" s="410" t="s">
        <v>92</v>
      </c>
      <c r="E64" s="410"/>
      <c r="F64" s="410"/>
      <c r="G64" s="410"/>
      <c r="H64" s="399"/>
      <c r="I64" s="399"/>
      <c r="J64" s="153">
        <v>8</v>
      </c>
      <c r="K64" s="153" t="s">
        <v>89</v>
      </c>
      <c r="L64" s="153">
        <v>105</v>
      </c>
    </row>
    <row r="65" spans="2:12">
      <c r="B65" s="398"/>
      <c r="C65" s="397"/>
      <c r="D65" s="410"/>
      <c r="E65" s="410"/>
      <c r="F65" s="410"/>
      <c r="G65" s="410"/>
      <c r="H65" s="399"/>
      <c r="I65" s="399"/>
      <c r="J65" s="153">
        <v>7</v>
      </c>
      <c r="K65" s="153" t="s">
        <v>89</v>
      </c>
      <c r="L65" s="153">
        <v>102</v>
      </c>
    </row>
    <row r="66" spans="2:12">
      <c r="B66" s="398"/>
      <c r="C66" s="397"/>
      <c r="D66" s="410"/>
      <c r="E66" s="410"/>
      <c r="F66" s="410"/>
      <c r="G66" s="410"/>
      <c r="H66" s="399"/>
      <c r="I66" s="399"/>
      <c r="J66" s="153">
        <v>6</v>
      </c>
      <c r="K66" s="153" t="s">
        <v>89</v>
      </c>
      <c r="L66" s="153">
        <v>10</v>
      </c>
    </row>
    <row r="67" spans="2:12">
      <c r="B67" s="398"/>
      <c r="C67" s="397"/>
      <c r="D67" s="410"/>
      <c r="E67" s="410"/>
      <c r="F67" s="410"/>
      <c r="G67" s="410"/>
      <c r="H67" s="399"/>
      <c r="I67" s="399"/>
      <c r="J67" s="153">
        <v>5</v>
      </c>
      <c r="K67" s="153" t="s">
        <v>89</v>
      </c>
      <c r="L67" s="153">
        <v>95</v>
      </c>
    </row>
    <row r="68" spans="2:12">
      <c r="B68" s="398"/>
      <c r="C68" s="397"/>
      <c r="D68" s="410"/>
      <c r="E68" s="410"/>
      <c r="F68" s="410"/>
      <c r="G68" s="410"/>
      <c r="H68" s="399"/>
      <c r="I68" s="399"/>
      <c r="J68" s="153">
        <v>4</v>
      </c>
      <c r="K68" s="153" t="s">
        <v>89</v>
      </c>
      <c r="L68" s="153">
        <v>90</v>
      </c>
    </row>
    <row r="69" spans="2:12">
      <c r="B69" s="398"/>
      <c r="C69" s="397"/>
      <c r="D69" s="410"/>
      <c r="E69" s="410"/>
      <c r="F69" s="410"/>
      <c r="G69" s="410"/>
      <c r="H69" s="399"/>
      <c r="I69" s="399"/>
      <c r="J69" s="153"/>
      <c r="K69" s="153"/>
      <c r="L69" s="153"/>
    </row>
    <row r="70" spans="2:12">
      <c r="B70" s="398"/>
      <c r="C70" s="397"/>
      <c r="D70" s="410"/>
      <c r="E70" s="410"/>
      <c r="F70" s="410"/>
      <c r="G70" s="410"/>
      <c r="H70" s="399"/>
      <c r="I70" s="399"/>
      <c r="J70" s="153">
        <v>3</v>
      </c>
      <c r="K70" s="153" t="s">
        <v>89</v>
      </c>
      <c r="L70" s="153">
        <v>82</v>
      </c>
    </row>
    <row r="71" spans="2:12">
      <c r="B71" s="182"/>
      <c r="C71" s="416" t="s">
        <v>93</v>
      </c>
      <c r="D71" s="417"/>
      <c r="E71" s="417"/>
      <c r="F71" s="417"/>
      <c r="G71" s="418"/>
      <c r="H71" s="419">
        <f>I37+I44+I54+I62</f>
        <v>109.55000000000001</v>
      </c>
      <c r="I71" s="420"/>
      <c r="J71" s="420"/>
      <c r="K71" s="420"/>
      <c r="L71" s="421"/>
    </row>
    <row r="72" spans="2:12" ht="15" customHeight="1">
      <c r="B72" s="430">
        <v>2</v>
      </c>
      <c r="C72" s="410" t="s">
        <v>94</v>
      </c>
      <c r="D72" s="410"/>
      <c r="E72" s="410"/>
      <c r="F72" s="410"/>
      <c r="G72" s="410"/>
      <c r="H72" s="415"/>
      <c r="I72" s="415"/>
      <c r="J72" s="415"/>
      <c r="K72" s="415"/>
      <c r="L72" s="415"/>
    </row>
    <row r="73" spans="2:12">
      <c r="B73" s="431"/>
      <c r="C73" s="410"/>
      <c r="D73" s="410"/>
      <c r="E73" s="410"/>
      <c r="F73" s="410"/>
      <c r="G73" s="410"/>
      <c r="H73" s="415"/>
      <c r="I73" s="415"/>
      <c r="J73" s="415"/>
      <c r="K73" s="415"/>
      <c r="L73" s="415"/>
    </row>
    <row r="74" spans="2:12">
      <c r="B74" s="431"/>
      <c r="C74" s="422" t="s">
        <v>95</v>
      </c>
      <c r="D74" s="423"/>
      <c r="E74" s="423"/>
      <c r="F74" s="423"/>
      <c r="G74" s="424"/>
      <c r="H74" s="397" t="s">
        <v>62</v>
      </c>
      <c r="I74" s="397"/>
      <c r="J74" s="397"/>
      <c r="K74" s="397"/>
      <c r="L74" s="397"/>
    </row>
    <row r="75" spans="2:12" ht="15" customHeight="1">
      <c r="B75" s="431"/>
      <c r="C75" s="397">
        <v>1</v>
      </c>
      <c r="D75" s="400" t="s">
        <v>96</v>
      </c>
      <c r="E75" s="401"/>
      <c r="F75" s="401"/>
      <c r="G75" s="402"/>
      <c r="H75" s="154" t="s">
        <v>65</v>
      </c>
      <c r="I75" s="169">
        <v>0.6</v>
      </c>
      <c r="J75" s="397" t="s">
        <v>72</v>
      </c>
      <c r="K75" s="397"/>
      <c r="L75" s="397"/>
    </row>
    <row r="76" spans="2:12" ht="15" customHeight="1">
      <c r="B76" s="431"/>
      <c r="C76" s="397"/>
      <c r="D76" s="403"/>
      <c r="E76" s="404"/>
      <c r="F76" s="404"/>
      <c r="G76" s="405"/>
      <c r="H76" s="399">
        <v>13</v>
      </c>
      <c r="I76" s="399">
        <f>((H76*5)+100)*I75</f>
        <v>99</v>
      </c>
      <c r="J76" s="425">
        <v>5</v>
      </c>
      <c r="K76" s="428" t="s">
        <v>97</v>
      </c>
      <c r="L76" s="402"/>
    </row>
    <row r="77" spans="2:12">
      <c r="B77" s="431"/>
      <c r="C77" s="397"/>
      <c r="D77" s="403"/>
      <c r="E77" s="404"/>
      <c r="F77" s="404"/>
      <c r="G77" s="405"/>
      <c r="H77" s="399"/>
      <c r="I77" s="399"/>
      <c r="J77" s="426"/>
      <c r="K77" s="403"/>
      <c r="L77" s="405"/>
    </row>
    <row r="78" spans="2:12">
      <c r="B78" s="431"/>
      <c r="C78" s="397"/>
      <c r="D78" s="403"/>
      <c r="E78" s="404"/>
      <c r="F78" s="404"/>
      <c r="G78" s="405"/>
      <c r="H78" s="399"/>
      <c r="I78" s="399"/>
      <c r="J78" s="426"/>
      <c r="K78" s="403"/>
      <c r="L78" s="405"/>
    </row>
    <row r="79" spans="2:12">
      <c r="B79" s="431"/>
      <c r="C79" s="397"/>
      <c r="D79" s="406"/>
      <c r="E79" s="407"/>
      <c r="F79" s="407"/>
      <c r="G79" s="408"/>
      <c r="H79" s="399"/>
      <c r="I79" s="399"/>
      <c r="J79" s="427"/>
      <c r="K79" s="406"/>
      <c r="L79" s="408"/>
    </row>
    <row r="80" spans="2:12">
      <c r="B80" s="431"/>
      <c r="C80" s="397"/>
      <c r="D80" s="410" t="s">
        <v>69</v>
      </c>
      <c r="E80" s="410"/>
      <c r="F80" s="410"/>
      <c r="G80" s="410"/>
      <c r="H80" s="399"/>
      <c r="I80" s="399"/>
      <c r="J80" s="399">
        <v>100</v>
      </c>
      <c r="K80" s="429" t="s">
        <v>98</v>
      </c>
      <c r="L80" s="410"/>
    </row>
    <row r="81" spans="2:12" ht="15" customHeight="1">
      <c r="B81" s="431"/>
      <c r="C81" s="397"/>
      <c r="D81" s="410" t="s">
        <v>99</v>
      </c>
      <c r="E81" s="410"/>
      <c r="F81" s="410"/>
      <c r="G81" s="410"/>
      <c r="H81" s="399"/>
      <c r="I81" s="399"/>
      <c r="J81" s="399"/>
      <c r="K81" s="410"/>
      <c r="L81" s="410"/>
    </row>
    <row r="82" spans="2:12">
      <c r="B82" s="431"/>
      <c r="C82" s="397"/>
      <c r="D82" s="410"/>
      <c r="E82" s="410"/>
      <c r="F82" s="410"/>
      <c r="G82" s="410"/>
      <c r="H82" s="399"/>
      <c r="I82" s="399"/>
      <c r="J82" s="399">
        <v>-5</v>
      </c>
      <c r="K82" s="410" t="s">
        <v>100</v>
      </c>
      <c r="L82" s="410"/>
    </row>
    <row r="83" spans="2:12">
      <c r="B83" s="431"/>
      <c r="C83" s="397"/>
      <c r="D83" s="410"/>
      <c r="E83" s="410"/>
      <c r="F83" s="410"/>
      <c r="G83" s="410"/>
      <c r="H83" s="399"/>
      <c r="I83" s="399"/>
      <c r="J83" s="399"/>
      <c r="K83" s="410"/>
      <c r="L83" s="410"/>
    </row>
    <row r="84" spans="2:12">
      <c r="B84" s="431"/>
      <c r="C84" s="397"/>
      <c r="D84" s="410"/>
      <c r="E84" s="410"/>
      <c r="F84" s="410"/>
      <c r="G84" s="410"/>
      <c r="H84" s="399"/>
      <c r="I84" s="399"/>
      <c r="J84" s="399"/>
      <c r="K84" s="410"/>
      <c r="L84" s="410"/>
    </row>
    <row r="85" spans="2:12">
      <c r="B85" s="431"/>
      <c r="C85" s="397"/>
      <c r="D85" s="410"/>
      <c r="E85" s="410"/>
      <c r="F85" s="410"/>
      <c r="G85" s="410"/>
      <c r="H85" s="399"/>
      <c r="I85" s="399"/>
      <c r="J85" s="399"/>
      <c r="K85" s="410"/>
      <c r="L85" s="410"/>
    </row>
    <row r="86" spans="2:12">
      <c r="B86" s="431"/>
      <c r="C86" s="397"/>
      <c r="D86" s="410"/>
      <c r="E86" s="410"/>
      <c r="F86" s="410"/>
      <c r="G86" s="410"/>
      <c r="H86" s="397" t="s">
        <v>62</v>
      </c>
      <c r="I86" s="397"/>
      <c r="J86" s="397"/>
      <c r="K86" s="397"/>
      <c r="L86" s="397"/>
    </row>
    <row r="87" spans="2:12">
      <c r="B87" s="431"/>
      <c r="C87" s="397">
        <v>2</v>
      </c>
      <c r="D87" s="410" t="s">
        <v>101</v>
      </c>
      <c r="E87" s="410"/>
      <c r="F87" s="410"/>
      <c r="G87" s="410"/>
      <c r="H87" s="154" t="s">
        <v>65</v>
      </c>
      <c r="I87" s="169">
        <v>0.4</v>
      </c>
      <c r="J87" s="397" t="s">
        <v>72</v>
      </c>
      <c r="K87" s="397"/>
      <c r="L87" s="397"/>
    </row>
    <row r="88" spans="2:12">
      <c r="B88" s="431"/>
      <c r="C88" s="397"/>
      <c r="D88" s="410"/>
      <c r="E88" s="410"/>
      <c r="F88" s="410"/>
      <c r="G88" s="410"/>
      <c r="H88" s="399">
        <v>13</v>
      </c>
      <c r="I88" s="399">
        <f>110*I87</f>
        <v>44</v>
      </c>
      <c r="J88" s="397">
        <v>110</v>
      </c>
      <c r="K88" s="410" t="s">
        <v>102</v>
      </c>
      <c r="L88" s="410"/>
    </row>
    <row r="89" spans="2:12">
      <c r="B89" s="431"/>
      <c r="C89" s="397"/>
      <c r="D89" s="410"/>
      <c r="E89" s="410"/>
      <c r="F89" s="410"/>
      <c r="G89" s="410"/>
      <c r="H89" s="399"/>
      <c r="I89" s="399"/>
      <c r="J89" s="397"/>
      <c r="K89" s="410"/>
      <c r="L89" s="410"/>
    </row>
    <row r="90" spans="2:12">
      <c r="B90" s="431"/>
      <c r="C90" s="397"/>
      <c r="D90" s="410"/>
      <c r="E90" s="410"/>
      <c r="F90" s="410"/>
      <c r="G90" s="410"/>
      <c r="H90" s="399"/>
      <c r="I90" s="399"/>
      <c r="J90" s="411">
        <v>100</v>
      </c>
      <c r="K90" s="410" t="s">
        <v>103</v>
      </c>
      <c r="L90" s="410"/>
    </row>
    <row r="91" spans="2:12">
      <c r="B91" s="431"/>
      <c r="C91" s="397"/>
      <c r="D91" s="410"/>
      <c r="E91" s="410"/>
      <c r="F91" s="410"/>
      <c r="G91" s="410"/>
      <c r="H91" s="399"/>
      <c r="I91" s="399"/>
      <c r="J91" s="411"/>
      <c r="K91" s="410"/>
      <c r="L91" s="410"/>
    </row>
    <row r="92" spans="2:12">
      <c r="B92" s="431"/>
      <c r="C92" s="397"/>
      <c r="D92" s="397" t="s">
        <v>69</v>
      </c>
      <c r="E92" s="397"/>
      <c r="F92" s="397"/>
      <c r="G92" s="397"/>
      <c r="H92" s="399"/>
      <c r="I92" s="399"/>
      <c r="J92" s="411">
        <v>-5</v>
      </c>
      <c r="K92" s="410" t="s">
        <v>104</v>
      </c>
      <c r="L92" s="410"/>
    </row>
    <row r="93" spans="2:12" ht="15" customHeight="1">
      <c r="B93" s="431"/>
      <c r="C93" s="397"/>
      <c r="D93" s="410" t="s">
        <v>105</v>
      </c>
      <c r="E93" s="410"/>
      <c r="F93" s="410"/>
      <c r="G93" s="410"/>
      <c r="H93" s="399"/>
      <c r="I93" s="399"/>
      <c r="J93" s="411"/>
      <c r="K93" s="410"/>
      <c r="L93" s="410"/>
    </row>
    <row r="94" spans="2:12">
      <c r="B94" s="431"/>
      <c r="C94" s="397"/>
      <c r="D94" s="410"/>
      <c r="E94" s="410"/>
      <c r="F94" s="410"/>
      <c r="G94" s="410"/>
      <c r="H94" s="399"/>
      <c r="I94" s="399"/>
      <c r="J94" s="411"/>
      <c r="K94" s="410"/>
      <c r="L94" s="410"/>
    </row>
    <row r="95" spans="2:12">
      <c r="B95" s="431"/>
      <c r="C95" s="416" t="s">
        <v>77</v>
      </c>
      <c r="D95" s="417"/>
      <c r="E95" s="417"/>
      <c r="F95" s="417"/>
      <c r="G95" s="418"/>
      <c r="H95" s="419">
        <f>I76+I88</f>
        <v>143</v>
      </c>
      <c r="I95" s="420"/>
      <c r="J95" s="420"/>
      <c r="K95" s="420"/>
      <c r="L95" s="421"/>
    </row>
    <row r="96" spans="2:12">
      <c r="B96" s="431"/>
      <c r="C96" s="422" t="s">
        <v>78</v>
      </c>
      <c r="D96" s="423"/>
      <c r="E96" s="423"/>
      <c r="F96" s="423"/>
      <c r="G96" s="424"/>
      <c r="H96" s="397" t="s">
        <v>62</v>
      </c>
      <c r="I96" s="397"/>
      <c r="J96" s="397"/>
      <c r="K96" s="397"/>
      <c r="L96" s="397"/>
    </row>
    <row r="97" spans="2:12">
      <c r="B97" s="431"/>
      <c r="C97" s="430">
        <v>1</v>
      </c>
      <c r="D97" s="410" t="s">
        <v>106</v>
      </c>
      <c r="E97" s="410"/>
      <c r="F97" s="410"/>
      <c r="G97" s="410"/>
      <c r="H97" s="154" t="s">
        <v>65</v>
      </c>
      <c r="I97" s="169">
        <v>0.4</v>
      </c>
      <c r="J97" s="397" t="s">
        <v>72</v>
      </c>
      <c r="K97" s="397"/>
      <c r="L97" s="397"/>
    </row>
    <row r="98" spans="2:12">
      <c r="B98" s="431"/>
      <c r="C98" s="431"/>
      <c r="D98" s="410"/>
      <c r="E98" s="410"/>
      <c r="F98" s="410"/>
      <c r="G98" s="410"/>
      <c r="H98" s="425">
        <v>98</v>
      </c>
      <c r="I98" s="425">
        <f>H98*I97</f>
        <v>39.200000000000003</v>
      </c>
      <c r="J98" s="184">
        <v>120</v>
      </c>
      <c r="K98" s="184" t="s">
        <v>67</v>
      </c>
      <c r="L98" s="184" t="s">
        <v>107</v>
      </c>
    </row>
    <row r="99" spans="2:12">
      <c r="B99" s="431"/>
      <c r="C99" s="431"/>
      <c r="D99" s="410"/>
      <c r="E99" s="410"/>
      <c r="F99" s="410"/>
      <c r="G99" s="410"/>
      <c r="H99" s="426"/>
      <c r="I99" s="426"/>
      <c r="J99" s="184">
        <v>110</v>
      </c>
      <c r="K99" s="184" t="s">
        <v>67</v>
      </c>
      <c r="L99" s="184" t="s">
        <v>108</v>
      </c>
    </row>
    <row r="100" spans="2:12">
      <c r="B100" s="431"/>
      <c r="C100" s="431"/>
      <c r="D100" s="422" t="s">
        <v>69</v>
      </c>
      <c r="E100" s="423"/>
      <c r="F100" s="423"/>
      <c r="G100" s="424"/>
      <c r="H100" s="426"/>
      <c r="I100" s="426"/>
      <c r="J100" s="184">
        <v>108</v>
      </c>
      <c r="K100" s="184" t="s">
        <v>67</v>
      </c>
      <c r="L100" s="184" t="s">
        <v>109</v>
      </c>
    </row>
    <row r="101" spans="2:12">
      <c r="B101" s="431"/>
      <c r="C101" s="431"/>
      <c r="D101" s="400" t="s">
        <v>110</v>
      </c>
      <c r="E101" s="401"/>
      <c r="F101" s="401"/>
      <c r="G101" s="402"/>
      <c r="H101" s="426"/>
      <c r="I101" s="426"/>
      <c r="J101" s="184">
        <v>105</v>
      </c>
      <c r="K101" s="184" t="s">
        <v>67</v>
      </c>
      <c r="L101" s="184" t="s">
        <v>111</v>
      </c>
    </row>
    <row r="102" spans="2:12">
      <c r="B102" s="431"/>
      <c r="C102" s="431"/>
      <c r="D102" s="403"/>
      <c r="E102" s="404"/>
      <c r="F102" s="404"/>
      <c r="G102" s="405"/>
      <c r="H102" s="426"/>
      <c r="I102" s="426"/>
      <c r="J102" s="184">
        <v>103</v>
      </c>
      <c r="K102" s="184" t="s">
        <v>67</v>
      </c>
      <c r="L102" s="184" t="s">
        <v>112</v>
      </c>
    </row>
    <row r="103" spans="2:12">
      <c r="B103" s="431"/>
      <c r="C103" s="431"/>
      <c r="D103" s="403"/>
      <c r="E103" s="404"/>
      <c r="F103" s="404"/>
      <c r="G103" s="405"/>
      <c r="H103" s="426"/>
      <c r="I103" s="426"/>
      <c r="J103" s="184">
        <v>100</v>
      </c>
      <c r="K103" s="184" t="s">
        <v>67</v>
      </c>
      <c r="L103" s="184" t="s">
        <v>113</v>
      </c>
    </row>
    <row r="104" spans="2:12">
      <c r="B104" s="431"/>
      <c r="C104" s="431"/>
      <c r="D104" s="403"/>
      <c r="E104" s="404"/>
      <c r="F104" s="404"/>
      <c r="G104" s="405"/>
      <c r="H104" s="426"/>
      <c r="I104" s="426"/>
      <c r="J104" s="184">
        <v>98</v>
      </c>
      <c r="K104" s="184" t="s">
        <v>67</v>
      </c>
      <c r="L104" s="184" t="s">
        <v>114</v>
      </c>
    </row>
    <row r="105" spans="2:12">
      <c r="B105" s="431"/>
      <c r="C105" s="431"/>
      <c r="D105" s="403"/>
      <c r="E105" s="404"/>
      <c r="F105" s="404"/>
      <c r="G105" s="405"/>
      <c r="H105" s="426"/>
      <c r="I105" s="426"/>
      <c r="J105" s="184">
        <v>95</v>
      </c>
      <c r="K105" s="184" t="s">
        <v>67</v>
      </c>
      <c r="L105" s="184" t="s">
        <v>115</v>
      </c>
    </row>
    <row r="106" spans="2:12">
      <c r="B106" s="431"/>
      <c r="C106" s="431"/>
      <c r="D106" s="403"/>
      <c r="E106" s="404"/>
      <c r="F106" s="404"/>
      <c r="G106" s="405"/>
      <c r="H106" s="427"/>
      <c r="I106" s="427"/>
      <c r="J106" s="184">
        <v>93</v>
      </c>
      <c r="K106" s="184" t="s">
        <v>67</v>
      </c>
      <c r="L106" s="184" t="s">
        <v>116</v>
      </c>
    </row>
    <row r="107" spans="2:12">
      <c r="B107" s="431"/>
      <c r="C107" s="432"/>
      <c r="D107" s="406"/>
      <c r="E107" s="407"/>
      <c r="F107" s="407"/>
      <c r="G107" s="408"/>
      <c r="H107" s="397" t="s">
        <v>62</v>
      </c>
      <c r="I107" s="397"/>
      <c r="J107" s="397"/>
      <c r="K107" s="397"/>
      <c r="L107" s="397"/>
    </row>
    <row r="108" spans="2:12">
      <c r="B108" s="431"/>
      <c r="C108" s="430">
        <v>2</v>
      </c>
      <c r="D108" s="410" t="s">
        <v>117</v>
      </c>
      <c r="E108" s="410"/>
      <c r="F108" s="410"/>
      <c r="G108" s="410"/>
      <c r="H108" s="154" t="s">
        <v>65</v>
      </c>
      <c r="I108" s="169">
        <v>0.3</v>
      </c>
      <c r="J108" s="397" t="s">
        <v>72</v>
      </c>
      <c r="K108" s="397"/>
      <c r="L108" s="397"/>
    </row>
    <row r="109" spans="2:12">
      <c r="B109" s="431"/>
      <c r="C109" s="431"/>
      <c r="D109" s="410"/>
      <c r="E109" s="410"/>
      <c r="F109" s="410"/>
      <c r="G109" s="410"/>
      <c r="H109" s="425">
        <v>100</v>
      </c>
      <c r="I109" s="425">
        <f>H109*I108</f>
        <v>30</v>
      </c>
      <c r="J109" s="184">
        <v>120</v>
      </c>
      <c r="K109" s="184" t="s">
        <v>67</v>
      </c>
      <c r="L109" s="184" t="s">
        <v>107</v>
      </c>
    </row>
    <row r="110" spans="2:12">
      <c r="B110" s="431"/>
      <c r="C110" s="431"/>
      <c r="D110" s="410"/>
      <c r="E110" s="410"/>
      <c r="F110" s="410"/>
      <c r="G110" s="410"/>
      <c r="H110" s="426"/>
      <c r="I110" s="426"/>
      <c r="J110" s="184">
        <v>110</v>
      </c>
      <c r="K110" s="184" t="s">
        <v>67</v>
      </c>
      <c r="L110" s="184" t="s">
        <v>108</v>
      </c>
    </row>
    <row r="111" spans="2:12">
      <c r="B111" s="431"/>
      <c r="C111" s="431"/>
      <c r="D111" s="410"/>
      <c r="E111" s="410"/>
      <c r="F111" s="410"/>
      <c r="G111" s="410"/>
      <c r="H111" s="426"/>
      <c r="I111" s="426"/>
      <c r="J111" s="184">
        <v>108</v>
      </c>
      <c r="K111" s="184" t="s">
        <v>67</v>
      </c>
      <c r="L111" s="184" t="s">
        <v>109</v>
      </c>
    </row>
    <row r="112" spans="2:12">
      <c r="B112" s="431"/>
      <c r="C112" s="431"/>
      <c r="D112" s="400" t="s">
        <v>69</v>
      </c>
      <c r="E112" s="401"/>
      <c r="F112" s="401"/>
      <c r="G112" s="402"/>
      <c r="H112" s="426"/>
      <c r="I112" s="426"/>
      <c r="J112" s="184">
        <v>105</v>
      </c>
      <c r="K112" s="184" t="s">
        <v>67</v>
      </c>
      <c r="L112" s="184" t="s">
        <v>111</v>
      </c>
    </row>
    <row r="113" spans="2:12">
      <c r="B113" s="431"/>
      <c r="C113" s="431"/>
      <c r="D113" s="403" t="s">
        <v>118</v>
      </c>
      <c r="E113" s="404"/>
      <c r="F113" s="404"/>
      <c r="G113" s="405"/>
      <c r="H113" s="426"/>
      <c r="I113" s="426"/>
      <c r="J113" s="184">
        <v>103</v>
      </c>
      <c r="K113" s="184" t="s">
        <v>67</v>
      </c>
      <c r="L113" s="184" t="s">
        <v>112</v>
      </c>
    </row>
    <row r="114" spans="2:12">
      <c r="B114" s="431"/>
      <c r="C114" s="431"/>
      <c r="D114" s="403"/>
      <c r="E114" s="404"/>
      <c r="F114" s="404"/>
      <c r="G114" s="405"/>
      <c r="H114" s="426"/>
      <c r="I114" s="426"/>
      <c r="J114" s="184">
        <v>100</v>
      </c>
      <c r="K114" s="184" t="s">
        <v>67</v>
      </c>
      <c r="L114" s="184" t="s">
        <v>113</v>
      </c>
    </row>
    <row r="115" spans="2:12">
      <c r="B115" s="431"/>
      <c r="C115" s="431"/>
      <c r="D115" s="403"/>
      <c r="E115" s="404"/>
      <c r="F115" s="404"/>
      <c r="G115" s="405"/>
      <c r="H115" s="426"/>
      <c r="I115" s="426"/>
      <c r="J115" s="184">
        <v>98</v>
      </c>
      <c r="K115" s="184" t="s">
        <v>67</v>
      </c>
      <c r="L115" s="184" t="s">
        <v>114</v>
      </c>
    </row>
    <row r="116" spans="2:12">
      <c r="B116" s="431"/>
      <c r="C116" s="431"/>
      <c r="D116" s="403"/>
      <c r="E116" s="404"/>
      <c r="F116" s="404"/>
      <c r="G116" s="405"/>
      <c r="H116" s="426"/>
      <c r="I116" s="426"/>
      <c r="J116" s="184">
        <v>95</v>
      </c>
      <c r="K116" s="184" t="s">
        <v>67</v>
      </c>
      <c r="L116" s="184" t="s">
        <v>115</v>
      </c>
    </row>
    <row r="117" spans="2:12">
      <c r="B117" s="431"/>
      <c r="C117" s="431"/>
      <c r="D117" s="403"/>
      <c r="E117" s="404"/>
      <c r="F117" s="404"/>
      <c r="G117" s="405"/>
      <c r="H117" s="427"/>
      <c r="I117" s="427"/>
      <c r="J117" s="184">
        <v>93</v>
      </c>
      <c r="K117" s="184" t="s">
        <v>67</v>
      </c>
      <c r="L117" s="184" t="s">
        <v>116</v>
      </c>
    </row>
    <row r="118" spans="2:12">
      <c r="B118" s="431"/>
      <c r="C118" s="432"/>
      <c r="D118" s="406"/>
      <c r="E118" s="407"/>
      <c r="F118" s="407"/>
      <c r="G118" s="408"/>
      <c r="H118" s="397" t="s">
        <v>62</v>
      </c>
      <c r="I118" s="397"/>
      <c r="J118" s="397"/>
      <c r="K118" s="397"/>
      <c r="L118" s="397"/>
    </row>
    <row r="119" spans="2:12" ht="15" customHeight="1">
      <c r="B119" s="431"/>
      <c r="C119" s="430">
        <v>3</v>
      </c>
      <c r="D119" s="400" t="s">
        <v>119</v>
      </c>
      <c r="E119" s="401"/>
      <c r="F119" s="401"/>
      <c r="G119" s="402"/>
      <c r="H119" s="154" t="s">
        <v>65</v>
      </c>
      <c r="I119" s="169">
        <v>0.3</v>
      </c>
      <c r="J119" s="397" t="s">
        <v>72</v>
      </c>
      <c r="K119" s="397"/>
      <c r="L119" s="397"/>
    </row>
    <row r="120" spans="2:12">
      <c r="B120" s="431"/>
      <c r="C120" s="431"/>
      <c r="D120" s="403"/>
      <c r="E120" s="404"/>
      <c r="F120" s="404"/>
      <c r="G120" s="405"/>
      <c r="H120" s="425">
        <v>98</v>
      </c>
      <c r="I120" s="425">
        <f>H120*I119</f>
        <v>29.4</v>
      </c>
      <c r="J120" s="184">
        <v>120</v>
      </c>
      <c r="K120" s="184" t="s">
        <v>67</v>
      </c>
      <c r="L120" s="184" t="s">
        <v>107</v>
      </c>
    </row>
    <row r="121" spans="2:12">
      <c r="B121" s="431"/>
      <c r="C121" s="431"/>
      <c r="D121" s="403"/>
      <c r="E121" s="404"/>
      <c r="F121" s="404"/>
      <c r="G121" s="405"/>
      <c r="H121" s="426"/>
      <c r="I121" s="426"/>
      <c r="J121" s="184">
        <v>110</v>
      </c>
      <c r="K121" s="184" t="s">
        <v>67</v>
      </c>
      <c r="L121" s="184" t="s">
        <v>108</v>
      </c>
    </row>
    <row r="122" spans="2:12">
      <c r="B122" s="431"/>
      <c r="C122" s="431"/>
      <c r="D122" s="406"/>
      <c r="E122" s="407"/>
      <c r="F122" s="407"/>
      <c r="G122" s="408"/>
      <c r="H122" s="426"/>
      <c r="I122" s="426"/>
      <c r="J122" s="184">
        <v>108</v>
      </c>
      <c r="K122" s="184" t="s">
        <v>67</v>
      </c>
      <c r="L122" s="184" t="s">
        <v>109</v>
      </c>
    </row>
    <row r="123" spans="2:12">
      <c r="B123" s="431"/>
      <c r="C123" s="431"/>
      <c r="D123" s="422" t="s">
        <v>69</v>
      </c>
      <c r="E123" s="423"/>
      <c r="F123" s="423"/>
      <c r="G123" s="424"/>
      <c r="H123" s="426"/>
      <c r="I123" s="426"/>
      <c r="J123" s="184">
        <v>105</v>
      </c>
      <c r="K123" s="184" t="s">
        <v>67</v>
      </c>
      <c r="L123" s="184" t="s">
        <v>111</v>
      </c>
    </row>
    <row r="124" spans="2:12">
      <c r="B124" s="431"/>
      <c r="C124" s="431"/>
      <c r="D124" s="400" t="s">
        <v>120</v>
      </c>
      <c r="E124" s="401"/>
      <c r="F124" s="401"/>
      <c r="G124" s="402"/>
      <c r="H124" s="426"/>
      <c r="I124" s="426"/>
      <c r="J124" s="184">
        <v>103</v>
      </c>
      <c r="K124" s="184" t="s">
        <v>67</v>
      </c>
      <c r="L124" s="184" t="s">
        <v>112</v>
      </c>
    </row>
    <row r="125" spans="2:12">
      <c r="B125" s="431"/>
      <c r="C125" s="431"/>
      <c r="D125" s="403"/>
      <c r="E125" s="404"/>
      <c r="F125" s="404"/>
      <c r="G125" s="405"/>
      <c r="H125" s="426"/>
      <c r="I125" s="426"/>
      <c r="J125" s="184">
        <v>100</v>
      </c>
      <c r="K125" s="184" t="s">
        <v>67</v>
      </c>
      <c r="L125" s="184" t="s">
        <v>113</v>
      </c>
    </row>
    <row r="126" spans="2:12">
      <c r="B126" s="431"/>
      <c r="C126" s="431"/>
      <c r="D126" s="403"/>
      <c r="E126" s="404"/>
      <c r="F126" s="404"/>
      <c r="G126" s="405"/>
      <c r="H126" s="426"/>
      <c r="I126" s="426"/>
      <c r="J126" s="184">
        <v>98</v>
      </c>
      <c r="K126" s="184" t="s">
        <v>67</v>
      </c>
      <c r="L126" s="184" t="s">
        <v>114</v>
      </c>
    </row>
    <row r="127" spans="2:12">
      <c r="B127" s="431"/>
      <c r="C127" s="431"/>
      <c r="D127" s="403"/>
      <c r="E127" s="404"/>
      <c r="F127" s="404"/>
      <c r="G127" s="405"/>
      <c r="H127" s="426"/>
      <c r="I127" s="426"/>
      <c r="J127" s="184">
        <v>95</v>
      </c>
      <c r="K127" s="184" t="s">
        <v>67</v>
      </c>
      <c r="L127" s="184" t="s">
        <v>115</v>
      </c>
    </row>
    <row r="128" spans="2:12">
      <c r="B128" s="432"/>
      <c r="C128" s="432"/>
      <c r="D128" s="406"/>
      <c r="E128" s="407"/>
      <c r="F128" s="407"/>
      <c r="G128" s="408"/>
      <c r="H128" s="427"/>
      <c r="I128" s="427"/>
      <c r="J128" s="184">
        <v>93</v>
      </c>
      <c r="K128" s="184" t="s">
        <v>67</v>
      </c>
      <c r="L128" s="184" t="s">
        <v>116</v>
      </c>
    </row>
    <row r="129" spans="2:12">
      <c r="B129" s="183"/>
      <c r="C129" s="416" t="s">
        <v>93</v>
      </c>
      <c r="D129" s="417"/>
      <c r="E129" s="417"/>
      <c r="F129" s="417"/>
      <c r="G129" s="418"/>
      <c r="H129" s="419">
        <f>I98+I109+I120</f>
        <v>98.6</v>
      </c>
      <c r="I129" s="420"/>
      <c r="J129" s="420"/>
      <c r="K129" s="420"/>
      <c r="L129" s="421"/>
    </row>
    <row r="130" spans="2:12">
      <c r="B130" s="476">
        <v>3</v>
      </c>
      <c r="C130" s="400" t="s">
        <v>121</v>
      </c>
      <c r="D130" s="401"/>
      <c r="E130" s="401"/>
      <c r="F130" s="401"/>
      <c r="G130" s="402"/>
      <c r="H130" s="486"/>
      <c r="I130" s="487"/>
      <c r="J130" s="487"/>
      <c r="K130" s="487"/>
      <c r="L130" s="488"/>
    </row>
    <row r="131" spans="2:12">
      <c r="B131" s="477"/>
      <c r="C131" s="406"/>
      <c r="D131" s="407"/>
      <c r="E131" s="407"/>
      <c r="F131" s="407"/>
      <c r="G131" s="408"/>
      <c r="H131" s="489"/>
      <c r="I131" s="490"/>
      <c r="J131" s="490"/>
      <c r="K131" s="490"/>
      <c r="L131" s="491"/>
    </row>
    <row r="132" spans="2:12">
      <c r="B132" s="477"/>
      <c r="C132" s="422" t="s">
        <v>95</v>
      </c>
      <c r="D132" s="423"/>
      <c r="E132" s="423"/>
      <c r="F132" s="423"/>
      <c r="G132" s="424"/>
      <c r="H132" s="433" t="s">
        <v>62</v>
      </c>
      <c r="I132" s="433"/>
      <c r="J132" s="433"/>
      <c r="K132" s="433"/>
      <c r="L132" s="433"/>
    </row>
    <row r="133" spans="2:12">
      <c r="B133" s="477"/>
      <c r="C133" s="430">
        <v>1</v>
      </c>
      <c r="D133" s="400" t="s">
        <v>122</v>
      </c>
      <c r="E133" s="401"/>
      <c r="F133" s="401"/>
      <c r="G133" s="402"/>
      <c r="H133" s="154" t="s">
        <v>65</v>
      </c>
      <c r="I133" s="169">
        <v>0.25</v>
      </c>
      <c r="J133" s="433" t="s">
        <v>72</v>
      </c>
      <c r="K133" s="433"/>
      <c r="L133" s="433"/>
    </row>
    <row r="134" spans="2:12">
      <c r="B134" s="477"/>
      <c r="C134" s="431"/>
      <c r="D134" s="406"/>
      <c r="E134" s="407"/>
      <c r="F134" s="407"/>
      <c r="G134" s="408"/>
      <c r="H134" s="440"/>
      <c r="I134" s="440"/>
      <c r="J134" s="154"/>
      <c r="K134" s="154"/>
      <c r="L134" s="154"/>
    </row>
    <row r="135" spans="2:12">
      <c r="B135" s="477"/>
      <c r="C135" s="431"/>
      <c r="D135" s="422" t="s">
        <v>69</v>
      </c>
      <c r="E135" s="423"/>
      <c r="F135" s="423"/>
      <c r="G135" s="424"/>
      <c r="H135" s="441"/>
      <c r="I135" s="441"/>
      <c r="J135" s="154"/>
      <c r="K135" s="154"/>
      <c r="L135" s="154"/>
    </row>
    <row r="136" spans="2:12">
      <c r="B136" s="477"/>
      <c r="C136" s="432"/>
      <c r="D136" s="416"/>
      <c r="E136" s="417"/>
      <c r="F136" s="417"/>
      <c r="G136" s="418"/>
      <c r="H136" s="442"/>
      <c r="I136" s="442"/>
      <c r="J136" s="154"/>
      <c r="K136" s="154"/>
      <c r="L136" s="154"/>
    </row>
    <row r="137" spans="2:12">
      <c r="B137" s="477"/>
      <c r="C137" s="422" t="s">
        <v>78</v>
      </c>
      <c r="D137" s="423"/>
      <c r="E137" s="423"/>
      <c r="F137" s="423"/>
      <c r="G137" s="424"/>
      <c r="H137" s="433" t="s">
        <v>62</v>
      </c>
      <c r="I137" s="433"/>
      <c r="J137" s="433"/>
      <c r="K137" s="433"/>
      <c r="L137" s="433"/>
    </row>
    <row r="138" spans="2:12" ht="15" customHeight="1">
      <c r="B138" s="477"/>
      <c r="C138" s="430">
        <v>1</v>
      </c>
      <c r="D138" s="400" t="s">
        <v>123</v>
      </c>
      <c r="E138" s="401"/>
      <c r="F138" s="401"/>
      <c r="G138" s="402"/>
      <c r="H138" s="154" t="s">
        <v>65</v>
      </c>
      <c r="I138" s="169">
        <v>0.25</v>
      </c>
      <c r="J138" s="433" t="s">
        <v>72</v>
      </c>
      <c r="K138" s="433"/>
      <c r="L138" s="433"/>
    </row>
    <row r="139" spans="2:12">
      <c r="B139" s="477"/>
      <c r="C139" s="431"/>
      <c r="D139" s="403"/>
      <c r="E139" s="404"/>
      <c r="F139" s="404"/>
      <c r="G139" s="405"/>
      <c r="H139" s="440"/>
      <c r="I139" s="440"/>
      <c r="J139" s="154"/>
      <c r="K139" s="154"/>
      <c r="L139" s="154"/>
    </row>
    <row r="140" spans="2:12">
      <c r="B140" s="477"/>
      <c r="C140" s="431"/>
      <c r="D140" s="406"/>
      <c r="E140" s="407"/>
      <c r="F140" s="407"/>
      <c r="G140" s="408"/>
      <c r="H140" s="441"/>
      <c r="I140" s="441"/>
      <c r="J140" s="154"/>
      <c r="K140" s="154"/>
      <c r="L140" s="154"/>
    </row>
    <row r="141" spans="2:12">
      <c r="B141" s="477"/>
      <c r="C141" s="431"/>
      <c r="D141" s="479" t="s">
        <v>69</v>
      </c>
      <c r="E141" s="480"/>
      <c r="F141" s="480"/>
      <c r="G141" s="481"/>
      <c r="H141" s="441"/>
      <c r="I141" s="441"/>
      <c r="J141" s="154"/>
      <c r="K141" s="154"/>
      <c r="L141" s="154"/>
    </row>
    <row r="142" spans="2:12">
      <c r="B142" s="477"/>
      <c r="C142" s="431"/>
      <c r="D142" s="486"/>
      <c r="E142" s="487"/>
      <c r="F142" s="487"/>
      <c r="G142" s="488"/>
      <c r="H142" s="441"/>
      <c r="I142" s="441"/>
      <c r="J142" s="154"/>
      <c r="K142" s="154"/>
      <c r="L142" s="154"/>
    </row>
    <row r="143" spans="2:12">
      <c r="B143" s="477"/>
      <c r="C143" s="431"/>
      <c r="D143" s="494"/>
      <c r="E143" s="495"/>
      <c r="F143" s="495"/>
      <c r="G143" s="496"/>
      <c r="H143" s="441"/>
      <c r="I143" s="441"/>
      <c r="J143" s="154"/>
      <c r="K143" s="154"/>
      <c r="L143" s="154"/>
    </row>
    <row r="144" spans="2:12">
      <c r="B144" s="478"/>
      <c r="C144" s="432"/>
      <c r="D144" s="489"/>
      <c r="E144" s="490"/>
      <c r="F144" s="490"/>
      <c r="G144" s="491"/>
      <c r="H144" s="442"/>
      <c r="I144" s="442"/>
      <c r="J144" s="154"/>
      <c r="K144" s="154"/>
      <c r="L144" s="154"/>
    </row>
    <row r="145" spans="2:12">
      <c r="B145" s="186"/>
      <c r="C145" s="416" t="s">
        <v>77</v>
      </c>
      <c r="D145" s="417"/>
      <c r="E145" s="417"/>
      <c r="F145" s="417"/>
      <c r="G145" s="418"/>
      <c r="H145" s="185"/>
      <c r="I145" s="185"/>
      <c r="J145" s="154"/>
      <c r="K145" s="154"/>
      <c r="L145" s="154"/>
    </row>
    <row r="146" spans="2:12">
      <c r="B146" s="398">
        <v>4</v>
      </c>
      <c r="C146" s="153" t="s">
        <v>124</v>
      </c>
      <c r="D146" s="153"/>
      <c r="E146" s="153"/>
      <c r="F146" s="153"/>
      <c r="G146" s="153"/>
      <c r="H146" s="433" t="s">
        <v>62</v>
      </c>
      <c r="I146" s="433"/>
      <c r="J146" s="433"/>
      <c r="K146" s="433"/>
      <c r="L146" s="433"/>
    </row>
    <row r="147" spans="2:12">
      <c r="B147" s="398"/>
      <c r="C147" s="397" t="s">
        <v>95</v>
      </c>
      <c r="D147" s="397"/>
      <c r="E147" s="397"/>
      <c r="F147" s="397"/>
      <c r="G147" s="397"/>
      <c r="H147" s="154" t="s">
        <v>65</v>
      </c>
      <c r="I147" s="169">
        <v>0.7</v>
      </c>
      <c r="J147" s="433" t="s">
        <v>72</v>
      </c>
      <c r="K147" s="433"/>
      <c r="L147" s="433"/>
    </row>
    <row r="148" spans="2:12">
      <c r="B148" s="398"/>
      <c r="C148" s="397">
        <v>1</v>
      </c>
      <c r="D148" s="434" t="s">
        <v>125</v>
      </c>
      <c r="E148" s="434"/>
      <c r="F148" s="434"/>
      <c r="G148" s="434"/>
      <c r="H148" s="425">
        <f>12-E150-E156</f>
        <v>1</v>
      </c>
      <c r="I148" s="425">
        <f>VLOOKUP(H148,J148:L161,3,0)*I147</f>
        <v>73.5</v>
      </c>
      <c r="J148" s="154">
        <v>12</v>
      </c>
      <c r="K148" s="154" t="s">
        <v>126</v>
      </c>
      <c r="L148" s="154">
        <v>160</v>
      </c>
    </row>
    <row r="149" spans="2:12">
      <c r="B149" s="398"/>
      <c r="C149" s="397"/>
      <c r="D149" s="435" t="s">
        <v>127</v>
      </c>
      <c r="E149" s="435"/>
      <c r="F149" s="435"/>
      <c r="G149" s="435"/>
      <c r="H149" s="426"/>
      <c r="I149" s="426"/>
      <c r="J149" s="154">
        <v>11</v>
      </c>
      <c r="K149" s="154" t="s">
        <v>126</v>
      </c>
      <c r="L149" s="154">
        <v>155</v>
      </c>
    </row>
    <row r="150" spans="2:12">
      <c r="B150" s="398"/>
      <c r="C150" s="397"/>
      <c r="D150" s="397" t="s">
        <v>128</v>
      </c>
      <c r="E150" s="493">
        <v>7</v>
      </c>
      <c r="F150" s="493"/>
      <c r="G150" s="493"/>
      <c r="H150" s="426"/>
      <c r="I150" s="426"/>
      <c r="J150" s="154">
        <v>10</v>
      </c>
      <c r="K150" s="154" t="s">
        <v>126</v>
      </c>
      <c r="L150" s="154">
        <v>150</v>
      </c>
    </row>
    <row r="151" spans="2:12">
      <c r="B151" s="398"/>
      <c r="C151" s="397"/>
      <c r="D151" s="397"/>
      <c r="E151" s="493"/>
      <c r="F151" s="493"/>
      <c r="G151" s="493"/>
      <c r="H151" s="426"/>
      <c r="I151" s="426"/>
      <c r="J151" s="154">
        <v>9</v>
      </c>
      <c r="K151" s="154" t="s">
        <v>126</v>
      </c>
      <c r="L151" s="154">
        <v>145</v>
      </c>
    </row>
    <row r="152" spans="2:12">
      <c r="B152" s="398"/>
      <c r="C152" s="397"/>
      <c r="D152" s="397"/>
      <c r="E152" s="493"/>
      <c r="F152" s="493"/>
      <c r="G152" s="493"/>
      <c r="H152" s="426"/>
      <c r="I152" s="426"/>
      <c r="J152" s="154">
        <v>8</v>
      </c>
      <c r="K152" s="154" t="s">
        <v>126</v>
      </c>
      <c r="L152" s="154">
        <v>140</v>
      </c>
    </row>
    <row r="153" spans="2:12">
      <c r="B153" s="398"/>
      <c r="C153" s="397"/>
      <c r="D153" s="397"/>
      <c r="E153" s="493"/>
      <c r="F153" s="493"/>
      <c r="G153" s="493"/>
      <c r="H153" s="426"/>
      <c r="I153" s="426"/>
      <c r="J153" s="154">
        <v>7</v>
      </c>
      <c r="K153" s="154" t="s">
        <v>126</v>
      </c>
      <c r="L153" s="154">
        <v>135</v>
      </c>
    </row>
    <row r="154" spans="2:12">
      <c r="B154" s="398"/>
      <c r="C154" s="397"/>
      <c r="D154" s="397"/>
      <c r="E154" s="493"/>
      <c r="F154" s="493"/>
      <c r="G154" s="493"/>
      <c r="H154" s="426"/>
      <c r="I154" s="426"/>
      <c r="J154" s="154">
        <v>6</v>
      </c>
      <c r="K154" s="154" t="s">
        <v>126</v>
      </c>
      <c r="L154" s="154">
        <v>130</v>
      </c>
    </row>
    <row r="155" spans="2:12">
      <c r="B155" s="398"/>
      <c r="C155" s="397"/>
      <c r="D155" s="397"/>
      <c r="E155" s="493"/>
      <c r="F155" s="493"/>
      <c r="G155" s="493"/>
      <c r="H155" s="426"/>
      <c r="I155" s="426"/>
      <c r="J155" s="154">
        <v>5</v>
      </c>
      <c r="K155" s="154" t="s">
        <v>126</v>
      </c>
      <c r="L155" s="154">
        <v>125</v>
      </c>
    </row>
    <row r="156" spans="2:12">
      <c r="B156" s="398"/>
      <c r="C156" s="397"/>
      <c r="D156" s="433" t="s">
        <v>126</v>
      </c>
      <c r="E156" s="398">
        <v>4</v>
      </c>
      <c r="F156" s="398"/>
      <c r="G156" s="398"/>
      <c r="H156" s="426"/>
      <c r="I156" s="426"/>
      <c r="J156" s="154">
        <v>4</v>
      </c>
      <c r="K156" s="154" t="s">
        <v>126</v>
      </c>
      <c r="L156" s="154">
        <v>120</v>
      </c>
    </row>
    <row r="157" spans="2:12">
      <c r="B157" s="398"/>
      <c r="C157" s="397"/>
      <c r="D157" s="433"/>
      <c r="E157" s="398"/>
      <c r="F157" s="398"/>
      <c r="G157" s="398"/>
      <c r="H157" s="426"/>
      <c r="I157" s="426"/>
      <c r="J157" s="154">
        <v>3</v>
      </c>
      <c r="K157" s="154" t="s">
        <v>126</v>
      </c>
      <c r="L157" s="154">
        <v>115</v>
      </c>
    </row>
    <row r="158" spans="2:12">
      <c r="B158" s="398"/>
      <c r="C158" s="397"/>
      <c r="D158" s="433"/>
      <c r="E158" s="398"/>
      <c r="F158" s="398"/>
      <c r="G158" s="398"/>
      <c r="H158" s="426"/>
      <c r="I158" s="426"/>
      <c r="J158" s="154">
        <v>2</v>
      </c>
      <c r="K158" s="154" t="s">
        <v>126</v>
      </c>
      <c r="L158" s="154">
        <v>110</v>
      </c>
    </row>
    <row r="159" spans="2:12">
      <c r="B159" s="398"/>
      <c r="C159" s="397"/>
      <c r="D159" s="433"/>
      <c r="E159" s="398"/>
      <c r="F159" s="398"/>
      <c r="G159" s="398"/>
      <c r="H159" s="426"/>
      <c r="I159" s="426"/>
      <c r="J159" s="154">
        <v>1</v>
      </c>
      <c r="K159" s="154" t="s">
        <v>126</v>
      </c>
      <c r="L159" s="154">
        <v>105</v>
      </c>
    </row>
    <row r="160" spans="2:12">
      <c r="B160" s="398"/>
      <c r="C160" s="397"/>
      <c r="D160" s="433"/>
      <c r="E160" s="398"/>
      <c r="F160" s="398"/>
      <c r="G160" s="398"/>
      <c r="H160" s="426"/>
      <c r="I160" s="426"/>
      <c r="J160" s="154">
        <v>0</v>
      </c>
      <c r="K160" s="154" t="s">
        <v>126</v>
      </c>
      <c r="L160" s="154">
        <v>100</v>
      </c>
    </row>
    <row r="161" spans="2:12">
      <c r="B161" s="398"/>
      <c r="C161" s="397"/>
      <c r="D161" s="433"/>
      <c r="E161" s="398"/>
      <c r="F161" s="398"/>
      <c r="G161" s="398"/>
      <c r="H161" s="427"/>
      <c r="I161" s="427"/>
      <c r="J161" s="154">
        <v>1</v>
      </c>
      <c r="K161" s="154" t="s">
        <v>129</v>
      </c>
      <c r="L161" s="154">
        <v>-5</v>
      </c>
    </row>
    <row r="162" spans="2:12">
      <c r="B162" s="398"/>
      <c r="C162" s="397"/>
      <c r="D162" s="433"/>
      <c r="E162" s="398"/>
      <c r="F162" s="398"/>
      <c r="G162" s="398"/>
      <c r="H162" s="433" t="s">
        <v>62</v>
      </c>
      <c r="I162" s="433"/>
      <c r="J162" s="433"/>
      <c r="K162" s="433"/>
      <c r="L162" s="433"/>
    </row>
    <row r="163" spans="2:12">
      <c r="B163" s="398"/>
      <c r="C163" s="410">
        <v>2</v>
      </c>
      <c r="D163" s="397" t="s">
        <v>130</v>
      </c>
      <c r="E163" s="397"/>
      <c r="F163" s="397"/>
      <c r="G163" s="397"/>
      <c r="H163" s="154" t="s">
        <v>65</v>
      </c>
      <c r="I163" s="169">
        <v>0.2</v>
      </c>
      <c r="J163" s="433" t="s">
        <v>72</v>
      </c>
      <c r="K163" s="433"/>
      <c r="L163" s="433"/>
    </row>
    <row r="164" spans="2:12" ht="15" customHeight="1">
      <c r="B164" s="398"/>
      <c r="C164" s="410"/>
      <c r="D164" s="397" t="s">
        <v>127</v>
      </c>
      <c r="E164" s="397"/>
      <c r="F164" s="397"/>
      <c r="G164" s="397"/>
      <c r="H164" s="440">
        <v>1</v>
      </c>
      <c r="I164" s="440">
        <f>VLOOKUP(H164,$J$164:$L$168,3,0)*I163</f>
        <v>19.5</v>
      </c>
      <c r="J164" s="154">
        <v>0</v>
      </c>
      <c r="K164" s="492" t="s">
        <v>131</v>
      </c>
      <c r="L164" s="187">
        <v>110</v>
      </c>
    </row>
    <row r="165" spans="2:12">
      <c r="B165" s="398"/>
      <c r="C165" s="410"/>
      <c r="D165" s="397" t="s">
        <v>132</v>
      </c>
      <c r="E165" s="397"/>
      <c r="F165" s="397"/>
      <c r="G165" s="397"/>
      <c r="H165" s="441"/>
      <c r="I165" s="441"/>
      <c r="J165" s="154">
        <v>1</v>
      </c>
      <c r="K165" s="492"/>
      <c r="L165" s="187">
        <v>97.5</v>
      </c>
    </row>
    <row r="166" spans="2:12">
      <c r="B166" s="398"/>
      <c r="C166" s="410"/>
      <c r="D166" s="397"/>
      <c r="E166" s="397"/>
      <c r="F166" s="397"/>
      <c r="G166" s="397"/>
      <c r="H166" s="441"/>
      <c r="I166" s="441"/>
      <c r="J166" s="154">
        <v>2</v>
      </c>
      <c r="K166" s="492"/>
      <c r="L166" s="187">
        <v>95</v>
      </c>
    </row>
    <row r="167" spans="2:12">
      <c r="B167" s="398"/>
      <c r="C167" s="410"/>
      <c r="D167" s="397"/>
      <c r="E167" s="397"/>
      <c r="F167" s="397"/>
      <c r="G167" s="397"/>
      <c r="H167" s="441"/>
      <c r="I167" s="441"/>
      <c r="J167" s="154">
        <v>3</v>
      </c>
      <c r="K167" s="492"/>
      <c r="L167" s="187">
        <f>L166-2.5</f>
        <v>92.5</v>
      </c>
    </row>
    <row r="168" spans="2:12">
      <c r="B168" s="398"/>
      <c r="C168" s="410"/>
      <c r="D168" s="397"/>
      <c r="E168" s="397"/>
      <c r="F168" s="397"/>
      <c r="G168" s="397"/>
      <c r="H168" s="442"/>
      <c r="I168" s="442"/>
      <c r="J168" s="154">
        <v>4</v>
      </c>
      <c r="K168" s="492"/>
      <c r="L168" s="187">
        <f>L167-2.5</f>
        <v>90</v>
      </c>
    </row>
    <row r="169" spans="2:12">
      <c r="B169" s="398"/>
      <c r="C169" s="410"/>
      <c r="D169" s="397"/>
      <c r="E169" s="397"/>
      <c r="F169" s="397"/>
      <c r="G169" s="397"/>
      <c r="H169" s="433" t="s">
        <v>62</v>
      </c>
      <c r="I169" s="433"/>
      <c r="J169" s="433"/>
      <c r="K169" s="433"/>
      <c r="L169" s="433"/>
    </row>
    <row r="170" spans="2:12">
      <c r="B170" s="398"/>
      <c r="C170" s="397">
        <v>3</v>
      </c>
      <c r="D170" s="397" t="s">
        <v>133</v>
      </c>
      <c r="E170" s="397"/>
      <c r="F170" s="397"/>
      <c r="G170" s="397"/>
      <c r="H170" s="154" t="s">
        <v>65</v>
      </c>
      <c r="I170" s="169">
        <v>0.1</v>
      </c>
      <c r="J170" s="433" t="s">
        <v>72</v>
      </c>
      <c r="K170" s="433"/>
      <c r="L170" s="433"/>
    </row>
    <row r="171" spans="2:12" ht="15" customHeight="1">
      <c r="B171" s="398"/>
      <c r="C171" s="397"/>
      <c r="D171" s="397" t="s">
        <v>127</v>
      </c>
      <c r="E171" s="397"/>
      <c r="F171" s="397"/>
      <c r="G171" s="397"/>
      <c r="H171" s="425">
        <v>0</v>
      </c>
      <c r="I171" s="425">
        <f>VLOOKUP(H171,$J$171:$L$176,3,0)*I170</f>
        <v>11</v>
      </c>
      <c r="J171" s="154">
        <v>0</v>
      </c>
      <c r="K171" s="492" t="s">
        <v>134</v>
      </c>
      <c r="L171" s="187">
        <v>110</v>
      </c>
    </row>
    <row r="172" spans="2:12">
      <c r="B172" s="398"/>
      <c r="C172" s="397"/>
      <c r="D172" s="397" t="s">
        <v>135</v>
      </c>
      <c r="E172" s="397"/>
      <c r="F172" s="397"/>
      <c r="G172" s="397"/>
      <c r="H172" s="426"/>
      <c r="I172" s="426"/>
      <c r="J172" s="154">
        <v>1</v>
      </c>
      <c r="K172" s="492"/>
      <c r="L172" s="187">
        <v>97.5</v>
      </c>
    </row>
    <row r="173" spans="2:12">
      <c r="B173" s="398"/>
      <c r="C173" s="397"/>
      <c r="D173" s="397"/>
      <c r="E173" s="397"/>
      <c r="F173" s="397"/>
      <c r="G173" s="397"/>
      <c r="H173" s="426"/>
      <c r="I173" s="426"/>
      <c r="J173" s="154">
        <v>2</v>
      </c>
      <c r="K173" s="492"/>
      <c r="L173" s="187">
        <v>95</v>
      </c>
    </row>
    <row r="174" spans="2:12">
      <c r="B174" s="398"/>
      <c r="C174" s="397"/>
      <c r="D174" s="397"/>
      <c r="E174" s="397"/>
      <c r="F174" s="397"/>
      <c r="G174" s="397"/>
      <c r="H174" s="426"/>
      <c r="I174" s="426"/>
      <c r="J174" s="154">
        <v>3</v>
      </c>
      <c r="K174" s="492"/>
      <c r="L174" s="187">
        <f>L173-2.5</f>
        <v>92.5</v>
      </c>
    </row>
    <row r="175" spans="2:12">
      <c r="B175" s="398"/>
      <c r="C175" s="397"/>
      <c r="D175" s="397"/>
      <c r="E175" s="397"/>
      <c r="F175" s="397"/>
      <c r="G175" s="397"/>
      <c r="H175" s="426"/>
      <c r="I175" s="426"/>
      <c r="J175" s="154">
        <v>4</v>
      </c>
      <c r="K175" s="492"/>
      <c r="L175" s="187">
        <f>L174-2.5</f>
        <v>90</v>
      </c>
    </row>
    <row r="176" spans="2:12">
      <c r="B176" s="398"/>
      <c r="C176" s="397"/>
      <c r="D176" s="397"/>
      <c r="E176" s="397"/>
      <c r="F176" s="397"/>
      <c r="G176" s="397"/>
      <c r="H176" s="427"/>
      <c r="I176" s="427"/>
      <c r="J176" s="154"/>
      <c r="K176" s="492"/>
      <c r="L176" s="154"/>
    </row>
    <row r="177" spans="2:12">
      <c r="B177" s="398"/>
      <c r="C177" s="398" t="s">
        <v>77</v>
      </c>
      <c r="D177" s="398"/>
      <c r="E177" s="398"/>
      <c r="F177" s="398"/>
      <c r="G177" s="398"/>
      <c r="H177" s="399">
        <f>I148+I164+I171</f>
        <v>104</v>
      </c>
      <c r="I177" s="399"/>
      <c r="J177" s="399"/>
      <c r="K177" s="399"/>
      <c r="L177" s="399"/>
    </row>
    <row r="180" spans="2:12">
      <c r="B180" s="346" t="s">
        <v>136</v>
      </c>
      <c r="C180" s="346"/>
      <c r="D180" s="346"/>
      <c r="E180" s="346"/>
      <c r="F180" s="346"/>
      <c r="G180" s="346"/>
      <c r="H180" s="346"/>
      <c r="I180" s="346"/>
      <c r="J180" s="346"/>
      <c r="K180" s="346"/>
      <c r="L180" s="346"/>
    </row>
    <row r="181" spans="2:12">
      <c r="B181" s="445"/>
      <c r="C181" s="445"/>
      <c r="D181" s="445"/>
      <c r="E181" s="445"/>
      <c r="F181" s="445"/>
      <c r="G181" s="445"/>
      <c r="H181" s="445"/>
      <c r="I181" s="445"/>
      <c r="J181" s="445"/>
      <c r="K181" s="445"/>
      <c r="L181" s="445"/>
    </row>
    <row r="182" spans="2:12">
      <c r="B182" s="446"/>
      <c r="C182" s="447"/>
      <c r="D182" s="447"/>
      <c r="E182" s="447"/>
      <c r="F182" s="447"/>
      <c r="G182" s="447"/>
      <c r="H182" s="447"/>
      <c r="I182" s="447"/>
      <c r="J182" s="447"/>
      <c r="K182" s="447"/>
      <c r="L182" s="448"/>
    </row>
    <row r="183" spans="2:12">
      <c r="B183" s="449"/>
      <c r="C183" s="450"/>
      <c r="D183" s="450"/>
      <c r="E183" s="450"/>
      <c r="F183" s="450"/>
      <c r="G183" s="450"/>
      <c r="H183" s="450"/>
      <c r="I183" s="450"/>
      <c r="J183" s="450"/>
      <c r="K183" s="450"/>
      <c r="L183" s="451"/>
    </row>
    <row r="184" spans="2:12">
      <c r="B184" s="449"/>
      <c r="C184" s="450"/>
      <c r="D184" s="450"/>
      <c r="E184" s="450"/>
      <c r="F184" s="450"/>
      <c r="G184" s="450"/>
      <c r="H184" s="450"/>
      <c r="I184" s="450"/>
      <c r="J184" s="450"/>
      <c r="K184" s="450"/>
      <c r="L184" s="451"/>
    </row>
    <row r="185" spans="2:12">
      <c r="B185" s="452"/>
      <c r="C185" s="453"/>
      <c r="D185" s="453"/>
      <c r="E185" s="453"/>
      <c r="F185" s="453"/>
      <c r="G185" s="453"/>
      <c r="H185" s="453"/>
      <c r="I185" s="453"/>
      <c r="J185" s="453"/>
      <c r="K185" s="453"/>
      <c r="L185" s="454"/>
    </row>
    <row r="187" spans="2:12">
      <c r="B187" s="346" t="s">
        <v>137</v>
      </c>
      <c r="C187" s="346"/>
      <c r="D187" s="346"/>
      <c r="E187" s="346"/>
      <c r="F187" s="346"/>
      <c r="G187" s="346"/>
      <c r="H187" s="346"/>
      <c r="I187" s="346"/>
      <c r="J187" s="346"/>
      <c r="K187" s="346"/>
      <c r="L187" s="346"/>
    </row>
    <row r="188" spans="2:12">
      <c r="B188" s="346"/>
      <c r="C188" s="346"/>
      <c r="D188" s="346"/>
      <c r="E188" s="346"/>
      <c r="F188" s="346"/>
      <c r="G188" s="346"/>
      <c r="H188" s="346"/>
      <c r="I188" s="346"/>
      <c r="J188" s="346"/>
      <c r="K188" s="346"/>
      <c r="L188" s="346"/>
    </row>
    <row r="189" spans="2:12">
      <c r="B189" s="411"/>
      <c r="C189" s="411"/>
      <c r="D189" s="411"/>
      <c r="E189" s="411"/>
      <c r="F189" s="411"/>
      <c r="G189" s="411"/>
      <c r="H189" s="411"/>
      <c r="I189" s="411"/>
      <c r="J189" s="411"/>
      <c r="K189" s="411"/>
      <c r="L189" s="411"/>
    </row>
    <row r="190" spans="2:12">
      <c r="B190" s="411"/>
      <c r="C190" s="411"/>
      <c r="D190" s="411"/>
      <c r="E190" s="411"/>
      <c r="F190" s="411"/>
      <c r="G190" s="411"/>
      <c r="H190" s="411"/>
      <c r="I190" s="411"/>
      <c r="J190" s="411"/>
      <c r="K190" s="411"/>
      <c r="L190" s="411"/>
    </row>
    <row r="191" spans="2:12">
      <c r="B191" s="411"/>
      <c r="C191" s="411"/>
      <c r="D191" s="411"/>
      <c r="E191" s="411"/>
      <c r="F191" s="411"/>
      <c r="G191" s="411"/>
      <c r="H191" s="411"/>
      <c r="I191" s="411"/>
      <c r="J191" s="411"/>
      <c r="K191" s="411"/>
      <c r="L191" s="411"/>
    </row>
    <row r="192" spans="2:12">
      <c r="B192" s="411"/>
      <c r="C192" s="411"/>
      <c r="D192" s="411"/>
      <c r="E192" s="411"/>
      <c r="F192" s="411"/>
      <c r="G192" s="411"/>
      <c r="H192" s="411"/>
      <c r="I192" s="411"/>
      <c r="J192" s="411"/>
      <c r="K192" s="411"/>
      <c r="L192" s="411"/>
    </row>
    <row r="193" spans="2:12">
      <c r="B193" s="411"/>
      <c r="C193" s="411"/>
      <c r="D193" s="411"/>
      <c r="E193" s="411"/>
      <c r="F193" s="411"/>
      <c r="G193" s="411"/>
      <c r="H193" s="411"/>
      <c r="I193" s="411"/>
      <c r="J193" s="411"/>
      <c r="K193" s="411"/>
      <c r="L193" s="411"/>
    </row>
    <row r="195" spans="2:12">
      <c r="B195" s="148" t="s">
        <v>138</v>
      </c>
    </row>
    <row r="197" spans="2:12">
      <c r="B197" t="s">
        <v>139</v>
      </c>
      <c r="D197" t="s">
        <v>140</v>
      </c>
      <c r="F197" t="s">
        <v>141</v>
      </c>
      <c r="J197" t="s">
        <v>142</v>
      </c>
    </row>
    <row r="199" spans="2:12">
      <c r="B199" t="s">
        <v>78</v>
      </c>
      <c r="D199" t="s">
        <v>140</v>
      </c>
      <c r="F199" t="s">
        <v>141</v>
      </c>
      <c r="J199" t="s">
        <v>142</v>
      </c>
    </row>
    <row r="201" spans="2:12">
      <c r="B201" t="s">
        <v>143</v>
      </c>
    </row>
    <row r="202" spans="2:12">
      <c r="B202" s="455" t="s">
        <v>144</v>
      </c>
      <c r="C202" s="456"/>
      <c r="D202" s="188"/>
      <c r="E202" s="438" t="s">
        <v>145</v>
      </c>
      <c r="F202" s="401" t="s">
        <v>39</v>
      </c>
      <c r="G202" s="189"/>
      <c r="H202" s="189"/>
      <c r="I202" s="401" t="s">
        <v>146</v>
      </c>
      <c r="J202" s="401"/>
      <c r="K202" s="443" t="s">
        <v>41</v>
      </c>
      <c r="L202" s="192"/>
    </row>
    <row r="203" spans="2:12">
      <c r="B203" s="457"/>
      <c r="C203" s="458"/>
      <c r="D203" s="190"/>
      <c r="E203" s="439"/>
      <c r="F203" s="404"/>
      <c r="I203" s="404"/>
      <c r="J203" s="404"/>
      <c r="K203" s="444"/>
      <c r="L203" s="193"/>
    </row>
    <row r="204" spans="2:12">
      <c r="B204" s="436" t="s">
        <v>147</v>
      </c>
      <c r="C204" s="437"/>
      <c r="D204" s="191"/>
      <c r="E204" s="437" t="s">
        <v>147</v>
      </c>
      <c r="F204" s="437"/>
      <c r="G204" s="191"/>
      <c r="H204" s="191"/>
      <c r="I204" s="437" t="s">
        <v>147</v>
      </c>
      <c r="J204" s="437"/>
      <c r="K204" s="191"/>
      <c r="L204" s="194"/>
    </row>
  </sheetData>
  <mergeCells count="200">
    <mergeCell ref="C130:G131"/>
    <mergeCell ref="H130:L131"/>
    <mergeCell ref="C87:C94"/>
    <mergeCell ref="C97:C107"/>
    <mergeCell ref="H177:L177"/>
    <mergeCell ref="K164:K168"/>
    <mergeCell ref="K171:K176"/>
    <mergeCell ref="C145:G145"/>
    <mergeCell ref="E150:G155"/>
    <mergeCell ref="E156:G162"/>
    <mergeCell ref="C132:G132"/>
    <mergeCell ref="I134:I136"/>
    <mergeCell ref="I139:I144"/>
    <mergeCell ref="D133:G134"/>
    <mergeCell ref="D138:G140"/>
    <mergeCell ref="D142:G144"/>
    <mergeCell ref="C133:C136"/>
    <mergeCell ref="C138:C144"/>
    <mergeCell ref="J97:L97"/>
    <mergeCell ref="D100:G100"/>
    <mergeCell ref="H107:L107"/>
    <mergeCell ref="J108:L108"/>
    <mergeCell ref="D112:G112"/>
    <mergeCell ref="H118:L118"/>
    <mergeCell ref="P31:Q32"/>
    <mergeCell ref="D23:G24"/>
    <mergeCell ref="D25:G26"/>
    <mergeCell ref="D36:G38"/>
    <mergeCell ref="D40:G42"/>
    <mergeCell ref="C17:C24"/>
    <mergeCell ref="C25:C33"/>
    <mergeCell ref="C36:C42"/>
    <mergeCell ref="C43:C52"/>
    <mergeCell ref="C34:G34"/>
    <mergeCell ref="H34:L34"/>
    <mergeCell ref="C35:G35"/>
    <mergeCell ref="H35:L35"/>
    <mergeCell ref="J36:L36"/>
    <mergeCell ref="D39:G39"/>
    <mergeCell ref="H42:L42"/>
    <mergeCell ref="J43:L43"/>
    <mergeCell ref="P33:Q33"/>
    <mergeCell ref="O18:O19"/>
    <mergeCell ref="O27:O28"/>
    <mergeCell ref="H18:H23"/>
    <mergeCell ref="H26:H33"/>
    <mergeCell ref="I18:I23"/>
    <mergeCell ref="I26:I33"/>
    <mergeCell ref="B1:E2"/>
    <mergeCell ref="D17:G21"/>
    <mergeCell ref="B10:G11"/>
    <mergeCell ref="H10:L11"/>
    <mergeCell ref="C12:G15"/>
    <mergeCell ref="D43:G46"/>
    <mergeCell ref="D28:G33"/>
    <mergeCell ref="B72:B128"/>
    <mergeCell ref="B130:B144"/>
    <mergeCell ref="C75:C86"/>
    <mergeCell ref="H132:L132"/>
    <mergeCell ref="J133:L133"/>
    <mergeCell ref="D135:G135"/>
    <mergeCell ref="D136:G136"/>
    <mergeCell ref="C137:G137"/>
    <mergeCell ref="H137:L137"/>
    <mergeCell ref="J138:L138"/>
    <mergeCell ref="D141:G141"/>
    <mergeCell ref="H134:H136"/>
    <mergeCell ref="K90:L91"/>
    <mergeCell ref="D97:G99"/>
    <mergeCell ref="D101:G107"/>
    <mergeCell ref="D119:G122"/>
    <mergeCell ref="H139:H144"/>
    <mergeCell ref="B204:C204"/>
    <mergeCell ref="E204:F204"/>
    <mergeCell ref="I204:J204"/>
    <mergeCell ref="E202:E203"/>
    <mergeCell ref="F202:F203"/>
    <mergeCell ref="H164:H168"/>
    <mergeCell ref="H171:H176"/>
    <mergeCell ref="I164:I168"/>
    <mergeCell ref="I171:I176"/>
    <mergeCell ref="C170:C176"/>
    <mergeCell ref="D164:G164"/>
    <mergeCell ref="H169:L169"/>
    <mergeCell ref="D170:G170"/>
    <mergeCell ref="J170:L170"/>
    <mergeCell ref="D171:G171"/>
    <mergeCell ref="C177:G177"/>
    <mergeCell ref="K202:K203"/>
    <mergeCell ref="D172:G176"/>
    <mergeCell ref="B180:L181"/>
    <mergeCell ref="B182:L185"/>
    <mergeCell ref="D165:G169"/>
    <mergeCell ref="B187:L188"/>
    <mergeCell ref="B189:L193"/>
    <mergeCell ref="B202:C203"/>
    <mergeCell ref="I202:J203"/>
    <mergeCell ref="B146:B177"/>
    <mergeCell ref="C148:C162"/>
    <mergeCell ref="C163:C169"/>
    <mergeCell ref="H146:L146"/>
    <mergeCell ref="C147:G147"/>
    <mergeCell ref="J147:L147"/>
    <mergeCell ref="D148:G148"/>
    <mergeCell ref="D149:G149"/>
    <mergeCell ref="H162:L162"/>
    <mergeCell ref="D163:G163"/>
    <mergeCell ref="J163:L163"/>
    <mergeCell ref="D150:D155"/>
    <mergeCell ref="D156:D162"/>
    <mergeCell ref="H148:H161"/>
    <mergeCell ref="I148:I161"/>
    <mergeCell ref="J119:L119"/>
    <mergeCell ref="D123:G123"/>
    <mergeCell ref="C129:G129"/>
    <mergeCell ref="H129:L129"/>
    <mergeCell ref="H98:H106"/>
    <mergeCell ref="H109:H117"/>
    <mergeCell ref="H120:H128"/>
    <mergeCell ref="I98:I106"/>
    <mergeCell ref="I109:I117"/>
    <mergeCell ref="I120:I128"/>
    <mergeCell ref="C108:C118"/>
    <mergeCell ref="C119:C128"/>
    <mergeCell ref="D124:G128"/>
    <mergeCell ref="D108:G111"/>
    <mergeCell ref="D113:G118"/>
    <mergeCell ref="C96:G96"/>
    <mergeCell ref="H96:L96"/>
    <mergeCell ref="H76:H85"/>
    <mergeCell ref="H88:H94"/>
    <mergeCell ref="I76:I85"/>
    <mergeCell ref="I88:I94"/>
    <mergeCell ref="J76:J79"/>
    <mergeCell ref="J80:J81"/>
    <mergeCell ref="J82:J85"/>
    <mergeCell ref="J88:J89"/>
    <mergeCell ref="J90:J91"/>
    <mergeCell ref="J92:J94"/>
    <mergeCell ref="K76:L79"/>
    <mergeCell ref="K80:L81"/>
    <mergeCell ref="K82:L85"/>
    <mergeCell ref="I54:I59"/>
    <mergeCell ref="I62:I70"/>
    <mergeCell ref="D61:G62"/>
    <mergeCell ref="J75:L75"/>
    <mergeCell ref="D80:G80"/>
    <mergeCell ref="H86:L86"/>
    <mergeCell ref="J87:L87"/>
    <mergeCell ref="D92:G92"/>
    <mergeCell ref="C95:G95"/>
    <mergeCell ref="H95:L95"/>
    <mergeCell ref="B3:D3"/>
    <mergeCell ref="B4:D4"/>
    <mergeCell ref="B5:D5"/>
    <mergeCell ref="B6:D6"/>
    <mergeCell ref="B7:D7"/>
    <mergeCell ref="B8:D8"/>
    <mergeCell ref="H72:L73"/>
    <mergeCell ref="C72:G73"/>
    <mergeCell ref="K92:L94"/>
    <mergeCell ref="K88:L89"/>
    <mergeCell ref="H60:L60"/>
    <mergeCell ref="J61:L61"/>
    <mergeCell ref="D63:G63"/>
    <mergeCell ref="C71:G71"/>
    <mergeCell ref="H71:L71"/>
    <mergeCell ref="C74:G74"/>
    <mergeCell ref="H74:L74"/>
    <mergeCell ref="C53:C60"/>
    <mergeCell ref="C61:C70"/>
    <mergeCell ref="D75:G79"/>
    <mergeCell ref="D81:G86"/>
    <mergeCell ref="D93:G94"/>
    <mergeCell ref="D87:G91"/>
    <mergeCell ref="J53:L53"/>
    <mergeCell ref="H12:K12"/>
    <mergeCell ref="H13:K13"/>
    <mergeCell ref="H14:K14"/>
    <mergeCell ref="B12:B70"/>
    <mergeCell ref="H52:L52"/>
    <mergeCell ref="H37:H41"/>
    <mergeCell ref="H44:H51"/>
    <mergeCell ref="I37:I41"/>
    <mergeCell ref="I44:I51"/>
    <mergeCell ref="D47:G52"/>
    <mergeCell ref="H15:K15"/>
    <mergeCell ref="C16:G16"/>
    <mergeCell ref="H16:L16"/>
    <mergeCell ref="J17:L17"/>
    <mergeCell ref="D22:G22"/>
    <mergeCell ref="H24:L24"/>
    <mergeCell ref="J25:L25"/>
    <mergeCell ref="D27:G27"/>
    <mergeCell ref="D64:G70"/>
    <mergeCell ref="D53:G56"/>
    <mergeCell ref="D58:G60"/>
    <mergeCell ref="D57:G57"/>
    <mergeCell ref="H54:H59"/>
    <mergeCell ref="H62:H70"/>
  </mergeCells>
  <pageMargins left="0.7" right="0.7" top="0.75" bottom="0.75" header="0.3" footer="0.3"/>
  <pageSetup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pageSetUpPr autoPageBreaks="0"/>
  </sheetPr>
  <dimension ref="A1:AL1381"/>
  <sheetViews>
    <sheetView showGridLines="0" tabSelected="1" zoomScale="93" zoomScaleNormal="93" workbookViewId="0">
      <pane ySplit="3" topLeftCell="A223" activePane="bottomLeft" state="frozen"/>
      <selection pane="bottomLeft" activeCell="E29" sqref="E29:E37"/>
    </sheetView>
  </sheetViews>
  <sheetFormatPr defaultColWidth="9" defaultRowHeight="14.5"/>
  <cols>
    <col min="1" max="1" width="1.08984375" customWidth="1"/>
    <col min="2" max="2" width="6.453125" customWidth="1"/>
    <col min="3" max="3" width="64.54296875" customWidth="1"/>
    <col min="4" max="4" width="11" customWidth="1"/>
    <col min="5" max="5" width="7.36328125" customWidth="1"/>
    <col min="6" max="6" width="7.6328125" customWidth="1"/>
    <col min="7" max="7" width="24.453125" customWidth="1"/>
    <col min="8" max="8" width="6.1796875" customWidth="1"/>
    <col min="9" max="9" width="5.08984375" customWidth="1"/>
    <col min="10" max="10" width="2" customWidth="1"/>
    <col min="12" max="12" width="12.90625"/>
    <col min="14" max="14" width="9.1796875" customWidth="1"/>
    <col min="15" max="18" width="4" customWidth="1"/>
    <col min="19" max="19" width="5.90625" customWidth="1"/>
    <col min="20" max="26" width="4.453125" customWidth="1"/>
    <col min="27" max="30" width="4" customWidth="1"/>
    <col min="33" max="33" width="19.26953125" customWidth="1"/>
    <col min="34" max="34" width="44.08984375" customWidth="1"/>
    <col min="35" max="35" width="16.36328125" customWidth="1"/>
    <col min="36" max="36" width="17.6328125" customWidth="1"/>
    <col min="37" max="37" width="9" customWidth="1"/>
    <col min="38" max="38" width="3.08984375" customWidth="1"/>
  </cols>
  <sheetData>
    <row r="1" spans="1:35" ht="18" customHeight="1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82"/>
      <c r="T1" s="83">
        <v>1</v>
      </c>
      <c r="U1" s="83">
        <v>2</v>
      </c>
      <c r="V1" s="83">
        <v>3</v>
      </c>
      <c r="W1" s="83">
        <v>4</v>
      </c>
      <c r="X1" s="83">
        <v>5</v>
      </c>
      <c r="Y1" s="83">
        <v>6</v>
      </c>
      <c r="Z1" s="83">
        <v>7</v>
      </c>
      <c r="AA1" s="83">
        <v>8</v>
      </c>
      <c r="AB1" s="83">
        <v>9</v>
      </c>
      <c r="AC1" s="83">
        <v>10</v>
      </c>
      <c r="AD1" s="36"/>
      <c r="AE1" s="36"/>
      <c r="AF1" s="36"/>
      <c r="AG1" s="36"/>
      <c r="AH1" s="36"/>
      <c r="AI1" s="36"/>
    </row>
    <row r="2" spans="1:35" ht="18" customHeigh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253" t="s">
        <v>148</v>
      </c>
      <c r="O2" s="254"/>
      <c r="P2" s="255"/>
      <c r="Q2" s="255"/>
      <c r="R2" s="36"/>
      <c r="S2" s="84" t="s">
        <v>139</v>
      </c>
      <c r="T2" s="85"/>
      <c r="U2" s="86"/>
      <c r="V2" s="86"/>
      <c r="W2" s="86"/>
      <c r="X2" s="86"/>
      <c r="Y2" s="85"/>
      <c r="Z2" s="86"/>
      <c r="AA2" s="86"/>
      <c r="AB2" s="86"/>
      <c r="AC2" s="86"/>
      <c r="AD2" s="36"/>
      <c r="AE2" s="36"/>
      <c r="AF2" s="36"/>
      <c r="AG2" s="36"/>
      <c r="AH2" s="36"/>
      <c r="AI2" s="36"/>
    </row>
    <row r="3" spans="1:3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87" t="s">
        <v>78</v>
      </c>
      <c r="T3" s="88"/>
      <c r="U3" s="88"/>
      <c r="V3" s="88"/>
      <c r="W3" s="88"/>
      <c r="X3" s="88"/>
      <c r="Y3" s="88"/>
      <c r="Z3" s="88"/>
      <c r="AA3" s="88"/>
      <c r="AB3" s="88"/>
      <c r="AC3" s="88"/>
      <c r="AD3" s="36"/>
      <c r="AE3" s="36"/>
      <c r="AF3" s="36"/>
      <c r="AG3" s="36"/>
      <c r="AH3" s="36"/>
      <c r="AI3" s="36"/>
    </row>
    <row r="4" spans="1:35" ht="19.5" customHeight="1">
      <c r="A4" s="36"/>
      <c r="B4" s="267" t="s">
        <v>35</v>
      </c>
      <c r="C4" s="268"/>
      <c r="D4" s="268"/>
      <c r="E4" s="268"/>
      <c r="F4" s="268"/>
      <c r="G4" s="268"/>
      <c r="H4" s="268"/>
      <c r="I4" s="269"/>
      <c r="J4" s="36"/>
      <c r="K4" s="36"/>
      <c r="L4" s="36"/>
      <c r="M4" s="36"/>
      <c r="N4" s="36"/>
      <c r="O4" s="36"/>
      <c r="P4" s="36"/>
      <c r="Q4" s="36"/>
      <c r="R4" s="212" t="s">
        <v>0</v>
      </c>
      <c r="S4" s="36"/>
      <c r="T4" s="36"/>
      <c r="U4" s="212" t="s">
        <v>0</v>
      </c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</row>
    <row r="5" spans="1:35" ht="15" customHeight="1">
      <c r="A5" s="36"/>
      <c r="B5" s="270"/>
      <c r="C5" s="271"/>
      <c r="D5" s="271"/>
      <c r="E5" s="271"/>
      <c r="F5" s="271"/>
      <c r="G5" s="271"/>
      <c r="H5" s="271"/>
      <c r="I5" s="272"/>
      <c r="J5" s="36"/>
      <c r="K5" s="36"/>
      <c r="L5" s="36"/>
      <c r="M5" s="36"/>
      <c r="N5" s="36"/>
      <c r="O5" s="36"/>
      <c r="P5" s="36"/>
      <c r="Q5" s="36"/>
      <c r="R5" s="212" t="s">
        <v>0</v>
      </c>
      <c r="S5" s="36"/>
      <c r="T5" s="36"/>
      <c r="U5" s="212" t="s">
        <v>0</v>
      </c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</row>
    <row r="6" spans="1:35" ht="15.75" customHeight="1">
      <c r="A6" s="36"/>
      <c r="B6" s="37" t="s">
        <v>36</v>
      </c>
      <c r="C6" s="38"/>
      <c r="D6" s="256" t="s">
        <v>208</v>
      </c>
      <c r="E6" s="256"/>
      <c r="F6" s="256"/>
      <c r="G6" s="256"/>
      <c r="H6" s="256"/>
      <c r="I6" s="257"/>
      <c r="J6" s="36"/>
      <c r="K6" s="36"/>
      <c r="L6" s="36"/>
      <c r="M6" s="36"/>
      <c r="N6" s="36"/>
      <c r="O6" s="36"/>
      <c r="P6" s="36"/>
      <c r="Q6" s="36"/>
      <c r="R6" s="212" t="s">
        <v>0</v>
      </c>
      <c r="S6" s="36"/>
      <c r="T6" s="36"/>
      <c r="U6" s="212" t="s">
        <v>0</v>
      </c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</row>
    <row r="7" spans="1:35" ht="15" customHeight="1">
      <c r="A7" s="36"/>
      <c r="B7" s="39" t="s">
        <v>149</v>
      </c>
      <c r="C7" s="40"/>
      <c r="D7" s="258" t="s">
        <v>211</v>
      </c>
      <c r="E7" s="258"/>
      <c r="F7" s="258"/>
      <c r="G7" s="258"/>
      <c r="H7" s="258"/>
      <c r="I7" s="259"/>
      <c r="J7" s="36"/>
      <c r="K7" s="36"/>
      <c r="L7" s="36"/>
      <c r="M7" s="36"/>
      <c r="N7" s="36"/>
      <c r="O7" s="36"/>
      <c r="P7" s="36"/>
      <c r="Q7" s="36"/>
      <c r="R7" s="212" t="s">
        <v>0</v>
      </c>
      <c r="S7" s="36"/>
      <c r="T7" s="36"/>
      <c r="U7" s="212" t="s">
        <v>0</v>
      </c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</row>
    <row r="8" spans="1:35" ht="15" customHeight="1">
      <c r="A8" s="36"/>
      <c r="B8" s="39" t="s">
        <v>38</v>
      </c>
      <c r="C8" s="40"/>
      <c r="D8" s="258" t="s">
        <v>208</v>
      </c>
      <c r="E8" s="258"/>
      <c r="F8" s="258"/>
      <c r="G8" s="258"/>
      <c r="H8" s="258"/>
      <c r="I8" s="259"/>
      <c r="J8" s="36"/>
      <c r="K8" s="36"/>
      <c r="L8" s="36"/>
      <c r="M8" s="36"/>
      <c r="N8" s="36"/>
      <c r="O8" s="36"/>
      <c r="P8" s="36"/>
      <c r="Q8" s="36"/>
      <c r="R8" s="212" t="s">
        <v>0</v>
      </c>
      <c r="S8" s="36"/>
      <c r="T8" s="36"/>
      <c r="U8" s="212" t="s">
        <v>0</v>
      </c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</row>
    <row r="9" spans="1:35" ht="15" customHeight="1">
      <c r="A9" s="36"/>
      <c r="B9" s="39" t="s">
        <v>40</v>
      </c>
      <c r="C9" s="40"/>
      <c r="D9" s="258" t="s">
        <v>210</v>
      </c>
      <c r="E9" s="258"/>
      <c r="F9" s="258"/>
      <c r="G9" s="258"/>
      <c r="H9" s="258"/>
      <c r="I9" s="259"/>
      <c r="J9" s="36"/>
      <c r="K9" s="36"/>
      <c r="L9" s="36"/>
      <c r="M9" s="36"/>
      <c r="N9" s="36"/>
      <c r="O9" s="36"/>
      <c r="P9" s="36"/>
      <c r="Q9" s="36"/>
      <c r="R9" s="212" t="s">
        <v>0</v>
      </c>
      <c r="S9" s="36"/>
      <c r="T9" s="36"/>
      <c r="U9" s="212" t="s">
        <v>0</v>
      </c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</row>
    <row r="10" spans="1:35">
      <c r="A10" s="36"/>
      <c r="B10" s="39" t="s">
        <v>42</v>
      </c>
      <c r="C10" s="40"/>
      <c r="D10" s="260">
        <v>46023</v>
      </c>
      <c r="E10" s="260"/>
      <c r="F10" s="260"/>
      <c r="G10" s="260"/>
      <c r="H10" s="260"/>
      <c r="I10" s="261"/>
      <c r="J10" s="36"/>
      <c r="K10" s="36"/>
      <c r="L10" s="36"/>
      <c r="M10" s="36"/>
      <c r="N10" s="36"/>
      <c r="O10" s="36"/>
      <c r="P10" s="36"/>
      <c r="Q10" s="36"/>
      <c r="R10" s="212" t="s">
        <v>0</v>
      </c>
      <c r="S10" s="36"/>
      <c r="T10" s="36"/>
      <c r="U10" s="212" t="s">
        <v>0</v>
      </c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</row>
    <row r="11" spans="1:35">
      <c r="A11" s="36"/>
      <c r="B11" s="39" t="s">
        <v>150</v>
      </c>
      <c r="C11" s="40"/>
      <c r="D11" s="262" t="s">
        <v>209</v>
      </c>
      <c r="E11" s="263"/>
      <c r="F11" s="263"/>
      <c r="G11" s="263"/>
      <c r="H11" s="263"/>
      <c r="I11" s="264"/>
      <c r="J11" s="36"/>
      <c r="K11" s="36"/>
      <c r="L11" s="36"/>
      <c r="M11" s="36"/>
      <c r="N11" s="36"/>
      <c r="O11" s="36"/>
      <c r="P11" s="36"/>
      <c r="Q11" s="36"/>
      <c r="R11" s="212" t="s">
        <v>0</v>
      </c>
      <c r="S11" s="36"/>
      <c r="T11" s="36"/>
      <c r="U11" s="212" t="s">
        <v>0</v>
      </c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</row>
    <row r="12" spans="1:35">
      <c r="A12" s="36"/>
      <c r="B12" s="44" t="s">
        <v>45</v>
      </c>
      <c r="C12" s="45"/>
      <c r="D12" s="265">
        <v>46381</v>
      </c>
      <c r="E12" s="265"/>
      <c r="F12" s="265"/>
      <c r="G12" s="265"/>
      <c r="H12" s="265"/>
      <c r="I12" s="266"/>
      <c r="J12" s="36"/>
      <c r="K12" s="36"/>
      <c r="L12" s="36"/>
      <c r="M12" s="36"/>
      <c r="N12" s="36"/>
      <c r="O12" s="36"/>
      <c r="P12" s="36"/>
      <c r="Q12" s="36"/>
      <c r="R12" s="212" t="s">
        <v>0</v>
      </c>
      <c r="S12" s="36"/>
      <c r="T12" s="36"/>
      <c r="U12" s="212" t="s">
        <v>0</v>
      </c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</row>
    <row r="13" spans="1:35" ht="15" thickBot="1">
      <c r="A13" s="36"/>
      <c r="B13" s="46"/>
      <c r="C13" s="46"/>
      <c r="D13" s="46"/>
      <c r="E13" s="47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212" t="s">
        <v>0</v>
      </c>
      <c r="S13" s="36"/>
      <c r="T13" s="36"/>
      <c r="U13" s="212" t="s">
        <v>0</v>
      </c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</row>
    <row r="14" spans="1:35" ht="16.5" customHeight="1">
      <c r="A14" s="36"/>
      <c r="B14" s="227" t="s">
        <v>151</v>
      </c>
      <c r="C14" s="228"/>
      <c r="D14" s="249" t="s">
        <v>8</v>
      </c>
      <c r="E14" s="249"/>
      <c r="F14" s="249"/>
      <c r="G14" s="249"/>
      <c r="H14" s="249"/>
      <c r="I14" s="232"/>
      <c r="J14" s="36"/>
      <c r="K14" s="36"/>
      <c r="L14" s="36"/>
      <c r="M14" s="36"/>
      <c r="N14" s="36"/>
      <c r="O14" s="36"/>
      <c r="P14" s="36"/>
      <c r="Q14" s="36"/>
      <c r="R14" s="212" t="s">
        <v>0</v>
      </c>
      <c r="S14" s="36"/>
      <c r="T14" s="36"/>
      <c r="U14" s="212" t="s">
        <v>0</v>
      </c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</row>
    <row r="15" spans="1:35" ht="19.5" customHeight="1" thickBot="1">
      <c r="A15" s="36"/>
      <c r="B15" s="229" t="s">
        <v>213</v>
      </c>
      <c r="C15" s="230"/>
      <c r="D15" s="250"/>
      <c r="E15" s="250"/>
      <c r="F15" s="250"/>
      <c r="G15" s="250"/>
      <c r="H15" s="250"/>
      <c r="I15" s="233"/>
      <c r="J15" s="36"/>
      <c r="K15" s="36"/>
      <c r="L15" s="36"/>
      <c r="M15" s="36"/>
      <c r="N15" s="36"/>
      <c r="O15" s="36"/>
      <c r="P15" s="36"/>
      <c r="Q15" s="36"/>
      <c r="R15" s="212" t="s">
        <v>0</v>
      </c>
      <c r="S15" s="36"/>
      <c r="T15" s="36"/>
      <c r="U15" s="212" t="s">
        <v>0</v>
      </c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</row>
    <row r="16" spans="1:35" ht="15" thickBot="1">
      <c r="A16" s="212" t="s">
        <v>0</v>
      </c>
      <c r="B16" s="36"/>
      <c r="C16" s="36"/>
      <c r="D16" s="36"/>
      <c r="E16" s="36"/>
      <c r="F16" s="36"/>
      <c r="G16" s="36"/>
      <c r="H16" s="36"/>
      <c r="I16" s="212" t="s">
        <v>0</v>
      </c>
      <c r="J16" s="36"/>
      <c r="K16" s="36"/>
      <c r="L16" s="36"/>
      <c r="M16" s="36"/>
      <c r="N16" s="36"/>
      <c r="O16" s="36"/>
      <c r="P16" s="36"/>
      <c r="Q16" s="36"/>
      <c r="R16" s="212" t="s">
        <v>0</v>
      </c>
      <c r="S16" s="36"/>
      <c r="T16" s="36"/>
      <c r="U16" s="212" t="s">
        <v>0</v>
      </c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</row>
    <row r="17" spans="1:38" ht="15" thickBot="1">
      <c r="A17" s="212" t="s">
        <v>0</v>
      </c>
      <c r="B17" s="52" t="s">
        <v>152</v>
      </c>
      <c r="C17" s="231" t="s">
        <v>153</v>
      </c>
      <c r="D17" s="280" t="s">
        <v>9</v>
      </c>
      <c r="E17" s="281"/>
      <c r="F17" s="53" t="s">
        <v>154</v>
      </c>
      <c r="G17" s="54"/>
      <c r="H17" s="55"/>
      <c r="I17" s="212" t="s">
        <v>0</v>
      </c>
      <c r="J17" s="36"/>
      <c r="K17" s="290" t="s">
        <v>155</v>
      </c>
      <c r="L17" s="291"/>
      <c r="M17" s="292"/>
      <c r="N17" s="36"/>
      <c r="O17" s="36"/>
      <c r="P17" s="36"/>
      <c r="Q17" s="89"/>
      <c r="R17" s="213" t="s">
        <v>0</v>
      </c>
      <c r="S17" s="89"/>
      <c r="T17" s="89"/>
      <c r="U17" s="213" t="s">
        <v>0</v>
      </c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36"/>
      <c r="AG17" s="89">
        <v>1</v>
      </c>
      <c r="AH17" s="89">
        <v>2</v>
      </c>
      <c r="AI17" s="89">
        <v>3</v>
      </c>
      <c r="AJ17" s="90">
        <v>4</v>
      </c>
      <c r="AK17" s="90">
        <v>5</v>
      </c>
      <c r="AL17" s="90"/>
    </row>
    <row r="18" spans="1:38" ht="15" customHeight="1" thickBot="1">
      <c r="A18" s="212" t="s">
        <v>0</v>
      </c>
      <c r="B18" s="251">
        <v>1</v>
      </c>
      <c r="C18" s="370" t="s">
        <v>214</v>
      </c>
      <c r="D18" s="56" t="s">
        <v>156</v>
      </c>
      <c r="E18" s="57">
        <v>0.5</v>
      </c>
      <c r="F18" s="58">
        <v>1</v>
      </c>
      <c r="G18" s="59" t="s">
        <v>218</v>
      </c>
      <c r="H18" s="60">
        <v>115</v>
      </c>
      <c r="I18" s="212" t="s">
        <v>0</v>
      </c>
      <c r="J18" s="36"/>
      <c r="K18" s="73" t="s">
        <v>153</v>
      </c>
      <c r="L18" s="74" t="s">
        <v>9</v>
      </c>
      <c r="M18" s="75" t="s">
        <v>158</v>
      </c>
      <c r="N18" s="36"/>
      <c r="O18" s="36"/>
      <c r="P18" s="36"/>
      <c r="Q18" s="89"/>
      <c r="R18" s="213" t="s">
        <v>0</v>
      </c>
      <c r="S18" s="89"/>
      <c r="T18" s="213" t="s">
        <v>0</v>
      </c>
      <c r="U18" s="213" t="s">
        <v>0</v>
      </c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36"/>
      <c r="AG18" s="89" t="str">
        <f t="shared" ref="AG18:AG47" si="0">$AI$18&amp;$AL18</f>
        <v>NN1</v>
      </c>
      <c r="AH18" s="91" t="s">
        <v>36</v>
      </c>
      <c r="AI18" s="92" t="str">
        <f>D6</f>
        <v>NN</v>
      </c>
      <c r="AJ18" s="90"/>
      <c r="AK18" s="90"/>
      <c r="AL18" s="90">
        <v>1</v>
      </c>
    </row>
    <row r="19" spans="1:38">
      <c r="A19" s="212" t="s">
        <v>0</v>
      </c>
      <c r="B19" s="252"/>
      <c r="C19" s="371"/>
      <c r="D19" s="342">
        <v>0</v>
      </c>
      <c r="E19" s="307">
        <f>IF(D19=0,0,VLOOKUP($D19,$F18:$H27,3,FALSE)*$E18)</f>
        <v>0</v>
      </c>
      <c r="F19" s="62">
        <v>2</v>
      </c>
      <c r="G19" s="63" t="s">
        <v>217</v>
      </c>
      <c r="H19" s="64">
        <v>110</v>
      </c>
      <c r="I19" s="212" t="s">
        <v>0</v>
      </c>
      <c r="J19" s="36"/>
      <c r="K19" s="61">
        <v>1</v>
      </c>
      <c r="L19" s="76">
        <f>E19</f>
        <v>0</v>
      </c>
      <c r="M19" s="381">
        <f>SUM(L19:L23)</f>
        <v>0</v>
      </c>
      <c r="N19" s="36"/>
      <c r="O19" s="36"/>
      <c r="P19" s="36"/>
      <c r="Q19" s="89"/>
      <c r="R19" s="213" t="s">
        <v>0</v>
      </c>
      <c r="S19" s="89"/>
      <c r="T19" s="213" t="s">
        <v>0</v>
      </c>
      <c r="U19" s="213" t="s">
        <v>0</v>
      </c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36"/>
      <c r="AG19" s="89" t="str">
        <f t="shared" si="0"/>
        <v>NN2</v>
      </c>
      <c r="AH19" s="91" t="s">
        <v>38</v>
      </c>
      <c r="AI19" s="93" t="str">
        <f>D8</f>
        <v>NN</v>
      </c>
      <c r="AJ19" s="90"/>
      <c r="AK19" s="90"/>
      <c r="AL19" s="90">
        <v>2</v>
      </c>
    </row>
    <row r="20" spans="1:38">
      <c r="A20" s="212" t="s">
        <v>0</v>
      </c>
      <c r="B20" s="252"/>
      <c r="C20" s="371"/>
      <c r="D20" s="321"/>
      <c r="E20" s="308"/>
      <c r="F20" s="62">
        <v>3</v>
      </c>
      <c r="G20" s="63" t="s">
        <v>216</v>
      </c>
      <c r="H20" s="64">
        <v>105</v>
      </c>
      <c r="I20" s="212" t="s">
        <v>0</v>
      </c>
      <c r="J20" s="36"/>
      <c r="K20" s="65">
        <v>2</v>
      </c>
      <c r="L20" s="77">
        <v>0</v>
      </c>
      <c r="M20" s="381"/>
      <c r="N20" s="36"/>
      <c r="O20" s="36"/>
      <c r="P20" s="36"/>
      <c r="Q20" s="89"/>
      <c r="R20" s="213" t="s">
        <v>0</v>
      </c>
      <c r="S20" s="89"/>
      <c r="T20" s="213" t="s">
        <v>0</v>
      </c>
      <c r="U20" s="36"/>
      <c r="V20" s="36"/>
      <c r="W20" s="36"/>
      <c r="X20" s="36"/>
      <c r="Y20" s="36"/>
      <c r="Z20" s="36"/>
      <c r="AA20" s="89"/>
      <c r="AB20" s="89"/>
      <c r="AC20" s="89"/>
      <c r="AD20" s="89"/>
      <c r="AE20" s="89"/>
      <c r="AF20" s="36"/>
      <c r="AG20" s="89" t="str">
        <f t="shared" si="0"/>
        <v>NN3</v>
      </c>
      <c r="AH20" s="91" t="s">
        <v>40</v>
      </c>
      <c r="AI20" s="93" t="str">
        <f>D9</f>
        <v>Arfin Indra C</v>
      </c>
      <c r="AJ20" s="90"/>
      <c r="AK20" s="90"/>
      <c r="AL20" s="90">
        <v>3</v>
      </c>
    </row>
    <row r="21" spans="1:38">
      <c r="A21" s="212" t="s">
        <v>0</v>
      </c>
      <c r="B21" s="252"/>
      <c r="C21" s="371"/>
      <c r="D21" s="321"/>
      <c r="E21" s="308"/>
      <c r="F21" s="62">
        <v>4</v>
      </c>
      <c r="G21" s="63" t="s">
        <v>215</v>
      </c>
      <c r="H21" s="64">
        <v>100</v>
      </c>
      <c r="I21" s="212" t="s">
        <v>0</v>
      </c>
      <c r="J21" s="36"/>
      <c r="K21" s="65">
        <v>3</v>
      </c>
      <c r="L21" s="77">
        <f>E39</f>
        <v>0</v>
      </c>
      <c r="M21" s="381"/>
      <c r="N21" s="36"/>
      <c r="O21" s="36"/>
      <c r="P21" s="36"/>
      <c r="Q21" s="89"/>
      <c r="R21" s="213" t="s">
        <v>0</v>
      </c>
      <c r="S21" s="89"/>
      <c r="T21" s="213" t="s">
        <v>0</v>
      </c>
      <c r="U21" s="36"/>
      <c r="V21" s="36"/>
      <c r="W21" s="36"/>
      <c r="X21" s="36"/>
      <c r="Y21" s="36"/>
      <c r="Z21" s="36"/>
      <c r="AA21" s="89"/>
      <c r="AB21" s="89"/>
      <c r="AC21" s="89"/>
      <c r="AD21" s="89"/>
      <c r="AE21" s="89"/>
      <c r="AF21" s="36"/>
      <c r="AG21" s="89" t="str">
        <f t="shared" si="0"/>
        <v>NN4</v>
      </c>
      <c r="AH21" s="91" t="s">
        <v>42</v>
      </c>
      <c r="AI21" s="94">
        <f>D10</f>
        <v>46023</v>
      </c>
      <c r="AJ21" s="90"/>
      <c r="AK21" s="90"/>
      <c r="AL21" s="90">
        <v>4</v>
      </c>
    </row>
    <row r="22" spans="1:38">
      <c r="A22" s="212" t="s">
        <v>0</v>
      </c>
      <c r="B22" s="252"/>
      <c r="C22" s="371"/>
      <c r="D22" s="321"/>
      <c r="E22" s="308"/>
      <c r="F22" s="62">
        <v>5</v>
      </c>
      <c r="G22" s="63" t="s">
        <v>219</v>
      </c>
      <c r="H22" s="64">
        <v>95</v>
      </c>
      <c r="I22" s="212" t="s">
        <v>0</v>
      </c>
      <c r="J22" s="36"/>
      <c r="K22" s="65">
        <v>4</v>
      </c>
      <c r="L22" s="77">
        <f>E49</f>
        <v>0</v>
      </c>
      <c r="M22" s="381"/>
      <c r="N22" s="36"/>
      <c r="O22" s="36"/>
      <c r="P22" s="36"/>
      <c r="Q22" s="89"/>
      <c r="R22" s="213" t="s">
        <v>0</v>
      </c>
      <c r="S22" s="89"/>
      <c r="T22" s="213" t="s">
        <v>0</v>
      </c>
      <c r="U22" s="36"/>
      <c r="V22" s="36"/>
      <c r="W22" s="36"/>
      <c r="X22" s="36"/>
      <c r="Y22" s="36"/>
      <c r="Z22" s="36"/>
      <c r="AA22" s="89"/>
      <c r="AB22" s="89"/>
      <c r="AC22" s="89"/>
      <c r="AD22" s="89"/>
      <c r="AE22" s="89"/>
      <c r="AF22" s="36"/>
      <c r="AG22" s="89" t="str">
        <f t="shared" si="0"/>
        <v>NN5</v>
      </c>
      <c r="AH22" s="91" t="s">
        <v>43</v>
      </c>
      <c r="AI22" s="95" t="str">
        <f>D11</f>
        <v>Tanggal 5 setiap bulan</v>
      </c>
      <c r="AJ22" s="90"/>
      <c r="AK22" s="90"/>
      <c r="AL22" s="90">
        <v>5</v>
      </c>
    </row>
    <row r="23" spans="1:38" ht="15" customHeight="1" thickBot="1">
      <c r="A23" s="212" t="s">
        <v>0</v>
      </c>
      <c r="B23" s="252"/>
      <c r="C23" s="371"/>
      <c r="D23" s="321"/>
      <c r="E23" s="308"/>
      <c r="F23" s="62">
        <v>6</v>
      </c>
      <c r="G23" s="63" t="s">
        <v>220</v>
      </c>
      <c r="H23" s="64">
        <v>90</v>
      </c>
      <c r="I23" s="212" t="s">
        <v>0</v>
      </c>
      <c r="J23" s="36"/>
      <c r="K23" s="66">
        <v>5</v>
      </c>
      <c r="L23" s="78">
        <f>E59</f>
        <v>0</v>
      </c>
      <c r="M23" s="382"/>
      <c r="N23" s="36"/>
      <c r="O23" s="36"/>
      <c r="P23" s="36"/>
      <c r="Q23" s="89"/>
      <c r="R23" s="213" t="s">
        <v>0</v>
      </c>
      <c r="S23" s="89"/>
      <c r="T23" s="213" t="s">
        <v>0</v>
      </c>
      <c r="U23" s="36"/>
      <c r="V23" s="36"/>
      <c r="W23" s="36"/>
      <c r="X23" s="36"/>
      <c r="Y23" s="36"/>
      <c r="Z23" s="36"/>
      <c r="AA23" s="89"/>
      <c r="AB23" s="89"/>
      <c r="AC23" s="89"/>
      <c r="AD23" s="89"/>
      <c r="AE23" s="89"/>
      <c r="AF23" s="36"/>
      <c r="AG23" s="89" t="str">
        <f t="shared" si="0"/>
        <v>NN6</v>
      </c>
      <c r="AH23" s="91" t="s">
        <v>45</v>
      </c>
      <c r="AI23" s="96">
        <f>D12</f>
        <v>46381</v>
      </c>
      <c r="AJ23" s="90"/>
      <c r="AK23" s="90"/>
      <c r="AL23" s="90">
        <v>6</v>
      </c>
    </row>
    <row r="24" spans="1:38" ht="15" customHeight="1" thickBot="1">
      <c r="A24" s="212" t="s">
        <v>0</v>
      </c>
      <c r="B24" s="252"/>
      <c r="C24" s="371"/>
      <c r="D24" s="321"/>
      <c r="E24" s="308"/>
      <c r="F24" s="62">
        <v>7</v>
      </c>
      <c r="G24" s="63" t="s">
        <v>221</v>
      </c>
      <c r="H24" s="64">
        <v>85</v>
      </c>
      <c r="I24" s="212" t="s">
        <v>0</v>
      </c>
      <c r="J24" s="36"/>
      <c r="K24" s="36"/>
      <c r="L24" s="36"/>
      <c r="M24" s="36"/>
      <c r="N24" s="36"/>
      <c r="O24" s="36"/>
      <c r="P24" s="36"/>
      <c r="Q24" s="89"/>
      <c r="R24" s="213" t="s">
        <v>0</v>
      </c>
      <c r="S24" s="89"/>
      <c r="T24" s="213" t="s">
        <v>0</v>
      </c>
      <c r="U24" s="36"/>
      <c r="V24" s="36"/>
      <c r="W24" s="36"/>
      <c r="X24" s="36"/>
      <c r="Y24" s="36"/>
      <c r="Z24" s="36"/>
      <c r="AA24" s="89"/>
      <c r="AB24" s="89"/>
      <c r="AC24" s="89"/>
      <c r="AD24" s="89"/>
      <c r="AE24" s="89"/>
      <c r="AF24" s="36"/>
      <c r="AG24" s="89" t="str">
        <f t="shared" si="0"/>
        <v>NN10</v>
      </c>
      <c r="AH24" s="97" t="s">
        <v>5</v>
      </c>
      <c r="AI24" s="97" t="s">
        <v>8</v>
      </c>
      <c r="AJ24" s="98" t="s">
        <v>51</v>
      </c>
      <c r="AK24" s="98" t="s">
        <v>52</v>
      </c>
      <c r="AL24" s="90">
        <v>10</v>
      </c>
    </row>
    <row r="25" spans="1:38" ht="15" thickBot="1">
      <c r="A25" s="212" t="s">
        <v>0</v>
      </c>
      <c r="B25" s="273"/>
      <c r="C25" s="372"/>
      <c r="D25" s="321"/>
      <c r="E25" s="308"/>
      <c r="F25" s="62">
        <v>8</v>
      </c>
      <c r="G25" s="63" t="s">
        <v>222</v>
      </c>
      <c r="H25" s="64">
        <v>80</v>
      </c>
      <c r="I25" s="212" t="s">
        <v>0</v>
      </c>
      <c r="J25" s="36"/>
      <c r="K25" s="293" t="s">
        <v>93</v>
      </c>
      <c r="L25" s="294"/>
      <c r="M25" s="295"/>
      <c r="N25" s="36"/>
      <c r="O25" s="36"/>
      <c r="P25" s="36"/>
      <c r="Q25" s="89"/>
      <c r="R25" s="213" t="s">
        <v>0</v>
      </c>
      <c r="S25" s="89"/>
      <c r="T25" s="213" t="s">
        <v>0</v>
      </c>
      <c r="U25" s="36"/>
      <c r="V25" s="36"/>
      <c r="W25" s="36"/>
      <c r="X25" s="36"/>
      <c r="Y25" s="36"/>
      <c r="Z25" s="36"/>
      <c r="AA25" s="89"/>
      <c r="AB25" s="89"/>
      <c r="AC25" s="89"/>
      <c r="AD25" s="89"/>
      <c r="AE25" s="89"/>
      <c r="AF25" s="36"/>
      <c r="AG25" s="89" t="str">
        <f t="shared" si="0"/>
        <v>NN11</v>
      </c>
      <c r="AH25" s="99" t="str">
        <f>B15</f>
        <v>Omset 9 produk fokus 1,2 Milyar</v>
      </c>
      <c r="AI25" s="100">
        <f>D15</f>
        <v>0</v>
      </c>
      <c r="AJ25" s="101">
        <f>M19</f>
        <v>0</v>
      </c>
      <c r="AK25" s="102">
        <f>AI25*AJ25</f>
        <v>0</v>
      </c>
      <c r="AL25" s="90">
        <v>11</v>
      </c>
    </row>
    <row r="26" spans="1:38" ht="15" thickBot="1">
      <c r="A26" s="212" t="s">
        <v>0</v>
      </c>
      <c r="B26" s="274" t="s">
        <v>158</v>
      </c>
      <c r="C26" s="353"/>
      <c r="D26" s="321"/>
      <c r="E26" s="308"/>
      <c r="F26" s="62">
        <v>9</v>
      </c>
      <c r="G26" s="63" t="s">
        <v>223</v>
      </c>
      <c r="H26" s="64">
        <v>50</v>
      </c>
      <c r="I26" s="212" t="s">
        <v>0</v>
      </c>
      <c r="J26" s="36"/>
      <c r="K26" s="79" t="s">
        <v>6</v>
      </c>
      <c r="L26" s="80" t="s">
        <v>9</v>
      </c>
      <c r="M26" s="81" t="s">
        <v>158</v>
      </c>
      <c r="N26" s="36"/>
      <c r="O26" s="36"/>
      <c r="P26" s="36"/>
      <c r="Q26" s="89"/>
      <c r="R26" s="213" t="s">
        <v>0</v>
      </c>
      <c r="S26" s="89"/>
      <c r="T26" s="213" t="s">
        <v>0</v>
      </c>
      <c r="U26" s="36"/>
      <c r="V26" s="36"/>
      <c r="W26" s="36"/>
      <c r="X26" s="36"/>
      <c r="Y26" s="36"/>
      <c r="Z26" s="36"/>
      <c r="AA26" s="89"/>
      <c r="AB26" s="89"/>
      <c r="AC26" s="89"/>
      <c r="AD26" s="89"/>
      <c r="AE26" s="89"/>
      <c r="AF26" s="36"/>
      <c r="AG26" s="89" t="str">
        <f t="shared" si="0"/>
        <v>NN12</v>
      </c>
      <c r="AH26" s="99" t="str">
        <f>B123</f>
        <v>Absensi</v>
      </c>
      <c r="AI26" s="103">
        <f>D123</f>
        <v>0.1</v>
      </c>
      <c r="AJ26" s="101">
        <f>M126</f>
        <v>0</v>
      </c>
      <c r="AK26" s="102">
        <f>AI26*AJ26</f>
        <v>0</v>
      </c>
      <c r="AL26" s="90">
        <v>12</v>
      </c>
    </row>
    <row r="27" spans="1:38" ht="30" customHeight="1" thickBot="1">
      <c r="A27" s="212" t="s">
        <v>0</v>
      </c>
      <c r="B27" s="275"/>
      <c r="C27" s="354"/>
      <c r="D27" s="322"/>
      <c r="E27" s="309"/>
      <c r="F27" s="67"/>
      <c r="G27" s="68"/>
      <c r="H27" s="64"/>
      <c r="I27" s="212" t="s">
        <v>0</v>
      </c>
      <c r="J27" s="36"/>
      <c r="K27" s="61">
        <v>1</v>
      </c>
      <c r="L27" s="76">
        <v>0</v>
      </c>
      <c r="M27" s="383">
        <v>0</v>
      </c>
      <c r="N27" s="36"/>
      <c r="O27" s="36"/>
      <c r="P27" s="36"/>
      <c r="Q27" s="89"/>
      <c r="R27" s="213" t="s">
        <v>0</v>
      </c>
      <c r="S27" s="89"/>
      <c r="T27" s="213" t="s">
        <v>0</v>
      </c>
      <c r="U27" s="36"/>
      <c r="V27" s="36"/>
      <c r="W27" s="36"/>
      <c r="X27" s="36"/>
      <c r="Y27" s="36"/>
      <c r="Z27" s="36"/>
      <c r="AA27" s="89"/>
      <c r="AB27" s="89"/>
      <c r="AC27" s="89"/>
      <c r="AD27" s="89"/>
      <c r="AE27" s="89"/>
      <c r="AF27" s="36"/>
      <c r="AG27" s="89" t="str">
        <f t="shared" si="0"/>
        <v>NN13</v>
      </c>
      <c r="AH27" s="99">
        <f>B282</f>
        <v>0</v>
      </c>
      <c r="AI27" s="103">
        <f>D282</f>
        <v>0</v>
      </c>
      <c r="AJ27" s="104">
        <f>M286</f>
        <v>0</v>
      </c>
      <c r="AK27" s="102">
        <f>AI27*AJ27</f>
        <v>0</v>
      </c>
      <c r="AL27" s="90">
        <v>13</v>
      </c>
    </row>
    <row r="28" spans="1:38" ht="15" customHeight="1" thickBot="1">
      <c r="A28" s="212" t="s">
        <v>0</v>
      </c>
      <c r="B28" s="251">
        <v>2</v>
      </c>
      <c r="C28" s="351" t="s">
        <v>278</v>
      </c>
      <c r="D28" s="56" t="s">
        <v>156</v>
      </c>
      <c r="E28" s="57">
        <v>0.4</v>
      </c>
      <c r="F28" s="58">
        <v>1</v>
      </c>
      <c r="G28" s="127" t="s">
        <v>226</v>
      </c>
      <c r="H28" s="60">
        <v>115</v>
      </c>
      <c r="I28" s="212" t="s">
        <v>0</v>
      </c>
      <c r="J28" s="36"/>
      <c r="K28" s="65">
        <v>2</v>
      </c>
      <c r="L28" s="77">
        <v>0</v>
      </c>
      <c r="M28" s="381"/>
      <c r="N28" s="36"/>
      <c r="O28" s="36"/>
      <c r="P28" s="36"/>
      <c r="Q28" s="89"/>
      <c r="R28" s="213" t="s">
        <v>0</v>
      </c>
      <c r="S28" s="89"/>
      <c r="T28" s="213" t="s">
        <v>0</v>
      </c>
      <c r="U28" s="36"/>
      <c r="V28" s="36"/>
      <c r="W28" s="36"/>
      <c r="X28" s="36"/>
      <c r="Y28" s="36"/>
      <c r="Z28" s="36"/>
      <c r="AA28" s="89"/>
      <c r="AB28" s="89"/>
      <c r="AC28" s="89"/>
      <c r="AD28" s="89"/>
      <c r="AE28" s="89"/>
      <c r="AF28" s="36"/>
      <c r="AG28" s="89" t="str">
        <f t="shared" si="0"/>
        <v>NN14</v>
      </c>
      <c r="AH28" s="99">
        <f>B421</f>
        <v>0</v>
      </c>
      <c r="AI28" s="103">
        <f>D421</f>
        <v>0</v>
      </c>
      <c r="AJ28" s="104">
        <f>M424</f>
        <v>0</v>
      </c>
      <c r="AK28" s="102">
        <f>AI28*AJ28</f>
        <v>0</v>
      </c>
      <c r="AL28" s="90">
        <v>14</v>
      </c>
    </row>
    <row r="29" spans="1:38">
      <c r="A29" s="212" t="s">
        <v>0</v>
      </c>
      <c r="B29" s="252"/>
      <c r="C29" s="352"/>
      <c r="D29" s="342">
        <v>0</v>
      </c>
      <c r="E29" s="307">
        <f>IF(D29=0,0,VLOOKUP($D29,$F28:$H37,3,FALSE)*$E28)</f>
        <v>0</v>
      </c>
      <c r="F29" s="62">
        <v>2</v>
      </c>
      <c r="G29" s="222" t="s">
        <v>225</v>
      </c>
      <c r="H29" s="64">
        <v>110</v>
      </c>
      <c r="I29" s="212" t="s">
        <v>0</v>
      </c>
      <c r="J29" s="36"/>
      <c r="K29" s="65">
        <v>3</v>
      </c>
      <c r="L29" s="77">
        <v>0</v>
      </c>
      <c r="M29" s="381"/>
      <c r="N29" s="36"/>
      <c r="O29" s="36"/>
      <c r="P29" s="36"/>
      <c r="Q29" s="89"/>
      <c r="R29" s="89"/>
      <c r="S29" s="89"/>
      <c r="T29" s="89"/>
      <c r="U29" s="36"/>
      <c r="V29" s="36"/>
      <c r="W29" s="36"/>
      <c r="X29" s="36"/>
      <c r="Y29" s="36"/>
      <c r="Z29" s="36"/>
      <c r="AA29" s="89"/>
      <c r="AB29" s="89"/>
      <c r="AC29" s="89"/>
      <c r="AD29" s="89"/>
      <c r="AE29" s="89"/>
      <c r="AF29" s="36"/>
      <c r="AG29" s="89" t="str">
        <f t="shared" si="0"/>
        <v>NN15</v>
      </c>
      <c r="AH29" s="99">
        <v>0</v>
      </c>
      <c r="AI29" s="103">
        <v>0</v>
      </c>
      <c r="AJ29" s="104">
        <v>0</v>
      </c>
      <c r="AK29" s="102">
        <f>AI29*AJ29</f>
        <v>0</v>
      </c>
      <c r="AL29" s="90">
        <v>15</v>
      </c>
    </row>
    <row r="30" spans="1:38">
      <c r="A30" s="212" t="s">
        <v>0</v>
      </c>
      <c r="B30" s="252"/>
      <c r="C30" s="352"/>
      <c r="D30" s="321"/>
      <c r="E30" s="308"/>
      <c r="F30" s="62">
        <v>3</v>
      </c>
      <c r="G30" s="125" t="s">
        <v>224</v>
      </c>
      <c r="H30" s="64">
        <v>105</v>
      </c>
      <c r="I30" s="212" t="s">
        <v>0</v>
      </c>
      <c r="J30" s="36"/>
      <c r="K30" s="65">
        <v>4</v>
      </c>
      <c r="L30" s="77">
        <v>0</v>
      </c>
      <c r="M30" s="381"/>
      <c r="N30" s="36"/>
      <c r="O30" s="36"/>
      <c r="P30" s="36"/>
      <c r="Q30" s="89"/>
      <c r="R30" s="89"/>
      <c r="S30" s="89"/>
      <c r="T30" s="89"/>
      <c r="U30" s="36"/>
      <c r="V30" s="36"/>
      <c r="W30" s="36"/>
      <c r="X30" s="36"/>
      <c r="Y30" s="36"/>
      <c r="Z30" s="36"/>
      <c r="AA30" s="89"/>
      <c r="AB30" s="89"/>
      <c r="AC30" s="89"/>
      <c r="AD30" s="89"/>
      <c r="AE30" s="89"/>
      <c r="AF30" s="36"/>
      <c r="AG30" s="89" t="str">
        <f t="shared" si="0"/>
        <v>NN16</v>
      </c>
      <c r="AH30" s="99">
        <f>B560</f>
        <v>0</v>
      </c>
      <c r="AI30" s="105">
        <f>G560</f>
        <v>0</v>
      </c>
      <c r="AJ30" s="104">
        <f>M564</f>
        <v>0</v>
      </c>
      <c r="AK30" s="102">
        <f t="shared" ref="AK30:AK34" si="1">AI30*AJ30</f>
        <v>0</v>
      </c>
      <c r="AL30" s="90">
        <v>16</v>
      </c>
    </row>
    <row r="31" spans="1:38">
      <c r="A31" s="212" t="s">
        <v>0</v>
      </c>
      <c r="B31" s="252"/>
      <c r="C31" s="352"/>
      <c r="D31" s="321"/>
      <c r="E31" s="308"/>
      <c r="F31" s="62">
        <v>4</v>
      </c>
      <c r="G31" s="125">
        <v>0.1</v>
      </c>
      <c r="H31" s="64">
        <v>100</v>
      </c>
      <c r="I31" s="212" t="s">
        <v>0</v>
      </c>
      <c r="J31" s="36"/>
      <c r="K31" s="65">
        <v>5</v>
      </c>
      <c r="L31" s="77">
        <v>0</v>
      </c>
      <c r="M31" s="381"/>
      <c r="N31" s="36"/>
      <c r="O31" s="36"/>
      <c r="P31" s="36"/>
      <c r="Q31" s="89"/>
      <c r="R31" s="89"/>
      <c r="S31" s="89"/>
      <c r="T31" s="89"/>
      <c r="U31" s="36"/>
      <c r="V31" s="36"/>
      <c r="W31" s="36"/>
      <c r="X31" s="36"/>
      <c r="Y31" s="36"/>
      <c r="Z31" s="36"/>
      <c r="AA31" s="89"/>
      <c r="AB31" s="89"/>
      <c r="AC31" s="89"/>
      <c r="AD31" s="89"/>
      <c r="AE31" s="89"/>
      <c r="AF31" s="36"/>
      <c r="AG31" s="89" t="str">
        <f t="shared" si="0"/>
        <v>NN19</v>
      </c>
      <c r="AH31" s="99">
        <f>B720</f>
        <v>0</v>
      </c>
      <c r="AI31" s="105">
        <f>G720</f>
        <v>0</v>
      </c>
      <c r="AJ31" s="104">
        <f>M724</f>
        <v>0</v>
      </c>
      <c r="AK31" s="102">
        <f t="shared" si="1"/>
        <v>0</v>
      </c>
      <c r="AL31" s="90">
        <v>19</v>
      </c>
    </row>
    <row r="32" spans="1:38">
      <c r="A32" s="212" t="s">
        <v>0</v>
      </c>
      <c r="B32" s="252"/>
      <c r="C32" s="352"/>
      <c r="D32" s="321"/>
      <c r="E32" s="308"/>
      <c r="F32" s="62">
        <v>5</v>
      </c>
      <c r="G32" s="142" t="s">
        <v>227</v>
      </c>
      <c r="H32" s="64">
        <v>90</v>
      </c>
      <c r="I32" s="212" t="s">
        <v>0</v>
      </c>
      <c r="J32" s="36"/>
      <c r="K32" s="61">
        <v>6</v>
      </c>
      <c r="L32" s="77">
        <v>0</v>
      </c>
      <c r="M32" s="381"/>
      <c r="N32" s="36"/>
      <c r="O32" s="36"/>
      <c r="P32" s="36"/>
      <c r="Q32" s="89"/>
      <c r="R32" s="89"/>
      <c r="S32" s="89"/>
      <c r="T32" s="89"/>
      <c r="U32" s="36"/>
      <c r="V32" s="36"/>
      <c r="W32" s="36"/>
      <c r="X32" s="36"/>
      <c r="Y32" s="36"/>
      <c r="Z32" s="36"/>
      <c r="AA32" s="89"/>
      <c r="AB32" s="89"/>
      <c r="AC32" s="89"/>
      <c r="AD32" s="89"/>
      <c r="AE32" s="89"/>
      <c r="AF32" s="36"/>
      <c r="AG32" s="89" t="str">
        <f t="shared" si="0"/>
        <v>NN20</v>
      </c>
      <c r="AH32" s="99">
        <f>B880</f>
        <v>0</v>
      </c>
      <c r="AI32" s="105">
        <f>G880</f>
        <v>0</v>
      </c>
      <c r="AJ32" s="104">
        <f>M884</f>
        <v>0</v>
      </c>
      <c r="AK32" s="102">
        <f t="shared" si="1"/>
        <v>0</v>
      </c>
      <c r="AL32" s="90">
        <v>20</v>
      </c>
    </row>
    <row r="33" spans="1:38" ht="15" customHeight="1">
      <c r="A33" s="212" t="s">
        <v>0</v>
      </c>
      <c r="B33" s="252"/>
      <c r="C33" s="352"/>
      <c r="D33" s="321"/>
      <c r="E33" s="308"/>
      <c r="F33" s="62">
        <v>6</v>
      </c>
      <c r="G33" s="142" t="s">
        <v>228</v>
      </c>
      <c r="H33" s="64">
        <v>80</v>
      </c>
      <c r="I33" s="212" t="s">
        <v>0</v>
      </c>
      <c r="J33" s="36"/>
      <c r="K33" s="65">
        <v>7</v>
      </c>
      <c r="L33" s="77">
        <v>0</v>
      </c>
      <c r="M33" s="381"/>
      <c r="N33" s="36"/>
      <c r="O33" s="36"/>
      <c r="P33" s="36"/>
      <c r="Q33" s="89"/>
      <c r="R33" s="89"/>
      <c r="S33" s="89"/>
      <c r="T33" s="89"/>
      <c r="U33" s="36"/>
      <c r="V33" s="36"/>
      <c r="W33" s="36"/>
      <c r="X33" s="36"/>
      <c r="Y33" s="36"/>
      <c r="Z33" s="36"/>
      <c r="AA33" s="89"/>
      <c r="AB33" s="89"/>
      <c r="AC33" s="89"/>
      <c r="AD33" s="89"/>
      <c r="AE33" s="89"/>
      <c r="AF33" s="36"/>
      <c r="AG33" s="89" t="str">
        <f t="shared" si="0"/>
        <v>NN21</v>
      </c>
      <c r="AH33" s="99">
        <f>B1040</f>
        <v>0</v>
      </c>
      <c r="AI33" s="105">
        <f>G1040</f>
        <v>0</v>
      </c>
      <c r="AJ33" s="104">
        <f>M1044</f>
        <v>0</v>
      </c>
      <c r="AK33" s="102">
        <f t="shared" si="1"/>
        <v>0</v>
      </c>
      <c r="AL33" s="90">
        <v>21</v>
      </c>
    </row>
    <row r="34" spans="1:38" ht="15" customHeight="1">
      <c r="A34" s="212" t="s">
        <v>0</v>
      </c>
      <c r="B34" s="252"/>
      <c r="C34" s="352"/>
      <c r="D34" s="321"/>
      <c r="E34" s="308"/>
      <c r="F34" s="62">
        <v>7</v>
      </c>
      <c r="G34" s="63" t="s">
        <v>229</v>
      </c>
      <c r="H34" s="64">
        <v>70</v>
      </c>
      <c r="I34" s="212" t="s">
        <v>0</v>
      </c>
      <c r="J34" s="36"/>
      <c r="K34" s="65">
        <v>8</v>
      </c>
      <c r="L34" s="77">
        <v>0</v>
      </c>
      <c r="M34" s="381"/>
      <c r="N34" s="36"/>
      <c r="O34" s="36"/>
      <c r="P34" s="36"/>
      <c r="Q34" s="89"/>
      <c r="R34" s="89"/>
      <c r="S34" s="89"/>
      <c r="T34" s="89"/>
      <c r="U34" s="36"/>
      <c r="V34" s="36"/>
      <c r="W34" s="36"/>
      <c r="X34" s="36"/>
      <c r="Y34" s="36"/>
      <c r="Z34" s="36"/>
      <c r="AA34" s="89"/>
      <c r="AB34" s="89"/>
      <c r="AC34" s="89"/>
      <c r="AD34" s="89"/>
      <c r="AE34" s="89"/>
      <c r="AF34" s="36"/>
      <c r="AG34" s="89" t="str">
        <f t="shared" si="0"/>
        <v>NN22</v>
      </c>
      <c r="AH34" s="99">
        <f>B1200</f>
        <v>0</v>
      </c>
      <c r="AI34" s="105">
        <f>G1200</f>
        <v>0</v>
      </c>
      <c r="AJ34" s="104">
        <f>M1204</f>
        <v>0</v>
      </c>
      <c r="AK34" s="102">
        <f t="shared" si="1"/>
        <v>0</v>
      </c>
      <c r="AL34" s="90">
        <v>22</v>
      </c>
    </row>
    <row r="35" spans="1:38" ht="15" thickBot="1">
      <c r="A35" s="212" t="s">
        <v>0</v>
      </c>
      <c r="B35" s="273"/>
      <c r="C35" s="362"/>
      <c r="D35" s="321"/>
      <c r="E35" s="308"/>
      <c r="F35" s="62">
        <v>8</v>
      </c>
      <c r="G35" s="63" t="s">
        <v>230</v>
      </c>
      <c r="H35" s="64">
        <v>0</v>
      </c>
      <c r="I35" s="212" t="s">
        <v>0</v>
      </c>
      <c r="J35" s="36"/>
      <c r="K35" s="65">
        <v>9</v>
      </c>
      <c r="L35" s="77">
        <v>0</v>
      </c>
      <c r="M35" s="381"/>
      <c r="N35" s="36"/>
      <c r="O35" s="36"/>
      <c r="P35" s="36"/>
      <c r="Q35" s="89"/>
      <c r="R35" s="89"/>
      <c r="S35" s="89"/>
      <c r="T35" s="89"/>
      <c r="U35" s="36"/>
      <c r="V35" s="36"/>
      <c r="W35" s="36"/>
      <c r="X35" s="36"/>
      <c r="Y35" s="36"/>
      <c r="Z35" s="36"/>
      <c r="AA35" s="89"/>
      <c r="AB35" s="89"/>
      <c r="AC35" s="89"/>
      <c r="AD35" s="89"/>
      <c r="AE35" s="89"/>
      <c r="AF35" s="36"/>
      <c r="AG35" s="89" t="str">
        <f t="shared" si="0"/>
        <v>NN23</v>
      </c>
      <c r="AH35" s="106" t="s">
        <v>63</v>
      </c>
      <c r="AI35" s="107">
        <f>SUM(AI25:AI34)</f>
        <v>0.1</v>
      </c>
      <c r="AJ35" s="108">
        <f>SUM(AJ25:AJ34)</f>
        <v>0</v>
      </c>
      <c r="AK35" s="109">
        <f>SUM(AK25:AK34)</f>
        <v>0</v>
      </c>
      <c r="AL35" s="90">
        <v>23</v>
      </c>
    </row>
    <row r="36" spans="1:38" ht="16.5" customHeight="1" thickBot="1">
      <c r="A36" s="212" t="s">
        <v>0</v>
      </c>
      <c r="B36" s="274" t="s">
        <v>158</v>
      </c>
      <c r="C36" s="353"/>
      <c r="D36" s="321"/>
      <c r="E36" s="308"/>
      <c r="F36" s="62"/>
      <c r="G36" s="59"/>
      <c r="H36" s="64"/>
      <c r="I36" s="212" t="s">
        <v>0</v>
      </c>
      <c r="J36" s="36"/>
      <c r="K36" s="66">
        <v>10</v>
      </c>
      <c r="L36" s="78">
        <v>0</v>
      </c>
      <c r="M36" s="382"/>
      <c r="N36" s="36"/>
      <c r="O36" s="36"/>
      <c r="P36" s="36"/>
      <c r="Q36" s="89"/>
      <c r="R36" s="89"/>
      <c r="S36" s="89"/>
      <c r="T36" s="89"/>
      <c r="U36" s="36"/>
      <c r="V36" s="36"/>
      <c r="W36" s="36"/>
      <c r="X36" s="36"/>
      <c r="Y36" s="36"/>
      <c r="Z36" s="36"/>
      <c r="AA36" s="89"/>
      <c r="AB36" s="89"/>
      <c r="AC36" s="89"/>
      <c r="AD36" s="89"/>
      <c r="AE36" s="89"/>
      <c r="AF36" s="36"/>
      <c r="AG36" s="89" t="str">
        <f t="shared" si="0"/>
        <v>NN24</v>
      </c>
      <c r="AH36" s="97" t="s">
        <v>6</v>
      </c>
      <c r="AI36" s="97" t="s">
        <v>8</v>
      </c>
      <c r="AJ36" s="98" t="s">
        <v>51</v>
      </c>
      <c r="AK36" s="98" t="s">
        <v>52</v>
      </c>
      <c r="AL36" s="90">
        <v>24</v>
      </c>
    </row>
    <row r="37" spans="1:38" ht="15" thickBot="1">
      <c r="A37" s="212" t="s">
        <v>0</v>
      </c>
      <c r="B37" s="275"/>
      <c r="C37" s="354"/>
      <c r="D37" s="322"/>
      <c r="E37" s="309"/>
      <c r="F37" s="62"/>
      <c r="G37" s="68"/>
      <c r="H37" s="64"/>
      <c r="I37" s="212" t="s">
        <v>0</v>
      </c>
      <c r="J37" s="36"/>
      <c r="K37" s="36"/>
      <c r="L37" s="36"/>
      <c r="M37" s="36"/>
      <c r="N37" s="36"/>
      <c r="O37" s="36"/>
      <c r="P37" s="36"/>
      <c r="Q37" s="89"/>
      <c r="R37" s="89"/>
      <c r="S37" s="89"/>
      <c r="T37" s="89"/>
      <c r="U37" s="36"/>
      <c r="V37" s="36"/>
      <c r="W37" s="36"/>
      <c r="X37" s="36"/>
      <c r="Y37" s="36"/>
      <c r="Z37" s="36"/>
      <c r="AA37" s="89"/>
      <c r="AB37" s="89"/>
      <c r="AC37" s="89"/>
      <c r="AD37" s="89"/>
      <c r="AE37" s="89"/>
      <c r="AF37" s="36"/>
      <c r="AG37" s="89" t="str">
        <f t="shared" si="0"/>
        <v>NN25</v>
      </c>
      <c r="AH37" s="99" t="str">
        <f>B71</f>
        <v>Demoplot, Laporan Demoplot, Testimoni &amp; FFD</v>
      </c>
      <c r="AI37" s="105">
        <f>D71</f>
        <v>0.4</v>
      </c>
      <c r="AJ37" s="110">
        <f>M27</f>
        <v>0</v>
      </c>
      <c r="AK37" s="102">
        <f>AI37*AJ37</f>
        <v>0</v>
      </c>
      <c r="AL37" s="90">
        <v>25</v>
      </c>
    </row>
    <row r="38" spans="1:38" ht="15" hidden="1" customHeight="1" thickBot="1">
      <c r="A38" s="212" t="s">
        <v>0</v>
      </c>
      <c r="B38" s="276">
        <v>3</v>
      </c>
      <c r="C38" s="349"/>
      <c r="D38" s="56" t="s">
        <v>156</v>
      </c>
      <c r="E38" s="57">
        <v>0</v>
      </c>
      <c r="F38" s="58"/>
      <c r="G38" s="59"/>
      <c r="H38" s="60"/>
      <c r="I38" s="212" t="s">
        <v>0</v>
      </c>
      <c r="J38" s="36"/>
      <c r="K38" s="36"/>
      <c r="L38" s="36"/>
      <c r="M38" s="36"/>
      <c r="N38" s="36"/>
      <c r="O38" s="36"/>
      <c r="P38" s="36"/>
      <c r="Q38" s="89"/>
      <c r="R38" s="89"/>
      <c r="S38" s="89"/>
      <c r="T38" s="89"/>
      <c r="U38" s="36"/>
      <c r="V38" s="36"/>
      <c r="W38" s="36"/>
      <c r="X38" s="36"/>
      <c r="Y38" s="36"/>
      <c r="Z38" s="36"/>
      <c r="AA38" s="89"/>
      <c r="AB38" s="89"/>
      <c r="AC38" s="89"/>
      <c r="AD38" s="89"/>
      <c r="AE38" s="89"/>
      <c r="AF38" s="36"/>
      <c r="AG38" s="89" t="str">
        <f t="shared" si="0"/>
        <v>NN26</v>
      </c>
      <c r="AH38" s="99" t="str">
        <f>B123</f>
        <v>Absensi</v>
      </c>
      <c r="AI38" s="105">
        <f>D199</f>
        <v>0.2</v>
      </c>
      <c r="AJ38" s="110">
        <f>M134</f>
        <v>0</v>
      </c>
      <c r="AK38" s="102">
        <f>AI38*AJ38</f>
        <v>0</v>
      </c>
      <c r="AL38" s="90">
        <v>26</v>
      </c>
    </row>
    <row r="39" spans="1:38" ht="15" hidden="1" customHeight="1">
      <c r="A39" s="212" t="s">
        <v>0</v>
      </c>
      <c r="B39" s="277"/>
      <c r="C39" s="355"/>
      <c r="D39" s="317"/>
      <c r="E39" s="307">
        <f>IF(D39=0,0,VLOOKUP($D39,$F38:$H47,3,FALSE)*$E38)</f>
        <v>0</v>
      </c>
      <c r="F39" s="62"/>
      <c r="G39" s="63"/>
      <c r="H39" s="64"/>
      <c r="I39" s="212" t="s">
        <v>0</v>
      </c>
      <c r="J39" s="36"/>
      <c r="K39" s="36"/>
      <c r="L39" s="36"/>
      <c r="M39" s="36"/>
      <c r="N39" s="36"/>
      <c r="O39" s="36"/>
      <c r="P39" s="36"/>
      <c r="Q39" s="89"/>
      <c r="R39" s="89"/>
      <c r="S39" s="89"/>
      <c r="T39" s="89"/>
      <c r="U39" s="36"/>
      <c r="V39" s="36"/>
      <c r="W39" s="36"/>
      <c r="X39" s="36"/>
      <c r="Y39" s="36"/>
      <c r="Z39" s="36"/>
      <c r="AA39" s="89"/>
      <c r="AB39" s="89"/>
      <c r="AC39" s="89"/>
      <c r="AD39" s="89"/>
      <c r="AE39" s="89"/>
      <c r="AF39" s="36"/>
      <c r="AG39" s="89" t="str">
        <f t="shared" si="0"/>
        <v>NN27</v>
      </c>
      <c r="AH39" s="99">
        <f>B282</f>
        <v>0</v>
      </c>
      <c r="AI39" s="105">
        <f>D327</f>
        <v>0.2</v>
      </c>
      <c r="AJ39" s="110">
        <f>M294</f>
        <v>0</v>
      </c>
      <c r="AK39" s="102">
        <f>AI39*AJ39</f>
        <v>0</v>
      </c>
      <c r="AL39" s="90">
        <v>27</v>
      </c>
    </row>
    <row r="40" spans="1:38" hidden="1">
      <c r="A40" s="212" t="s">
        <v>0</v>
      </c>
      <c r="B40" s="277"/>
      <c r="C40" s="355"/>
      <c r="D40" s="318"/>
      <c r="E40" s="308"/>
      <c r="F40" s="62"/>
      <c r="G40" s="63"/>
      <c r="H40" s="64"/>
      <c r="I40" s="212" t="s">
        <v>0</v>
      </c>
      <c r="J40" s="36"/>
      <c r="K40" s="36"/>
      <c r="L40" s="36"/>
      <c r="M40" s="36"/>
      <c r="N40" s="36"/>
      <c r="O40" s="36"/>
      <c r="P40" s="36"/>
      <c r="Q40" s="89"/>
      <c r="R40" s="89"/>
      <c r="S40" s="89"/>
      <c r="T40" s="89"/>
      <c r="U40" s="36"/>
      <c r="V40" s="36"/>
      <c r="W40" s="36"/>
      <c r="X40" s="36"/>
      <c r="Y40" s="36"/>
      <c r="Z40" s="36"/>
      <c r="AA40" s="89"/>
      <c r="AB40" s="89"/>
      <c r="AC40" s="89"/>
      <c r="AD40" s="89"/>
      <c r="AE40" s="89"/>
      <c r="AF40" s="36"/>
      <c r="AG40" s="89" t="str">
        <f t="shared" si="0"/>
        <v>NN28</v>
      </c>
      <c r="AH40" s="99">
        <f>B421</f>
        <v>0</v>
      </c>
      <c r="AI40" s="105">
        <f>D465</f>
        <v>0</v>
      </c>
      <c r="AJ40" s="110">
        <f>M294</f>
        <v>0</v>
      </c>
      <c r="AK40" s="102">
        <f>AI40*AJ40</f>
        <v>0</v>
      </c>
      <c r="AL40" s="90">
        <v>28</v>
      </c>
    </row>
    <row r="41" spans="1:38" hidden="1">
      <c r="A41" s="212" t="s">
        <v>0</v>
      </c>
      <c r="B41" s="277"/>
      <c r="C41" s="355"/>
      <c r="D41" s="318"/>
      <c r="E41" s="308"/>
      <c r="F41" s="62"/>
      <c r="G41" s="63"/>
      <c r="H41" s="64"/>
      <c r="I41" s="212" t="s">
        <v>0</v>
      </c>
      <c r="J41" s="36"/>
      <c r="K41" s="36"/>
      <c r="L41" s="36"/>
      <c r="M41" s="36"/>
      <c r="N41" s="36"/>
      <c r="O41" s="36"/>
      <c r="P41" s="36"/>
      <c r="Q41" s="89"/>
      <c r="R41" s="89"/>
      <c r="S41" s="89"/>
      <c r="T41" s="89"/>
      <c r="U41" s="36"/>
      <c r="V41" s="36"/>
      <c r="W41" s="36"/>
      <c r="X41" s="36"/>
      <c r="Y41" s="36"/>
      <c r="Z41" s="36"/>
      <c r="AA41" s="89"/>
      <c r="AB41" s="89"/>
      <c r="AC41" s="89"/>
      <c r="AD41" s="89"/>
      <c r="AE41" s="89"/>
      <c r="AF41" s="36"/>
      <c r="AG41" s="89" t="str">
        <f t="shared" si="0"/>
        <v>NN29</v>
      </c>
      <c r="AH41" s="99">
        <v>0</v>
      </c>
      <c r="AI41" s="105">
        <v>0</v>
      </c>
      <c r="AJ41" s="110">
        <v>0</v>
      </c>
      <c r="AK41" s="102">
        <f>AI41*AJ41</f>
        <v>0</v>
      </c>
      <c r="AL41" s="90">
        <v>29</v>
      </c>
    </row>
    <row r="42" spans="1:38" hidden="1">
      <c r="A42" s="212" t="s">
        <v>0</v>
      </c>
      <c r="B42" s="277"/>
      <c r="C42" s="355"/>
      <c r="D42" s="318"/>
      <c r="E42" s="308"/>
      <c r="F42" s="62"/>
      <c r="G42" s="63"/>
      <c r="H42" s="64"/>
      <c r="I42" s="212" t="s">
        <v>0</v>
      </c>
      <c r="J42" s="36"/>
      <c r="K42" s="36"/>
      <c r="L42" s="36"/>
      <c r="M42" s="36"/>
      <c r="N42" s="36"/>
      <c r="O42" s="36"/>
      <c r="P42" s="36"/>
      <c r="Q42" s="89"/>
      <c r="R42" s="89"/>
      <c r="S42" s="89"/>
      <c r="T42" s="89"/>
      <c r="U42" s="36"/>
      <c r="V42" s="36"/>
      <c r="W42" s="36"/>
      <c r="X42" s="36"/>
      <c r="Y42" s="36"/>
      <c r="Z42" s="36"/>
      <c r="AA42" s="89"/>
      <c r="AB42" s="89"/>
      <c r="AC42" s="89"/>
      <c r="AD42" s="89"/>
      <c r="AE42" s="89"/>
      <c r="AF42" s="36"/>
      <c r="AG42" s="89" t="str">
        <f t="shared" si="0"/>
        <v>NN30</v>
      </c>
      <c r="AH42" s="99">
        <f>B615</f>
        <v>0</v>
      </c>
      <c r="AI42" s="105">
        <f>G615</f>
        <v>0</v>
      </c>
      <c r="AJ42" s="110">
        <f>M732</f>
        <v>0</v>
      </c>
      <c r="AK42" s="102">
        <f t="shared" ref="AK42:AK46" si="2">AI42*AJ42</f>
        <v>0</v>
      </c>
      <c r="AL42" s="90">
        <v>30</v>
      </c>
    </row>
    <row r="43" spans="1:38" hidden="1">
      <c r="A43" s="212" t="s">
        <v>0</v>
      </c>
      <c r="B43" s="277"/>
      <c r="C43" s="355"/>
      <c r="D43" s="318"/>
      <c r="E43" s="308"/>
      <c r="F43" s="62"/>
      <c r="G43" s="63"/>
      <c r="H43" s="64"/>
      <c r="I43" s="212" t="s">
        <v>0</v>
      </c>
      <c r="J43" s="36"/>
      <c r="K43" s="36"/>
      <c r="L43" s="36"/>
      <c r="M43" s="36"/>
      <c r="N43" s="36"/>
      <c r="O43" s="36"/>
      <c r="P43" s="36"/>
      <c r="Q43" s="89"/>
      <c r="R43" s="89"/>
      <c r="S43" s="89"/>
      <c r="T43" s="89"/>
      <c r="U43" s="36"/>
      <c r="V43" s="36"/>
      <c r="W43" s="36"/>
      <c r="X43" s="36"/>
      <c r="Y43" s="36"/>
      <c r="Z43" s="36"/>
      <c r="AA43" s="89"/>
      <c r="AB43" s="89"/>
      <c r="AC43" s="89"/>
      <c r="AD43" s="89"/>
      <c r="AE43" s="89"/>
      <c r="AF43" s="36"/>
      <c r="AG43" s="89" t="str">
        <f t="shared" si="0"/>
        <v>NN31</v>
      </c>
      <c r="AH43" s="99">
        <f>B775</f>
        <v>0</v>
      </c>
      <c r="AI43" s="105">
        <f>G775</f>
        <v>0</v>
      </c>
      <c r="AJ43" s="110">
        <f>M434</f>
        <v>0</v>
      </c>
      <c r="AK43" s="102">
        <f t="shared" si="2"/>
        <v>0</v>
      </c>
      <c r="AL43" s="90">
        <v>31</v>
      </c>
    </row>
    <row r="44" spans="1:38" hidden="1">
      <c r="A44" s="212" t="s">
        <v>0</v>
      </c>
      <c r="B44" s="277"/>
      <c r="C44" s="355"/>
      <c r="D44" s="318"/>
      <c r="E44" s="308"/>
      <c r="F44" s="62"/>
      <c r="G44" s="63"/>
      <c r="H44" s="64"/>
      <c r="I44" s="212" t="s">
        <v>0</v>
      </c>
      <c r="J44" s="36"/>
      <c r="K44" s="36"/>
      <c r="L44" s="36"/>
      <c r="M44" s="36"/>
      <c r="N44" s="36"/>
      <c r="O44" s="36"/>
      <c r="P44" s="36"/>
      <c r="Q44" s="89"/>
      <c r="R44" s="89"/>
      <c r="S44" s="89"/>
      <c r="T44" s="89"/>
      <c r="U44" s="36"/>
      <c r="V44" s="36"/>
      <c r="W44" s="36"/>
      <c r="X44" s="36"/>
      <c r="Y44" s="36"/>
      <c r="Z44" s="36"/>
      <c r="AA44" s="89"/>
      <c r="AB44" s="89"/>
      <c r="AC44" s="89"/>
      <c r="AD44" s="89"/>
      <c r="AE44" s="89"/>
      <c r="AF44" s="36"/>
      <c r="AG44" s="89" t="str">
        <f t="shared" si="0"/>
        <v>NN32</v>
      </c>
      <c r="AH44" s="99">
        <f>B935</f>
        <v>0</v>
      </c>
      <c r="AI44" s="105">
        <f>G935</f>
        <v>0</v>
      </c>
      <c r="AJ44" s="110">
        <f>M892</f>
        <v>0</v>
      </c>
      <c r="AK44" s="102">
        <f t="shared" si="2"/>
        <v>0</v>
      </c>
      <c r="AL44" s="90">
        <v>32</v>
      </c>
    </row>
    <row r="45" spans="1:38" ht="15" hidden="1" thickBot="1">
      <c r="A45" s="212" t="s">
        <v>0</v>
      </c>
      <c r="B45" s="278"/>
      <c r="C45" s="350"/>
      <c r="D45" s="318"/>
      <c r="E45" s="308"/>
      <c r="F45" s="62"/>
      <c r="G45" s="63"/>
      <c r="H45" s="64"/>
      <c r="I45" s="212" t="s">
        <v>0</v>
      </c>
      <c r="J45" s="36"/>
      <c r="K45" s="36"/>
      <c r="L45" s="36"/>
      <c r="M45" s="36"/>
      <c r="N45" s="36"/>
      <c r="O45" s="36"/>
      <c r="P45" s="36"/>
      <c r="Q45" s="89"/>
      <c r="R45" s="89"/>
      <c r="S45" s="89"/>
      <c r="T45" s="89"/>
      <c r="U45" s="36"/>
      <c r="V45" s="36"/>
      <c r="W45" s="36"/>
      <c r="X45" s="36"/>
      <c r="Y45" s="36"/>
      <c r="Z45" s="36"/>
      <c r="AA45" s="89"/>
      <c r="AB45" s="89"/>
      <c r="AC45" s="89"/>
      <c r="AD45" s="89"/>
      <c r="AE45" s="89"/>
      <c r="AF45" s="36"/>
      <c r="AG45" s="89" t="str">
        <f t="shared" si="0"/>
        <v>NN33</v>
      </c>
      <c r="AH45" s="99">
        <f>B1095</f>
        <v>0</v>
      </c>
      <c r="AI45" s="105">
        <f>G1095</f>
        <v>0</v>
      </c>
      <c r="AJ45" s="110">
        <f>M1052</f>
        <v>0</v>
      </c>
      <c r="AK45" s="102">
        <f t="shared" si="2"/>
        <v>0</v>
      </c>
      <c r="AL45" s="90">
        <v>33</v>
      </c>
    </row>
    <row r="46" spans="1:38" hidden="1">
      <c r="A46" s="212" t="s">
        <v>0</v>
      </c>
      <c r="B46" s="274" t="s">
        <v>158</v>
      </c>
      <c r="C46" s="353"/>
      <c r="D46" s="318"/>
      <c r="E46" s="308"/>
      <c r="F46" s="62"/>
      <c r="G46" s="63"/>
      <c r="H46" s="64"/>
      <c r="I46" s="212" t="s">
        <v>0</v>
      </c>
      <c r="J46" s="36"/>
      <c r="K46" s="36"/>
      <c r="L46" s="36"/>
      <c r="M46" s="36"/>
      <c r="N46" s="36"/>
      <c r="O46" s="36"/>
      <c r="P46" s="36"/>
      <c r="Q46" s="89"/>
      <c r="R46" s="89"/>
      <c r="S46" s="89"/>
      <c r="T46" s="89"/>
      <c r="U46" s="36"/>
      <c r="V46" s="36"/>
      <c r="W46" s="36"/>
      <c r="X46" s="36"/>
      <c r="Y46" s="36"/>
      <c r="Z46" s="36"/>
      <c r="AA46" s="89"/>
      <c r="AB46" s="89"/>
      <c r="AC46" s="89"/>
      <c r="AD46" s="89"/>
      <c r="AE46" s="89"/>
      <c r="AF46" s="36"/>
      <c r="AG46" s="89" t="str">
        <f t="shared" si="0"/>
        <v>NN34</v>
      </c>
      <c r="AH46" s="99">
        <f>B1255</f>
        <v>0</v>
      </c>
      <c r="AI46" s="105">
        <f>G1255</f>
        <v>0</v>
      </c>
      <c r="AJ46" s="110">
        <f>M1212</f>
        <v>0</v>
      </c>
      <c r="AK46" s="102">
        <f t="shared" si="2"/>
        <v>0</v>
      </c>
      <c r="AL46" s="90">
        <v>34</v>
      </c>
    </row>
    <row r="47" spans="1:38" ht="15" hidden="1" thickBot="1">
      <c r="A47" s="212" t="s">
        <v>0</v>
      </c>
      <c r="B47" s="275"/>
      <c r="C47" s="354"/>
      <c r="D47" s="319"/>
      <c r="E47" s="309"/>
      <c r="F47" s="67"/>
      <c r="G47" s="68"/>
      <c r="H47" s="69"/>
      <c r="I47" s="212" t="s">
        <v>0</v>
      </c>
      <c r="J47" s="36"/>
      <c r="K47" s="36"/>
      <c r="L47" s="36"/>
      <c r="M47" s="36"/>
      <c r="N47" s="36"/>
      <c r="O47" s="36"/>
      <c r="P47" s="36"/>
      <c r="Q47" s="89"/>
      <c r="R47" s="89"/>
      <c r="S47" s="89"/>
      <c r="T47" s="89"/>
      <c r="U47" s="36"/>
      <c r="V47" s="36"/>
      <c r="W47" s="36"/>
      <c r="X47" s="36"/>
      <c r="Y47" s="36"/>
      <c r="Z47" s="36"/>
      <c r="AA47" s="89"/>
      <c r="AB47" s="89"/>
      <c r="AC47" s="89"/>
      <c r="AD47" s="89"/>
      <c r="AE47" s="89"/>
      <c r="AF47" s="36"/>
      <c r="AG47" s="89" t="str">
        <f t="shared" si="0"/>
        <v>NN35</v>
      </c>
      <c r="AH47" s="111" t="s">
        <v>63</v>
      </c>
      <c r="AI47" s="107">
        <f>SUM(AI37:AI46)</f>
        <v>0.8</v>
      </c>
      <c r="AJ47" s="112">
        <f>SUM(AJ37:AJ46)</f>
        <v>0</v>
      </c>
      <c r="AK47" s="109">
        <f>SUM(AK37:AK46)</f>
        <v>0</v>
      </c>
      <c r="AL47" s="90">
        <v>35</v>
      </c>
    </row>
    <row r="48" spans="1:38" ht="15" hidden="1" thickBot="1">
      <c r="A48" s="212" t="s">
        <v>0</v>
      </c>
      <c r="B48" s="276">
        <v>4</v>
      </c>
      <c r="C48" s="349"/>
      <c r="D48" s="56" t="s">
        <v>156</v>
      </c>
      <c r="E48" s="57">
        <v>0.6</v>
      </c>
      <c r="F48" s="58">
        <v>10</v>
      </c>
      <c r="G48" s="59" t="s">
        <v>164</v>
      </c>
      <c r="H48" s="60">
        <v>115</v>
      </c>
      <c r="I48" s="212" t="s">
        <v>0</v>
      </c>
      <c r="J48" s="36"/>
      <c r="K48" s="36"/>
      <c r="L48" s="36"/>
      <c r="M48" s="36"/>
      <c r="N48" s="36"/>
      <c r="O48" s="36"/>
      <c r="P48" s="36"/>
      <c r="Q48" s="89"/>
      <c r="R48" s="89"/>
      <c r="S48" s="89"/>
      <c r="T48" s="89"/>
      <c r="U48" s="36"/>
      <c r="V48" s="36"/>
      <c r="W48" s="36"/>
      <c r="X48" s="36"/>
      <c r="Y48" s="36"/>
      <c r="Z48" s="36"/>
      <c r="AA48" s="89"/>
      <c r="AB48" s="89"/>
      <c r="AC48" s="89"/>
      <c r="AD48" s="89"/>
      <c r="AE48" s="89"/>
      <c r="AF48" s="36"/>
      <c r="AG48" s="36"/>
      <c r="AH48" s="36"/>
      <c r="AI48" s="36"/>
    </row>
    <row r="49" spans="1:35" hidden="1">
      <c r="A49" s="212" t="s">
        <v>0</v>
      </c>
      <c r="B49" s="277"/>
      <c r="C49" s="355"/>
      <c r="D49" s="314"/>
      <c r="E49" s="307">
        <f>IF(D49=0,0,VLOOKUP($D49,$F48:$H57,3,FALSE)*$E48)</f>
        <v>0</v>
      </c>
      <c r="F49" s="62">
        <v>9</v>
      </c>
      <c r="G49" s="63" t="s">
        <v>164</v>
      </c>
      <c r="H49" s="64">
        <f>H48-5</f>
        <v>110</v>
      </c>
      <c r="I49" s="212" t="s">
        <v>0</v>
      </c>
      <c r="J49" s="36"/>
      <c r="K49" s="36"/>
      <c r="L49" s="36"/>
      <c r="M49" s="36"/>
      <c r="N49" s="36"/>
      <c r="O49" s="36"/>
      <c r="P49" s="36"/>
      <c r="Q49" s="89"/>
      <c r="R49" s="89"/>
      <c r="S49" s="89"/>
      <c r="T49" s="89"/>
      <c r="U49" s="36"/>
      <c r="V49" s="36"/>
      <c r="W49" s="36"/>
      <c r="X49" s="36"/>
      <c r="Y49" s="36"/>
      <c r="Z49" s="36"/>
      <c r="AA49" s="89"/>
      <c r="AB49" s="89"/>
      <c r="AC49" s="89"/>
      <c r="AD49" s="89"/>
      <c r="AE49" s="89"/>
      <c r="AF49" s="36"/>
      <c r="AG49" s="36"/>
      <c r="AH49" s="36"/>
      <c r="AI49" s="36"/>
    </row>
    <row r="50" spans="1:35" hidden="1">
      <c r="A50" s="212" t="s">
        <v>0</v>
      </c>
      <c r="B50" s="277"/>
      <c r="C50" s="355"/>
      <c r="D50" s="315"/>
      <c r="E50" s="308"/>
      <c r="F50" s="62">
        <v>8</v>
      </c>
      <c r="G50" s="63" t="s">
        <v>164</v>
      </c>
      <c r="H50" s="64">
        <f t="shared" ref="H50:H57" si="3">H49-5</f>
        <v>105</v>
      </c>
      <c r="I50" s="212" t="s">
        <v>0</v>
      </c>
      <c r="J50" s="36"/>
      <c r="K50" s="36"/>
      <c r="L50" s="36"/>
      <c r="M50" s="36"/>
      <c r="N50" s="36"/>
      <c r="O50" s="36"/>
      <c r="P50" s="36"/>
      <c r="Q50" s="89"/>
      <c r="R50" s="89"/>
      <c r="S50" s="89"/>
      <c r="T50" s="89"/>
      <c r="U50" s="36"/>
      <c r="V50" s="36"/>
      <c r="W50" s="36"/>
      <c r="X50" s="36"/>
      <c r="Y50" s="36"/>
      <c r="Z50" s="36"/>
      <c r="AA50" s="89"/>
      <c r="AB50" s="89"/>
      <c r="AC50" s="89"/>
      <c r="AD50" s="89"/>
      <c r="AE50" s="89"/>
      <c r="AF50" s="36"/>
      <c r="AG50" s="36"/>
      <c r="AH50" s="36"/>
      <c r="AI50" s="36"/>
    </row>
    <row r="51" spans="1:35" hidden="1">
      <c r="A51" s="212" t="s">
        <v>0</v>
      </c>
      <c r="B51" s="277"/>
      <c r="C51" s="355"/>
      <c r="D51" s="315"/>
      <c r="E51" s="308"/>
      <c r="F51" s="62">
        <v>7</v>
      </c>
      <c r="G51" s="63" t="s">
        <v>164</v>
      </c>
      <c r="H51" s="64">
        <f t="shared" si="3"/>
        <v>100</v>
      </c>
      <c r="I51" s="212" t="s">
        <v>0</v>
      </c>
      <c r="J51" s="36"/>
      <c r="K51" s="36"/>
      <c r="L51" s="36"/>
      <c r="M51" s="36"/>
      <c r="N51" s="36"/>
      <c r="O51" s="36"/>
      <c r="P51" s="36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36"/>
      <c r="AG51" s="36"/>
      <c r="AH51" s="36"/>
      <c r="AI51" s="36"/>
    </row>
    <row r="52" spans="1:35" hidden="1">
      <c r="A52" s="212" t="s">
        <v>0</v>
      </c>
      <c r="B52" s="277"/>
      <c r="C52" s="355"/>
      <c r="D52" s="315"/>
      <c r="E52" s="308"/>
      <c r="F52" s="62">
        <v>6</v>
      </c>
      <c r="G52" s="63" t="s">
        <v>164</v>
      </c>
      <c r="H52" s="64">
        <f t="shared" si="3"/>
        <v>95</v>
      </c>
      <c r="I52" s="212" t="s">
        <v>0</v>
      </c>
      <c r="J52" s="36"/>
      <c r="K52" s="36"/>
      <c r="L52" s="36"/>
      <c r="M52" s="36"/>
      <c r="N52" s="36"/>
      <c r="O52" s="36"/>
      <c r="P52" s="36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36"/>
      <c r="AG52" s="36"/>
      <c r="AH52" s="36"/>
      <c r="AI52" s="36"/>
    </row>
    <row r="53" spans="1:35" hidden="1">
      <c r="A53" s="212" t="s">
        <v>0</v>
      </c>
      <c r="B53" s="277"/>
      <c r="C53" s="355"/>
      <c r="D53" s="315"/>
      <c r="E53" s="308"/>
      <c r="F53" s="62">
        <v>5</v>
      </c>
      <c r="G53" s="63" t="s">
        <v>164</v>
      </c>
      <c r="H53" s="64">
        <f t="shared" si="3"/>
        <v>90</v>
      </c>
      <c r="I53" s="212" t="s">
        <v>0</v>
      </c>
      <c r="J53" s="36"/>
      <c r="K53" s="36"/>
      <c r="L53" s="36"/>
      <c r="M53" s="36"/>
      <c r="N53" s="36"/>
      <c r="O53" s="36"/>
      <c r="P53" s="36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36"/>
      <c r="AG53" s="36"/>
      <c r="AH53" s="36"/>
      <c r="AI53" s="36"/>
    </row>
    <row r="54" spans="1:35" hidden="1">
      <c r="A54" s="212" t="s">
        <v>0</v>
      </c>
      <c r="B54" s="277"/>
      <c r="C54" s="355"/>
      <c r="D54" s="315"/>
      <c r="E54" s="308"/>
      <c r="F54" s="62">
        <v>4</v>
      </c>
      <c r="G54" s="63" t="s">
        <v>164</v>
      </c>
      <c r="H54" s="64">
        <f t="shared" si="3"/>
        <v>85</v>
      </c>
      <c r="I54" s="212" t="s">
        <v>0</v>
      </c>
      <c r="J54" s="36"/>
      <c r="K54" s="36"/>
      <c r="L54" s="36"/>
      <c r="M54" s="36"/>
      <c r="N54" s="36"/>
      <c r="O54" s="36"/>
      <c r="P54" s="36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36"/>
      <c r="AG54" s="36"/>
      <c r="AH54" s="36"/>
      <c r="AI54" s="36"/>
    </row>
    <row r="55" spans="1:35" ht="15" hidden="1" thickBot="1">
      <c r="A55" s="212" t="s">
        <v>0</v>
      </c>
      <c r="B55" s="278"/>
      <c r="C55" s="350"/>
      <c r="D55" s="315"/>
      <c r="E55" s="308"/>
      <c r="F55" s="62">
        <v>3</v>
      </c>
      <c r="G55" s="63" t="s">
        <v>164</v>
      </c>
      <c r="H55" s="64">
        <f t="shared" si="3"/>
        <v>80</v>
      </c>
      <c r="I55" s="212" t="s">
        <v>0</v>
      </c>
      <c r="J55" s="36"/>
      <c r="K55" s="36"/>
      <c r="L55" s="36"/>
      <c r="M55" s="36"/>
      <c r="N55" s="36"/>
      <c r="O55" s="36"/>
      <c r="P55" s="36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36"/>
      <c r="AG55" s="36"/>
      <c r="AH55" s="36"/>
      <c r="AI55" s="36"/>
    </row>
    <row r="56" spans="1:35" hidden="1">
      <c r="A56" s="212" t="s">
        <v>0</v>
      </c>
      <c r="B56" s="274" t="s">
        <v>158</v>
      </c>
      <c r="C56" s="349"/>
      <c r="D56" s="315"/>
      <c r="E56" s="308"/>
      <c r="F56" s="62">
        <v>2</v>
      </c>
      <c r="G56" s="63" t="s">
        <v>164</v>
      </c>
      <c r="H56" s="64">
        <f t="shared" si="3"/>
        <v>75</v>
      </c>
      <c r="I56" s="212" t="s">
        <v>0</v>
      </c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</row>
    <row r="57" spans="1:35" ht="15" hidden="1" thickBot="1">
      <c r="A57" s="212" t="s">
        <v>0</v>
      </c>
      <c r="B57" s="275"/>
      <c r="C57" s="350"/>
      <c r="D57" s="316"/>
      <c r="E57" s="309"/>
      <c r="F57" s="67">
        <v>1</v>
      </c>
      <c r="G57" s="68" t="s">
        <v>164</v>
      </c>
      <c r="H57" s="69">
        <f t="shared" si="3"/>
        <v>70</v>
      </c>
      <c r="I57" s="212" t="s">
        <v>0</v>
      </c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</row>
    <row r="58" spans="1:35" ht="15" hidden="1" thickBot="1">
      <c r="A58" s="212" t="s">
        <v>0</v>
      </c>
      <c r="B58" s="279">
        <v>5</v>
      </c>
      <c r="C58" s="349"/>
      <c r="D58" s="56" t="s">
        <v>156</v>
      </c>
      <c r="E58" s="57">
        <v>0.6</v>
      </c>
      <c r="F58" s="70">
        <v>10</v>
      </c>
      <c r="G58" s="71" t="s">
        <v>164</v>
      </c>
      <c r="H58" s="72">
        <v>115</v>
      </c>
      <c r="I58" s="212" t="s">
        <v>0</v>
      </c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</row>
    <row r="59" spans="1:35" hidden="1">
      <c r="A59" s="212" t="s">
        <v>0</v>
      </c>
      <c r="B59" s="277"/>
      <c r="C59" s="355"/>
      <c r="D59" s="314"/>
      <c r="E59" s="307">
        <f>IF(D59=0,0,VLOOKUP($D59,$F58:$H67,3,FALSE)*$E58)</f>
        <v>0</v>
      </c>
      <c r="F59" s="62">
        <v>9</v>
      </c>
      <c r="G59" s="63" t="s">
        <v>164</v>
      </c>
      <c r="H59" s="64">
        <f>H58-5</f>
        <v>110</v>
      </c>
      <c r="I59" s="212" t="s">
        <v>0</v>
      </c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</row>
    <row r="60" spans="1:35" hidden="1">
      <c r="A60" s="212" t="s">
        <v>0</v>
      </c>
      <c r="B60" s="277"/>
      <c r="C60" s="355"/>
      <c r="D60" s="315"/>
      <c r="E60" s="308"/>
      <c r="F60" s="62">
        <v>8</v>
      </c>
      <c r="G60" s="63" t="s">
        <v>164</v>
      </c>
      <c r="H60" s="64">
        <f t="shared" ref="H60:H67" si="4">H59-5</f>
        <v>105</v>
      </c>
      <c r="I60" s="212" t="s">
        <v>0</v>
      </c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</row>
    <row r="61" spans="1:35" hidden="1">
      <c r="A61" s="212" t="s">
        <v>0</v>
      </c>
      <c r="B61" s="277"/>
      <c r="C61" s="355"/>
      <c r="D61" s="315"/>
      <c r="E61" s="308"/>
      <c r="F61" s="62">
        <v>7</v>
      </c>
      <c r="G61" s="63" t="s">
        <v>164</v>
      </c>
      <c r="H61" s="64">
        <f t="shared" si="4"/>
        <v>100</v>
      </c>
      <c r="I61" s="212" t="s">
        <v>0</v>
      </c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</row>
    <row r="62" spans="1:35" hidden="1">
      <c r="A62" s="212" t="s">
        <v>0</v>
      </c>
      <c r="B62" s="277"/>
      <c r="C62" s="355"/>
      <c r="D62" s="315"/>
      <c r="E62" s="308"/>
      <c r="F62" s="62">
        <v>6</v>
      </c>
      <c r="G62" s="63" t="s">
        <v>164</v>
      </c>
      <c r="H62" s="64">
        <f t="shared" si="4"/>
        <v>95</v>
      </c>
      <c r="I62" s="212" t="s">
        <v>0</v>
      </c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</row>
    <row r="63" spans="1:35" hidden="1">
      <c r="A63" s="212" t="s">
        <v>0</v>
      </c>
      <c r="B63" s="277"/>
      <c r="C63" s="355"/>
      <c r="D63" s="315"/>
      <c r="E63" s="308"/>
      <c r="F63" s="62">
        <v>5</v>
      </c>
      <c r="G63" s="63" t="s">
        <v>164</v>
      </c>
      <c r="H63" s="64">
        <f t="shared" si="4"/>
        <v>90</v>
      </c>
      <c r="I63" s="212" t="s">
        <v>0</v>
      </c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</row>
    <row r="64" spans="1:35" hidden="1">
      <c r="A64" s="212" t="s">
        <v>0</v>
      </c>
      <c r="B64" s="277"/>
      <c r="C64" s="355"/>
      <c r="D64" s="315"/>
      <c r="E64" s="308"/>
      <c r="F64" s="62">
        <v>4</v>
      </c>
      <c r="G64" s="63" t="s">
        <v>164</v>
      </c>
      <c r="H64" s="64">
        <f t="shared" si="4"/>
        <v>85</v>
      </c>
      <c r="I64" s="212" t="s">
        <v>0</v>
      </c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</row>
    <row r="65" spans="1:35" ht="15" hidden="1" thickBot="1">
      <c r="A65" s="212" t="s">
        <v>0</v>
      </c>
      <c r="B65" s="278"/>
      <c r="C65" s="350"/>
      <c r="D65" s="315"/>
      <c r="E65" s="308"/>
      <c r="F65" s="62">
        <v>3</v>
      </c>
      <c r="G65" s="63" t="s">
        <v>164</v>
      </c>
      <c r="H65" s="64">
        <f t="shared" si="4"/>
        <v>80</v>
      </c>
      <c r="I65" s="212" t="s">
        <v>0</v>
      </c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</row>
    <row r="66" spans="1:35" hidden="1">
      <c r="A66" s="212" t="s">
        <v>0</v>
      </c>
      <c r="B66" s="274" t="s">
        <v>158</v>
      </c>
      <c r="C66" s="349"/>
      <c r="D66" s="315"/>
      <c r="E66" s="308"/>
      <c r="F66" s="62">
        <v>2</v>
      </c>
      <c r="G66" s="63" t="s">
        <v>164</v>
      </c>
      <c r="H66" s="64">
        <f t="shared" si="4"/>
        <v>75</v>
      </c>
      <c r="I66" s="212" t="s">
        <v>0</v>
      </c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</row>
    <row r="67" spans="1:35" ht="15" hidden="1" thickBot="1">
      <c r="A67" s="212" t="s">
        <v>0</v>
      </c>
      <c r="B67" s="275"/>
      <c r="C67" s="350"/>
      <c r="D67" s="316"/>
      <c r="E67" s="309"/>
      <c r="F67" s="67">
        <v>1</v>
      </c>
      <c r="G67" s="68" t="s">
        <v>164</v>
      </c>
      <c r="H67" s="69">
        <f t="shared" si="4"/>
        <v>70</v>
      </c>
      <c r="I67" s="212" t="s">
        <v>0</v>
      </c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</row>
    <row r="68" spans="1:35">
      <c r="A68" s="36"/>
      <c r="B68" s="113"/>
      <c r="C68" s="114"/>
      <c r="D68" s="115"/>
      <c r="E68" s="115"/>
      <c r="F68" s="116"/>
      <c r="G68" s="117"/>
      <c r="H68" s="89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</row>
    <row r="69" spans="1:35" ht="15" thickBot="1">
      <c r="A69" s="212" t="s">
        <v>0</v>
      </c>
      <c r="B69" s="212" t="s">
        <v>0</v>
      </c>
      <c r="C69" s="212" t="s">
        <v>0</v>
      </c>
      <c r="D69" s="212" t="s">
        <v>0</v>
      </c>
      <c r="E69" s="212" t="s">
        <v>0</v>
      </c>
      <c r="F69" s="212" t="s">
        <v>0</v>
      </c>
      <c r="G69" s="212" t="s">
        <v>0</v>
      </c>
      <c r="H69" s="212" t="s">
        <v>0</v>
      </c>
      <c r="I69" s="212" t="s">
        <v>0</v>
      </c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</row>
    <row r="70" spans="1:35">
      <c r="A70" s="214" t="s">
        <v>0</v>
      </c>
      <c r="B70" s="227" t="s">
        <v>165</v>
      </c>
      <c r="C70" s="228"/>
      <c r="D70" s="249" t="s">
        <v>8</v>
      </c>
      <c r="E70" s="249"/>
      <c r="F70" s="249"/>
      <c r="G70" s="249"/>
      <c r="H70" s="249"/>
      <c r="I70" s="234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</row>
    <row r="71" spans="1:35" ht="15" thickBot="1">
      <c r="A71" s="214" t="s">
        <v>0</v>
      </c>
      <c r="B71" s="229" t="s">
        <v>270</v>
      </c>
      <c r="C71" s="230"/>
      <c r="D71" s="250">
        <v>0.4</v>
      </c>
      <c r="E71" s="250"/>
      <c r="F71" s="250"/>
      <c r="G71" s="250"/>
      <c r="H71" s="250"/>
      <c r="I71" s="235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</row>
    <row r="72" spans="1:35" ht="15" thickBot="1">
      <c r="A72" s="214" t="s">
        <v>0</v>
      </c>
      <c r="B72" s="52" t="s">
        <v>152</v>
      </c>
      <c r="C72" s="236" t="s">
        <v>6</v>
      </c>
      <c r="D72" s="296" t="s">
        <v>9</v>
      </c>
      <c r="E72" s="297"/>
      <c r="F72" s="298" t="s">
        <v>166</v>
      </c>
      <c r="G72" s="299"/>
      <c r="H72" s="300"/>
      <c r="I72" s="214" t="s">
        <v>0</v>
      </c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</row>
    <row r="73" spans="1:35" ht="15" thickBot="1">
      <c r="A73" s="214" t="s">
        <v>0</v>
      </c>
      <c r="B73" s="251">
        <v>1</v>
      </c>
      <c r="C73" s="373" t="s">
        <v>232</v>
      </c>
      <c r="D73" s="56" t="s">
        <v>156</v>
      </c>
      <c r="E73" s="57">
        <v>0.3</v>
      </c>
      <c r="F73" s="58">
        <v>1</v>
      </c>
      <c r="G73" s="59" t="s">
        <v>236</v>
      </c>
      <c r="H73" s="60">
        <v>115</v>
      </c>
      <c r="I73" s="214" t="s">
        <v>0</v>
      </c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</row>
    <row r="74" spans="1:35">
      <c r="A74" s="214" t="s">
        <v>0</v>
      </c>
      <c r="B74" s="252"/>
      <c r="C74" s="355"/>
      <c r="D74" s="342">
        <v>0</v>
      </c>
      <c r="E74" s="307">
        <v>0</v>
      </c>
      <c r="F74" s="62">
        <v>2</v>
      </c>
      <c r="G74" s="63" t="s">
        <v>235</v>
      </c>
      <c r="H74" s="64">
        <v>110</v>
      </c>
      <c r="I74" s="214" t="s">
        <v>0</v>
      </c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</row>
    <row r="75" spans="1:35">
      <c r="A75" s="214" t="s">
        <v>0</v>
      </c>
      <c r="B75" s="252"/>
      <c r="C75" s="355"/>
      <c r="D75" s="321"/>
      <c r="E75" s="308"/>
      <c r="F75" s="62">
        <v>3</v>
      </c>
      <c r="G75" s="63" t="s">
        <v>234</v>
      </c>
      <c r="H75" s="64">
        <v>105</v>
      </c>
      <c r="I75" s="214" t="s">
        <v>0</v>
      </c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</row>
    <row r="76" spans="1:35" ht="15.75" customHeight="1">
      <c r="A76" s="214" t="s">
        <v>0</v>
      </c>
      <c r="B76" s="252"/>
      <c r="C76" s="355"/>
      <c r="D76" s="321"/>
      <c r="E76" s="308"/>
      <c r="F76" s="62">
        <v>4</v>
      </c>
      <c r="G76" s="63" t="s">
        <v>233</v>
      </c>
      <c r="H76" s="64">
        <v>100</v>
      </c>
      <c r="I76" s="214" t="s">
        <v>0</v>
      </c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</row>
    <row r="77" spans="1:35">
      <c r="A77" s="214" t="s">
        <v>0</v>
      </c>
      <c r="B77" s="252"/>
      <c r="C77" s="355"/>
      <c r="D77" s="321"/>
      <c r="E77" s="308"/>
      <c r="F77" s="62">
        <v>5</v>
      </c>
      <c r="G77" s="63" t="s">
        <v>238</v>
      </c>
      <c r="H77" s="64">
        <v>50</v>
      </c>
      <c r="I77" s="214" t="s">
        <v>0</v>
      </c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</row>
    <row r="78" spans="1:35">
      <c r="A78" s="214" t="s">
        <v>0</v>
      </c>
      <c r="B78" s="252"/>
      <c r="C78" s="355"/>
      <c r="D78" s="321"/>
      <c r="E78" s="308"/>
      <c r="F78" s="62">
        <v>6</v>
      </c>
      <c r="G78" s="63" t="s">
        <v>237</v>
      </c>
      <c r="H78" s="64">
        <v>0</v>
      </c>
      <c r="I78" s="214" t="s">
        <v>0</v>
      </c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</row>
    <row r="79" spans="1:35" ht="17.149999999999999" customHeight="1">
      <c r="A79" s="214" t="s">
        <v>0</v>
      </c>
      <c r="B79" s="252"/>
      <c r="C79" s="355"/>
      <c r="D79" s="321"/>
      <c r="E79" s="308"/>
      <c r="F79" s="62"/>
      <c r="G79" s="63"/>
      <c r="H79" s="64"/>
      <c r="I79" s="214" t="s">
        <v>0</v>
      </c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</row>
    <row r="80" spans="1:35" ht="17.149999999999999" customHeight="1" thickBot="1">
      <c r="A80" s="214" t="s">
        <v>0</v>
      </c>
      <c r="B80" s="273"/>
      <c r="C80" s="350"/>
      <c r="D80" s="321"/>
      <c r="E80" s="308"/>
      <c r="F80" s="62"/>
      <c r="G80" s="63"/>
      <c r="H80" s="64"/>
      <c r="I80" s="214" t="s">
        <v>0</v>
      </c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</row>
    <row r="81" spans="1:35" ht="14.5" customHeight="1">
      <c r="A81" s="214" t="s">
        <v>0</v>
      </c>
      <c r="B81" s="304" t="s">
        <v>158</v>
      </c>
      <c r="C81" s="353"/>
      <c r="D81" s="321"/>
      <c r="E81" s="308"/>
      <c r="F81" s="62"/>
      <c r="G81" s="63"/>
      <c r="H81" s="64"/>
      <c r="I81" s="214" t="s">
        <v>0</v>
      </c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</row>
    <row r="82" spans="1:35" ht="36" customHeight="1" thickBot="1">
      <c r="A82" s="214" t="s">
        <v>0</v>
      </c>
      <c r="B82" s="305"/>
      <c r="C82" s="354"/>
      <c r="D82" s="322"/>
      <c r="E82" s="309"/>
      <c r="F82" s="67"/>
      <c r="G82" s="68"/>
      <c r="H82" s="69"/>
      <c r="I82" s="214" t="s">
        <v>0</v>
      </c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</row>
    <row r="83" spans="1:35" ht="15" customHeight="1" thickBot="1">
      <c r="A83" s="214" t="s">
        <v>0</v>
      </c>
      <c r="B83" s="251">
        <v>2</v>
      </c>
      <c r="C83" s="351" t="s">
        <v>247</v>
      </c>
      <c r="D83" s="56" t="s">
        <v>156</v>
      </c>
      <c r="E83" s="57">
        <v>0.15</v>
      </c>
      <c r="F83" s="58">
        <v>1</v>
      </c>
      <c r="G83" s="63" t="s">
        <v>243</v>
      </c>
      <c r="H83" s="60">
        <v>115</v>
      </c>
      <c r="I83" s="214" t="s">
        <v>0</v>
      </c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</row>
    <row r="84" spans="1:35">
      <c r="A84" s="214" t="s">
        <v>0</v>
      </c>
      <c r="B84" s="252"/>
      <c r="C84" s="352"/>
      <c r="D84" s="342">
        <v>0</v>
      </c>
      <c r="E84" s="307">
        <f>IF(D84=0,0,VLOOKUP($D84,$F83:$H92,3,FALSE)*$E83)</f>
        <v>0</v>
      </c>
      <c r="F84" s="62">
        <v>2</v>
      </c>
      <c r="G84" s="63" t="s">
        <v>244</v>
      </c>
      <c r="H84" s="64">
        <v>110</v>
      </c>
      <c r="I84" s="214" t="s">
        <v>0</v>
      </c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</row>
    <row r="85" spans="1:35">
      <c r="A85" s="214" t="s">
        <v>0</v>
      </c>
      <c r="B85" s="252"/>
      <c r="C85" s="352"/>
      <c r="D85" s="321"/>
      <c r="E85" s="308"/>
      <c r="F85" s="62">
        <v>3</v>
      </c>
      <c r="G85" s="63" t="s">
        <v>245</v>
      </c>
      <c r="H85" s="64">
        <v>105</v>
      </c>
      <c r="I85" s="214" t="s">
        <v>0</v>
      </c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</row>
    <row r="86" spans="1:35">
      <c r="A86" s="214" t="s">
        <v>0</v>
      </c>
      <c r="B86" s="252"/>
      <c r="C86" s="352"/>
      <c r="D86" s="321"/>
      <c r="E86" s="308"/>
      <c r="F86" s="62">
        <v>4</v>
      </c>
      <c r="G86" s="142" t="s">
        <v>239</v>
      </c>
      <c r="H86" s="60">
        <v>100</v>
      </c>
      <c r="I86" s="214" t="s">
        <v>0</v>
      </c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</row>
    <row r="87" spans="1:35" ht="15" hidden="1" customHeight="1">
      <c r="A87" s="214" t="s">
        <v>0</v>
      </c>
      <c r="B87" s="252"/>
      <c r="C87" s="352"/>
      <c r="D87" s="321"/>
      <c r="E87" s="308"/>
      <c r="F87" s="62">
        <v>5</v>
      </c>
      <c r="G87" s="142" t="s">
        <v>240</v>
      </c>
      <c r="H87" s="64">
        <v>90</v>
      </c>
      <c r="I87" s="214" t="s">
        <v>0</v>
      </c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</row>
    <row r="88" spans="1:35">
      <c r="A88" s="214" t="s">
        <v>0</v>
      </c>
      <c r="B88" s="252"/>
      <c r="C88" s="352"/>
      <c r="D88" s="321"/>
      <c r="E88" s="308"/>
      <c r="F88" s="62">
        <v>6</v>
      </c>
      <c r="G88" s="63" t="s">
        <v>246</v>
      </c>
      <c r="H88" s="64">
        <v>80</v>
      </c>
      <c r="I88" s="214" t="s">
        <v>0</v>
      </c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</row>
    <row r="89" spans="1:35">
      <c r="A89" s="214" t="s">
        <v>0</v>
      </c>
      <c r="B89" s="252"/>
      <c r="C89" s="352"/>
      <c r="D89" s="321"/>
      <c r="E89" s="308"/>
      <c r="F89" s="62">
        <v>7</v>
      </c>
      <c r="G89" s="63" t="s">
        <v>241</v>
      </c>
      <c r="H89" s="64">
        <v>50</v>
      </c>
      <c r="I89" s="214" t="s">
        <v>0</v>
      </c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</row>
    <row r="90" spans="1:35" ht="17.149999999999999" customHeight="1" thickBot="1">
      <c r="A90" s="214" t="s">
        <v>0</v>
      </c>
      <c r="B90" s="273"/>
      <c r="C90" s="362"/>
      <c r="D90" s="321"/>
      <c r="E90" s="308"/>
      <c r="F90" s="62">
        <v>8</v>
      </c>
      <c r="G90" s="63" t="s">
        <v>242</v>
      </c>
      <c r="H90" s="64">
        <v>0</v>
      </c>
      <c r="I90" s="214" t="s">
        <v>0</v>
      </c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</row>
    <row r="91" spans="1:35">
      <c r="A91" s="214" t="s">
        <v>0</v>
      </c>
      <c r="B91" s="274" t="s">
        <v>158</v>
      </c>
      <c r="C91" s="353"/>
      <c r="D91" s="321"/>
      <c r="E91" s="308"/>
      <c r="F91" s="62"/>
      <c r="G91" s="63"/>
      <c r="H91" s="64"/>
      <c r="I91" s="214" t="s">
        <v>0</v>
      </c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</row>
    <row r="92" spans="1:35" ht="30.65" customHeight="1" thickBot="1">
      <c r="A92" s="214" t="s">
        <v>0</v>
      </c>
      <c r="B92" s="275"/>
      <c r="C92" s="354"/>
      <c r="D92" s="322"/>
      <c r="E92" s="309"/>
      <c r="F92" s="67"/>
      <c r="G92" s="68"/>
      <c r="H92" s="69"/>
      <c r="I92" s="214" t="s">
        <v>0</v>
      </c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</row>
    <row r="93" spans="1:35" ht="15" customHeight="1" thickBot="1">
      <c r="A93" s="214" t="s">
        <v>0</v>
      </c>
      <c r="B93" s="251">
        <v>3</v>
      </c>
      <c r="C93" s="301" t="s">
        <v>248</v>
      </c>
      <c r="D93" s="56" t="s">
        <v>156</v>
      </c>
      <c r="E93" s="57">
        <v>0.15</v>
      </c>
      <c r="F93" s="70">
        <v>1</v>
      </c>
      <c r="G93" s="71" t="s">
        <v>255</v>
      </c>
      <c r="H93" s="72">
        <v>115</v>
      </c>
      <c r="I93" s="214" t="s">
        <v>0</v>
      </c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</row>
    <row r="94" spans="1:35" ht="18" customHeight="1">
      <c r="A94" s="214" t="s">
        <v>0</v>
      </c>
      <c r="B94" s="252"/>
      <c r="C94" s="302"/>
      <c r="D94" s="342">
        <v>0</v>
      </c>
      <c r="E94" s="307">
        <f>IF(D94=0,0,VLOOKUP($D94,$F93:$H108,3,FALSE)*$E93)</f>
        <v>0</v>
      </c>
      <c r="F94" s="62">
        <v>2</v>
      </c>
      <c r="G94" s="71" t="s">
        <v>250</v>
      </c>
      <c r="H94" s="64">
        <v>110</v>
      </c>
      <c r="I94" s="214" t="s">
        <v>0</v>
      </c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</row>
    <row r="95" spans="1:35">
      <c r="A95" s="214" t="s">
        <v>0</v>
      </c>
      <c r="B95" s="252"/>
      <c r="C95" s="302"/>
      <c r="D95" s="321"/>
      <c r="E95" s="308"/>
      <c r="F95" s="62">
        <v>3</v>
      </c>
      <c r="G95" s="63" t="s">
        <v>249</v>
      </c>
      <c r="H95" s="64">
        <v>100</v>
      </c>
      <c r="I95" s="214" t="s">
        <v>0</v>
      </c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</row>
    <row r="96" spans="1:35">
      <c r="A96" s="214" t="s">
        <v>0</v>
      </c>
      <c r="B96" s="252"/>
      <c r="C96" s="302"/>
      <c r="D96" s="321"/>
      <c r="E96" s="308"/>
      <c r="F96" s="62">
        <v>4</v>
      </c>
      <c r="G96" s="63" t="s">
        <v>251</v>
      </c>
      <c r="H96" s="64">
        <v>85</v>
      </c>
      <c r="I96" s="118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</row>
    <row r="97" spans="1:35">
      <c r="A97" s="214" t="s">
        <v>0</v>
      </c>
      <c r="B97" s="252"/>
      <c r="C97" s="302"/>
      <c r="D97" s="321"/>
      <c r="E97" s="308"/>
      <c r="F97" s="62">
        <v>5</v>
      </c>
      <c r="G97" s="63" t="s">
        <v>252</v>
      </c>
      <c r="H97" s="64">
        <v>70</v>
      </c>
      <c r="I97" s="118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</row>
    <row r="98" spans="1:35" ht="15" customHeight="1">
      <c r="A98" s="214" t="s">
        <v>0</v>
      </c>
      <c r="B98" s="252"/>
      <c r="C98" s="302"/>
      <c r="D98" s="321"/>
      <c r="E98" s="308"/>
      <c r="F98" s="62">
        <v>6</v>
      </c>
      <c r="G98" s="63" t="s">
        <v>253</v>
      </c>
      <c r="H98" s="64">
        <v>60</v>
      </c>
      <c r="I98" s="118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</row>
    <row r="99" spans="1:35">
      <c r="A99" s="214" t="s">
        <v>0</v>
      </c>
      <c r="B99" s="306"/>
      <c r="C99" s="302"/>
      <c r="D99" s="376"/>
      <c r="E99" s="308"/>
      <c r="F99" s="62">
        <v>7</v>
      </c>
      <c r="G99" s="63" t="s">
        <v>254</v>
      </c>
      <c r="H99" s="64">
        <v>50</v>
      </c>
      <c r="I99" s="118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</row>
    <row r="100" spans="1:35">
      <c r="A100" s="214"/>
      <c r="B100" s="273"/>
      <c r="C100" s="302"/>
      <c r="D100" s="321"/>
      <c r="E100" s="308"/>
      <c r="F100" s="62">
        <v>8</v>
      </c>
      <c r="G100" s="63" t="s">
        <v>256</v>
      </c>
      <c r="H100" s="64">
        <v>0</v>
      </c>
      <c r="I100" s="118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</row>
    <row r="101" spans="1:35">
      <c r="A101" s="214"/>
      <c r="B101" s="273"/>
      <c r="C101" s="302"/>
      <c r="D101" s="321"/>
      <c r="E101" s="308"/>
      <c r="F101" s="62"/>
      <c r="G101" s="63"/>
      <c r="H101" s="64"/>
      <c r="I101" s="118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</row>
    <row r="102" spans="1:35">
      <c r="A102" s="214"/>
      <c r="B102" s="273"/>
      <c r="C102" s="302"/>
      <c r="D102" s="321"/>
      <c r="E102" s="308"/>
      <c r="F102" s="62"/>
      <c r="G102" s="63"/>
      <c r="H102" s="64"/>
      <c r="I102" s="118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</row>
    <row r="103" spans="1:35">
      <c r="A103" s="214"/>
      <c r="B103" s="273"/>
      <c r="C103" s="302"/>
      <c r="D103" s="321"/>
      <c r="E103" s="308"/>
      <c r="F103" s="62"/>
      <c r="G103" s="63"/>
      <c r="H103" s="64"/>
      <c r="I103" s="118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</row>
    <row r="104" spans="1:35">
      <c r="A104" s="214"/>
      <c r="B104" s="273"/>
      <c r="C104" s="302"/>
      <c r="D104" s="321"/>
      <c r="E104" s="308"/>
      <c r="F104" s="62"/>
      <c r="G104" s="63"/>
      <c r="H104" s="64"/>
      <c r="I104" s="118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</row>
    <row r="105" spans="1:35" ht="15" thickBot="1">
      <c r="A105" s="214" t="s">
        <v>0</v>
      </c>
      <c r="B105" s="273"/>
      <c r="C105" s="303"/>
      <c r="D105" s="321"/>
      <c r="E105" s="308"/>
      <c r="F105" s="62"/>
      <c r="G105" s="63"/>
      <c r="H105" s="64"/>
      <c r="I105" s="118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</row>
    <row r="106" spans="1:35" ht="14.5" customHeight="1">
      <c r="A106" s="214" t="s">
        <v>0</v>
      </c>
      <c r="B106" s="274" t="s">
        <v>158</v>
      </c>
      <c r="C106" s="353"/>
      <c r="D106" s="321"/>
      <c r="E106" s="308"/>
      <c r="F106" s="62"/>
      <c r="G106" s="63"/>
      <c r="H106" s="64"/>
      <c r="I106" s="118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</row>
    <row r="107" spans="1:35" ht="14.5" customHeight="1">
      <c r="A107" s="214"/>
      <c r="B107" s="310"/>
      <c r="C107" s="374"/>
      <c r="D107" s="377"/>
      <c r="E107" s="308"/>
      <c r="F107" s="219"/>
      <c r="G107" s="220"/>
      <c r="H107" s="221"/>
      <c r="I107" s="118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</row>
    <row r="108" spans="1:35" ht="16.5" customHeight="1" thickBot="1">
      <c r="A108" s="214" t="s">
        <v>0</v>
      </c>
      <c r="B108" s="275"/>
      <c r="C108" s="354"/>
      <c r="D108" s="322"/>
      <c r="E108" s="309"/>
      <c r="F108" s="67"/>
      <c r="G108" s="68"/>
      <c r="H108" s="69"/>
      <c r="I108" s="214" t="s">
        <v>0</v>
      </c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</row>
    <row r="109" spans="1:35" ht="15.75" customHeight="1" thickBot="1">
      <c r="A109" s="214" t="s">
        <v>0</v>
      </c>
      <c r="B109" s="274">
        <v>4</v>
      </c>
      <c r="C109" s="351" t="s">
        <v>269</v>
      </c>
      <c r="D109" s="280" t="s">
        <v>9</v>
      </c>
      <c r="E109" s="281"/>
      <c r="F109" s="282" t="s">
        <v>166</v>
      </c>
      <c r="G109" s="283"/>
      <c r="H109" s="284"/>
      <c r="I109" s="214" t="s">
        <v>0</v>
      </c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</row>
    <row r="110" spans="1:35" ht="15.75" customHeight="1" thickBot="1">
      <c r="A110" s="214" t="s">
        <v>0</v>
      </c>
      <c r="B110" s="310"/>
      <c r="C110" s="355"/>
      <c r="D110" s="123" t="s">
        <v>156</v>
      </c>
      <c r="E110" s="124">
        <v>0.4</v>
      </c>
      <c r="F110" s="58">
        <v>1</v>
      </c>
      <c r="G110" s="59" t="s">
        <v>274</v>
      </c>
      <c r="H110" s="60">
        <v>115</v>
      </c>
      <c r="I110" s="214" t="s">
        <v>0</v>
      </c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</row>
    <row r="111" spans="1:35" ht="15" customHeight="1">
      <c r="A111" s="214" t="s">
        <v>0</v>
      </c>
      <c r="B111" s="310"/>
      <c r="C111" s="355"/>
      <c r="D111" s="342">
        <v>0</v>
      </c>
      <c r="E111" s="307">
        <f>IF(D111=0,0,VLOOKUP($D111,$F110:$H119,3,FALSE)*$E110)</f>
        <v>0</v>
      </c>
      <c r="F111" s="62">
        <v>2</v>
      </c>
      <c r="G111" s="63" t="s">
        <v>273</v>
      </c>
      <c r="H111" s="64">
        <v>110</v>
      </c>
      <c r="I111" s="214" t="s">
        <v>0</v>
      </c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</row>
    <row r="112" spans="1:35" ht="15" customHeight="1">
      <c r="A112" s="214" t="s">
        <v>0</v>
      </c>
      <c r="B112" s="310"/>
      <c r="C112" s="355"/>
      <c r="D112" s="321"/>
      <c r="E112" s="308"/>
      <c r="F112" s="62">
        <v>3</v>
      </c>
      <c r="G112" s="63" t="s">
        <v>272</v>
      </c>
      <c r="H112" s="64">
        <v>105</v>
      </c>
      <c r="I112" s="214" t="s">
        <v>0</v>
      </c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</row>
    <row r="113" spans="1:37" ht="15" customHeight="1">
      <c r="A113" s="214" t="s">
        <v>0</v>
      </c>
      <c r="B113" s="310"/>
      <c r="C113" s="355"/>
      <c r="D113" s="321"/>
      <c r="E113" s="308"/>
      <c r="F113" s="62">
        <v>4</v>
      </c>
      <c r="G113" s="63" t="s">
        <v>271</v>
      </c>
      <c r="H113" s="64">
        <v>100</v>
      </c>
      <c r="I113" s="214" t="s">
        <v>0</v>
      </c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</row>
    <row r="114" spans="1:37" ht="15" customHeight="1">
      <c r="A114" s="214" t="s">
        <v>0</v>
      </c>
      <c r="B114" s="310"/>
      <c r="C114" s="355"/>
      <c r="D114" s="321"/>
      <c r="E114" s="308"/>
      <c r="F114" s="62">
        <v>5</v>
      </c>
      <c r="G114" s="63" t="s">
        <v>275</v>
      </c>
      <c r="H114" s="64">
        <v>50</v>
      </c>
      <c r="I114" s="214" t="s">
        <v>0</v>
      </c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</row>
    <row r="115" spans="1:37" ht="15" customHeight="1">
      <c r="A115" s="214" t="s">
        <v>0</v>
      </c>
      <c r="B115" s="310"/>
      <c r="C115" s="355"/>
      <c r="D115" s="321"/>
      <c r="E115" s="308"/>
      <c r="F115" s="62">
        <v>6</v>
      </c>
      <c r="G115" s="63" t="s">
        <v>276</v>
      </c>
      <c r="H115" s="64">
        <v>0</v>
      </c>
      <c r="I115" s="214" t="s">
        <v>0</v>
      </c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</row>
    <row r="116" spans="1:37" ht="15" customHeight="1">
      <c r="A116" s="214" t="s">
        <v>0</v>
      </c>
      <c r="B116" s="310"/>
      <c r="C116" s="355"/>
      <c r="D116" s="321"/>
      <c r="E116" s="308"/>
      <c r="F116" s="62"/>
      <c r="G116" s="63"/>
      <c r="H116" s="64"/>
      <c r="I116" s="214" t="s">
        <v>0</v>
      </c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</row>
    <row r="117" spans="1:37" ht="15.75" customHeight="1" thickBot="1">
      <c r="A117" s="214" t="s">
        <v>0</v>
      </c>
      <c r="B117" s="275"/>
      <c r="C117" s="350"/>
      <c r="D117" s="321"/>
      <c r="E117" s="308"/>
      <c r="F117" s="62"/>
      <c r="G117" s="63"/>
      <c r="H117" s="64"/>
      <c r="I117" s="214" t="s">
        <v>0</v>
      </c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K117">
        <v>12</v>
      </c>
    </row>
    <row r="118" spans="1:37" ht="15" customHeight="1">
      <c r="A118" s="214" t="s">
        <v>0</v>
      </c>
      <c r="B118" s="274" t="s">
        <v>158</v>
      </c>
      <c r="C118" s="353"/>
      <c r="D118" s="321"/>
      <c r="E118" s="308"/>
      <c r="F118" s="62"/>
      <c r="G118" s="63"/>
      <c r="H118" s="64"/>
      <c r="I118" s="214" t="s">
        <v>0</v>
      </c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K118">
        <v>20</v>
      </c>
    </row>
    <row r="119" spans="1:37" ht="15.75" customHeight="1" thickBot="1">
      <c r="A119" s="214" t="s">
        <v>0</v>
      </c>
      <c r="B119" s="275"/>
      <c r="C119" s="354"/>
      <c r="D119" s="322"/>
      <c r="E119" s="309"/>
      <c r="F119" s="67"/>
      <c r="G119" s="68"/>
      <c r="H119" s="69"/>
      <c r="I119" s="214" t="s">
        <v>0</v>
      </c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K119" s="126"/>
    </row>
    <row r="120" spans="1:37" ht="15" customHeight="1">
      <c r="A120" s="214" t="s">
        <v>0</v>
      </c>
      <c r="B120" s="214" t="s">
        <v>0</v>
      </c>
      <c r="C120" s="214" t="s">
        <v>0</v>
      </c>
      <c r="D120" s="214" t="s">
        <v>0</v>
      </c>
      <c r="E120" s="214" t="s">
        <v>0</v>
      </c>
      <c r="F120" s="214" t="s">
        <v>0</v>
      </c>
      <c r="G120" s="214" t="s">
        <v>0</v>
      </c>
      <c r="H120" s="214" t="s">
        <v>0</v>
      </c>
      <c r="I120" s="214" t="s">
        <v>0</v>
      </c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</row>
    <row r="121" spans="1:37" ht="39.75" customHeight="1" thickBot="1">
      <c r="A121" s="36"/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K121">
        <v>1</v>
      </c>
    </row>
    <row r="122" spans="1:37">
      <c r="A122" s="36"/>
      <c r="B122" s="347" t="s">
        <v>167</v>
      </c>
      <c r="C122" s="348"/>
      <c r="D122" s="249" t="s">
        <v>8</v>
      </c>
      <c r="E122" s="249"/>
      <c r="F122" s="249"/>
      <c r="G122" s="249"/>
      <c r="H122" s="249"/>
      <c r="I122" s="234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</row>
    <row r="123" spans="1:37" ht="15" thickBot="1">
      <c r="A123" s="36"/>
      <c r="B123" s="229" t="s">
        <v>257</v>
      </c>
      <c r="C123" s="230"/>
      <c r="D123" s="250">
        <v>0.1</v>
      </c>
      <c r="E123" s="250"/>
      <c r="F123" s="250"/>
      <c r="G123" s="250"/>
      <c r="H123" s="250"/>
      <c r="I123" s="235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</row>
    <row r="124" spans="1:37" ht="15" thickBot="1">
      <c r="A124" s="212" t="s">
        <v>0</v>
      </c>
      <c r="B124" s="36"/>
      <c r="C124" s="36"/>
      <c r="D124" s="36"/>
      <c r="E124" s="36"/>
      <c r="F124" s="36"/>
      <c r="G124" s="36"/>
      <c r="H124" s="36"/>
      <c r="I124" s="212" t="s">
        <v>0</v>
      </c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</row>
    <row r="125" spans="1:37" ht="15" thickBot="1">
      <c r="A125" s="212" t="s">
        <v>0</v>
      </c>
      <c r="B125" s="52" t="s">
        <v>152</v>
      </c>
      <c r="C125" s="237" t="s">
        <v>153</v>
      </c>
      <c r="D125" s="285" t="s">
        <v>9</v>
      </c>
      <c r="E125" s="286"/>
      <c r="F125" s="282" t="s">
        <v>154</v>
      </c>
      <c r="G125" s="283"/>
      <c r="H125" s="284"/>
      <c r="I125" s="212" t="s">
        <v>0</v>
      </c>
      <c r="J125" s="36"/>
      <c r="K125" s="73" t="s">
        <v>153</v>
      </c>
      <c r="L125" s="74" t="s">
        <v>9</v>
      </c>
      <c r="M125" s="75" t="s">
        <v>158</v>
      </c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</row>
    <row r="126" spans="1:37" ht="15" thickBot="1">
      <c r="A126" s="212" t="s">
        <v>0</v>
      </c>
      <c r="B126" s="274">
        <v>1</v>
      </c>
      <c r="C126" s="351" t="s">
        <v>258</v>
      </c>
      <c r="D126" s="123" t="s">
        <v>156</v>
      </c>
      <c r="E126" s="124">
        <v>0.1</v>
      </c>
      <c r="F126" s="58">
        <v>1</v>
      </c>
      <c r="G126" s="127" t="s">
        <v>259</v>
      </c>
      <c r="H126" s="60">
        <v>115</v>
      </c>
      <c r="I126" s="212" t="s">
        <v>0</v>
      </c>
      <c r="J126" s="36"/>
      <c r="K126" s="61">
        <v>1</v>
      </c>
      <c r="L126" s="76">
        <f>E127</f>
        <v>0</v>
      </c>
      <c r="M126" s="383">
        <f>SUM(L126:L130)</f>
        <v>0</v>
      </c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</row>
    <row r="127" spans="1:37">
      <c r="A127" s="212" t="s">
        <v>0</v>
      </c>
      <c r="B127" s="310"/>
      <c r="C127" s="352"/>
      <c r="D127" s="323">
        <v>0</v>
      </c>
      <c r="E127" s="307">
        <f>IF(D127=0,0,VLOOKUP($D127,$F126:$H135,3,FALSE)*$E126)</f>
        <v>0</v>
      </c>
      <c r="F127" s="62">
        <v>2</v>
      </c>
      <c r="G127" s="142" t="s">
        <v>260</v>
      </c>
      <c r="H127" s="64">
        <v>111</v>
      </c>
      <c r="I127" s="212" t="s">
        <v>0</v>
      </c>
      <c r="J127" s="36"/>
      <c r="K127" s="65">
        <v>2</v>
      </c>
      <c r="L127" s="77">
        <v>0</v>
      </c>
      <c r="M127" s="381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</row>
    <row r="128" spans="1:37">
      <c r="A128" s="212" t="s">
        <v>0</v>
      </c>
      <c r="B128" s="310"/>
      <c r="C128" s="352"/>
      <c r="D128" s="324"/>
      <c r="E128" s="308"/>
      <c r="F128" s="62">
        <v>3</v>
      </c>
      <c r="G128" s="142" t="s">
        <v>261</v>
      </c>
      <c r="H128" s="64">
        <f t="shared" ref="H128:H135" si="5">+H127-1</f>
        <v>110</v>
      </c>
      <c r="I128" s="212" t="s">
        <v>0</v>
      </c>
      <c r="J128" s="36"/>
      <c r="K128" s="65">
        <v>3</v>
      </c>
      <c r="L128" s="77">
        <f>E137</f>
        <v>0</v>
      </c>
      <c r="M128" s="381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</row>
    <row r="129" spans="1:35">
      <c r="A129" s="212" t="s">
        <v>0</v>
      </c>
      <c r="B129" s="310"/>
      <c r="C129" s="352"/>
      <c r="D129" s="324"/>
      <c r="E129" s="308"/>
      <c r="F129" s="244">
        <v>4</v>
      </c>
      <c r="G129" s="245" t="s">
        <v>262</v>
      </c>
      <c r="H129" s="246">
        <f t="shared" si="5"/>
        <v>109</v>
      </c>
      <c r="I129" s="212" t="s">
        <v>0</v>
      </c>
      <c r="J129" s="36"/>
      <c r="K129" s="65">
        <v>4</v>
      </c>
      <c r="L129" s="77">
        <f>E147</f>
        <v>0</v>
      </c>
      <c r="M129" s="381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</row>
    <row r="130" spans="1:35" ht="15" thickBot="1">
      <c r="A130" s="212" t="s">
        <v>0</v>
      </c>
      <c r="B130" s="310"/>
      <c r="C130" s="352"/>
      <c r="D130" s="324"/>
      <c r="E130" s="308"/>
      <c r="F130" s="62">
        <v>5</v>
      </c>
      <c r="G130" s="142" t="s">
        <v>263</v>
      </c>
      <c r="H130" s="64">
        <f t="shared" si="5"/>
        <v>108</v>
      </c>
      <c r="I130" s="212" t="s">
        <v>0</v>
      </c>
      <c r="J130" s="36"/>
      <c r="K130" s="66">
        <v>5</v>
      </c>
      <c r="L130" s="78">
        <f>E157</f>
        <v>0</v>
      </c>
      <c r="M130" s="382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</row>
    <row r="131" spans="1:35" ht="15" thickBot="1">
      <c r="A131" s="212" t="s">
        <v>0</v>
      </c>
      <c r="B131" s="310"/>
      <c r="C131" s="352"/>
      <c r="D131" s="324"/>
      <c r="E131" s="308"/>
      <c r="F131" s="62">
        <v>6</v>
      </c>
      <c r="G131" s="142" t="s">
        <v>264</v>
      </c>
      <c r="H131" s="64">
        <f t="shared" si="5"/>
        <v>107</v>
      </c>
      <c r="I131" s="212" t="s">
        <v>0</v>
      </c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</row>
    <row r="132" spans="1:35" ht="15" thickBot="1">
      <c r="A132" s="212" t="s">
        <v>0</v>
      </c>
      <c r="B132" s="310"/>
      <c r="C132" s="352"/>
      <c r="D132" s="324"/>
      <c r="E132" s="308"/>
      <c r="F132" s="62">
        <v>7</v>
      </c>
      <c r="G132" s="142" t="s">
        <v>265</v>
      </c>
      <c r="H132" s="64">
        <f t="shared" si="5"/>
        <v>106</v>
      </c>
      <c r="I132" s="212" t="s">
        <v>0</v>
      </c>
      <c r="J132" s="36"/>
      <c r="K132" s="287" t="s">
        <v>93</v>
      </c>
      <c r="L132" s="288"/>
      <c r="M132" s="289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</row>
    <row r="133" spans="1:35" ht="15" thickBot="1">
      <c r="A133" s="212" t="s">
        <v>0</v>
      </c>
      <c r="B133" s="275"/>
      <c r="C133" s="362"/>
      <c r="D133" s="324"/>
      <c r="E133" s="308"/>
      <c r="F133" s="62">
        <v>8</v>
      </c>
      <c r="G133" s="142" t="s">
        <v>266</v>
      </c>
      <c r="H133" s="64">
        <f t="shared" si="5"/>
        <v>105</v>
      </c>
      <c r="I133" s="212" t="s">
        <v>0</v>
      </c>
      <c r="J133" s="36"/>
      <c r="K133" s="79" t="s">
        <v>6</v>
      </c>
      <c r="L133" s="80" t="s">
        <v>9</v>
      </c>
      <c r="M133" s="81" t="s">
        <v>158</v>
      </c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</row>
    <row r="134" spans="1:35">
      <c r="A134" s="212" t="s">
        <v>0</v>
      </c>
      <c r="B134" s="274" t="s">
        <v>158</v>
      </c>
      <c r="C134" s="353"/>
      <c r="D134" s="324"/>
      <c r="E134" s="308"/>
      <c r="F134" s="62">
        <v>9</v>
      </c>
      <c r="G134" s="247" t="s">
        <v>267</v>
      </c>
      <c r="H134" s="64">
        <f t="shared" si="5"/>
        <v>104</v>
      </c>
      <c r="I134" s="212" t="s">
        <v>0</v>
      </c>
      <c r="J134" s="36"/>
      <c r="K134" s="61">
        <v>1</v>
      </c>
      <c r="L134" s="76">
        <f>E202</f>
        <v>0</v>
      </c>
      <c r="M134" s="383">
        <f>SUM(L134:L135)</f>
        <v>0</v>
      </c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</row>
    <row r="135" spans="1:35" ht="15" thickBot="1">
      <c r="A135" s="212" t="s">
        <v>0</v>
      </c>
      <c r="B135" s="275"/>
      <c r="C135" s="354"/>
      <c r="D135" s="325"/>
      <c r="E135" s="309"/>
      <c r="F135" s="67">
        <v>10</v>
      </c>
      <c r="G135" s="248" t="s">
        <v>268</v>
      </c>
      <c r="H135" s="64">
        <f t="shared" si="5"/>
        <v>103</v>
      </c>
      <c r="I135" s="212" t="s">
        <v>0</v>
      </c>
      <c r="J135" s="36"/>
      <c r="K135" s="65">
        <v>2</v>
      </c>
      <c r="L135" s="77">
        <f>E211</f>
        <v>0</v>
      </c>
      <c r="M135" s="381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</row>
    <row r="136" spans="1:35" ht="15.75" hidden="1" customHeight="1">
      <c r="A136" s="212" t="s">
        <v>0</v>
      </c>
      <c r="B136" s="311">
        <v>3</v>
      </c>
      <c r="C136" s="349"/>
      <c r="D136" s="123" t="s">
        <v>156</v>
      </c>
      <c r="E136" s="124">
        <v>0</v>
      </c>
      <c r="F136" s="58"/>
      <c r="G136" s="59"/>
      <c r="H136" s="60"/>
      <c r="I136" s="212" t="s">
        <v>0</v>
      </c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</row>
    <row r="137" spans="1:35" ht="14.5" hidden="1" customHeight="1">
      <c r="A137" s="212" t="s">
        <v>0</v>
      </c>
      <c r="B137" s="312"/>
      <c r="C137" s="355"/>
      <c r="D137" s="378"/>
      <c r="E137" s="307">
        <f>IF(D137=0,0,VLOOKUP($D137,$F136:$H145,3,FALSE)*$E136)</f>
        <v>0</v>
      </c>
      <c r="F137" s="62"/>
      <c r="G137" s="63"/>
      <c r="H137" s="64"/>
      <c r="I137" s="212" t="s">
        <v>0</v>
      </c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</row>
    <row r="138" spans="1:35" ht="14.5" hidden="1" customHeight="1">
      <c r="A138" s="212" t="s">
        <v>0</v>
      </c>
      <c r="B138" s="312"/>
      <c r="C138" s="355"/>
      <c r="D138" s="379"/>
      <c r="E138" s="308"/>
      <c r="F138" s="62"/>
      <c r="G138" s="63"/>
      <c r="H138" s="64"/>
      <c r="I138" s="212" t="s">
        <v>0</v>
      </c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</row>
    <row r="139" spans="1:35" ht="14.5" hidden="1" customHeight="1">
      <c r="A139" s="212" t="s">
        <v>0</v>
      </c>
      <c r="B139" s="312"/>
      <c r="C139" s="355"/>
      <c r="D139" s="379"/>
      <c r="E139" s="308"/>
      <c r="F139" s="62"/>
      <c r="G139" s="63"/>
      <c r="H139" s="64"/>
      <c r="I139" s="212" t="s">
        <v>0</v>
      </c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</row>
    <row r="140" spans="1:35" ht="14.5" hidden="1" customHeight="1">
      <c r="A140" s="212" t="s">
        <v>0</v>
      </c>
      <c r="B140" s="312"/>
      <c r="C140" s="355"/>
      <c r="D140" s="379"/>
      <c r="E140" s="308"/>
      <c r="F140" s="62"/>
      <c r="G140" s="63"/>
      <c r="H140" s="64"/>
      <c r="I140" s="212" t="s">
        <v>0</v>
      </c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</row>
    <row r="141" spans="1:35" ht="14.5" hidden="1" customHeight="1">
      <c r="A141" s="212" t="s">
        <v>0</v>
      </c>
      <c r="B141" s="312"/>
      <c r="C141" s="355"/>
      <c r="D141" s="379"/>
      <c r="E141" s="308"/>
      <c r="F141" s="62"/>
      <c r="G141" s="63"/>
      <c r="H141" s="64"/>
      <c r="I141" s="212" t="s">
        <v>0</v>
      </c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</row>
    <row r="142" spans="1:35" ht="14.5" hidden="1" customHeight="1">
      <c r="A142" s="212" t="s">
        <v>0</v>
      </c>
      <c r="B142" s="312"/>
      <c r="C142" s="355"/>
      <c r="D142" s="379"/>
      <c r="E142" s="308"/>
      <c r="F142" s="62"/>
      <c r="G142" s="63"/>
      <c r="H142" s="64"/>
      <c r="I142" s="212" t="s">
        <v>0</v>
      </c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</row>
    <row r="143" spans="1:35" ht="14.5" hidden="1" customHeight="1">
      <c r="A143" s="212" t="s">
        <v>0</v>
      </c>
      <c r="B143" s="313"/>
      <c r="C143" s="350"/>
      <c r="D143" s="379"/>
      <c r="E143" s="308"/>
      <c r="F143" s="62"/>
      <c r="G143" s="63"/>
      <c r="H143" s="64"/>
      <c r="I143" s="212" t="s">
        <v>0</v>
      </c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</row>
    <row r="144" spans="1:35" ht="14.5" hidden="1" customHeight="1">
      <c r="A144" s="212" t="s">
        <v>0</v>
      </c>
      <c r="B144" s="274" t="s">
        <v>158</v>
      </c>
      <c r="C144" s="349"/>
      <c r="D144" s="379"/>
      <c r="E144" s="308"/>
      <c r="F144" s="62"/>
      <c r="G144" s="63"/>
      <c r="H144" s="64"/>
      <c r="I144" s="212" t="s">
        <v>0</v>
      </c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</row>
    <row r="145" spans="1:35" ht="14.5" hidden="1" customHeight="1">
      <c r="A145" s="212" t="s">
        <v>0</v>
      </c>
      <c r="B145" s="275"/>
      <c r="C145" s="350"/>
      <c r="D145" s="380"/>
      <c r="E145" s="309"/>
      <c r="F145" s="67"/>
      <c r="G145" s="68"/>
      <c r="H145" s="69"/>
      <c r="I145" s="212" t="s">
        <v>0</v>
      </c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</row>
    <row r="146" spans="1:35" ht="15.75" hidden="1" customHeight="1">
      <c r="A146" s="212" t="s">
        <v>0</v>
      </c>
      <c r="B146" s="311">
        <v>4</v>
      </c>
      <c r="C146" s="349"/>
      <c r="D146" s="123" t="s">
        <v>156</v>
      </c>
      <c r="E146" s="124">
        <v>0.6</v>
      </c>
      <c r="F146" s="58">
        <v>10</v>
      </c>
      <c r="G146" s="59" t="s">
        <v>164</v>
      </c>
      <c r="H146" s="60">
        <v>115</v>
      </c>
      <c r="I146" s="212" t="s">
        <v>0</v>
      </c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</row>
    <row r="147" spans="1:35" ht="15" hidden="1" customHeight="1">
      <c r="A147" s="212" t="s">
        <v>0</v>
      </c>
      <c r="B147" s="312"/>
      <c r="C147" s="355"/>
      <c r="D147" s="378"/>
      <c r="E147" s="307">
        <f>IF(D147=0,0,VLOOKUP($D147,$F146:$H155,3,FALSE)*$E146)</f>
        <v>0</v>
      </c>
      <c r="F147" s="62">
        <v>9</v>
      </c>
      <c r="G147" s="63" t="s">
        <v>164</v>
      </c>
      <c r="H147" s="64">
        <f>H146-5</f>
        <v>110</v>
      </c>
      <c r="I147" s="212" t="s">
        <v>0</v>
      </c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</row>
    <row r="148" spans="1:35" ht="15" hidden="1" customHeight="1">
      <c r="A148" s="212" t="s">
        <v>0</v>
      </c>
      <c r="B148" s="312"/>
      <c r="C148" s="355"/>
      <c r="D148" s="379"/>
      <c r="E148" s="308"/>
      <c r="F148" s="62">
        <v>8</v>
      </c>
      <c r="G148" s="63" t="s">
        <v>164</v>
      </c>
      <c r="H148" s="64">
        <f t="shared" ref="H148:H155" si="6">H147-5</f>
        <v>105</v>
      </c>
      <c r="I148" s="212" t="s">
        <v>0</v>
      </c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</row>
    <row r="149" spans="1:35" ht="15" hidden="1" customHeight="1">
      <c r="A149" s="212" t="s">
        <v>0</v>
      </c>
      <c r="B149" s="312"/>
      <c r="C149" s="355"/>
      <c r="D149" s="379"/>
      <c r="E149" s="308"/>
      <c r="F149" s="62">
        <v>7</v>
      </c>
      <c r="G149" s="63" t="s">
        <v>164</v>
      </c>
      <c r="H149" s="64">
        <f t="shared" si="6"/>
        <v>100</v>
      </c>
      <c r="I149" s="212" t="s">
        <v>0</v>
      </c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</row>
    <row r="150" spans="1:35" ht="15" hidden="1" customHeight="1">
      <c r="A150" s="212" t="s">
        <v>0</v>
      </c>
      <c r="B150" s="312"/>
      <c r="C150" s="355"/>
      <c r="D150" s="379"/>
      <c r="E150" s="308"/>
      <c r="F150" s="62">
        <v>6</v>
      </c>
      <c r="G150" s="63" t="s">
        <v>164</v>
      </c>
      <c r="H150" s="64">
        <f t="shared" si="6"/>
        <v>95</v>
      </c>
      <c r="I150" s="212" t="s">
        <v>0</v>
      </c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</row>
    <row r="151" spans="1:35" ht="15" hidden="1" customHeight="1">
      <c r="A151" s="212" t="s">
        <v>0</v>
      </c>
      <c r="B151" s="312"/>
      <c r="C151" s="355"/>
      <c r="D151" s="379"/>
      <c r="E151" s="308"/>
      <c r="F151" s="62">
        <v>5</v>
      </c>
      <c r="G151" s="63" t="s">
        <v>164</v>
      </c>
      <c r="H151" s="64">
        <f t="shared" si="6"/>
        <v>90</v>
      </c>
      <c r="I151" s="212" t="s">
        <v>0</v>
      </c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</row>
    <row r="152" spans="1:35" ht="15" hidden="1" customHeight="1">
      <c r="A152" s="212" t="s">
        <v>0</v>
      </c>
      <c r="B152" s="312"/>
      <c r="C152" s="355"/>
      <c r="D152" s="379"/>
      <c r="E152" s="308"/>
      <c r="F152" s="62">
        <v>4</v>
      </c>
      <c r="G152" s="63" t="s">
        <v>164</v>
      </c>
      <c r="H152" s="64">
        <f t="shared" si="6"/>
        <v>85</v>
      </c>
      <c r="I152" s="212" t="s">
        <v>0</v>
      </c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</row>
    <row r="153" spans="1:35" ht="15.75" hidden="1" customHeight="1">
      <c r="A153" s="212" t="s">
        <v>0</v>
      </c>
      <c r="B153" s="313"/>
      <c r="C153" s="350"/>
      <c r="D153" s="379"/>
      <c r="E153" s="308"/>
      <c r="F153" s="62">
        <v>3</v>
      </c>
      <c r="G153" s="63" t="s">
        <v>164</v>
      </c>
      <c r="H153" s="64">
        <f t="shared" si="6"/>
        <v>80</v>
      </c>
      <c r="I153" s="212" t="s">
        <v>0</v>
      </c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</row>
    <row r="154" spans="1:35" ht="15" hidden="1" customHeight="1">
      <c r="A154" s="212" t="s">
        <v>0</v>
      </c>
      <c r="B154" s="274" t="s">
        <v>158</v>
      </c>
      <c r="C154" s="349"/>
      <c r="D154" s="379"/>
      <c r="E154" s="308"/>
      <c r="F154" s="62">
        <v>2</v>
      </c>
      <c r="G154" s="63" t="s">
        <v>164</v>
      </c>
      <c r="H154" s="64">
        <f t="shared" si="6"/>
        <v>75</v>
      </c>
      <c r="I154" s="212" t="s">
        <v>0</v>
      </c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</row>
    <row r="155" spans="1:35" ht="15.75" hidden="1" customHeight="1">
      <c r="A155" s="212" t="s">
        <v>0</v>
      </c>
      <c r="B155" s="275"/>
      <c r="C155" s="350"/>
      <c r="D155" s="380"/>
      <c r="E155" s="309"/>
      <c r="F155" s="67">
        <v>1</v>
      </c>
      <c r="G155" s="68" t="s">
        <v>164</v>
      </c>
      <c r="H155" s="69">
        <f t="shared" si="6"/>
        <v>70</v>
      </c>
      <c r="I155" s="212" t="s">
        <v>0</v>
      </c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</row>
    <row r="156" spans="1:35" ht="15.75" hidden="1" customHeight="1">
      <c r="A156" s="212" t="s">
        <v>0</v>
      </c>
      <c r="B156" s="311">
        <v>5</v>
      </c>
      <c r="C156" s="349"/>
      <c r="D156" s="123" t="s">
        <v>156</v>
      </c>
      <c r="E156" s="124">
        <v>0.6</v>
      </c>
      <c r="F156" s="70">
        <v>10</v>
      </c>
      <c r="G156" s="71" t="s">
        <v>164</v>
      </c>
      <c r="H156" s="72">
        <v>115</v>
      </c>
      <c r="I156" s="212" t="s">
        <v>0</v>
      </c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</row>
    <row r="157" spans="1:35" ht="15" hidden="1" customHeight="1">
      <c r="A157" s="212" t="s">
        <v>0</v>
      </c>
      <c r="B157" s="312"/>
      <c r="C157" s="355"/>
      <c r="D157" s="378"/>
      <c r="E157" s="307">
        <f>IF(D157=0,0,VLOOKUP($D157,$F156:$H165,3,FALSE)*$E156)</f>
        <v>0</v>
      </c>
      <c r="F157" s="62">
        <v>9</v>
      </c>
      <c r="G157" s="63" t="s">
        <v>164</v>
      </c>
      <c r="H157" s="64">
        <f>H156-5</f>
        <v>110</v>
      </c>
      <c r="I157" s="212" t="s">
        <v>0</v>
      </c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</row>
    <row r="158" spans="1:35" ht="15" hidden="1" customHeight="1">
      <c r="A158" s="212" t="s">
        <v>0</v>
      </c>
      <c r="B158" s="312"/>
      <c r="C158" s="355"/>
      <c r="D158" s="379"/>
      <c r="E158" s="308"/>
      <c r="F158" s="62">
        <v>8</v>
      </c>
      <c r="G158" s="63" t="s">
        <v>164</v>
      </c>
      <c r="H158" s="64">
        <f t="shared" ref="H158:H165" si="7">H157-5</f>
        <v>105</v>
      </c>
      <c r="I158" s="212" t="s">
        <v>0</v>
      </c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</row>
    <row r="159" spans="1:35" ht="15" hidden="1" customHeight="1">
      <c r="A159" s="212" t="s">
        <v>0</v>
      </c>
      <c r="B159" s="312"/>
      <c r="C159" s="355"/>
      <c r="D159" s="379"/>
      <c r="E159" s="308"/>
      <c r="F159" s="62">
        <v>7</v>
      </c>
      <c r="G159" s="63" t="s">
        <v>164</v>
      </c>
      <c r="H159" s="64">
        <f t="shared" si="7"/>
        <v>100</v>
      </c>
      <c r="I159" s="212" t="s">
        <v>0</v>
      </c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</row>
    <row r="160" spans="1:35" ht="15" hidden="1" customHeight="1">
      <c r="A160" s="212" t="s">
        <v>0</v>
      </c>
      <c r="B160" s="312"/>
      <c r="C160" s="355"/>
      <c r="D160" s="379"/>
      <c r="E160" s="308"/>
      <c r="F160" s="62">
        <v>6</v>
      </c>
      <c r="G160" s="63" t="s">
        <v>164</v>
      </c>
      <c r="H160" s="64">
        <f t="shared" si="7"/>
        <v>95</v>
      </c>
      <c r="I160" s="212" t="s">
        <v>0</v>
      </c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</row>
    <row r="161" spans="1:35" ht="15" hidden="1" customHeight="1">
      <c r="A161" s="212" t="s">
        <v>0</v>
      </c>
      <c r="B161" s="312"/>
      <c r="C161" s="355"/>
      <c r="D161" s="379"/>
      <c r="E161" s="308"/>
      <c r="F161" s="62">
        <v>5</v>
      </c>
      <c r="G161" s="63" t="s">
        <v>164</v>
      </c>
      <c r="H161" s="64">
        <f t="shared" si="7"/>
        <v>90</v>
      </c>
      <c r="I161" s="212" t="s">
        <v>0</v>
      </c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</row>
    <row r="162" spans="1:35" ht="15" hidden="1" customHeight="1">
      <c r="A162" s="212" t="s">
        <v>0</v>
      </c>
      <c r="B162" s="312"/>
      <c r="C162" s="355"/>
      <c r="D162" s="379"/>
      <c r="E162" s="308"/>
      <c r="F162" s="62">
        <v>4</v>
      </c>
      <c r="G162" s="63" t="s">
        <v>164</v>
      </c>
      <c r="H162" s="64">
        <f t="shared" si="7"/>
        <v>85</v>
      </c>
      <c r="I162" s="212" t="s">
        <v>0</v>
      </c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</row>
    <row r="163" spans="1:35" ht="15.75" hidden="1" customHeight="1">
      <c r="A163" s="212" t="s">
        <v>0</v>
      </c>
      <c r="B163" s="313"/>
      <c r="C163" s="350"/>
      <c r="D163" s="379"/>
      <c r="E163" s="308"/>
      <c r="F163" s="62">
        <v>3</v>
      </c>
      <c r="G163" s="63" t="s">
        <v>164</v>
      </c>
      <c r="H163" s="64">
        <f t="shared" si="7"/>
        <v>80</v>
      </c>
      <c r="I163" s="212" t="s">
        <v>0</v>
      </c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</row>
    <row r="164" spans="1:35" ht="15" hidden="1" customHeight="1">
      <c r="A164" s="212" t="s">
        <v>0</v>
      </c>
      <c r="B164" s="274" t="s">
        <v>158</v>
      </c>
      <c r="C164" s="349"/>
      <c r="D164" s="379"/>
      <c r="E164" s="308"/>
      <c r="F164" s="62">
        <v>2</v>
      </c>
      <c r="G164" s="63" t="s">
        <v>164</v>
      </c>
      <c r="H164" s="64">
        <f t="shared" si="7"/>
        <v>75</v>
      </c>
      <c r="I164" s="212" t="s">
        <v>0</v>
      </c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</row>
    <row r="165" spans="1:35" ht="15.75" hidden="1" customHeight="1">
      <c r="A165" s="212" t="s">
        <v>0</v>
      </c>
      <c r="B165" s="275"/>
      <c r="C165" s="350"/>
      <c r="D165" s="380"/>
      <c r="E165" s="309"/>
      <c r="F165" s="67">
        <v>1</v>
      </c>
      <c r="G165" s="68" t="s">
        <v>164</v>
      </c>
      <c r="H165" s="69">
        <f t="shared" si="7"/>
        <v>70</v>
      </c>
      <c r="I165" s="212" t="s">
        <v>0</v>
      </c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</row>
    <row r="166" spans="1:35">
      <c r="A166" s="212" t="s">
        <v>0</v>
      </c>
      <c r="B166" s="212" t="s">
        <v>0</v>
      </c>
      <c r="C166" s="36"/>
      <c r="D166" s="212" t="s">
        <v>0</v>
      </c>
      <c r="E166" s="212" t="s">
        <v>0</v>
      </c>
      <c r="F166" s="212" t="s">
        <v>0</v>
      </c>
      <c r="G166" s="212" t="s">
        <v>0</v>
      </c>
      <c r="H166" s="212" t="s">
        <v>0</v>
      </c>
      <c r="I166" s="212" t="s">
        <v>0</v>
      </c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</row>
    <row r="167" spans="1:35" ht="15.75" hidden="1" customHeight="1">
      <c r="A167" s="212" t="s">
        <v>0</v>
      </c>
      <c r="B167" s="276">
        <v>3</v>
      </c>
      <c r="C167" s="349"/>
      <c r="D167" s="123" t="s">
        <v>156</v>
      </c>
      <c r="E167" s="124">
        <v>0.6</v>
      </c>
      <c r="F167" s="58">
        <v>10</v>
      </c>
      <c r="G167" s="59" t="s">
        <v>164</v>
      </c>
      <c r="H167" s="60">
        <v>115</v>
      </c>
      <c r="I167" s="212" t="s">
        <v>0</v>
      </c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</row>
    <row r="168" spans="1:35" ht="15" hidden="1" customHeight="1">
      <c r="A168" s="212" t="s">
        <v>0</v>
      </c>
      <c r="B168" s="277"/>
      <c r="C168" s="355"/>
      <c r="D168" s="314"/>
      <c r="E168" s="307">
        <f>IF(D168=0,0,VLOOKUP($D168,$F167:$H176,3,FALSE)*$E167)</f>
        <v>0</v>
      </c>
      <c r="F168" s="62">
        <v>9</v>
      </c>
      <c r="G168" s="63" t="s">
        <v>164</v>
      </c>
      <c r="H168" s="64">
        <f>H167-5</f>
        <v>110</v>
      </c>
      <c r="I168" s="212" t="s">
        <v>0</v>
      </c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</row>
    <row r="169" spans="1:35" ht="15" hidden="1" customHeight="1">
      <c r="A169" s="212" t="s">
        <v>0</v>
      </c>
      <c r="B169" s="277"/>
      <c r="C169" s="355"/>
      <c r="D169" s="315"/>
      <c r="E169" s="308"/>
      <c r="F169" s="62">
        <v>8</v>
      </c>
      <c r="G169" s="63" t="s">
        <v>164</v>
      </c>
      <c r="H169" s="64">
        <f t="shared" ref="H169:H176" si="8">H168-5</f>
        <v>105</v>
      </c>
      <c r="I169" s="212" t="s">
        <v>0</v>
      </c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</row>
    <row r="170" spans="1:35" ht="15" hidden="1" customHeight="1">
      <c r="A170" s="212" t="s">
        <v>0</v>
      </c>
      <c r="B170" s="277"/>
      <c r="C170" s="355"/>
      <c r="D170" s="315"/>
      <c r="E170" s="308"/>
      <c r="F170" s="62">
        <v>7</v>
      </c>
      <c r="G170" s="63" t="s">
        <v>164</v>
      </c>
      <c r="H170" s="64">
        <f t="shared" si="8"/>
        <v>100</v>
      </c>
      <c r="I170" s="212" t="s">
        <v>0</v>
      </c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</row>
    <row r="171" spans="1:35" ht="15" hidden="1" customHeight="1">
      <c r="A171" s="212" t="s">
        <v>0</v>
      </c>
      <c r="B171" s="277"/>
      <c r="C171" s="355"/>
      <c r="D171" s="315"/>
      <c r="E171" s="308"/>
      <c r="F171" s="62">
        <v>6</v>
      </c>
      <c r="G171" s="63" t="s">
        <v>164</v>
      </c>
      <c r="H171" s="64">
        <f t="shared" si="8"/>
        <v>95</v>
      </c>
      <c r="I171" s="212" t="s">
        <v>0</v>
      </c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</row>
    <row r="172" spans="1:35" ht="15" hidden="1" customHeight="1">
      <c r="A172" s="212" t="s">
        <v>0</v>
      </c>
      <c r="B172" s="277"/>
      <c r="C172" s="355"/>
      <c r="D172" s="315"/>
      <c r="E172" s="308"/>
      <c r="F172" s="62">
        <v>5</v>
      </c>
      <c r="G172" s="63" t="s">
        <v>164</v>
      </c>
      <c r="H172" s="64">
        <f t="shared" si="8"/>
        <v>90</v>
      </c>
      <c r="I172" s="212" t="s">
        <v>0</v>
      </c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</row>
    <row r="173" spans="1:35" ht="15" hidden="1" customHeight="1">
      <c r="A173" s="212" t="s">
        <v>0</v>
      </c>
      <c r="B173" s="277"/>
      <c r="C173" s="355"/>
      <c r="D173" s="315"/>
      <c r="E173" s="308"/>
      <c r="F173" s="62">
        <v>4</v>
      </c>
      <c r="G173" s="63" t="s">
        <v>164</v>
      </c>
      <c r="H173" s="64">
        <f t="shared" si="8"/>
        <v>85</v>
      </c>
      <c r="I173" s="212" t="s">
        <v>0</v>
      </c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</row>
    <row r="174" spans="1:35" ht="15.75" hidden="1" customHeight="1">
      <c r="A174" s="212" t="s">
        <v>0</v>
      </c>
      <c r="B174" s="278"/>
      <c r="C174" s="350"/>
      <c r="D174" s="315"/>
      <c r="E174" s="308"/>
      <c r="F174" s="62">
        <v>3</v>
      </c>
      <c r="G174" s="63" t="s">
        <v>164</v>
      </c>
      <c r="H174" s="64">
        <f t="shared" si="8"/>
        <v>80</v>
      </c>
      <c r="I174" s="212" t="s">
        <v>0</v>
      </c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</row>
    <row r="175" spans="1:35" ht="15" hidden="1" customHeight="1">
      <c r="A175" s="212" t="s">
        <v>0</v>
      </c>
      <c r="B175" s="274" t="s">
        <v>158</v>
      </c>
      <c r="C175" s="349"/>
      <c r="D175" s="315"/>
      <c r="E175" s="308"/>
      <c r="F175" s="62">
        <v>2</v>
      </c>
      <c r="G175" s="63" t="s">
        <v>164</v>
      </c>
      <c r="H175" s="64">
        <f t="shared" si="8"/>
        <v>75</v>
      </c>
      <c r="I175" s="212" t="s">
        <v>0</v>
      </c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</row>
    <row r="176" spans="1:35" ht="15.75" hidden="1" customHeight="1">
      <c r="A176" s="212" t="s">
        <v>0</v>
      </c>
      <c r="B176" s="275"/>
      <c r="C176" s="350"/>
      <c r="D176" s="316"/>
      <c r="E176" s="309"/>
      <c r="F176" s="67">
        <v>1</v>
      </c>
      <c r="G176" s="68" t="s">
        <v>164</v>
      </c>
      <c r="H176" s="69">
        <f t="shared" si="8"/>
        <v>70</v>
      </c>
      <c r="I176" s="212" t="s">
        <v>0</v>
      </c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</row>
    <row r="177" spans="1:35" ht="15.75" hidden="1" customHeight="1">
      <c r="A177" s="212" t="s">
        <v>0</v>
      </c>
      <c r="B177" s="276">
        <v>4</v>
      </c>
      <c r="C177" s="349"/>
      <c r="D177" s="123" t="s">
        <v>156</v>
      </c>
      <c r="E177" s="124">
        <v>0.6</v>
      </c>
      <c r="F177" s="58">
        <v>10</v>
      </c>
      <c r="G177" s="59" t="s">
        <v>164</v>
      </c>
      <c r="H177" s="60">
        <v>115</v>
      </c>
      <c r="I177" s="212" t="s">
        <v>0</v>
      </c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</row>
    <row r="178" spans="1:35" ht="15" hidden="1" customHeight="1">
      <c r="A178" s="212" t="s">
        <v>0</v>
      </c>
      <c r="B178" s="277"/>
      <c r="C178" s="355"/>
      <c r="D178" s="314"/>
      <c r="E178" s="307">
        <f>IF(D178=0,0,VLOOKUP($D178,$F177:$H186,3,FALSE)*$E177)</f>
        <v>0</v>
      </c>
      <c r="F178" s="62">
        <v>9</v>
      </c>
      <c r="G178" s="63" t="s">
        <v>164</v>
      </c>
      <c r="H178" s="64">
        <f>H177-5</f>
        <v>110</v>
      </c>
      <c r="I178" s="212" t="s">
        <v>0</v>
      </c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</row>
    <row r="179" spans="1:35" ht="15" hidden="1" customHeight="1">
      <c r="A179" s="212" t="s">
        <v>0</v>
      </c>
      <c r="B179" s="277"/>
      <c r="C179" s="355"/>
      <c r="D179" s="315"/>
      <c r="E179" s="308"/>
      <c r="F179" s="62">
        <v>8</v>
      </c>
      <c r="G179" s="63" t="s">
        <v>164</v>
      </c>
      <c r="H179" s="64">
        <f t="shared" ref="H179:H186" si="9">H178-5</f>
        <v>105</v>
      </c>
      <c r="I179" s="212" t="s">
        <v>0</v>
      </c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</row>
    <row r="180" spans="1:35" ht="15" hidden="1" customHeight="1">
      <c r="A180" s="212" t="s">
        <v>0</v>
      </c>
      <c r="B180" s="277"/>
      <c r="C180" s="355"/>
      <c r="D180" s="315"/>
      <c r="E180" s="308"/>
      <c r="F180" s="62">
        <v>7</v>
      </c>
      <c r="G180" s="63" t="s">
        <v>164</v>
      </c>
      <c r="H180" s="64">
        <f t="shared" si="9"/>
        <v>100</v>
      </c>
      <c r="I180" s="212" t="s">
        <v>0</v>
      </c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</row>
    <row r="181" spans="1:35" ht="15" hidden="1" customHeight="1">
      <c r="A181" s="212" t="s">
        <v>0</v>
      </c>
      <c r="B181" s="277"/>
      <c r="C181" s="355"/>
      <c r="D181" s="315"/>
      <c r="E181" s="308"/>
      <c r="F181" s="62">
        <v>6</v>
      </c>
      <c r="G181" s="63" t="s">
        <v>164</v>
      </c>
      <c r="H181" s="64">
        <f t="shared" si="9"/>
        <v>95</v>
      </c>
      <c r="I181" s="212" t="s">
        <v>0</v>
      </c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</row>
    <row r="182" spans="1:35" ht="15" hidden="1" customHeight="1">
      <c r="A182" s="212" t="s">
        <v>0</v>
      </c>
      <c r="B182" s="277"/>
      <c r="C182" s="355"/>
      <c r="D182" s="315"/>
      <c r="E182" s="308"/>
      <c r="F182" s="62">
        <v>5</v>
      </c>
      <c r="G182" s="63" t="s">
        <v>164</v>
      </c>
      <c r="H182" s="64">
        <f t="shared" si="9"/>
        <v>90</v>
      </c>
      <c r="I182" s="212" t="s">
        <v>0</v>
      </c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</row>
    <row r="183" spans="1:35" ht="15" hidden="1" customHeight="1">
      <c r="A183" s="212" t="s">
        <v>0</v>
      </c>
      <c r="B183" s="277"/>
      <c r="C183" s="355"/>
      <c r="D183" s="315"/>
      <c r="E183" s="308"/>
      <c r="F183" s="62">
        <v>4</v>
      </c>
      <c r="G183" s="63" t="s">
        <v>164</v>
      </c>
      <c r="H183" s="64">
        <f t="shared" si="9"/>
        <v>85</v>
      </c>
      <c r="I183" s="212" t="s">
        <v>0</v>
      </c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</row>
    <row r="184" spans="1:35" ht="15.75" hidden="1" customHeight="1">
      <c r="A184" s="212" t="s">
        <v>0</v>
      </c>
      <c r="B184" s="278"/>
      <c r="C184" s="350"/>
      <c r="D184" s="315"/>
      <c r="E184" s="308"/>
      <c r="F184" s="62">
        <v>3</v>
      </c>
      <c r="G184" s="63" t="s">
        <v>164</v>
      </c>
      <c r="H184" s="64">
        <f t="shared" si="9"/>
        <v>80</v>
      </c>
      <c r="I184" s="212" t="s">
        <v>0</v>
      </c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</row>
    <row r="185" spans="1:35" ht="15" hidden="1" customHeight="1">
      <c r="A185" s="212" t="s">
        <v>0</v>
      </c>
      <c r="B185" s="274" t="s">
        <v>158</v>
      </c>
      <c r="C185" s="349"/>
      <c r="D185" s="315"/>
      <c r="E185" s="308"/>
      <c r="F185" s="62">
        <v>2</v>
      </c>
      <c r="G185" s="63" t="s">
        <v>164</v>
      </c>
      <c r="H185" s="64">
        <f t="shared" si="9"/>
        <v>75</v>
      </c>
      <c r="I185" s="212" t="s">
        <v>0</v>
      </c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</row>
    <row r="186" spans="1:35" ht="15.75" hidden="1" customHeight="1">
      <c r="A186" s="212" t="s">
        <v>0</v>
      </c>
      <c r="B186" s="275"/>
      <c r="C186" s="350"/>
      <c r="D186" s="316"/>
      <c r="E186" s="309"/>
      <c r="F186" s="67">
        <v>1</v>
      </c>
      <c r="G186" s="68" t="s">
        <v>164</v>
      </c>
      <c r="H186" s="69">
        <f t="shared" si="9"/>
        <v>70</v>
      </c>
      <c r="I186" s="212" t="s">
        <v>0</v>
      </c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</row>
    <row r="187" spans="1:35" ht="15.75" hidden="1" customHeight="1">
      <c r="A187" s="212" t="s">
        <v>0</v>
      </c>
      <c r="B187" s="279">
        <v>5</v>
      </c>
      <c r="C187" s="349"/>
      <c r="D187" s="123" t="s">
        <v>156</v>
      </c>
      <c r="E187" s="124">
        <v>0.6</v>
      </c>
      <c r="F187" s="70">
        <v>10</v>
      </c>
      <c r="G187" s="71" t="s">
        <v>164</v>
      </c>
      <c r="H187" s="72">
        <v>115</v>
      </c>
      <c r="I187" s="212" t="s">
        <v>0</v>
      </c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</row>
    <row r="188" spans="1:35" ht="15" hidden="1" customHeight="1">
      <c r="A188" s="212" t="s">
        <v>0</v>
      </c>
      <c r="B188" s="277"/>
      <c r="C188" s="355"/>
      <c r="D188" s="314"/>
      <c r="E188" s="307">
        <f>IF(D188=0,0,VLOOKUP($D188,$F187:$H196,3,FALSE)*$E187)</f>
        <v>0</v>
      </c>
      <c r="F188" s="62">
        <v>9</v>
      </c>
      <c r="G188" s="63" t="s">
        <v>164</v>
      </c>
      <c r="H188" s="64">
        <f>H187-5</f>
        <v>110</v>
      </c>
      <c r="I188" s="212" t="s">
        <v>0</v>
      </c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</row>
    <row r="189" spans="1:35" ht="15" hidden="1" customHeight="1">
      <c r="A189" s="212" t="s">
        <v>0</v>
      </c>
      <c r="B189" s="277"/>
      <c r="C189" s="355"/>
      <c r="D189" s="315"/>
      <c r="E189" s="308"/>
      <c r="F189" s="62">
        <v>8</v>
      </c>
      <c r="G189" s="63" t="s">
        <v>164</v>
      </c>
      <c r="H189" s="64">
        <f t="shared" ref="H189:H196" si="10">H188-5</f>
        <v>105</v>
      </c>
      <c r="I189" s="212" t="s">
        <v>0</v>
      </c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</row>
    <row r="190" spans="1:35" ht="15" hidden="1" customHeight="1">
      <c r="A190" s="212" t="s">
        <v>0</v>
      </c>
      <c r="B190" s="277"/>
      <c r="C190" s="355"/>
      <c r="D190" s="315"/>
      <c r="E190" s="308"/>
      <c r="F190" s="62">
        <v>7</v>
      </c>
      <c r="G190" s="63" t="s">
        <v>164</v>
      </c>
      <c r="H190" s="64">
        <f t="shared" si="10"/>
        <v>100</v>
      </c>
      <c r="I190" s="212" t="s">
        <v>0</v>
      </c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</row>
    <row r="191" spans="1:35" ht="15" hidden="1" customHeight="1">
      <c r="A191" s="212" t="s">
        <v>0</v>
      </c>
      <c r="B191" s="277"/>
      <c r="C191" s="355"/>
      <c r="D191" s="315"/>
      <c r="E191" s="308"/>
      <c r="F191" s="62">
        <v>6</v>
      </c>
      <c r="G191" s="63" t="s">
        <v>164</v>
      </c>
      <c r="H191" s="64">
        <f t="shared" si="10"/>
        <v>95</v>
      </c>
      <c r="I191" s="212" t="s">
        <v>0</v>
      </c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</row>
    <row r="192" spans="1:35" ht="15" hidden="1" customHeight="1">
      <c r="A192" s="212" t="s">
        <v>0</v>
      </c>
      <c r="B192" s="277"/>
      <c r="C192" s="355"/>
      <c r="D192" s="315"/>
      <c r="E192" s="308"/>
      <c r="F192" s="62">
        <v>5</v>
      </c>
      <c r="G192" s="63" t="s">
        <v>164</v>
      </c>
      <c r="H192" s="64">
        <f t="shared" si="10"/>
        <v>90</v>
      </c>
      <c r="I192" s="212" t="s">
        <v>0</v>
      </c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</row>
    <row r="193" spans="1:35" ht="15" hidden="1" customHeight="1">
      <c r="A193" s="212" t="s">
        <v>0</v>
      </c>
      <c r="B193" s="277"/>
      <c r="C193" s="355"/>
      <c r="D193" s="315"/>
      <c r="E193" s="308"/>
      <c r="F193" s="62">
        <v>4</v>
      </c>
      <c r="G193" s="63" t="s">
        <v>164</v>
      </c>
      <c r="H193" s="64">
        <f t="shared" si="10"/>
        <v>85</v>
      </c>
      <c r="I193" s="212" t="s">
        <v>0</v>
      </c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</row>
    <row r="194" spans="1:35" ht="15.75" hidden="1" customHeight="1">
      <c r="A194" s="212" t="s">
        <v>0</v>
      </c>
      <c r="B194" s="278"/>
      <c r="C194" s="350"/>
      <c r="D194" s="315"/>
      <c r="E194" s="308"/>
      <c r="F194" s="62">
        <v>3</v>
      </c>
      <c r="G194" s="63" t="s">
        <v>164</v>
      </c>
      <c r="H194" s="64">
        <f t="shared" si="10"/>
        <v>80</v>
      </c>
      <c r="I194" s="212" t="s">
        <v>0</v>
      </c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</row>
    <row r="195" spans="1:35" ht="15" hidden="1" customHeight="1">
      <c r="A195" s="212" t="s">
        <v>0</v>
      </c>
      <c r="B195" s="274" t="s">
        <v>158</v>
      </c>
      <c r="C195" s="349"/>
      <c r="D195" s="315"/>
      <c r="E195" s="308"/>
      <c r="F195" s="62">
        <v>2</v>
      </c>
      <c r="G195" s="63" t="s">
        <v>164</v>
      </c>
      <c r="H195" s="64">
        <f t="shared" si="10"/>
        <v>75</v>
      </c>
      <c r="I195" s="212" t="s">
        <v>0</v>
      </c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</row>
    <row r="196" spans="1:35" ht="15.75" hidden="1" customHeight="1">
      <c r="A196" s="212" t="s">
        <v>0</v>
      </c>
      <c r="B196" s="275"/>
      <c r="C196" s="350"/>
      <c r="D196" s="316"/>
      <c r="E196" s="309"/>
      <c r="F196" s="67">
        <v>1</v>
      </c>
      <c r="G196" s="68" t="s">
        <v>164</v>
      </c>
      <c r="H196" s="69">
        <f t="shared" si="10"/>
        <v>70</v>
      </c>
      <c r="I196" s="212" t="s">
        <v>0</v>
      </c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</row>
    <row r="197" spans="1:35" ht="15" thickBot="1">
      <c r="A197" s="212" t="s">
        <v>0</v>
      </c>
      <c r="B197" s="212" t="s">
        <v>0</v>
      </c>
      <c r="C197" s="36"/>
      <c r="D197" s="212" t="s">
        <v>0</v>
      </c>
      <c r="E197" s="212" t="s">
        <v>0</v>
      </c>
      <c r="F197" s="212" t="s">
        <v>0</v>
      </c>
      <c r="G197" s="212" t="s">
        <v>0</v>
      </c>
      <c r="H197" s="212" t="s">
        <v>0</v>
      </c>
      <c r="I197" s="212" t="s">
        <v>0</v>
      </c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</row>
    <row r="198" spans="1:35">
      <c r="A198" s="214" t="s">
        <v>0</v>
      </c>
      <c r="B198" s="227" t="s">
        <v>231</v>
      </c>
      <c r="C198" s="228"/>
      <c r="D198" s="249" t="s">
        <v>8</v>
      </c>
      <c r="E198" s="249"/>
      <c r="F198" s="249"/>
      <c r="G198" s="249"/>
      <c r="H198" s="249"/>
      <c r="I198" s="234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</row>
    <row r="199" spans="1:35" ht="15" thickBot="1">
      <c r="A199" s="214" t="s">
        <v>0</v>
      </c>
      <c r="B199" s="229"/>
      <c r="C199" s="230"/>
      <c r="D199" s="250">
        <v>0.2</v>
      </c>
      <c r="E199" s="250"/>
      <c r="F199" s="250"/>
      <c r="G199" s="250"/>
      <c r="H199" s="250"/>
      <c r="I199" s="235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</row>
    <row r="200" spans="1:35" ht="15" thickBot="1">
      <c r="A200" s="214" t="s">
        <v>0</v>
      </c>
      <c r="B200" s="52" t="s">
        <v>152</v>
      </c>
      <c r="C200" s="237" t="s">
        <v>6</v>
      </c>
      <c r="D200" s="296" t="s">
        <v>9</v>
      </c>
      <c r="E200" s="297"/>
      <c r="F200" s="298" t="s">
        <v>166</v>
      </c>
      <c r="G200" s="299"/>
      <c r="H200" s="300"/>
      <c r="I200" s="214" t="s">
        <v>0</v>
      </c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</row>
    <row r="201" spans="1:35" ht="15.75" customHeight="1" thickBot="1">
      <c r="A201" s="214" t="s">
        <v>0</v>
      </c>
      <c r="B201" s="251">
        <v>1</v>
      </c>
      <c r="C201" s="351"/>
      <c r="D201" s="123" t="s">
        <v>156</v>
      </c>
      <c r="E201" s="124">
        <v>0.4</v>
      </c>
      <c r="F201" s="58">
        <v>1</v>
      </c>
      <c r="G201" s="59"/>
      <c r="H201" s="60"/>
      <c r="I201" s="214" t="s">
        <v>0</v>
      </c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</row>
    <row r="202" spans="1:35">
      <c r="A202" s="214" t="s">
        <v>0</v>
      </c>
      <c r="B202" s="252"/>
      <c r="C202" s="352"/>
      <c r="D202" s="320">
        <v>0</v>
      </c>
      <c r="E202" s="307">
        <f>IF(D202=0,0,VLOOKUP($D202,$F201:$H209,3,FALSE)*$E201)</f>
        <v>0</v>
      </c>
      <c r="F202" s="62">
        <v>2</v>
      </c>
      <c r="G202" s="63"/>
      <c r="H202" s="64"/>
      <c r="I202" s="214" t="s">
        <v>0</v>
      </c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</row>
    <row r="203" spans="1:35">
      <c r="A203" s="214" t="s">
        <v>0</v>
      </c>
      <c r="B203" s="252"/>
      <c r="C203" s="352"/>
      <c r="D203" s="321"/>
      <c r="E203" s="308"/>
      <c r="F203" s="62">
        <v>3</v>
      </c>
      <c r="G203" s="63"/>
      <c r="H203" s="64"/>
      <c r="I203" s="214" t="s">
        <v>0</v>
      </c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</row>
    <row r="204" spans="1:35">
      <c r="A204" s="214" t="s">
        <v>0</v>
      </c>
      <c r="B204" s="252"/>
      <c r="C204" s="352"/>
      <c r="D204" s="321"/>
      <c r="E204" s="308"/>
      <c r="F204" s="62">
        <v>4</v>
      </c>
      <c r="G204" s="63"/>
      <c r="H204" s="64"/>
      <c r="I204" s="214" t="s">
        <v>0</v>
      </c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</row>
    <row r="205" spans="1:35">
      <c r="A205" s="214" t="s">
        <v>0</v>
      </c>
      <c r="B205" s="252"/>
      <c r="C205" s="352"/>
      <c r="D205" s="321"/>
      <c r="E205" s="308"/>
      <c r="F205" s="62">
        <v>5</v>
      </c>
      <c r="G205" s="63"/>
      <c r="H205" s="64"/>
      <c r="I205" s="214" t="s">
        <v>0</v>
      </c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</row>
    <row r="206" spans="1:35">
      <c r="A206" s="214" t="s">
        <v>0</v>
      </c>
      <c r="B206" s="252"/>
      <c r="C206" s="352"/>
      <c r="D206" s="321"/>
      <c r="E206" s="308"/>
      <c r="F206" s="62">
        <v>6</v>
      </c>
      <c r="G206" s="63"/>
      <c r="H206" s="64"/>
      <c r="I206" s="214" t="s">
        <v>0</v>
      </c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</row>
    <row r="207" spans="1:35" ht="15" thickBot="1">
      <c r="A207" s="214" t="s">
        <v>0</v>
      </c>
      <c r="B207" s="252"/>
      <c r="C207" s="352"/>
      <c r="D207" s="321"/>
      <c r="E207" s="308"/>
      <c r="F207" s="62"/>
      <c r="G207" s="63"/>
      <c r="H207" s="64"/>
      <c r="I207" s="214" t="s">
        <v>0</v>
      </c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</row>
    <row r="208" spans="1:35" ht="14.5" customHeight="1">
      <c r="A208" s="214" t="s">
        <v>0</v>
      </c>
      <c r="B208" s="274" t="s">
        <v>158</v>
      </c>
      <c r="C208" s="353"/>
      <c r="D208" s="321"/>
      <c r="E208" s="308"/>
      <c r="F208" s="62"/>
      <c r="G208" s="129"/>
      <c r="H208" s="64"/>
      <c r="I208" s="214" t="s">
        <v>0</v>
      </c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</row>
    <row r="209" spans="1:35" ht="13" customHeight="1" thickBot="1">
      <c r="A209" s="214" t="s">
        <v>0</v>
      </c>
      <c r="B209" s="275"/>
      <c r="C209" s="354"/>
      <c r="D209" s="322"/>
      <c r="E209" s="309"/>
      <c r="F209" s="62"/>
      <c r="G209" s="128"/>
      <c r="H209" s="64"/>
      <c r="I209" s="214" t="s">
        <v>0</v>
      </c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</row>
    <row r="210" spans="1:35" ht="15.75" customHeight="1" thickBot="1">
      <c r="A210" s="214" t="s">
        <v>0</v>
      </c>
      <c r="B210" s="274">
        <v>2</v>
      </c>
      <c r="C210" s="351"/>
      <c r="D210" s="123" t="s">
        <v>156</v>
      </c>
      <c r="E210" s="124">
        <v>0.3</v>
      </c>
      <c r="F210" s="58">
        <v>1</v>
      </c>
      <c r="G210" s="63"/>
      <c r="H210" s="60"/>
      <c r="I210" s="214" t="s">
        <v>0</v>
      </c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</row>
    <row r="211" spans="1:35" ht="15" customHeight="1">
      <c r="A211" s="214" t="s">
        <v>0</v>
      </c>
      <c r="B211" s="310"/>
      <c r="C211" s="352"/>
      <c r="D211" s="323">
        <v>0</v>
      </c>
      <c r="E211" s="307">
        <f>IF(D211=0,0,VLOOKUP($D211,$F210:$H219,3,FALSE)*$E210)</f>
        <v>0</v>
      </c>
      <c r="F211" s="62">
        <v>2</v>
      </c>
      <c r="G211" s="63"/>
      <c r="H211" s="64"/>
      <c r="I211" s="214" t="s">
        <v>0</v>
      </c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</row>
    <row r="212" spans="1:35" ht="15" customHeight="1">
      <c r="A212" s="214" t="s">
        <v>0</v>
      </c>
      <c r="B212" s="310"/>
      <c r="C212" s="352"/>
      <c r="D212" s="324"/>
      <c r="E212" s="308"/>
      <c r="F212" s="62">
        <v>3</v>
      </c>
      <c r="G212" s="63"/>
      <c r="H212" s="64"/>
      <c r="I212" s="214" t="s">
        <v>0</v>
      </c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</row>
    <row r="213" spans="1:35" ht="15" customHeight="1">
      <c r="A213" s="214" t="s">
        <v>0</v>
      </c>
      <c r="B213" s="310"/>
      <c r="C213" s="352"/>
      <c r="D213" s="324"/>
      <c r="E213" s="308"/>
      <c r="F213" s="62">
        <v>4</v>
      </c>
      <c r="G213" s="142"/>
      <c r="H213" s="60"/>
      <c r="I213" s="214" t="s">
        <v>0</v>
      </c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</row>
    <row r="214" spans="1:35" ht="15" customHeight="1">
      <c r="A214" s="214" t="s">
        <v>0</v>
      </c>
      <c r="B214" s="310"/>
      <c r="C214" s="352"/>
      <c r="D214" s="324"/>
      <c r="E214" s="308"/>
      <c r="F214" s="62">
        <v>5</v>
      </c>
      <c r="G214" s="142"/>
      <c r="H214" s="64"/>
      <c r="I214" s="214" t="s">
        <v>0</v>
      </c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</row>
    <row r="215" spans="1:35" ht="15" customHeight="1">
      <c r="A215" s="214" t="s">
        <v>0</v>
      </c>
      <c r="B215" s="310"/>
      <c r="C215" s="352"/>
      <c r="D215" s="324"/>
      <c r="E215" s="308"/>
      <c r="F215" s="62">
        <v>6</v>
      </c>
      <c r="G215" s="63"/>
      <c r="H215" s="64"/>
      <c r="I215" s="214" t="s">
        <v>0</v>
      </c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</row>
    <row r="216" spans="1:35" ht="15" customHeight="1">
      <c r="A216" s="214" t="s">
        <v>0</v>
      </c>
      <c r="B216" s="310"/>
      <c r="C216" s="352"/>
      <c r="D216" s="324"/>
      <c r="E216" s="308"/>
      <c r="F216" s="62">
        <v>7</v>
      </c>
      <c r="G216" s="63"/>
      <c r="H216" s="64"/>
      <c r="I216" s="214" t="s">
        <v>0</v>
      </c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</row>
    <row r="217" spans="1:35" ht="15.75" customHeight="1" thickBot="1">
      <c r="A217" s="214" t="s">
        <v>0</v>
      </c>
      <c r="B217" s="275"/>
      <c r="C217" s="362"/>
      <c r="D217" s="324"/>
      <c r="E217" s="308"/>
      <c r="F217" s="62">
        <v>8</v>
      </c>
      <c r="G217" s="63"/>
      <c r="H217" s="64"/>
      <c r="I217" s="214" t="s">
        <v>0</v>
      </c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</row>
    <row r="218" spans="1:35" ht="15" customHeight="1">
      <c r="A218" s="214" t="s">
        <v>0</v>
      </c>
      <c r="B218" s="274" t="s">
        <v>158</v>
      </c>
      <c r="C218" s="353"/>
      <c r="D218" s="324"/>
      <c r="E218" s="308"/>
      <c r="F218" s="62"/>
      <c r="G218" s="63"/>
      <c r="H218" s="64"/>
      <c r="I218" s="214" t="s">
        <v>0</v>
      </c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</row>
    <row r="219" spans="1:35" ht="15.75" customHeight="1" thickBot="1">
      <c r="A219" s="214" t="s">
        <v>0</v>
      </c>
      <c r="B219" s="275"/>
      <c r="C219" s="354"/>
      <c r="D219" s="325"/>
      <c r="E219" s="309"/>
      <c r="F219" s="67"/>
      <c r="G219" s="68"/>
      <c r="H219" s="69"/>
      <c r="I219" s="214" t="s">
        <v>0</v>
      </c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</row>
    <row r="220" spans="1:35" ht="15.75" customHeight="1" thickBot="1">
      <c r="A220" s="214" t="s">
        <v>0</v>
      </c>
      <c r="B220" s="279">
        <v>3</v>
      </c>
      <c r="C220" s="356"/>
      <c r="D220" s="123" t="s">
        <v>156</v>
      </c>
      <c r="E220" s="124">
        <v>0.3</v>
      </c>
      <c r="F220" s="70">
        <v>1</v>
      </c>
      <c r="G220" s="71"/>
      <c r="H220" s="72"/>
      <c r="I220" s="214" t="s">
        <v>0</v>
      </c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</row>
    <row r="221" spans="1:35" ht="15" customHeight="1">
      <c r="A221" s="214" t="s">
        <v>0</v>
      </c>
      <c r="B221" s="277"/>
      <c r="C221" s="357"/>
      <c r="D221" s="317">
        <v>0</v>
      </c>
      <c r="E221" s="307">
        <f>IF(D221=0,0,VLOOKUP($D221,$F220:$H229,3,FALSE)*$E220)</f>
        <v>0</v>
      </c>
      <c r="F221" s="62">
        <v>2</v>
      </c>
      <c r="G221" s="71"/>
      <c r="H221" s="64"/>
      <c r="I221" s="214" t="s">
        <v>0</v>
      </c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</row>
    <row r="222" spans="1:35" ht="15" customHeight="1">
      <c r="A222" s="214" t="s">
        <v>0</v>
      </c>
      <c r="B222" s="277"/>
      <c r="C222" s="357"/>
      <c r="D222" s="318"/>
      <c r="E222" s="308"/>
      <c r="F222" s="62">
        <v>3</v>
      </c>
      <c r="G222" s="63"/>
      <c r="H222" s="64"/>
      <c r="I222" s="214" t="s">
        <v>0</v>
      </c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</row>
    <row r="223" spans="1:35" ht="15" customHeight="1">
      <c r="A223" s="214" t="s">
        <v>0</v>
      </c>
      <c r="B223" s="277"/>
      <c r="C223" s="357"/>
      <c r="D223" s="318"/>
      <c r="E223" s="308"/>
      <c r="F223" s="62">
        <v>4</v>
      </c>
      <c r="G223" s="63"/>
      <c r="H223" s="64"/>
      <c r="I223" s="214" t="s">
        <v>0</v>
      </c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</row>
    <row r="224" spans="1:35" ht="15" customHeight="1">
      <c r="A224" s="214" t="s">
        <v>0</v>
      </c>
      <c r="B224" s="277"/>
      <c r="C224" s="357"/>
      <c r="D224" s="318"/>
      <c r="E224" s="308"/>
      <c r="F224" s="62">
        <v>5</v>
      </c>
      <c r="G224" s="63"/>
      <c r="H224" s="64"/>
      <c r="I224" s="214" t="s">
        <v>0</v>
      </c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</row>
    <row r="225" spans="1:35" ht="15" customHeight="1">
      <c r="A225" s="214" t="s">
        <v>0</v>
      </c>
      <c r="B225" s="277"/>
      <c r="C225" s="357"/>
      <c r="D225" s="318"/>
      <c r="E225" s="308"/>
      <c r="F225" s="62">
        <v>6</v>
      </c>
      <c r="G225" s="63"/>
      <c r="H225" s="64"/>
      <c r="I225" s="214" t="s">
        <v>0</v>
      </c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</row>
    <row r="226" spans="1:35" ht="15" customHeight="1">
      <c r="A226" s="214" t="s">
        <v>0</v>
      </c>
      <c r="B226" s="277"/>
      <c r="C226" s="357"/>
      <c r="D226" s="318"/>
      <c r="E226" s="308"/>
      <c r="F226" s="62">
        <v>7</v>
      </c>
      <c r="G226" s="63"/>
      <c r="H226" s="64"/>
      <c r="I226" s="214" t="s">
        <v>0</v>
      </c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</row>
    <row r="227" spans="1:35" ht="19" customHeight="1" thickBot="1">
      <c r="A227" s="214" t="s">
        <v>0</v>
      </c>
      <c r="B227" s="278"/>
      <c r="C227" s="358"/>
      <c r="D227" s="318"/>
      <c r="E227" s="308"/>
      <c r="F227" s="62">
        <v>8</v>
      </c>
      <c r="G227" s="63"/>
      <c r="H227" s="64"/>
      <c r="I227" s="214" t="s">
        <v>0</v>
      </c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</row>
    <row r="228" spans="1:35" ht="15" customHeight="1">
      <c r="A228" s="214" t="s">
        <v>0</v>
      </c>
      <c r="B228" s="274" t="s">
        <v>158</v>
      </c>
      <c r="C228" s="349"/>
      <c r="D228" s="318"/>
      <c r="E228" s="308"/>
      <c r="F228" s="62"/>
      <c r="G228" s="63"/>
      <c r="H228" s="64"/>
      <c r="I228" s="214" t="s">
        <v>0</v>
      </c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</row>
    <row r="229" spans="1:35" ht="15.75" customHeight="1" thickBot="1">
      <c r="A229" s="214" t="s">
        <v>0</v>
      </c>
      <c r="B229" s="275"/>
      <c r="C229" s="350"/>
      <c r="D229" s="319"/>
      <c r="E229" s="309"/>
      <c r="F229" s="67"/>
      <c r="G229" s="68"/>
      <c r="H229" s="69"/>
      <c r="I229" s="214" t="s">
        <v>0</v>
      </c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</row>
    <row r="230" spans="1:35" ht="15.75" hidden="1" customHeight="1" thickBot="1">
      <c r="A230" s="214" t="s">
        <v>0</v>
      </c>
      <c r="B230" s="276">
        <v>6</v>
      </c>
      <c r="C230" s="349"/>
      <c r="D230" s="123" t="s">
        <v>156</v>
      </c>
      <c r="E230" s="124">
        <v>0</v>
      </c>
      <c r="F230" s="58">
        <v>10</v>
      </c>
      <c r="G230" s="59" t="s">
        <v>164</v>
      </c>
      <c r="H230" s="60">
        <v>115</v>
      </c>
      <c r="I230" s="214" t="s">
        <v>0</v>
      </c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</row>
    <row r="231" spans="1:35" ht="15" hidden="1" customHeight="1">
      <c r="A231" s="214" t="s">
        <v>0</v>
      </c>
      <c r="B231" s="277"/>
      <c r="C231" s="355"/>
      <c r="D231" s="314"/>
      <c r="E231" s="307">
        <f>IF(D231=0,0,VLOOKUP($D231,$F230:$H239,3,FALSE)*$E230)</f>
        <v>0</v>
      </c>
      <c r="F231" s="62">
        <v>9</v>
      </c>
      <c r="G231" s="63" t="s">
        <v>164</v>
      </c>
      <c r="H231" s="64">
        <f>H230-5</f>
        <v>110</v>
      </c>
      <c r="I231" s="214" t="s">
        <v>0</v>
      </c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</row>
    <row r="232" spans="1:35" ht="15" hidden="1" customHeight="1">
      <c r="A232" s="214" t="s">
        <v>0</v>
      </c>
      <c r="B232" s="277"/>
      <c r="C232" s="355"/>
      <c r="D232" s="315"/>
      <c r="E232" s="308"/>
      <c r="F232" s="62">
        <v>8</v>
      </c>
      <c r="G232" s="63" t="s">
        <v>164</v>
      </c>
      <c r="H232" s="64">
        <f t="shared" ref="H232:H239" si="11">H231-5</f>
        <v>105</v>
      </c>
      <c r="I232" s="214" t="s">
        <v>0</v>
      </c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</row>
    <row r="233" spans="1:35" ht="15" hidden="1" customHeight="1">
      <c r="A233" s="214" t="s">
        <v>0</v>
      </c>
      <c r="B233" s="277"/>
      <c r="C233" s="355"/>
      <c r="D233" s="315"/>
      <c r="E233" s="308"/>
      <c r="F233" s="62">
        <v>7</v>
      </c>
      <c r="G233" s="63" t="s">
        <v>164</v>
      </c>
      <c r="H233" s="64">
        <f t="shared" si="11"/>
        <v>100</v>
      </c>
      <c r="I233" s="214" t="s">
        <v>0</v>
      </c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</row>
    <row r="234" spans="1:35" ht="15" hidden="1" customHeight="1">
      <c r="A234" s="214" t="s">
        <v>0</v>
      </c>
      <c r="B234" s="277"/>
      <c r="C234" s="355"/>
      <c r="D234" s="315"/>
      <c r="E234" s="308"/>
      <c r="F234" s="62">
        <v>6</v>
      </c>
      <c r="G234" s="63" t="s">
        <v>164</v>
      </c>
      <c r="H234" s="64">
        <f t="shared" si="11"/>
        <v>95</v>
      </c>
      <c r="I234" s="214" t="s">
        <v>0</v>
      </c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</row>
    <row r="235" spans="1:35" ht="15" hidden="1" customHeight="1">
      <c r="A235" s="214" t="s">
        <v>0</v>
      </c>
      <c r="B235" s="277"/>
      <c r="C235" s="355"/>
      <c r="D235" s="315"/>
      <c r="E235" s="308"/>
      <c r="F235" s="62">
        <v>5</v>
      </c>
      <c r="G235" s="63" t="s">
        <v>164</v>
      </c>
      <c r="H235" s="64">
        <f t="shared" si="11"/>
        <v>90</v>
      </c>
      <c r="I235" s="214" t="s">
        <v>0</v>
      </c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</row>
    <row r="236" spans="1:35" ht="15" hidden="1" customHeight="1">
      <c r="A236" s="214" t="s">
        <v>0</v>
      </c>
      <c r="B236" s="277"/>
      <c r="C236" s="355"/>
      <c r="D236" s="315"/>
      <c r="E236" s="308"/>
      <c r="F236" s="62">
        <v>4</v>
      </c>
      <c r="G236" s="63" t="s">
        <v>164</v>
      </c>
      <c r="H236" s="64">
        <f t="shared" si="11"/>
        <v>85</v>
      </c>
      <c r="I236" s="214" t="s">
        <v>0</v>
      </c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</row>
    <row r="237" spans="1:35" ht="15.75" hidden="1" customHeight="1" thickBot="1">
      <c r="A237" s="214" t="s">
        <v>0</v>
      </c>
      <c r="B237" s="278"/>
      <c r="C237" s="350"/>
      <c r="D237" s="315"/>
      <c r="E237" s="308"/>
      <c r="F237" s="62">
        <v>3</v>
      </c>
      <c r="G237" s="63" t="s">
        <v>164</v>
      </c>
      <c r="H237" s="64">
        <f t="shared" si="11"/>
        <v>80</v>
      </c>
      <c r="I237" s="214" t="s">
        <v>0</v>
      </c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</row>
    <row r="238" spans="1:35" ht="15" hidden="1" customHeight="1">
      <c r="A238" s="214" t="s">
        <v>0</v>
      </c>
      <c r="B238" s="274" t="s">
        <v>158</v>
      </c>
      <c r="C238" s="349"/>
      <c r="D238" s="315"/>
      <c r="E238" s="308"/>
      <c r="F238" s="62">
        <v>2</v>
      </c>
      <c r="G238" s="63" t="s">
        <v>164</v>
      </c>
      <c r="H238" s="64">
        <f t="shared" si="11"/>
        <v>75</v>
      </c>
      <c r="I238" s="214" t="s">
        <v>0</v>
      </c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</row>
    <row r="239" spans="1:35" ht="15.75" hidden="1" customHeight="1" thickBot="1">
      <c r="A239" s="214" t="s">
        <v>0</v>
      </c>
      <c r="B239" s="275"/>
      <c r="C239" s="350"/>
      <c r="D239" s="316"/>
      <c r="E239" s="309"/>
      <c r="F239" s="67">
        <v>1</v>
      </c>
      <c r="G239" s="68" t="s">
        <v>164</v>
      </c>
      <c r="H239" s="69">
        <f t="shared" si="11"/>
        <v>70</v>
      </c>
      <c r="I239" s="214" t="s">
        <v>0</v>
      </c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</row>
    <row r="240" spans="1:35" ht="15.75" hidden="1" customHeight="1" thickBot="1">
      <c r="A240" s="214" t="s">
        <v>0</v>
      </c>
      <c r="B240" s="276">
        <v>7</v>
      </c>
      <c r="C240" s="349"/>
      <c r="D240" s="123" t="s">
        <v>156</v>
      </c>
      <c r="E240" s="124">
        <v>0</v>
      </c>
      <c r="F240" s="58">
        <v>10</v>
      </c>
      <c r="G240" s="59" t="s">
        <v>164</v>
      </c>
      <c r="H240" s="60">
        <v>115</v>
      </c>
      <c r="I240" s="214" t="s">
        <v>0</v>
      </c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</row>
    <row r="241" spans="1:35" ht="15" hidden="1" customHeight="1">
      <c r="A241" s="214" t="s">
        <v>0</v>
      </c>
      <c r="B241" s="277"/>
      <c r="C241" s="355"/>
      <c r="D241" s="314"/>
      <c r="E241" s="307">
        <f>IF(D241=0,0,VLOOKUP($D241,$F240:$H249,3,FALSE)*$E240)</f>
        <v>0</v>
      </c>
      <c r="F241" s="62">
        <v>9</v>
      </c>
      <c r="G241" s="63" t="s">
        <v>164</v>
      </c>
      <c r="H241" s="64">
        <f>H240-5</f>
        <v>110</v>
      </c>
      <c r="I241" s="214" t="s">
        <v>0</v>
      </c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</row>
    <row r="242" spans="1:35" ht="15" hidden="1" customHeight="1">
      <c r="A242" s="214" t="s">
        <v>0</v>
      </c>
      <c r="B242" s="277"/>
      <c r="C242" s="355"/>
      <c r="D242" s="315"/>
      <c r="E242" s="308"/>
      <c r="F242" s="62">
        <v>8</v>
      </c>
      <c r="G242" s="63" t="s">
        <v>164</v>
      </c>
      <c r="H242" s="64">
        <f t="shared" ref="H242:H249" si="12">H241-5</f>
        <v>105</v>
      </c>
      <c r="I242" s="214" t="s">
        <v>0</v>
      </c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</row>
    <row r="243" spans="1:35" ht="15" hidden="1" customHeight="1">
      <c r="A243" s="214" t="s">
        <v>0</v>
      </c>
      <c r="B243" s="277"/>
      <c r="C243" s="355"/>
      <c r="D243" s="315"/>
      <c r="E243" s="308"/>
      <c r="F243" s="62">
        <v>7</v>
      </c>
      <c r="G243" s="63" t="s">
        <v>164</v>
      </c>
      <c r="H243" s="64">
        <f t="shared" si="12"/>
        <v>100</v>
      </c>
      <c r="I243" s="214" t="s">
        <v>0</v>
      </c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</row>
    <row r="244" spans="1:35" ht="15" hidden="1" customHeight="1">
      <c r="A244" s="214" t="s">
        <v>0</v>
      </c>
      <c r="B244" s="277"/>
      <c r="C244" s="355"/>
      <c r="D244" s="315"/>
      <c r="E244" s="308"/>
      <c r="F244" s="62">
        <v>6</v>
      </c>
      <c r="G244" s="63" t="s">
        <v>164</v>
      </c>
      <c r="H244" s="64">
        <f t="shared" si="12"/>
        <v>95</v>
      </c>
      <c r="I244" s="214" t="s">
        <v>0</v>
      </c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</row>
    <row r="245" spans="1:35" ht="15" hidden="1" customHeight="1">
      <c r="A245" s="214" t="s">
        <v>0</v>
      </c>
      <c r="B245" s="277"/>
      <c r="C245" s="355"/>
      <c r="D245" s="315"/>
      <c r="E245" s="308"/>
      <c r="F245" s="62">
        <v>5</v>
      </c>
      <c r="G245" s="63" t="s">
        <v>164</v>
      </c>
      <c r="H245" s="64">
        <f t="shared" si="12"/>
        <v>90</v>
      </c>
      <c r="I245" s="214" t="s">
        <v>0</v>
      </c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</row>
    <row r="246" spans="1:35" ht="15" hidden="1" customHeight="1">
      <c r="A246" s="214" t="s">
        <v>0</v>
      </c>
      <c r="B246" s="277"/>
      <c r="C246" s="355"/>
      <c r="D246" s="315"/>
      <c r="E246" s="308"/>
      <c r="F246" s="62">
        <v>4</v>
      </c>
      <c r="G246" s="63" t="s">
        <v>164</v>
      </c>
      <c r="H246" s="64">
        <f t="shared" si="12"/>
        <v>85</v>
      </c>
      <c r="I246" s="214" t="s">
        <v>0</v>
      </c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</row>
    <row r="247" spans="1:35" ht="15.75" hidden="1" customHeight="1" thickBot="1">
      <c r="A247" s="214" t="s">
        <v>0</v>
      </c>
      <c r="B247" s="278"/>
      <c r="C247" s="350"/>
      <c r="D247" s="315"/>
      <c r="E247" s="308"/>
      <c r="F247" s="62">
        <v>3</v>
      </c>
      <c r="G247" s="63" t="s">
        <v>164</v>
      </c>
      <c r="H247" s="64">
        <f t="shared" si="12"/>
        <v>80</v>
      </c>
      <c r="I247" s="214" t="s">
        <v>0</v>
      </c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</row>
    <row r="248" spans="1:35" ht="15" hidden="1" customHeight="1">
      <c r="A248" s="214" t="s">
        <v>0</v>
      </c>
      <c r="B248" s="274" t="s">
        <v>158</v>
      </c>
      <c r="C248" s="349"/>
      <c r="D248" s="315"/>
      <c r="E248" s="308"/>
      <c r="F248" s="62">
        <v>2</v>
      </c>
      <c r="G248" s="63" t="s">
        <v>164</v>
      </c>
      <c r="H248" s="64">
        <f t="shared" si="12"/>
        <v>75</v>
      </c>
      <c r="I248" s="214" t="s">
        <v>0</v>
      </c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</row>
    <row r="249" spans="1:35" ht="15.75" hidden="1" customHeight="1" thickBot="1">
      <c r="A249" s="214" t="s">
        <v>0</v>
      </c>
      <c r="B249" s="275"/>
      <c r="C249" s="350"/>
      <c r="D249" s="316"/>
      <c r="E249" s="309"/>
      <c r="F249" s="67">
        <v>1</v>
      </c>
      <c r="G249" s="68" t="s">
        <v>164</v>
      </c>
      <c r="H249" s="69">
        <f t="shared" si="12"/>
        <v>70</v>
      </c>
      <c r="I249" s="214" t="s">
        <v>0</v>
      </c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</row>
    <row r="250" spans="1:35" ht="15.75" hidden="1" customHeight="1" thickBot="1">
      <c r="A250" s="214" t="s">
        <v>0</v>
      </c>
      <c r="B250" s="276">
        <v>8</v>
      </c>
      <c r="C250" s="349"/>
      <c r="D250" s="123" t="s">
        <v>156</v>
      </c>
      <c r="E250" s="124">
        <v>0</v>
      </c>
      <c r="F250" s="58">
        <v>10</v>
      </c>
      <c r="G250" s="59" t="s">
        <v>164</v>
      </c>
      <c r="H250" s="60">
        <v>115</v>
      </c>
      <c r="I250" s="214" t="s">
        <v>0</v>
      </c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</row>
    <row r="251" spans="1:35" ht="15" hidden="1" customHeight="1">
      <c r="A251" s="214" t="s">
        <v>0</v>
      </c>
      <c r="B251" s="277"/>
      <c r="C251" s="355"/>
      <c r="D251" s="314"/>
      <c r="E251" s="307">
        <f>IF(D251=0,0,VLOOKUP($D251,$F250:$H259,3,FALSE)*$E250)</f>
        <v>0</v>
      </c>
      <c r="F251" s="62">
        <v>9</v>
      </c>
      <c r="G251" s="63" t="s">
        <v>164</v>
      </c>
      <c r="H251" s="64">
        <f>H250-5</f>
        <v>110</v>
      </c>
      <c r="I251" s="214" t="s">
        <v>0</v>
      </c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</row>
    <row r="252" spans="1:35" ht="15" hidden="1" customHeight="1">
      <c r="A252" s="214" t="s">
        <v>0</v>
      </c>
      <c r="B252" s="277"/>
      <c r="C252" s="355"/>
      <c r="D252" s="315"/>
      <c r="E252" s="308"/>
      <c r="F252" s="62">
        <v>8</v>
      </c>
      <c r="G252" s="63" t="s">
        <v>164</v>
      </c>
      <c r="H252" s="64">
        <f t="shared" ref="H252:H259" si="13">H251-5</f>
        <v>105</v>
      </c>
      <c r="I252" s="214" t="s">
        <v>0</v>
      </c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</row>
    <row r="253" spans="1:35" ht="15" hidden="1" customHeight="1">
      <c r="A253" s="214" t="s">
        <v>0</v>
      </c>
      <c r="B253" s="277"/>
      <c r="C253" s="355"/>
      <c r="D253" s="315"/>
      <c r="E253" s="308"/>
      <c r="F253" s="62">
        <v>7</v>
      </c>
      <c r="G253" s="63" t="s">
        <v>164</v>
      </c>
      <c r="H253" s="64">
        <f t="shared" si="13"/>
        <v>100</v>
      </c>
      <c r="I253" s="214" t="s">
        <v>0</v>
      </c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</row>
    <row r="254" spans="1:35" ht="15" hidden="1" customHeight="1">
      <c r="A254" s="214" t="s">
        <v>0</v>
      </c>
      <c r="B254" s="277"/>
      <c r="C254" s="355"/>
      <c r="D254" s="315"/>
      <c r="E254" s="308"/>
      <c r="F254" s="62">
        <v>6</v>
      </c>
      <c r="G254" s="63" t="s">
        <v>164</v>
      </c>
      <c r="H254" s="64">
        <f t="shared" si="13"/>
        <v>95</v>
      </c>
      <c r="I254" s="214" t="s">
        <v>0</v>
      </c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</row>
    <row r="255" spans="1:35" ht="15" hidden="1" customHeight="1">
      <c r="A255" s="214" t="s">
        <v>0</v>
      </c>
      <c r="B255" s="277"/>
      <c r="C255" s="355"/>
      <c r="D255" s="315"/>
      <c r="E255" s="308"/>
      <c r="F255" s="62">
        <v>5</v>
      </c>
      <c r="G255" s="63" t="s">
        <v>164</v>
      </c>
      <c r="H255" s="64">
        <f t="shared" si="13"/>
        <v>90</v>
      </c>
      <c r="I255" s="214" t="s">
        <v>0</v>
      </c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</row>
    <row r="256" spans="1:35" ht="15" hidden="1" customHeight="1">
      <c r="A256" s="214" t="s">
        <v>0</v>
      </c>
      <c r="B256" s="277"/>
      <c r="C256" s="355"/>
      <c r="D256" s="315"/>
      <c r="E256" s="308"/>
      <c r="F256" s="62">
        <v>4</v>
      </c>
      <c r="G256" s="63" t="s">
        <v>164</v>
      </c>
      <c r="H256" s="64">
        <f t="shared" si="13"/>
        <v>85</v>
      </c>
      <c r="I256" s="214" t="s">
        <v>0</v>
      </c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</row>
    <row r="257" spans="1:35" ht="15.75" hidden="1" customHeight="1" thickBot="1">
      <c r="A257" s="214" t="s">
        <v>0</v>
      </c>
      <c r="B257" s="278"/>
      <c r="C257" s="350"/>
      <c r="D257" s="315"/>
      <c r="E257" s="308"/>
      <c r="F257" s="62">
        <v>3</v>
      </c>
      <c r="G257" s="63" t="s">
        <v>164</v>
      </c>
      <c r="H257" s="64">
        <f t="shared" si="13"/>
        <v>80</v>
      </c>
      <c r="I257" s="214" t="s">
        <v>0</v>
      </c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</row>
    <row r="258" spans="1:35" ht="15" hidden="1" customHeight="1">
      <c r="A258" s="214" t="s">
        <v>0</v>
      </c>
      <c r="B258" s="274" t="s">
        <v>158</v>
      </c>
      <c r="C258" s="349"/>
      <c r="D258" s="315"/>
      <c r="E258" s="308"/>
      <c r="F258" s="62">
        <v>2</v>
      </c>
      <c r="G258" s="63" t="s">
        <v>164</v>
      </c>
      <c r="H258" s="64">
        <f t="shared" si="13"/>
        <v>75</v>
      </c>
      <c r="I258" s="214" t="s">
        <v>0</v>
      </c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</row>
    <row r="259" spans="1:35" ht="15.75" hidden="1" customHeight="1" thickBot="1">
      <c r="A259" s="214" t="s">
        <v>0</v>
      </c>
      <c r="B259" s="275"/>
      <c r="C259" s="350"/>
      <c r="D259" s="316"/>
      <c r="E259" s="309"/>
      <c r="F259" s="67">
        <v>1</v>
      </c>
      <c r="G259" s="68" t="s">
        <v>164</v>
      </c>
      <c r="H259" s="69">
        <f t="shared" si="13"/>
        <v>70</v>
      </c>
      <c r="I259" s="214" t="s">
        <v>0</v>
      </c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</row>
    <row r="260" spans="1:35" ht="15.75" hidden="1" customHeight="1" thickBot="1">
      <c r="A260" s="214" t="s">
        <v>0</v>
      </c>
      <c r="B260" s="276">
        <v>9</v>
      </c>
      <c r="C260" s="349"/>
      <c r="D260" s="123" t="s">
        <v>156</v>
      </c>
      <c r="E260" s="124">
        <v>0</v>
      </c>
      <c r="F260" s="58">
        <v>10</v>
      </c>
      <c r="G260" s="59" t="s">
        <v>164</v>
      </c>
      <c r="H260" s="60">
        <v>115</v>
      </c>
      <c r="I260" s="214" t="s">
        <v>0</v>
      </c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</row>
    <row r="261" spans="1:35" ht="15" hidden="1" customHeight="1">
      <c r="A261" s="214" t="s">
        <v>0</v>
      </c>
      <c r="B261" s="277"/>
      <c r="C261" s="355"/>
      <c r="D261" s="314"/>
      <c r="E261" s="307">
        <f>IF(D261=0,0,VLOOKUP($D261,$F260:$H269,3,FALSE)*$E260)</f>
        <v>0</v>
      </c>
      <c r="F261" s="62">
        <v>9</v>
      </c>
      <c r="G261" s="63" t="s">
        <v>164</v>
      </c>
      <c r="H261" s="64">
        <f>H260-5</f>
        <v>110</v>
      </c>
      <c r="I261" s="214" t="s">
        <v>0</v>
      </c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</row>
    <row r="262" spans="1:35" ht="15" hidden="1" customHeight="1">
      <c r="A262" s="214" t="s">
        <v>0</v>
      </c>
      <c r="B262" s="277"/>
      <c r="C262" s="355"/>
      <c r="D262" s="315"/>
      <c r="E262" s="308"/>
      <c r="F262" s="62">
        <v>8</v>
      </c>
      <c r="G262" s="63" t="s">
        <v>164</v>
      </c>
      <c r="H262" s="64">
        <f t="shared" ref="H262:H269" si="14">H261-5</f>
        <v>105</v>
      </c>
      <c r="I262" s="214" t="s">
        <v>0</v>
      </c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</row>
    <row r="263" spans="1:35" ht="15" hidden="1" customHeight="1">
      <c r="A263" s="214" t="s">
        <v>0</v>
      </c>
      <c r="B263" s="277"/>
      <c r="C263" s="355"/>
      <c r="D263" s="315"/>
      <c r="E263" s="308"/>
      <c r="F263" s="62">
        <v>7</v>
      </c>
      <c r="G263" s="63" t="s">
        <v>164</v>
      </c>
      <c r="H263" s="64">
        <f t="shared" si="14"/>
        <v>100</v>
      </c>
      <c r="I263" s="214" t="s">
        <v>0</v>
      </c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</row>
    <row r="264" spans="1:35" ht="15" hidden="1" customHeight="1">
      <c r="A264" s="214" t="s">
        <v>0</v>
      </c>
      <c r="B264" s="277"/>
      <c r="C264" s="355"/>
      <c r="D264" s="315"/>
      <c r="E264" s="308"/>
      <c r="F264" s="62">
        <v>6</v>
      </c>
      <c r="G264" s="63" t="s">
        <v>164</v>
      </c>
      <c r="H264" s="64">
        <f t="shared" si="14"/>
        <v>95</v>
      </c>
      <c r="I264" s="214" t="s">
        <v>0</v>
      </c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</row>
    <row r="265" spans="1:35" ht="15" hidden="1" customHeight="1">
      <c r="A265" s="214" t="s">
        <v>0</v>
      </c>
      <c r="B265" s="277"/>
      <c r="C265" s="355"/>
      <c r="D265" s="315"/>
      <c r="E265" s="308"/>
      <c r="F265" s="62">
        <v>5</v>
      </c>
      <c r="G265" s="63" t="s">
        <v>164</v>
      </c>
      <c r="H265" s="64">
        <f t="shared" si="14"/>
        <v>90</v>
      </c>
      <c r="I265" s="214" t="s">
        <v>0</v>
      </c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</row>
    <row r="266" spans="1:35" ht="15" hidden="1" customHeight="1">
      <c r="A266" s="214" t="s">
        <v>0</v>
      </c>
      <c r="B266" s="277"/>
      <c r="C266" s="355"/>
      <c r="D266" s="315"/>
      <c r="E266" s="308"/>
      <c r="F266" s="62">
        <v>4</v>
      </c>
      <c r="G266" s="63" t="s">
        <v>164</v>
      </c>
      <c r="H266" s="64">
        <f t="shared" si="14"/>
        <v>85</v>
      </c>
      <c r="I266" s="214" t="s">
        <v>0</v>
      </c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</row>
    <row r="267" spans="1:35" ht="15.75" hidden="1" customHeight="1" thickBot="1">
      <c r="A267" s="214" t="s">
        <v>0</v>
      </c>
      <c r="B267" s="278"/>
      <c r="C267" s="350"/>
      <c r="D267" s="315"/>
      <c r="E267" s="308"/>
      <c r="F267" s="62">
        <v>3</v>
      </c>
      <c r="G267" s="63" t="s">
        <v>164</v>
      </c>
      <c r="H267" s="64">
        <f t="shared" si="14"/>
        <v>80</v>
      </c>
      <c r="I267" s="214" t="s">
        <v>0</v>
      </c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</row>
    <row r="268" spans="1:35" ht="15" hidden="1" customHeight="1">
      <c r="A268" s="214" t="s">
        <v>0</v>
      </c>
      <c r="B268" s="274" t="s">
        <v>158</v>
      </c>
      <c r="C268" s="349"/>
      <c r="D268" s="315"/>
      <c r="E268" s="308"/>
      <c r="F268" s="62">
        <v>2</v>
      </c>
      <c r="G268" s="63" t="s">
        <v>164</v>
      </c>
      <c r="H268" s="64">
        <f t="shared" si="14"/>
        <v>75</v>
      </c>
      <c r="I268" s="214" t="s">
        <v>0</v>
      </c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</row>
    <row r="269" spans="1:35" ht="15.75" hidden="1" customHeight="1" thickBot="1">
      <c r="A269" s="214" t="s">
        <v>0</v>
      </c>
      <c r="B269" s="275"/>
      <c r="C269" s="350"/>
      <c r="D269" s="316"/>
      <c r="E269" s="309"/>
      <c r="F269" s="67">
        <v>1</v>
      </c>
      <c r="G269" s="68" t="s">
        <v>164</v>
      </c>
      <c r="H269" s="69">
        <f t="shared" si="14"/>
        <v>70</v>
      </c>
      <c r="I269" s="214" t="s">
        <v>0</v>
      </c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</row>
    <row r="270" spans="1:35" ht="15.75" hidden="1" customHeight="1" thickBot="1">
      <c r="A270" s="214" t="s">
        <v>0</v>
      </c>
      <c r="B270" s="279">
        <v>10</v>
      </c>
      <c r="C270" s="349"/>
      <c r="D270" s="123" t="s">
        <v>156</v>
      </c>
      <c r="E270" s="124">
        <v>0</v>
      </c>
      <c r="F270" s="70">
        <v>10</v>
      </c>
      <c r="G270" s="71" t="s">
        <v>164</v>
      </c>
      <c r="H270" s="72">
        <v>115</v>
      </c>
      <c r="I270" s="214" t="s">
        <v>0</v>
      </c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</row>
    <row r="271" spans="1:35" ht="15" hidden="1" customHeight="1">
      <c r="A271" s="214" t="s">
        <v>0</v>
      </c>
      <c r="B271" s="277"/>
      <c r="C271" s="355"/>
      <c r="D271" s="314"/>
      <c r="E271" s="307">
        <f>IF(D271=0,0,VLOOKUP($D271,$F270:$H279,3,FALSE)*$E270)</f>
        <v>0</v>
      </c>
      <c r="F271" s="62">
        <v>9</v>
      </c>
      <c r="G271" s="63" t="s">
        <v>164</v>
      </c>
      <c r="H271" s="64">
        <f>H270-5</f>
        <v>110</v>
      </c>
      <c r="I271" s="214" t="s">
        <v>0</v>
      </c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</row>
    <row r="272" spans="1:35" ht="15" hidden="1" customHeight="1">
      <c r="A272" s="214" t="s">
        <v>0</v>
      </c>
      <c r="B272" s="277"/>
      <c r="C272" s="355"/>
      <c r="D272" s="315"/>
      <c r="E272" s="308"/>
      <c r="F272" s="62">
        <v>8</v>
      </c>
      <c r="G272" s="63" t="s">
        <v>164</v>
      </c>
      <c r="H272" s="64">
        <f t="shared" ref="H272:H279" si="15">H271-5</f>
        <v>105</v>
      </c>
      <c r="I272" s="214" t="s">
        <v>0</v>
      </c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</row>
    <row r="273" spans="1:35" ht="15" hidden="1" customHeight="1">
      <c r="A273" s="214" t="s">
        <v>0</v>
      </c>
      <c r="B273" s="277"/>
      <c r="C273" s="355"/>
      <c r="D273" s="315"/>
      <c r="E273" s="308"/>
      <c r="F273" s="62">
        <v>7</v>
      </c>
      <c r="G273" s="63" t="s">
        <v>164</v>
      </c>
      <c r="H273" s="64">
        <f t="shared" si="15"/>
        <v>100</v>
      </c>
      <c r="I273" s="214" t="s">
        <v>0</v>
      </c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</row>
    <row r="274" spans="1:35" ht="15" hidden="1" customHeight="1">
      <c r="A274" s="214" t="s">
        <v>0</v>
      </c>
      <c r="B274" s="277"/>
      <c r="C274" s="355"/>
      <c r="D274" s="315"/>
      <c r="E274" s="308"/>
      <c r="F274" s="62">
        <v>6</v>
      </c>
      <c r="G274" s="63" t="s">
        <v>164</v>
      </c>
      <c r="H274" s="64">
        <f t="shared" si="15"/>
        <v>95</v>
      </c>
      <c r="I274" s="214" t="s">
        <v>0</v>
      </c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</row>
    <row r="275" spans="1:35" ht="15" hidden="1" customHeight="1">
      <c r="A275" s="214" t="s">
        <v>0</v>
      </c>
      <c r="B275" s="277"/>
      <c r="C275" s="355"/>
      <c r="D275" s="315"/>
      <c r="E275" s="308"/>
      <c r="F275" s="62">
        <v>5</v>
      </c>
      <c r="G275" s="63" t="s">
        <v>164</v>
      </c>
      <c r="H275" s="64">
        <f t="shared" si="15"/>
        <v>90</v>
      </c>
      <c r="I275" s="214" t="s">
        <v>0</v>
      </c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</row>
    <row r="276" spans="1:35" ht="15" hidden="1" customHeight="1">
      <c r="A276" s="214" t="s">
        <v>0</v>
      </c>
      <c r="B276" s="277"/>
      <c r="C276" s="355"/>
      <c r="D276" s="315"/>
      <c r="E276" s="308"/>
      <c r="F276" s="62">
        <v>4</v>
      </c>
      <c r="G276" s="63" t="s">
        <v>164</v>
      </c>
      <c r="H276" s="64">
        <f t="shared" si="15"/>
        <v>85</v>
      </c>
      <c r="I276" s="214" t="s">
        <v>0</v>
      </c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</row>
    <row r="277" spans="1:35" ht="15.75" hidden="1" customHeight="1" thickBot="1">
      <c r="A277" s="214" t="s">
        <v>0</v>
      </c>
      <c r="B277" s="278"/>
      <c r="C277" s="350"/>
      <c r="D277" s="315"/>
      <c r="E277" s="308"/>
      <c r="F277" s="62">
        <v>3</v>
      </c>
      <c r="G277" s="63" t="s">
        <v>164</v>
      </c>
      <c r="H277" s="64">
        <f t="shared" si="15"/>
        <v>80</v>
      </c>
      <c r="I277" s="214" t="s">
        <v>0</v>
      </c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</row>
    <row r="278" spans="1:35" ht="15" hidden="1" customHeight="1">
      <c r="A278" s="214" t="s">
        <v>0</v>
      </c>
      <c r="B278" s="274" t="s">
        <v>158</v>
      </c>
      <c r="C278" s="349"/>
      <c r="D278" s="315"/>
      <c r="E278" s="308"/>
      <c r="F278" s="62">
        <v>2</v>
      </c>
      <c r="G278" s="63" t="s">
        <v>164</v>
      </c>
      <c r="H278" s="64">
        <f t="shared" si="15"/>
        <v>75</v>
      </c>
      <c r="I278" s="214" t="s">
        <v>0</v>
      </c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</row>
    <row r="279" spans="1:35" ht="15.75" hidden="1" customHeight="1" thickBot="1">
      <c r="A279" s="214" t="s">
        <v>0</v>
      </c>
      <c r="B279" s="275"/>
      <c r="C279" s="350"/>
      <c r="D279" s="316"/>
      <c r="E279" s="309"/>
      <c r="F279" s="67">
        <v>1</v>
      </c>
      <c r="G279" s="68" t="s">
        <v>164</v>
      </c>
      <c r="H279" s="69">
        <f t="shared" si="15"/>
        <v>70</v>
      </c>
      <c r="I279" s="214" t="s">
        <v>0</v>
      </c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</row>
    <row r="280" spans="1:35">
      <c r="A280" s="214" t="s">
        <v>0</v>
      </c>
      <c r="B280" s="214" t="s">
        <v>0</v>
      </c>
      <c r="C280" s="214" t="s">
        <v>0</v>
      </c>
      <c r="D280" s="214" t="s">
        <v>0</v>
      </c>
      <c r="E280" s="214" t="s">
        <v>0</v>
      </c>
      <c r="F280" s="214" t="s">
        <v>0</v>
      </c>
      <c r="G280" s="214" t="s">
        <v>0</v>
      </c>
      <c r="H280" s="214" t="s">
        <v>0</v>
      </c>
      <c r="I280" s="214" t="s">
        <v>0</v>
      </c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</row>
    <row r="281" spans="1:35" hidden="1">
      <c r="A281" s="36"/>
      <c r="B281" s="347" t="s">
        <v>168</v>
      </c>
      <c r="C281" s="359"/>
      <c r="D281" s="249" t="s">
        <v>8</v>
      </c>
      <c r="E281" s="249"/>
      <c r="F281" s="249"/>
      <c r="G281" s="249"/>
      <c r="H281" s="249"/>
      <c r="I281" s="234"/>
      <c r="J281" s="36"/>
      <c r="K281" s="36"/>
      <c r="L281" s="36"/>
      <c r="M281" s="36"/>
      <c r="N281" s="36"/>
      <c r="O281" s="36">
        <v>4</v>
      </c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</row>
    <row r="282" spans="1:35" ht="16" hidden="1" thickBot="1">
      <c r="A282" s="36"/>
      <c r="B282" s="360"/>
      <c r="C282" s="361"/>
      <c r="D282" s="250"/>
      <c r="E282" s="250"/>
      <c r="F282" s="250"/>
      <c r="G282" s="250"/>
      <c r="H282" s="250"/>
      <c r="I282" s="235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</row>
    <row r="283" spans="1:35" ht="15" hidden="1" thickBot="1">
      <c r="A283" s="212" t="s">
        <v>0</v>
      </c>
      <c r="B283" s="36"/>
      <c r="C283" s="36"/>
      <c r="D283" s="36"/>
      <c r="E283" s="36"/>
      <c r="F283" s="36"/>
      <c r="G283" s="36"/>
      <c r="H283" s="36"/>
      <c r="I283" s="212" t="s">
        <v>0</v>
      </c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</row>
    <row r="284" spans="1:35" ht="15" hidden="1" thickBot="1">
      <c r="A284" s="212" t="s">
        <v>0</v>
      </c>
      <c r="B284" s="52" t="s">
        <v>152</v>
      </c>
      <c r="C284" s="237" t="s">
        <v>153</v>
      </c>
      <c r="D284" s="280" t="s">
        <v>9</v>
      </c>
      <c r="E284" s="281"/>
      <c r="F284" s="282" t="s">
        <v>154</v>
      </c>
      <c r="G284" s="283"/>
      <c r="H284" s="284"/>
      <c r="I284" s="212" t="s">
        <v>0</v>
      </c>
      <c r="J284" s="36"/>
      <c r="K284" s="290" t="s">
        <v>155</v>
      </c>
      <c r="L284" s="291"/>
      <c r="M284" s="292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</row>
    <row r="285" spans="1:35" ht="15" hidden="1" thickBot="1">
      <c r="A285" s="212" t="s">
        <v>0</v>
      </c>
      <c r="B285" s="251">
        <v>1</v>
      </c>
      <c r="C285" s="351" t="s">
        <v>258</v>
      </c>
      <c r="D285" s="123" t="s">
        <v>156</v>
      </c>
      <c r="E285" s="124">
        <v>0</v>
      </c>
      <c r="F285" s="58">
        <v>1</v>
      </c>
      <c r="G285" s="127" t="s">
        <v>259</v>
      </c>
      <c r="H285" s="60">
        <v>115</v>
      </c>
      <c r="I285" s="212" t="s">
        <v>0</v>
      </c>
      <c r="J285" s="36"/>
      <c r="K285" s="130" t="s">
        <v>153</v>
      </c>
      <c r="L285" s="131" t="s">
        <v>9</v>
      </c>
      <c r="M285" s="132" t="s">
        <v>158</v>
      </c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</row>
    <row r="286" spans="1:35" hidden="1">
      <c r="A286" s="212" t="s">
        <v>0</v>
      </c>
      <c r="B286" s="252"/>
      <c r="C286" s="352"/>
      <c r="D286" s="342">
        <v>0</v>
      </c>
      <c r="E286" s="307">
        <f>IF(D286=0,0,VLOOKUP($D286,$F285:$H294,3,FALSE)*$E285)</f>
        <v>0</v>
      </c>
      <c r="F286" s="62">
        <v>2</v>
      </c>
      <c r="G286" s="142" t="s">
        <v>260</v>
      </c>
      <c r="H286" s="64">
        <v>111</v>
      </c>
      <c r="I286" s="212" t="s">
        <v>0</v>
      </c>
      <c r="J286" s="36"/>
      <c r="K286" s="133">
        <v>1</v>
      </c>
      <c r="L286" s="134">
        <f>E286</f>
        <v>0</v>
      </c>
      <c r="M286" s="381">
        <f>SUM(L286:L290)</f>
        <v>0</v>
      </c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</row>
    <row r="287" spans="1:35" hidden="1">
      <c r="A287" s="212" t="s">
        <v>0</v>
      </c>
      <c r="B287" s="252"/>
      <c r="C287" s="352"/>
      <c r="D287" s="321"/>
      <c r="E287" s="308"/>
      <c r="F287" s="62">
        <v>3</v>
      </c>
      <c r="G287" s="142" t="s">
        <v>261</v>
      </c>
      <c r="H287" s="64">
        <f t="shared" ref="H287:H294" si="16">+H286-1</f>
        <v>110</v>
      </c>
      <c r="I287" s="212" t="s">
        <v>0</v>
      </c>
      <c r="J287" s="36"/>
      <c r="K287" s="135">
        <v>2</v>
      </c>
      <c r="L287" s="136">
        <v>0</v>
      </c>
      <c r="M287" s="381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</row>
    <row r="288" spans="1:35" hidden="1">
      <c r="A288" s="212" t="s">
        <v>0</v>
      </c>
      <c r="B288" s="252"/>
      <c r="C288" s="352"/>
      <c r="D288" s="321"/>
      <c r="E288" s="308"/>
      <c r="F288" s="244">
        <v>4</v>
      </c>
      <c r="G288" s="245" t="s">
        <v>262</v>
      </c>
      <c r="H288" s="246">
        <f t="shared" si="16"/>
        <v>109</v>
      </c>
      <c r="I288" s="212" t="s">
        <v>0</v>
      </c>
      <c r="J288" s="36"/>
      <c r="K288" s="135">
        <v>3</v>
      </c>
      <c r="L288" s="136">
        <f>E296</f>
        <v>0</v>
      </c>
      <c r="M288" s="381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</row>
    <row r="289" spans="1:35" hidden="1">
      <c r="A289" s="212" t="s">
        <v>0</v>
      </c>
      <c r="B289" s="252"/>
      <c r="C289" s="352"/>
      <c r="D289" s="321"/>
      <c r="E289" s="308"/>
      <c r="F289" s="62">
        <v>5</v>
      </c>
      <c r="G289" s="142" t="s">
        <v>263</v>
      </c>
      <c r="H289" s="64">
        <f t="shared" si="16"/>
        <v>108</v>
      </c>
      <c r="I289" s="212" t="s">
        <v>0</v>
      </c>
      <c r="J289" s="36"/>
      <c r="K289" s="135">
        <v>4</v>
      </c>
      <c r="L289" s="136">
        <f>E306</f>
        <v>0</v>
      </c>
      <c r="M289" s="381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</row>
    <row r="290" spans="1:35" ht="15" hidden="1" thickBot="1">
      <c r="A290" s="212" t="s">
        <v>0</v>
      </c>
      <c r="B290" s="252"/>
      <c r="C290" s="352"/>
      <c r="D290" s="321"/>
      <c r="E290" s="308"/>
      <c r="F290" s="62">
        <v>6</v>
      </c>
      <c r="G290" s="142" t="s">
        <v>264</v>
      </c>
      <c r="H290" s="64">
        <f t="shared" si="16"/>
        <v>107</v>
      </c>
      <c r="I290" s="212" t="s">
        <v>0</v>
      </c>
      <c r="J290" s="36"/>
      <c r="K290" s="137">
        <v>5</v>
      </c>
      <c r="L290" s="138">
        <f>E316</f>
        <v>0</v>
      </c>
      <c r="M290" s="382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</row>
    <row r="291" spans="1:35" ht="15" hidden="1" thickBot="1">
      <c r="A291" s="212" t="s">
        <v>0</v>
      </c>
      <c r="B291" s="252"/>
      <c r="C291" s="352"/>
      <c r="D291" s="321"/>
      <c r="E291" s="308"/>
      <c r="F291" s="62">
        <v>7</v>
      </c>
      <c r="G291" s="142" t="s">
        <v>265</v>
      </c>
      <c r="H291" s="64">
        <f t="shared" si="16"/>
        <v>106</v>
      </c>
      <c r="I291" s="212" t="s">
        <v>0</v>
      </c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</row>
    <row r="292" spans="1:35" ht="15" hidden="1" thickBot="1">
      <c r="A292" s="212" t="s">
        <v>0</v>
      </c>
      <c r="B292" s="273"/>
      <c r="C292" s="362"/>
      <c r="D292" s="321"/>
      <c r="E292" s="308"/>
      <c r="F292" s="62">
        <v>8</v>
      </c>
      <c r="G292" s="142" t="s">
        <v>266</v>
      </c>
      <c r="H292" s="64">
        <f t="shared" si="16"/>
        <v>105</v>
      </c>
      <c r="I292" s="212" t="s">
        <v>0</v>
      </c>
      <c r="J292" s="36"/>
      <c r="K292" s="293" t="s">
        <v>93</v>
      </c>
      <c r="L292" s="294"/>
      <c r="M292" s="295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</row>
    <row r="293" spans="1:35" ht="15" hidden="1" thickBot="1">
      <c r="A293" s="212" t="s">
        <v>0</v>
      </c>
      <c r="B293" s="274" t="s">
        <v>158</v>
      </c>
      <c r="C293" s="353"/>
      <c r="D293" s="321"/>
      <c r="E293" s="308"/>
      <c r="F293" s="62">
        <v>9</v>
      </c>
      <c r="G293" s="247" t="s">
        <v>267</v>
      </c>
      <c r="H293" s="64">
        <f t="shared" si="16"/>
        <v>104</v>
      </c>
      <c r="I293" s="212" t="s">
        <v>0</v>
      </c>
      <c r="J293" s="36"/>
      <c r="K293" s="139" t="s">
        <v>6</v>
      </c>
      <c r="L293" s="140" t="s">
        <v>9</v>
      </c>
      <c r="M293" s="141" t="s">
        <v>158</v>
      </c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</row>
    <row r="294" spans="1:35" ht="15" hidden="1" thickBot="1">
      <c r="A294" s="212" t="s">
        <v>0</v>
      </c>
      <c r="B294" s="275"/>
      <c r="C294" s="354"/>
      <c r="D294" s="322"/>
      <c r="E294" s="309"/>
      <c r="F294" s="67">
        <v>10</v>
      </c>
      <c r="G294" s="248" t="s">
        <v>268</v>
      </c>
      <c r="H294" s="64">
        <f t="shared" si="16"/>
        <v>103</v>
      </c>
      <c r="I294" s="212" t="s">
        <v>0</v>
      </c>
      <c r="J294" s="36"/>
      <c r="K294" s="133">
        <v>1</v>
      </c>
      <c r="L294" s="134">
        <f>E330</f>
        <v>0</v>
      </c>
      <c r="M294" s="218">
        <f>SUM(L294:L294)</f>
        <v>0</v>
      </c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</row>
    <row r="295" spans="1:35" ht="15.75" hidden="1" customHeight="1" thickBot="1">
      <c r="A295" s="212" t="s">
        <v>0</v>
      </c>
      <c r="B295" s="276">
        <v>3</v>
      </c>
      <c r="C295" s="349"/>
      <c r="D295" s="123" t="s">
        <v>156</v>
      </c>
      <c r="E295" s="124">
        <v>0</v>
      </c>
      <c r="F295" s="58">
        <v>1</v>
      </c>
      <c r="G295" s="127" t="s">
        <v>171</v>
      </c>
      <c r="H295" s="60">
        <v>115</v>
      </c>
      <c r="I295" s="212" t="s">
        <v>0</v>
      </c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</row>
    <row r="296" spans="1:35" ht="15" hidden="1" customHeight="1">
      <c r="A296" s="212" t="s">
        <v>0</v>
      </c>
      <c r="B296" s="277"/>
      <c r="C296" s="355"/>
      <c r="D296" s="317">
        <v>0</v>
      </c>
      <c r="E296" s="307">
        <f>IF(D296=0,0,VLOOKUP($D296,$F295:$H304,3,FALSE)*$E295)</f>
        <v>0</v>
      </c>
      <c r="F296" s="62">
        <v>2</v>
      </c>
      <c r="G296" s="142">
        <v>0.03</v>
      </c>
      <c r="H296" s="64">
        <v>110</v>
      </c>
      <c r="I296" s="212" t="s">
        <v>0</v>
      </c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</row>
    <row r="297" spans="1:35" ht="15" hidden="1" customHeight="1">
      <c r="A297" s="212" t="s">
        <v>0</v>
      </c>
      <c r="B297" s="277"/>
      <c r="C297" s="355"/>
      <c r="D297" s="318"/>
      <c r="E297" s="308"/>
      <c r="F297" s="62">
        <v>3</v>
      </c>
      <c r="G297" s="125">
        <v>3.5000000000000003E-2</v>
      </c>
      <c r="H297" s="64">
        <v>105</v>
      </c>
      <c r="I297" s="212" t="s">
        <v>0</v>
      </c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</row>
    <row r="298" spans="1:35" ht="15" hidden="1" customHeight="1">
      <c r="A298" s="212" t="s">
        <v>0</v>
      </c>
      <c r="B298" s="277"/>
      <c r="C298" s="355"/>
      <c r="D298" s="318"/>
      <c r="E298" s="308"/>
      <c r="F298" s="62">
        <v>4</v>
      </c>
      <c r="G298" s="142">
        <v>0.04</v>
      </c>
      <c r="H298" s="64">
        <v>100</v>
      </c>
      <c r="I298" s="212" t="s">
        <v>0</v>
      </c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</row>
    <row r="299" spans="1:35" ht="15" hidden="1" customHeight="1">
      <c r="A299" s="212" t="s">
        <v>0</v>
      </c>
      <c r="B299" s="277"/>
      <c r="C299" s="355"/>
      <c r="D299" s="318"/>
      <c r="E299" s="308"/>
      <c r="F299" s="62">
        <v>5</v>
      </c>
      <c r="G299" s="125">
        <v>4.4999999999999998E-2</v>
      </c>
      <c r="H299" s="64">
        <v>85</v>
      </c>
      <c r="I299" s="212" t="s">
        <v>0</v>
      </c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</row>
    <row r="300" spans="1:35" ht="15" hidden="1" customHeight="1">
      <c r="A300" s="212" t="s">
        <v>0</v>
      </c>
      <c r="B300" s="277"/>
      <c r="C300" s="355"/>
      <c r="D300" s="318"/>
      <c r="E300" s="308"/>
      <c r="F300" s="62">
        <v>6</v>
      </c>
      <c r="G300" s="142">
        <v>0.05</v>
      </c>
      <c r="H300" s="64">
        <v>75</v>
      </c>
      <c r="I300" s="212" t="s">
        <v>0</v>
      </c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</row>
    <row r="301" spans="1:35" ht="15" hidden="1" customHeight="1">
      <c r="A301" s="212" t="s">
        <v>0</v>
      </c>
      <c r="B301" s="277"/>
      <c r="C301" s="355"/>
      <c r="D301" s="318"/>
      <c r="E301" s="308"/>
      <c r="F301" s="62">
        <v>7</v>
      </c>
      <c r="G301" s="63" t="s">
        <v>172</v>
      </c>
      <c r="H301" s="64">
        <v>50</v>
      </c>
      <c r="I301" s="212" t="s">
        <v>0</v>
      </c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</row>
    <row r="302" spans="1:35" ht="15.75" hidden="1" customHeight="1" thickBot="1">
      <c r="A302" s="212" t="s">
        <v>0</v>
      </c>
      <c r="B302" s="278"/>
      <c r="C302" s="350"/>
      <c r="D302" s="318"/>
      <c r="E302" s="308"/>
      <c r="F302" s="62"/>
      <c r="G302" s="63"/>
      <c r="H302" s="64"/>
      <c r="I302" s="212" t="s">
        <v>0</v>
      </c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</row>
    <row r="303" spans="1:35" ht="22" hidden="1" customHeight="1">
      <c r="A303" s="212" t="s">
        <v>0</v>
      </c>
      <c r="B303" s="274" t="s">
        <v>158</v>
      </c>
      <c r="C303" s="349"/>
      <c r="D303" s="318"/>
      <c r="E303" s="308"/>
      <c r="F303" s="62"/>
      <c r="G303" s="63"/>
      <c r="H303" s="64"/>
      <c r="I303" s="212" t="s">
        <v>0</v>
      </c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</row>
    <row r="304" spans="1:35" ht="51" hidden="1" customHeight="1" thickBot="1">
      <c r="A304" s="212" t="s">
        <v>0</v>
      </c>
      <c r="B304" s="275"/>
      <c r="C304" s="350"/>
      <c r="D304" s="319"/>
      <c r="E304" s="309"/>
      <c r="F304" s="67">
        <v>1</v>
      </c>
      <c r="G304" s="68" t="s">
        <v>164</v>
      </c>
      <c r="H304" s="69">
        <f t="shared" ref="H304" si="17">H303-5</f>
        <v>-5</v>
      </c>
      <c r="I304" s="212" t="s">
        <v>0</v>
      </c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</row>
    <row r="305" spans="1:35" ht="15.75" hidden="1" customHeight="1" thickBot="1">
      <c r="A305" s="212" t="s">
        <v>0</v>
      </c>
      <c r="B305" s="276">
        <v>4</v>
      </c>
      <c r="C305" s="349"/>
      <c r="D305" s="123" t="s">
        <v>156</v>
      </c>
      <c r="E305" s="124">
        <v>0</v>
      </c>
      <c r="F305" s="58">
        <v>10</v>
      </c>
      <c r="G305" s="59" t="s">
        <v>164</v>
      </c>
      <c r="H305" s="60">
        <v>115</v>
      </c>
      <c r="I305" s="212" t="s">
        <v>0</v>
      </c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6"/>
    </row>
    <row r="306" spans="1:35" ht="15" hidden="1" customHeight="1">
      <c r="A306" s="212" t="s">
        <v>0</v>
      </c>
      <c r="B306" s="277"/>
      <c r="C306" s="355"/>
      <c r="D306" s="314"/>
      <c r="E306" s="307">
        <f>IF(D306=0,0,VLOOKUP($D306,$F305:$H314,3,FALSE)*$E305)</f>
        <v>0</v>
      </c>
      <c r="F306" s="62">
        <v>9</v>
      </c>
      <c r="G306" s="63" t="s">
        <v>164</v>
      </c>
      <c r="H306" s="64">
        <f>H305-5</f>
        <v>110</v>
      </c>
      <c r="I306" s="212" t="s">
        <v>0</v>
      </c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6"/>
    </row>
    <row r="307" spans="1:35" ht="15" hidden="1" customHeight="1">
      <c r="A307" s="212" t="s">
        <v>0</v>
      </c>
      <c r="B307" s="277"/>
      <c r="C307" s="355"/>
      <c r="D307" s="315"/>
      <c r="E307" s="308"/>
      <c r="F307" s="62">
        <v>8</v>
      </c>
      <c r="G307" s="63" t="s">
        <v>164</v>
      </c>
      <c r="H307" s="64">
        <f t="shared" ref="H307:H314" si="18">H306-5</f>
        <v>105</v>
      </c>
      <c r="I307" s="212" t="s">
        <v>0</v>
      </c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6"/>
    </row>
    <row r="308" spans="1:35" ht="15" hidden="1" customHeight="1">
      <c r="A308" s="212" t="s">
        <v>0</v>
      </c>
      <c r="B308" s="277"/>
      <c r="C308" s="355"/>
      <c r="D308" s="315"/>
      <c r="E308" s="308"/>
      <c r="F308" s="62">
        <v>7</v>
      </c>
      <c r="G308" s="63" t="s">
        <v>164</v>
      </c>
      <c r="H308" s="64">
        <f t="shared" si="18"/>
        <v>100</v>
      </c>
      <c r="I308" s="212" t="s">
        <v>0</v>
      </c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6"/>
    </row>
    <row r="309" spans="1:35" ht="15" hidden="1" customHeight="1">
      <c r="A309" s="212" t="s">
        <v>0</v>
      </c>
      <c r="B309" s="277"/>
      <c r="C309" s="355"/>
      <c r="D309" s="315"/>
      <c r="E309" s="308"/>
      <c r="F309" s="62">
        <v>6</v>
      </c>
      <c r="G309" s="63" t="s">
        <v>164</v>
      </c>
      <c r="H309" s="64">
        <f t="shared" si="18"/>
        <v>95</v>
      </c>
      <c r="I309" s="212" t="s">
        <v>0</v>
      </c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6"/>
    </row>
    <row r="310" spans="1:35" ht="15" hidden="1" customHeight="1">
      <c r="A310" s="212" t="s">
        <v>0</v>
      </c>
      <c r="B310" s="277"/>
      <c r="C310" s="355"/>
      <c r="D310" s="315"/>
      <c r="E310" s="308"/>
      <c r="F310" s="62">
        <v>5</v>
      </c>
      <c r="G310" s="63" t="s">
        <v>164</v>
      </c>
      <c r="H310" s="64">
        <f t="shared" si="18"/>
        <v>90</v>
      </c>
      <c r="I310" s="212" t="s">
        <v>0</v>
      </c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</row>
    <row r="311" spans="1:35" ht="15" hidden="1" customHeight="1">
      <c r="A311" s="212" t="s">
        <v>0</v>
      </c>
      <c r="B311" s="277"/>
      <c r="C311" s="355"/>
      <c r="D311" s="315"/>
      <c r="E311" s="308"/>
      <c r="F311" s="62">
        <v>4</v>
      </c>
      <c r="G311" s="63" t="s">
        <v>164</v>
      </c>
      <c r="H311" s="64">
        <f t="shared" si="18"/>
        <v>85</v>
      </c>
      <c r="I311" s="212" t="s">
        <v>0</v>
      </c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</row>
    <row r="312" spans="1:35" ht="15.75" hidden="1" customHeight="1" thickBot="1">
      <c r="A312" s="212" t="s">
        <v>0</v>
      </c>
      <c r="B312" s="278"/>
      <c r="C312" s="350"/>
      <c r="D312" s="315"/>
      <c r="E312" s="308"/>
      <c r="F312" s="62">
        <v>3</v>
      </c>
      <c r="G312" s="63" t="s">
        <v>164</v>
      </c>
      <c r="H312" s="64">
        <f t="shared" si="18"/>
        <v>80</v>
      </c>
      <c r="I312" s="212" t="s">
        <v>0</v>
      </c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</row>
    <row r="313" spans="1:35" ht="15" hidden="1" customHeight="1">
      <c r="A313" s="212" t="s">
        <v>0</v>
      </c>
      <c r="B313" s="274" t="s">
        <v>158</v>
      </c>
      <c r="C313" s="349"/>
      <c r="D313" s="315"/>
      <c r="E313" s="308"/>
      <c r="F313" s="62">
        <v>2</v>
      </c>
      <c r="G313" s="63" t="s">
        <v>164</v>
      </c>
      <c r="H313" s="64">
        <f t="shared" si="18"/>
        <v>75</v>
      </c>
      <c r="I313" s="212" t="s">
        <v>0</v>
      </c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</row>
    <row r="314" spans="1:35" ht="15.75" hidden="1" customHeight="1" thickBot="1">
      <c r="A314" s="212" t="s">
        <v>0</v>
      </c>
      <c r="B314" s="275"/>
      <c r="C314" s="350"/>
      <c r="D314" s="316"/>
      <c r="E314" s="309"/>
      <c r="F314" s="67">
        <v>1</v>
      </c>
      <c r="G314" s="68" t="s">
        <v>164</v>
      </c>
      <c r="H314" s="69">
        <f t="shared" si="18"/>
        <v>70</v>
      </c>
      <c r="I314" s="212" t="s">
        <v>0</v>
      </c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</row>
    <row r="315" spans="1:35" ht="15.75" hidden="1" customHeight="1" thickBot="1">
      <c r="A315" s="212" t="s">
        <v>0</v>
      </c>
      <c r="B315" s="279">
        <v>5</v>
      </c>
      <c r="C315" s="349"/>
      <c r="D315" s="123" t="s">
        <v>156</v>
      </c>
      <c r="E315" s="124">
        <v>0</v>
      </c>
      <c r="F315" s="70">
        <v>10</v>
      </c>
      <c r="G315" s="71" t="s">
        <v>164</v>
      </c>
      <c r="H315" s="72">
        <v>115</v>
      </c>
      <c r="I315" s="212" t="s">
        <v>0</v>
      </c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</row>
    <row r="316" spans="1:35" ht="15" hidden="1" customHeight="1">
      <c r="A316" s="212" t="s">
        <v>0</v>
      </c>
      <c r="B316" s="277"/>
      <c r="C316" s="355"/>
      <c r="D316" s="314"/>
      <c r="E316" s="307">
        <f>IF(D316=0,0,VLOOKUP($D316,$F315:$H324,3,FALSE)*$E315)</f>
        <v>0</v>
      </c>
      <c r="F316" s="62">
        <v>9</v>
      </c>
      <c r="G316" s="63" t="s">
        <v>164</v>
      </c>
      <c r="H316" s="64">
        <f>H315-5</f>
        <v>110</v>
      </c>
      <c r="I316" s="212" t="s">
        <v>0</v>
      </c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</row>
    <row r="317" spans="1:35" ht="15" hidden="1" customHeight="1">
      <c r="A317" s="212" t="s">
        <v>0</v>
      </c>
      <c r="B317" s="277"/>
      <c r="C317" s="355"/>
      <c r="D317" s="315"/>
      <c r="E317" s="308"/>
      <c r="F317" s="62">
        <v>8</v>
      </c>
      <c r="G317" s="63" t="s">
        <v>164</v>
      </c>
      <c r="H317" s="64">
        <f t="shared" ref="H317:H324" si="19">H316-5</f>
        <v>105</v>
      </c>
      <c r="I317" s="212" t="s">
        <v>0</v>
      </c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</row>
    <row r="318" spans="1:35" ht="15" hidden="1" customHeight="1">
      <c r="A318" s="212" t="s">
        <v>0</v>
      </c>
      <c r="B318" s="277"/>
      <c r="C318" s="355"/>
      <c r="D318" s="315"/>
      <c r="E318" s="308"/>
      <c r="F318" s="62">
        <v>7</v>
      </c>
      <c r="G318" s="63" t="s">
        <v>164</v>
      </c>
      <c r="H318" s="64">
        <f t="shared" si="19"/>
        <v>100</v>
      </c>
      <c r="I318" s="212" t="s">
        <v>0</v>
      </c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</row>
    <row r="319" spans="1:35" ht="15" hidden="1" customHeight="1">
      <c r="A319" s="212" t="s">
        <v>0</v>
      </c>
      <c r="B319" s="277"/>
      <c r="C319" s="355"/>
      <c r="D319" s="315"/>
      <c r="E319" s="308"/>
      <c r="F319" s="62">
        <v>6</v>
      </c>
      <c r="G319" s="63" t="s">
        <v>164</v>
      </c>
      <c r="H319" s="64">
        <f t="shared" si="19"/>
        <v>95</v>
      </c>
      <c r="I319" s="212" t="s">
        <v>0</v>
      </c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</row>
    <row r="320" spans="1:35" ht="15" hidden="1" customHeight="1">
      <c r="A320" s="212" t="s">
        <v>0</v>
      </c>
      <c r="B320" s="277"/>
      <c r="C320" s="355"/>
      <c r="D320" s="315"/>
      <c r="E320" s="308"/>
      <c r="F320" s="62">
        <v>5</v>
      </c>
      <c r="G320" s="63" t="s">
        <v>164</v>
      </c>
      <c r="H320" s="64">
        <f t="shared" si="19"/>
        <v>90</v>
      </c>
      <c r="I320" s="212" t="s">
        <v>0</v>
      </c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</row>
    <row r="321" spans="1:35" ht="15" hidden="1" customHeight="1">
      <c r="A321" s="212" t="s">
        <v>0</v>
      </c>
      <c r="B321" s="277"/>
      <c r="C321" s="355"/>
      <c r="D321" s="315"/>
      <c r="E321" s="308"/>
      <c r="F321" s="62">
        <v>4</v>
      </c>
      <c r="G321" s="63" t="s">
        <v>164</v>
      </c>
      <c r="H321" s="64">
        <f t="shared" si="19"/>
        <v>85</v>
      </c>
      <c r="I321" s="212" t="s">
        <v>0</v>
      </c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</row>
    <row r="322" spans="1:35" ht="15.75" hidden="1" customHeight="1" thickBot="1">
      <c r="A322" s="212" t="s">
        <v>0</v>
      </c>
      <c r="B322" s="278"/>
      <c r="C322" s="350"/>
      <c r="D322" s="315"/>
      <c r="E322" s="308"/>
      <c r="F322" s="62">
        <v>3</v>
      </c>
      <c r="G322" s="63" t="s">
        <v>164</v>
      </c>
      <c r="H322" s="64">
        <f t="shared" si="19"/>
        <v>80</v>
      </c>
      <c r="I322" s="212" t="s">
        <v>0</v>
      </c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</row>
    <row r="323" spans="1:35" ht="15" hidden="1" customHeight="1">
      <c r="A323" s="212" t="s">
        <v>0</v>
      </c>
      <c r="B323" s="274" t="s">
        <v>158</v>
      </c>
      <c r="C323" s="349"/>
      <c r="D323" s="315"/>
      <c r="E323" s="308"/>
      <c r="F323" s="62">
        <v>2</v>
      </c>
      <c r="G323" s="63" t="s">
        <v>164</v>
      </c>
      <c r="H323" s="64">
        <f t="shared" si="19"/>
        <v>75</v>
      </c>
      <c r="I323" s="212" t="s">
        <v>0</v>
      </c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</row>
    <row r="324" spans="1:35" ht="15.75" hidden="1" customHeight="1" thickBot="1">
      <c r="A324" s="212" t="s">
        <v>0</v>
      </c>
      <c r="B324" s="275"/>
      <c r="C324" s="350"/>
      <c r="D324" s="316"/>
      <c r="E324" s="309"/>
      <c r="F324" s="67">
        <v>1</v>
      </c>
      <c r="G324" s="68" t="s">
        <v>164</v>
      </c>
      <c r="H324" s="69">
        <f t="shared" si="19"/>
        <v>70</v>
      </c>
      <c r="I324" s="212" t="s">
        <v>0</v>
      </c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</row>
    <row r="325" spans="1:35" ht="15" hidden="1" thickBot="1">
      <c r="A325" s="212" t="s">
        <v>0</v>
      </c>
      <c r="B325" s="212" t="s">
        <v>0</v>
      </c>
      <c r="C325" s="36"/>
      <c r="D325" s="212" t="s">
        <v>0</v>
      </c>
      <c r="E325" s="212" t="s">
        <v>0</v>
      </c>
      <c r="F325" s="212" t="s">
        <v>0</v>
      </c>
      <c r="G325" s="212" t="s">
        <v>0</v>
      </c>
      <c r="H325" s="212" t="s">
        <v>0</v>
      </c>
      <c r="I325" s="212" t="s">
        <v>0</v>
      </c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</row>
    <row r="326" spans="1:35" hidden="1">
      <c r="A326" s="214" t="s">
        <v>0</v>
      </c>
      <c r="B326" s="227" t="s">
        <v>277</v>
      </c>
      <c r="C326" s="228"/>
      <c r="D326" s="249" t="s">
        <v>8</v>
      </c>
      <c r="E326" s="249"/>
      <c r="F326" s="249"/>
      <c r="G326" s="249"/>
      <c r="H326" s="249"/>
      <c r="I326" s="234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</row>
    <row r="327" spans="1:35" ht="15" hidden="1" thickBot="1">
      <c r="A327" s="214" t="s">
        <v>0</v>
      </c>
      <c r="B327" s="239"/>
      <c r="C327" s="240"/>
      <c r="D327" s="327">
        <v>0.2</v>
      </c>
      <c r="E327" s="330"/>
      <c r="F327" s="330"/>
      <c r="G327" s="330"/>
      <c r="H327" s="331"/>
      <c r="I327" s="235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</row>
    <row r="328" spans="1:35" ht="15" hidden="1" thickBot="1">
      <c r="A328" s="214" t="s">
        <v>0</v>
      </c>
      <c r="B328" s="52" t="s">
        <v>152</v>
      </c>
      <c r="C328" s="238" t="s">
        <v>6</v>
      </c>
      <c r="D328" s="296" t="s">
        <v>9</v>
      </c>
      <c r="E328" s="297"/>
      <c r="F328" s="298" t="s">
        <v>166</v>
      </c>
      <c r="G328" s="299"/>
      <c r="H328" s="299"/>
      <c r="I328" s="214" t="s">
        <v>0</v>
      </c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</row>
    <row r="329" spans="1:35" ht="15" hidden="1" thickBot="1">
      <c r="A329" s="214" t="s">
        <v>0</v>
      </c>
      <c r="B329" s="251">
        <v>1</v>
      </c>
      <c r="C329" s="351"/>
      <c r="D329" s="123" t="s">
        <v>156</v>
      </c>
      <c r="E329" s="124">
        <v>0</v>
      </c>
      <c r="F329" s="58">
        <v>1</v>
      </c>
      <c r="G329" s="127" t="s">
        <v>157</v>
      </c>
      <c r="H329" s="60">
        <v>115</v>
      </c>
      <c r="I329" s="214" t="s">
        <v>0</v>
      </c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</row>
    <row r="330" spans="1:35" hidden="1">
      <c r="A330" s="214" t="s">
        <v>0</v>
      </c>
      <c r="B330" s="252"/>
      <c r="C330" s="352"/>
      <c r="D330" s="342">
        <v>0</v>
      </c>
      <c r="E330" s="307">
        <f>IF(D330=0,0,VLOOKUP($D330,$F329:$H337,3,FALSE)*$E329)</f>
        <v>0</v>
      </c>
      <c r="F330" s="62">
        <v>2</v>
      </c>
      <c r="G330" s="125" t="s">
        <v>57</v>
      </c>
      <c r="H330" s="64">
        <v>110</v>
      </c>
      <c r="I330" s="214" t="s">
        <v>0</v>
      </c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</row>
    <row r="331" spans="1:35" hidden="1">
      <c r="A331" s="214" t="s">
        <v>0</v>
      </c>
      <c r="B331" s="252"/>
      <c r="C331" s="352"/>
      <c r="D331" s="321"/>
      <c r="E331" s="308"/>
      <c r="F331" s="62">
        <v>3</v>
      </c>
      <c r="G331" s="63" t="s">
        <v>159</v>
      </c>
      <c r="H331" s="64">
        <v>100</v>
      </c>
      <c r="I331" s="214" t="s">
        <v>0</v>
      </c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</row>
    <row r="332" spans="1:35" hidden="1">
      <c r="A332" s="214" t="s">
        <v>0</v>
      </c>
      <c r="B332" s="252"/>
      <c r="C332" s="352"/>
      <c r="D332" s="321"/>
      <c r="E332" s="308"/>
      <c r="F332" s="62">
        <v>4</v>
      </c>
      <c r="G332" s="63" t="s">
        <v>160</v>
      </c>
      <c r="H332" s="64">
        <v>85</v>
      </c>
      <c r="I332" s="214" t="s">
        <v>0</v>
      </c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</row>
    <row r="333" spans="1:35" hidden="1">
      <c r="A333" s="214" t="s">
        <v>0</v>
      </c>
      <c r="B333" s="252"/>
      <c r="C333" s="352"/>
      <c r="D333" s="321"/>
      <c r="E333" s="308"/>
      <c r="F333" s="62">
        <v>5</v>
      </c>
      <c r="G333" s="63" t="s">
        <v>161</v>
      </c>
      <c r="H333" s="64">
        <v>70</v>
      </c>
      <c r="I333" s="214" t="s">
        <v>0</v>
      </c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</row>
    <row r="334" spans="1:35" hidden="1">
      <c r="A334" s="214" t="s">
        <v>0</v>
      </c>
      <c r="B334" s="252"/>
      <c r="C334" s="352"/>
      <c r="D334" s="321"/>
      <c r="E334" s="308"/>
      <c r="F334" s="62">
        <v>6</v>
      </c>
      <c r="G334" s="63" t="s">
        <v>162</v>
      </c>
      <c r="H334" s="64">
        <v>60</v>
      </c>
      <c r="I334" s="214" t="s">
        <v>0</v>
      </c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</row>
    <row r="335" spans="1:35" hidden="1">
      <c r="A335" s="214" t="s">
        <v>0</v>
      </c>
      <c r="B335" s="252"/>
      <c r="C335" s="352"/>
      <c r="D335" s="321"/>
      <c r="E335" s="308"/>
      <c r="F335" s="62">
        <v>7</v>
      </c>
      <c r="G335" s="63" t="s">
        <v>163</v>
      </c>
      <c r="H335" s="64">
        <v>50</v>
      </c>
      <c r="I335" s="214" t="s">
        <v>0</v>
      </c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</row>
    <row r="336" spans="1:35" ht="15" hidden="1" customHeight="1" thickBot="1">
      <c r="A336" s="214" t="s">
        <v>0</v>
      </c>
      <c r="B336" s="273"/>
      <c r="C336" s="362"/>
      <c r="D336" s="321"/>
      <c r="E336" s="308"/>
      <c r="F336" s="62"/>
      <c r="G336" s="63"/>
      <c r="H336" s="64"/>
      <c r="I336" s="214" t="s">
        <v>0</v>
      </c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</row>
    <row r="337" spans="1:35" ht="15" hidden="1" thickBot="1">
      <c r="A337" s="214" t="s">
        <v>0</v>
      </c>
      <c r="B337" s="224" t="s">
        <v>158</v>
      </c>
      <c r="C337" s="243"/>
      <c r="D337" s="321"/>
      <c r="E337" s="308"/>
      <c r="F337" s="62"/>
      <c r="G337" s="63"/>
      <c r="H337" s="64"/>
      <c r="I337" s="214" t="s">
        <v>0</v>
      </c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</row>
    <row r="338" spans="1:35" ht="15.75" hidden="1" customHeight="1" thickBot="1">
      <c r="A338" s="214" t="s">
        <v>0</v>
      </c>
      <c r="B338" s="251">
        <v>2</v>
      </c>
      <c r="C338" s="351"/>
      <c r="D338" s="123" t="s">
        <v>156</v>
      </c>
      <c r="E338" s="124">
        <v>0</v>
      </c>
      <c r="F338" s="58">
        <v>1</v>
      </c>
      <c r="G338" s="59" t="s">
        <v>191</v>
      </c>
      <c r="H338" s="60">
        <v>115</v>
      </c>
      <c r="I338" s="214" t="s">
        <v>0</v>
      </c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</row>
    <row r="339" spans="1:35" ht="15" hidden="1" customHeight="1">
      <c r="A339" s="214" t="s">
        <v>0</v>
      </c>
      <c r="B339" s="252"/>
      <c r="C339" s="352"/>
      <c r="D339" s="342">
        <v>0</v>
      </c>
      <c r="E339" s="307">
        <f>IF(D339=0,0,VLOOKUP($D339,$F338:$H347,3,FALSE)*$E338)</f>
        <v>0</v>
      </c>
      <c r="F339" s="62">
        <v>2</v>
      </c>
      <c r="G339" s="63" t="s">
        <v>192</v>
      </c>
      <c r="H339" s="64">
        <v>100</v>
      </c>
      <c r="I339" s="214" t="s">
        <v>0</v>
      </c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</row>
    <row r="340" spans="1:35" ht="15" hidden="1" customHeight="1">
      <c r="A340" s="214" t="s">
        <v>0</v>
      </c>
      <c r="B340" s="252"/>
      <c r="C340" s="352"/>
      <c r="D340" s="321"/>
      <c r="E340" s="308"/>
      <c r="F340" s="62">
        <v>3</v>
      </c>
      <c r="G340" s="63" t="s">
        <v>193</v>
      </c>
      <c r="H340" s="64">
        <v>0</v>
      </c>
      <c r="I340" s="214" t="s">
        <v>0</v>
      </c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</row>
    <row r="341" spans="1:35" ht="15" hidden="1" customHeight="1">
      <c r="A341" s="214" t="s">
        <v>0</v>
      </c>
      <c r="B341" s="252"/>
      <c r="C341" s="352"/>
      <c r="D341" s="321"/>
      <c r="E341" s="308"/>
      <c r="F341" s="62"/>
      <c r="G341" s="63"/>
      <c r="H341" s="64"/>
      <c r="I341" s="214" t="s">
        <v>0</v>
      </c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</row>
    <row r="342" spans="1:35" ht="15" hidden="1" customHeight="1">
      <c r="A342" s="214" t="s">
        <v>0</v>
      </c>
      <c r="B342" s="252"/>
      <c r="C342" s="352"/>
      <c r="D342" s="321"/>
      <c r="E342" s="308"/>
      <c r="F342" s="62"/>
      <c r="G342" s="63"/>
      <c r="H342" s="64"/>
      <c r="I342" s="214" t="s">
        <v>0</v>
      </c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</row>
    <row r="343" spans="1:35" ht="15" hidden="1" customHeight="1">
      <c r="A343" s="214" t="s">
        <v>0</v>
      </c>
      <c r="B343" s="252"/>
      <c r="C343" s="352"/>
      <c r="D343" s="321"/>
      <c r="E343" s="308"/>
      <c r="F343" s="62"/>
      <c r="G343" s="63"/>
      <c r="H343" s="64"/>
      <c r="I343" s="214" t="s">
        <v>0</v>
      </c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</row>
    <row r="344" spans="1:35" ht="15" hidden="1" customHeight="1">
      <c r="A344" s="214" t="s">
        <v>0</v>
      </c>
      <c r="B344" s="252"/>
      <c r="C344" s="352"/>
      <c r="D344" s="321"/>
      <c r="E344" s="308"/>
      <c r="F344" s="62"/>
      <c r="G344" s="63"/>
      <c r="H344" s="64"/>
      <c r="I344" s="214" t="s">
        <v>0</v>
      </c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</row>
    <row r="345" spans="1:35" ht="15" hidden="1" thickBot="1">
      <c r="A345" s="214" t="s">
        <v>0</v>
      </c>
      <c r="B345" s="273"/>
      <c r="C345" s="362"/>
      <c r="D345" s="321"/>
      <c r="E345" s="308"/>
      <c r="F345" s="62"/>
      <c r="G345" s="63"/>
      <c r="H345" s="64"/>
      <c r="I345" s="214" t="s">
        <v>0</v>
      </c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</row>
    <row r="346" spans="1:35" ht="15" hidden="1" customHeight="1">
      <c r="A346" s="214" t="s">
        <v>0</v>
      </c>
      <c r="B346" s="274" t="s">
        <v>158</v>
      </c>
      <c r="C346" s="363"/>
      <c r="D346" s="321"/>
      <c r="E346" s="308"/>
      <c r="F346" s="62"/>
      <c r="G346" s="63"/>
      <c r="H346" s="64"/>
      <c r="I346" s="214" t="s">
        <v>0</v>
      </c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</row>
    <row r="347" spans="1:35" ht="15.75" hidden="1" customHeight="1" thickBot="1">
      <c r="A347" s="214" t="s">
        <v>0</v>
      </c>
      <c r="B347" s="275"/>
      <c r="C347" s="364"/>
      <c r="D347" s="322"/>
      <c r="E347" s="309"/>
      <c r="F347" s="67"/>
      <c r="G347" s="68"/>
      <c r="H347" s="69"/>
      <c r="I347" s="214" t="s">
        <v>0</v>
      </c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</row>
    <row r="348" spans="1:35" ht="15.75" hidden="1" customHeight="1" thickBot="1">
      <c r="A348" s="214" t="s">
        <v>0</v>
      </c>
      <c r="B348" s="276">
        <v>4</v>
      </c>
      <c r="C348" s="349"/>
      <c r="D348" s="123" t="s">
        <v>156</v>
      </c>
      <c r="E348" s="124">
        <v>0</v>
      </c>
      <c r="F348" s="58">
        <v>10</v>
      </c>
      <c r="G348" s="59" t="s">
        <v>164</v>
      </c>
      <c r="H348" s="60">
        <v>115</v>
      </c>
      <c r="I348" s="214" t="s">
        <v>0</v>
      </c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</row>
    <row r="349" spans="1:35" ht="15" hidden="1" customHeight="1">
      <c r="A349" s="214" t="s">
        <v>0</v>
      </c>
      <c r="B349" s="277"/>
      <c r="C349" s="355"/>
      <c r="D349" s="314"/>
      <c r="E349" s="307">
        <f>IF(D349=0,0,VLOOKUP($D349,$F348:$H357,3,FALSE)*$E348)</f>
        <v>0</v>
      </c>
      <c r="F349" s="62">
        <v>9</v>
      </c>
      <c r="G349" s="63" t="s">
        <v>164</v>
      </c>
      <c r="H349" s="64">
        <f>H348-5</f>
        <v>110</v>
      </c>
      <c r="I349" s="214" t="s">
        <v>0</v>
      </c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</row>
    <row r="350" spans="1:35" ht="15" hidden="1" customHeight="1">
      <c r="A350" s="214" t="s">
        <v>0</v>
      </c>
      <c r="B350" s="277"/>
      <c r="C350" s="355"/>
      <c r="D350" s="315"/>
      <c r="E350" s="308"/>
      <c r="F350" s="62">
        <v>8</v>
      </c>
      <c r="G350" s="63" t="s">
        <v>164</v>
      </c>
      <c r="H350" s="64">
        <f t="shared" ref="H350:H357" si="20">H349-5</f>
        <v>105</v>
      </c>
      <c r="I350" s="214" t="s">
        <v>0</v>
      </c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</row>
    <row r="351" spans="1:35" ht="15" hidden="1" customHeight="1">
      <c r="A351" s="214" t="s">
        <v>0</v>
      </c>
      <c r="B351" s="277"/>
      <c r="C351" s="355"/>
      <c r="D351" s="315"/>
      <c r="E351" s="308"/>
      <c r="F351" s="62">
        <v>7</v>
      </c>
      <c r="G351" s="63" t="s">
        <v>164</v>
      </c>
      <c r="H351" s="64">
        <f t="shared" si="20"/>
        <v>100</v>
      </c>
      <c r="I351" s="214" t="s">
        <v>0</v>
      </c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</row>
    <row r="352" spans="1:35" ht="15" hidden="1" customHeight="1">
      <c r="A352" s="214" t="s">
        <v>0</v>
      </c>
      <c r="B352" s="277"/>
      <c r="C352" s="355"/>
      <c r="D352" s="315"/>
      <c r="E352" s="308"/>
      <c r="F352" s="62">
        <v>6</v>
      </c>
      <c r="G352" s="63" t="s">
        <v>164</v>
      </c>
      <c r="H352" s="64">
        <f t="shared" si="20"/>
        <v>95</v>
      </c>
      <c r="I352" s="214" t="s">
        <v>0</v>
      </c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</row>
    <row r="353" spans="1:35" ht="15" hidden="1" customHeight="1">
      <c r="A353" s="214" t="s">
        <v>0</v>
      </c>
      <c r="B353" s="277"/>
      <c r="C353" s="355"/>
      <c r="D353" s="315"/>
      <c r="E353" s="308"/>
      <c r="F353" s="62">
        <v>5</v>
      </c>
      <c r="G353" s="63" t="s">
        <v>164</v>
      </c>
      <c r="H353" s="64">
        <f t="shared" si="20"/>
        <v>90</v>
      </c>
      <c r="I353" s="214" t="s">
        <v>0</v>
      </c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</row>
    <row r="354" spans="1:35" ht="15" hidden="1" customHeight="1">
      <c r="A354" s="214" t="s">
        <v>0</v>
      </c>
      <c r="B354" s="277"/>
      <c r="C354" s="355"/>
      <c r="D354" s="315"/>
      <c r="E354" s="308"/>
      <c r="F354" s="62">
        <v>4</v>
      </c>
      <c r="G354" s="63" t="s">
        <v>164</v>
      </c>
      <c r="H354" s="64">
        <f t="shared" si="20"/>
        <v>85</v>
      </c>
      <c r="I354" s="214" t="s">
        <v>0</v>
      </c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</row>
    <row r="355" spans="1:35" ht="15.75" hidden="1" customHeight="1" thickBot="1">
      <c r="A355" s="214" t="s">
        <v>0</v>
      </c>
      <c r="B355" s="278"/>
      <c r="C355" s="350"/>
      <c r="D355" s="315"/>
      <c r="E355" s="308"/>
      <c r="F355" s="62">
        <v>3</v>
      </c>
      <c r="G355" s="63" t="s">
        <v>164</v>
      </c>
      <c r="H355" s="64">
        <f t="shared" si="20"/>
        <v>80</v>
      </c>
      <c r="I355" s="214" t="s">
        <v>0</v>
      </c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</row>
    <row r="356" spans="1:35" ht="15" hidden="1" customHeight="1">
      <c r="A356" s="214" t="s">
        <v>0</v>
      </c>
      <c r="B356" s="274" t="s">
        <v>158</v>
      </c>
      <c r="C356" s="349"/>
      <c r="D356" s="315"/>
      <c r="E356" s="308"/>
      <c r="F356" s="62">
        <v>2</v>
      </c>
      <c r="G356" s="63" t="s">
        <v>164</v>
      </c>
      <c r="H356" s="64">
        <f t="shared" si="20"/>
        <v>75</v>
      </c>
      <c r="I356" s="214" t="s">
        <v>0</v>
      </c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</row>
    <row r="357" spans="1:35" ht="15.75" hidden="1" customHeight="1" thickBot="1">
      <c r="A357" s="214" t="s">
        <v>0</v>
      </c>
      <c r="B357" s="275"/>
      <c r="C357" s="350"/>
      <c r="D357" s="316"/>
      <c r="E357" s="309"/>
      <c r="F357" s="67">
        <v>1</v>
      </c>
      <c r="G357" s="68" t="s">
        <v>164</v>
      </c>
      <c r="H357" s="69">
        <f t="shared" si="20"/>
        <v>70</v>
      </c>
      <c r="I357" s="214" t="s">
        <v>0</v>
      </c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</row>
    <row r="358" spans="1:35" ht="15.75" hidden="1" customHeight="1" thickBot="1">
      <c r="A358" s="214" t="s">
        <v>0</v>
      </c>
      <c r="B358" s="279">
        <v>5</v>
      </c>
      <c r="C358" s="349"/>
      <c r="D358" s="123" t="s">
        <v>156</v>
      </c>
      <c r="E358" s="124">
        <v>0</v>
      </c>
      <c r="F358" s="70">
        <v>10</v>
      </c>
      <c r="G358" s="71" t="s">
        <v>164</v>
      </c>
      <c r="H358" s="72">
        <v>115</v>
      </c>
      <c r="I358" s="214" t="s">
        <v>0</v>
      </c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</row>
    <row r="359" spans="1:35" ht="15" hidden="1" customHeight="1">
      <c r="A359" s="214" t="s">
        <v>0</v>
      </c>
      <c r="B359" s="277"/>
      <c r="C359" s="355"/>
      <c r="D359" s="314"/>
      <c r="E359" s="307">
        <f>IF(D359=0,0,VLOOKUP($D359,$F358:$H367,3,FALSE)*$E358)</f>
        <v>0</v>
      </c>
      <c r="F359" s="62">
        <v>9</v>
      </c>
      <c r="G359" s="63" t="s">
        <v>164</v>
      </c>
      <c r="H359" s="64">
        <f>H358-5</f>
        <v>110</v>
      </c>
      <c r="I359" s="214" t="s">
        <v>0</v>
      </c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</row>
    <row r="360" spans="1:35" ht="15" hidden="1" customHeight="1">
      <c r="A360" s="214" t="s">
        <v>0</v>
      </c>
      <c r="B360" s="277"/>
      <c r="C360" s="355"/>
      <c r="D360" s="315"/>
      <c r="E360" s="308"/>
      <c r="F360" s="62">
        <v>8</v>
      </c>
      <c r="G360" s="63" t="s">
        <v>164</v>
      </c>
      <c r="H360" s="64">
        <f t="shared" ref="H360:H367" si="21">H359-5</f>
        <v>105</v>
      </c>
      <c r="I360" s="214" t="s">
        <v>0</v>
      </c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</row>
    <row r="361" spans="1:35" ht="15" hidden="1" customHeight="1">
      <c r="A361" s="214" t="s">
        <v>0</v>
      </c>
      <c r="B361" s="277"/>
      <c r="C361" s="355"/>
      <c r="D361" s="315"/>
      <c r="E361" s="308"/>
      <c r="F361" s="62">
        <v>7</v>
      </c>
      <c r="G361" s="63" t="s">
        <v>164</v>
      </c>
      <c r="H361" s="64">
        <f t="shared" si="21"/>
        <v>100</v>
      </c>
      <c r="I361" s="214" t="s">
        <v>0</v>
      </c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</row>
    <row r="362" spans="1:35" ht="15" hidden="1" customHeight="1">
      <c r="A362" s="214" t="s">
        <v>0</v>
      </c>
      <c r="B362" s="277"/>
      <c r="C362" s="355"/>
      <c r="D362" s="315"/>
      <c r="E362" s="308"/>
      <c r="F362" s="62">
        <v>6</v>
      </c>
      <c r="G362" s="63" t="s">
        <v>164</v>
      </c>
      <c r="H362" s="64">
        <f t="shared" si="21"/>
        <v>95</v>
      </c>
      <c r="I362" s="214" t="s">
        <v>0</v>
      </c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</row>
    <row r="363" spans="1:35" ht="15" hidden="1" customHeight="1">
      <c r="A363" s="214" t="s">
        <v>0</v>
      </c>
      <c r="B363" s="277"/>
      <c r="C363" s="355"/>
      <c r="D363" s="315"/>
      <c r="E363" s="308"/>
      <c r="F363" s="62">
        <v>5</v>
      </c>
      <c r="G363" s="63" t="s">
        <v>164</v>
      </c>
      <c r="H363" s="64">
        <f t="shared" si="21"/>
        <v>90</v>
      </c>
      <c r="I363" s="214" t="s">
        <v>0</v>
      </c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</row>
    <row r="364" spans="1:35" ht="15" hidden="1" customHeight="1">
      <c r="A364" s="214" t="s">
        <v>0</v>
      </c>
      <c r="B364" s="277"/>
      <c r="C364" s="355"/>
      <c r="D364" s="315"/>
      <c r="E364" s="308"/>
      <c r="F364" s="62">
        <v>4</v>
      </c>
      <c r="G364" s="63" t="s">
        <v>164</v>
      </c>
      <c r="H364" s="64">
        <f t="shared" si="21"/>
        <v>85</v>
      </c>
      <c r="I364" s="214" t="s">
        <v>0</v>
      </c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</row>
    <row r="365" spans="1:35" ht="15.75" hidden="1" customHeight="1" thickBot="1">
      <c r="A365" s="214" t="s">
        <v>0</v>
      </c>
      <c r="B365" s="278"/>
      <c r="C365" s="350"/>
      <c r="D365" s="315"/>
      <c r="E365" s="308"/>
      <c r="F365" s="62">
        <v>3</v>
      </c>
      <c r="G365" s="63" t="s">
        <v>164</v>
      </c>
      <c r="H365" s="64">
        <f t="shared" si="21"/>
        <v>80</v>
      </c>
      <c r="I365" s="214" t="s">
        <v>0</v>
      </c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</row>
    <row r="366" spans="1:35" ht="15" hidden="1" customHeight="1">
      <c r="A366" s="214" t="s">
        <v>0</v>
      </c>
      <c r="B366" s="274" t="s">
        <v>158</v>
      </c>
      <c r="C366" s="349"/>
      <c r="D366" s="315"/>
      <c r="E366" s="308"/>
      <c r="F366" s="62">
        <v>2</v>
      </c>
      <c r="G366" s="63" t="s">
        <v>164</v>
      </c>
      <c r="H366" s="64">
        <f t="shared" si="21"/>
        <v>75</v>
      </c>
      <c r="I366" s="214" t="s">
        <v>0</v>
      </c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</row>
    <row r="367" spans="1:35" ht="15.75" hidden="1" customHeight="1" thickBot="1">
      <c r="A367" s="214" t="s">
        <v>0</v>
      </c>
      <c r="B367" s="275"/>
      <c r="C367" s="350"/>
      <c r="D367" s="316"/>
      <c r="E367" s="309"/>
      <c r="F367" s="67">
        <v>1</v>
      </c>
      <c r="G367" s="68" t="s">
        <v>164</v>
      </c>
      <c r="H367" s="69">
        <f t="shared" si="21"/>
        <v>70</v>
      </c>
      <c r="I367" s="214" t="s">
        <v>0</v>
      </c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</row>
    <row r="368" spans="1:35" ht="15.75" hidden="1" customHeight="1" thickBot="1">
      <c r="A368" s="214" t="s">
        <v>0</v>
      </c>
      <c r="B368" s="276">
        <v>6</v>
      </c>
      <c r="C368" s="349"/>
      <c r="D368" s="123" t="s">
        <v>156</v>
      </c>
      <c r="E368" s="124">
        <v>0</v>
      </c>
      <c r="F368" s="58">
        <v>10</v>
      </c>
      <c r="G368" s="59" t="s">
        <v>164</v>
      </c>
      <c r="H368" s="60">
        <v>115</v>
      </c>
      <c r="I368" s="214" t="s">
        <v>0</v>
      </c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</row>
    <row r="369" spans="1:35" ht="15" hidden="1" customHeight="1">
      <c r="A369" s="214" t="s">
        <v>0</v>
      </c>
      <c r="B369" s="277"/>
      <c r="C369" s="355"/>
      <c r="D369" s="314"/>
      <c r="E369" s="307">
        <f>IF(D369=0,0,VLOOKUP($D369,$F368:$H377,3,FALSE)*$E368)</f>
        <v>0</v>
      </c>
      <c r="F369" s="62">
        <v>9</v>
      </c>
      <c r="G369" s="63" t="s">
        <v>164</v>
      </c>
      <c r="H369" s="64">
        <f>H368-5</f>
        <v>110</v>
      </c>
      <c r="I369" s="214" t="s">
        <v>0</v>
      </c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</row>
    <row r="370" spans="1:35" ht="15" hidden="1" customHeight="1">
      <c r="A370" s="214" t="s">
        <v>0</v>
      </c>
      <c r="B370" s="277"/>
      <c r="C370" s="355"/>
      <c r="D370" s="315"/>
      <c r="E370" s="308"/>
      <c r="F370" s="62">
        <v>8</v>
      </c>
      <c r="G370" s="63" t="s">
        <v>164</v>
      </c>
      <c r="H370" s="64">
        <f t="shared" ref="H370:H377" si="22">H369-5</f>
        <v>105</v>
      </c>
      <c r="I370" s="214" t="s">
        <v>0</v>
      </c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</row>
    <row r="371" spans="1:35" ht="15" hidden="1" customHeight="1">
      <c r="A371" s="214" t="s">
        <v>0</v>
      </c>
      <c r="B371" s="277"/>
      <c r="C371" s="355"/>
      <c r="D371" s="315"/>
      <c r="E371" s="308"/>
      <c r="F371" s="62">
        <v>7</v>
      </c>
      <c r="G371" s="63" t="s">
        <v>164</v>
      </c>
      <c r="H371" s="64">
        <f t="shared" si="22"/>
        <v>100</v>
      </c>
      <c r="I371" s="214" t="s">
        <v>0</v>
      </c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</row>
    <row r="372" spans="1:35" ht="15" hidden="1" customHeight="1">
      <c r="A372" s="214" t="s">
        <v>0</v>
      </c>
      <c r="B372" s="277"/>
      <c r="C372" s="355"/>
      <c r="D372" s="315"/>
      <c r="E372" s="308"/>
      <c r="F372" s="62">
        <v>6</v>
      </c>
      <c r="G372" s="63" t="s">
        <v>164</v>
      </c>
      <c r="H372" s="64">
        <f t="shared" si="22"/>
        <v>95</v>
      </c>
      <c r="I372" s="214" t="s">
        <v>0</v>
      </c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</row>
    <row r="373" spans="1:35" ht="15" hidden="1" customHeight="1">
      <c r="A373" s="214" t="s">
        <v>0</v>
      </c>
      <c r="B373" s="277"/>
      <c r="C373" s="355"/>
      <c r="D373" s="315"/>
      <c r="E373" s="308"/>
      <c r="F373" s="62">
        <v>5</v>
      </c>
      <c r="G373" s="63" t="s">
        <v>164</v>
      </c>
      <c r="H373" s="64">
        <f t="shared" si="22"/>
        <v>90</v>
      </c>
      <c r="I373" s="214" t="s">
        <v>0</v>
      </c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</row>
    <row r="374" spans="1:35" ht="15" hidden="1" customHeight="1">
      <c r="A374" s="214" t="s">
        <v>0</v>
      </c>
      <c r="B374" s="277"/>
      <c r="C374" s="355"/>
      <c r="D374" s="315"/>
      <c r="E374" s="308"/>
      <c r="F374" s="62">
        <v>4</v>
      </c>
      <c r="G374" s="63" t="s">
        <v>164</v>
      </c>
      <c r="H374" s="64">
        <f t="shared" si="22"/>
        <v>85</v>
      </c>
      <c r="I374" s="214" t="s">
        <v>0</v>
      </c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</row>
    <row r="375" spans="1:35" ht="15.75" hidden="1" customHeight="1" thickBot="1">
      <c r="A375" s="214" t="s">
        <v>0</v>
      </c>
      <c r="B375" s="278"/>
      <c r="C375" s="350"/>
      <c r="D375" s="315"/>
      <c r="E375" s="308"/>
      <c r="F375" s="62">
        <v>3</v>
      </c>
      <c r="G375" s="63" t="s">
        <v>164</v>
      </c>
      <c r="H375" s="64">
        <f t="shared" si="22"/>
        <v>80</v>
      </c>
      <c r="I375" s="214" t="s">
        <v>0</v>
      </c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</row>
    <row r="376" spans="1:35" ht="15" hidden="1" customHeight="1">
      <c r="A376" s="214" t="s">
        <v>0</v>
      </c>
      <c r="B376" s="274" t="s">
        <v>158</v>
      </c>
      <c r="C376" s="349"/>
      <c r="D376" s="315"/>
      <c r="E376" s="308"/>
      <c r="F376" s="62">
        <v>2</v>
      </c>
      <c r="G376" s="63" t="s">
        <v>164</v>
      </c>
      <c r="H376" s="64">
        <f t="shared" si="22"/>
        <v>75</v>
      </c>
      <c r="I376" s="214" t="s">
        <v>0</v>
      </c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</row>
    <row r="377" spans="1:35" ht="15.75" hidden="1" customHeight="1" thickBot="1">
      <c r="A377" s="214" t="s">
        <v>0</v>
      </c>
      <c r="B377" s="275"/>
      <c r="C377" s="350"/>
      <c r="D377" s="316"/>
      <c r="E377" s="309"/>
      <c r="F377" s="67">
        <v>1</v>
      </c>
      <c r="G377" s="68" t="s">
        <v>164</v>
      </c>
      <c r="H377" s="69">
        <f t="shared" si="22"/>
        <v>70</v>
      </c>
      <c r="I377" s="214" t="s">
        <v>0</v>
      </c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</row>
    <row r="378" spans="1:35" ht="15.75" hidden="1" customHeight="1" thickBot="1">
      <c r="A378" s="214" t="s">
        <v>0</v>
      </c>
      <c r="B378" s="276">
        <v>7</v>
      </c>
      <c r="C378" s="349"/>
      <c r="D378" s="123" t="s">
        <v>156</v>
      </c>
      <c r="E378" s="124">
        <v>0</v>
      </c>
      <c r="F378" s="58">
        <v>10</v>
      </c>
      <c r="G378" s="59" t="s">
        <v>164</v>
      </c>
      <c r="H378" s="60">
        <v>115</v>
      </c>
      <c r="I378" s="214" t="s">
        <v>0</v>
      </c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</row>
    <row r="379" spans="1:35" ht="15" hidden="1" customHeight="1">
      <c r="A379" s="214" t="s">
        <v>0</v>
      </c>
      <c r="B379" s="277"/>
      <c r="C379" s="355"/>
      <c r="D379" s="314"/>
      <c r="E379" s="307">
        <f>IF(D379=0,0,VLOOKUP($D379,$F378:$H387,3,FALSE)*$E378)</f>
        <v>0</v>
      </c>
      <c r="F379" s="62">
        <v>9</v>
      </c>
      <c r="G379" s="63" t="s">
        <v>164</v>
      </c>
      <c r="H379" s="64">
        <f>H378-5</f>
        <v>110</v>
      </c>
      <c r="I379" s="214" t="s">
        <v>0</v>
      </c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</row>
    <row r="380" spans="1:35" ht="15" hidden="1" customHeight="1">
      <c r="A380" s="214" t="s">
        <v>0</v>
      </c>
      <c r="B380" s="277"/>
      <c r="C380" s="355"/>
      <c r="D380" s="315"/>
      <c r="E380" s="308"/>
      <c r="F380" s="62">
        <v>8</v>
      </c>
      <c r="G380" s="63" t="s">
        <v>164</v>
      </c>
      <c r="H380" s="64">
        <f t="shared" ref="H380:H387" si="23">H379-5</f>
        <v>105</v>
      </c>
      <c r="I380" s="214" t="s">
        <v>0</v>
      </c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</row>
    <row r="381" spans="1:35" ht="15" hidden="1" customHeight="1">
      <c r="A381" s="214" t="s">
        <v>0</v>
      </c>
      <c r="B381" s="277"/>
      <c r="C381" s="355"/>
      <c r="D381" s="315"/>
      <c r="E381" s="308"/>
      <c r="F381" s="62">
        <v>7</v>
      </c>
      <c r="G381" s="63" t="s">
        <v>164</v>
      </c>
      <c r="H381" s="64">
        <f t="shared" si="23"/>
        <v>100</v>
      </c>
      <c r="I381" s="214" t="s">
        <v>0</v>
      </c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</row>
    <row r="382" spans="1:35" ht="15" hidden="1" customHeight="1">
      <c r="A382" s="214" t="s">
        <v>0</v>
      </c>
      <c r="B382" s="277"/>
      <c r="C382" s="355"/>
      <c r="D382" s="315"/>
      <c r="E382" s="308"/>
      <c r="F382" s="62">
        <v>6</v>
      </c>
      <c r="G382" s="63" t="s">
        <v>164</v>
      </c>
      <c r="H382" s="64">
        <f t="shared" si="23"/>
        <v>95</v>
      </c>
      <c r="I382" s="214" t="s">
        <v>0</v>
      </c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</row>
    <row r="383" spans="1:35" ht="15" hidden="1" customHeight="1">
      <c r="A383" s="214" t="s">
        <v>0</v>
      </c>
      <c r="B383" s="277"/>
      <c r="C383" s="355"/>
      <c r="D383" s="315"/>
      <c r="E383" s="308"/>
      <c r="F383" s="62">
        <v>5</v>
      </c>
      <c r="G383" s="63" t="s">
        <v>164</v>
      </c>
      <c r="H383" s="64">
        <f t="shared" si="23"/>
        <v>90</v>
      </c>
      <c r="I383" s="214" t="s">
        <v>0</v>
      </c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</row>
    <row r="384" spans="1:35" ht="15" hidden="1" customHeight="1">
      <c r="A384" s="214" t="s">
        <v>0</v>
      </c>
      <c r="B384" s="277"/>
      <c r="C384" s="355"/>
      <c r="D384" s="315"/>
      <c r="E384" s="308"/>
      <c r="F384" s="62">
        <v>4</v>
      </c>
      <c r="G384" s="63" t="s">
        <v>164</v>
      </c>
      <c r="H384" s="64">
        <f t="shared" si="23"/>
        <v>85</v>
      </c>
      <c r="I384" s="214" t="s">
        <v>0</v>
      </c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</row>
    <row r="385" spans="1:35" ht="15.75" hidden="1" customHeight="1" thickBot="1">
      <c r="A385" s="214" t="s">
        <v>0</v>
      </c>
      <c r="B385" s="278"/>
      <c r="C385" s="350"/>
      <c r="D385" s="315"/>
      <c r="E385" s="308"/>
      <c r="F385" s="62">
        <v>3</v>
      </c>
      <c r="G385" s="63" t="s">
        <v>164</v>
      </c>
      <c r="H385" s="64">
        <f t="shared" si="23"/>
        <v>80</v>
      </c>
      <c r="I385" s="214" t="s">
        <v>0</v>
      </c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</row>
    <row r="386" spans="1:35" ht="15" hidden="1" customHeight="1">
      <c r="A386" s="214" t="s">
        <v>0</v>
      </c>
      <c r="B386" s="274" t="s">
        <v>158</v>
      </c>
      <c r="C386" s="349"/>
      <c r="D386" s="315"/>
      <c r="E386" s="308"/>
      <c r="F386" s="62">
        <v>2</v>
      </c>
      <c r="G386" s="63" t="s">
        <v>164</v>
      </c>
      <c r="H386" s="64">
        <f t="shared" si="23"/>
        <v>75</v>
      </c>
      <c r="I386" s="214" t="s">
        <v>0</v>
      </c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</row>
    <row r="387" spans="1:35" ht="15.75" hidden="1" customHeight="1" thickBot="1">
      <c r="A387" s="214" t="s">
        <v>0</v>
      </c>
      <c r="B387" s="275"/>
      <c r="C387" s="350"/>
      <c r="D387" s="316"/>
      <c r="E387" s="309"/>
      <c r="F387" s="67">
        <v>1</v>
      </c>
      <c r="G387" s="68" t="s">
        <v>164</v>
      </c>
      <c r="H387" s="69">
        <f t="shared" si="23"/>
        <v>70</v>
      </c>
      <c r="I387" s="214" t="s">
        <v>0</v>
      </c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</row>
    <row r="388" spans="1:35" ht="15.75" hidden="1" customHeight="1" thickBot="1">
      <c r="A388" s="214" t="s">
        <v>0</v>
      </c>
      <c r="B388" s="276">
        <v>8</v>
      </c>
      <c r="C388" s="349"/>
      <c r="D388" s="123" t="s">
        <v>156</v>
      </c>
      <c r="E388" s="124">
        <v>0</v>
      </c>
      <c r="F388" s="58">
        <v>10</v>
      </c>
      <c r="G388" s="59" t="s">
        <v>164</v>
      </c>
      <c r="H388" s="60">
        <v>115</v>
      </c>
      <c r="I388" s="214" t="s">
        <v>0</v>
      </c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</row>
    <row r="389" spans="1:35" ht="15" hidden="1" customHeight="1">
      <c r="A389" s="214" t="s">
        <v>0</v>
      </c>
      <c r="B389" s="277"/>
      <c r="C389" s="355"/>
      <c r="D389" s="314"/>
      <c r="E389" s="307">
        <f>IF(D389=0,0,VLOOKUP($D389,$F388:$H397,3,FALSE)*$E388)</f>
        <v>0</v>
      </c>
      <c r="F389" s="62">
        <v>9</v>
      </c>
      <c r="G389" s="63" t="s">
        <v>164</v>
      </c>
      <c r="H389" s="64">
        <f>H388-5</f>
        <v>110</v>
      </c>
      <c r="I389" s="214" t="s">
        <v>0</v>
      </c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</row>
    <row r="390" spans="1:35" ht="15" hidden="1" customHeight="1">
      <c r="A390" s="214" t="s">
        <v>0</v>
      </c>
      <c r="B390" s="277"/>
      <c r="C390" s="355"/>
      <c r="D390" s="315"/>
      <c r="E390" s="308"/>
      <c r="F390" s="62">
        <v>8</v>
      </c>
      <c r="G390" s="63" t="s">
        <v>164</v>
      </c>
      <c r="H390" s="64">
        <f t="shared" ref="H390:H397" si="24">H389-5</f>
        <v>105</v>
      </c>
      <c r="I390" s="214" t="s">
        <v>0</v>
      </c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</row>
    <row r="391" spans="1:35" ht="15" hidden="1" customHeight="1">
      <c r="A391" s="214" t="s">
        <v>0</v>
      </c>
      <c r="B391" s="277"/>
      <c r="C391" s="355"/>
      <c r="D391" s="315"/>
      <c r="E391" s="308"/>
      <c r="F391" s="62">
        <v>7</v>
      </c>
      <c r="G391" s="63" t="s">
        <v>164</v>
      </c>
      <c r="H391" s="64">
        <f t="shared" si="24"/>
        <v>100</v>
      </c>
      <c r="I391" s="214" t="s">
        <v>0</v>
      </c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</row>
    <row r="392" spans="1:35" ht="15" hidden="1" customHeight="1">
      <c r="A392" s="214" t="s">
        <v>0</v>
      </c>
      <c r="B392" s="277"/>
      <c r="C392" s="355"/>
      <c r="D392" s="315"/>
      <c r="E392" s="308"/>
      <c r="F392" s="62">
        <v>6</v>
      </c>
      <c r="G392" s="63" t="s">
        <v>164</v>
      </c>
      <c r="H392" s="64">
        <f t="shared" si="24"/>
        <v>95</v>
      </c>
      <c r="I392" s="214" t="s">
        <v>0</v>
      </c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</row>
    <row r="393" spans="1:35" ht="15" hidden="1" customHeight="1">
      <c r="A393" s="214" t="s">
        <v>0</v>
      </c>
      <c r="B393" s="277"/>
      <c r="C393" s="355"/>
      <c r="D393" s="315"/>
      <c r="E393" s="308"/>
      <c r="F393" s="62">
        <v>5</v>
      </c>
      <c r="G393" s="63" t="s">
        <v>164</v>
      </c>
      <c r="H393" s="64">
        <f t="shared" si="24"/>
        <v>90</v>
      </c>
      <c r="I393" s="214" t="s">
        <v>0</v>
      </c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</row>
    <row r="394" spans="1:35" ht="15" hidden="1" customHeight="1">
      <c r="A394" s="214" t="s">
        <v>0</v>
      </c>
      <c r="B394" s="277"/>
      <c r="C394" s="355"/>
      <c r="D394" s="315"/>
      <c r="E394" s="308"/>
      <c r="F394" s="62">
        <v>4</v>
      </c>
      <c r="G394" s="63" t="s">
        <v>164</v>
      </c>
      <c r="H394" s="64">
        <f t="shared" si="24"/>
        <v>85</v>
      </c>
      <c r="I394" s="214" t="s">
        <v>0</v>
      </c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</row>
    <row r="395" spans="1:35" ht="15.75" hidden="1" customHeight="1" thickBot="1">
      <c r="A395" s="214" t="s">
        <v>0</v>
      </c>
      <c r="B395" s="278"/>
      <c r="C395" s="350"/>
      <c r="D395" s="315"/>
      <c r="E395" s="308"/>
      <c r="F395" s="62">
        <v>3</v>
      </c>
      <c r="G395" s="63" t="s">
        <v>164</v>
      </c>
      <c r="H395" s="64">
        <f t="shared" si="24"/>
        <v>80</v>
      </c>
      <c r="I395" s="214" t="s">
        <v>0</v>
      </c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</row>
    <row r="396" spans="1:35" ht="15" hidden="1" customHeight="1">
      <c r="A396" s="214" t="s">
        <v>0</v>
      </c>
      <c r="B396" s="274" t="s">
        <v>158</v>
      </c>
      <c r="C396" s="349"/>
      <c r="D396" s="315"/>
      <c r="E396" s="308"/>
      <c r="F396" s="62">
        <v>2</v>
      </c>
      <c r="G396" s="63" t="s">
        <v>164</v>
      </c>
      <c r="H396" s="64">
        <f t="shared" si="24"/>
        <v>75</v>
      </c>
      <c r="I396" s="214" t="s">
        <v>0</v>
      </c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</row>
    <row r="397" spans="1:35" ht="15.75" hidden="1" customHeight="1" thickBot="1">
      <c r="A397" s="214" t="s">
        <v>0</v>
      </c>
      <c r="B397" s="275"/>
      <c r="C397" s="350"/>
      <c r="D397" s="316"/>
      <c r="E397" s="309"/>
      <c r="F397" s="67">
        <v>1</v>
      </c>
      <c r="G397" s="68" t="s">
        <v>164</v>
      </c>
      <c r="H397" s="69">
        <f t="shared" si="24"/>
        <v>70</v>
      </c>
      <c r="I397" s="214" t="s">
        <v>0</v>
      </c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</row>
    <row r="398" spans="1:35" ht="15.75" hidden="1" customHeight="1" thickBot="1">
      <c r="A398" s="214" t="s">
        <v>0</v>
      </c>
      <c r="B398" s="276">
        <v>9</v>
      </c>
      <c r="C398" s="349"/>
      <c r="D398" s="123" t="s">
        <v>156</v>
      </c>
      <c r="E398" s="124">
        <v>0</v>
      </c>
      <c r="F398" s="58">
        <v>10</v>
      </c>
      <c r="G398" s="59" t="s">
        <v>164</v>
      </c>
      <c r="H398" s="60">
        <v>115</v>
      </c>
      <c r="I398" s="214" t="s">
        <v>0</v>
      </c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</row>
    <row r="399" spans="1:35" ht="15" hidden="1" customHeight="1">
      <c r="A399" s="214" t="s">
        <v>0</v>
      </c>
      <c r="B399" s="277"/>
      <c r="C399" s="355"/>
      <c r="D399" s="314"/>
      <c r="E399" s="307">
        <f>IF(D399=0,0,VLOOKUP($D399,$F398:$H407,3,FALSE)*$E398)</f>
        <v>0</v>
      </c>
      <c r="F399" s="62">
        <v>9</v>
      </c>
      <c r="G399" s="63" t="s">
        <v>164</v>
      </c>
      <c r="H399" s="64">
        <f>H398-5</f>
        <v>110</v>
      </c>
      <c r="I399" s="214" t="s">
        <v>0</v>
      </c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</row>
    <row r="400" spans="1:35" ht="15" hidden="1" customHeight="1">
      <c r="A400" s="214" t="s">
        <v>0</v>
      </c>
      <c r="B400" s="277"/>
      <c r="C400" s="355"/>
      <c r="D400" s="315"/>
      <c r="E400" s="308"/>
      <c r="F400" s="62">
        <v>8</v>
      </c>
      <c r="G400" s="63" t="s">
        <v>164</v>
      </c>
      <c r="H400" s="64">
        <f t="shared" ref="H400:H407" si="25">H399-5</f>
        <v>105</v>
      </c>
      <c r="I400" s="214" t="s">
        <v>0</v>
      </c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</row>
    <row r="401" spans="1:35" ht="15" hidden="1" customHeight="1">
      <c r="A401" s="214" t="s">
        <v>0</v>
      </c>
      <c r="B401" s="277"/>
      <c r="C401" s="355"/>
      <c r="D401" s="315"/>
      <c r="E401" s="308"/>
      <c r="F401" s="62">
        <v>7</v>
      </c>
      <c r="G401" s="63" t="s">
        <v>164</v>
      </c>
      <c r="H401" s="64">
        <f t="shared" si="25"/>
        <v>100</v>
      </c>
      <c r="I401" s="214" t="s">
        <v>0</v>
      </c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</row>
    <row r="402" spans="1:35" ht="15" hidden="1" customHeight="1">
      <c r="A402" s="214" t="s">
        <v>0</v>
      </c>
      <c r="B402" s="277"/>
      <c r="C402" s="355"/>
      <c r="D402" s="315"/>
      <c r="E402" s="308"/>
      <c r="F402" s="62">
        <v>6</v>
      </c>
      <c r="G402" s="63" t="s">
        <v>164</v>
      </c>
      <c r="H402" s="64">
        <f t="shared" si="25"/>
        <v>95</v>
      </c>
      <c r="I402" s="214" t="s">
        <v>0</v>
      </c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</row>
    <row r="403" spans="1:35" ht="15" hidden="1" customHeight="1">
      <c r="A403" s="214" t="s">
        <v>0</v>
      </c>
      <c r="B403" s="277"/>
      <c r="C403" s="355"/>
      <c r="D403" s="315"/>
      <c r="E403" s="308"/>
      <c r="F403" s="62">
        <v>5</v>
      </c>
      <c r="G403" s="63" t="s">
        <v>164</v>
      </c>
      <c r="H403" s="64">
        <f t="shared" si="25"/>
        <v>90</v>
      </c>
      <c r="I403" s="214" t="s">
        <v>0</v>
      </c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</row>
    <row r="404" spans="1:35" ht="15" hidden="1" customHeight="1">
      <c r="A404" s="214" t="s">
        <v>0</v>
      </c>
      <c r="B404" s="277"/>
      <c r="C404" s="355"/>
      <c r="D404" s="315"/>
      <c r="E404" s="308"/>
      <c r="F404" s="62">
        <v>4</v>
      </c>
      <c r="G404" s="63" t="s">
        <v>164</v>
      </c>
      <c r="H404" s="64">
        <f t="shared" si="25"/>
        <v>85</v>
      </c>
      <c r="I404" s="214" t="s">
        <v>0</v>
      </c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</row>
    <row r="405" spans="1:35" ht="15.75" hidden="1" customHeight="1" thickBot="1">
      <c r="A405" s="214" t="s">
        <v>0</v>
      </c>
      <c r="B405" s="278"/>
      <c r="C405" s="350"/>
      <c r="D405" s="315"/>
      <c r="E405" s="308"/>
      <c r="F405" s="62">
        <v>3</v>
      </c>
      <c r="G405" s="63" t="s">
        <v>164</v>
      </c>
      <c r="H405" s="64">
        <f t="shared" si="25"/>
        <v>80</v>
      </c>
      <c r="I405" s="214" t="s">
        <v>0</v>
      </c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</row>
    <row r="406" spans="1:35" ht="15" hidden="1" customHeight="1">
      <c r="A406" s="214" t="s">
        <v>0</v>
      </c>
      <c r="B406" s="274" t="s">
        <v>158</v>
      </c>
      <c r="C406" s="349"/>
      <c r="D406" s="315"/>
      <c r="E406" s="308"/>
      <c r="F406" s="62">
        <v>2</v>
      </c>
      <c r="G406" s="63" t="s">
        <v>164</v>
      </c>
      <c r="H406" s="64">
        <f t="shared" si="25"/>
        <v>75</v>
      </c>
      <c r="I406" s="214" t="s">
        <v>0</v>
      </c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</row>
    <row r="407" spans="1:35" ht="15.75" hidden="1" customHeight="1" thickBot="1">
      <c r="A407" s="214" t="s">
        <v>0</v>
      </c>
      <c r="B407" s="275"/>
      <c r="C407" s="350"/>
      <c r="D407" s="316"/>
      <c r="E407" s="309"/>
      <c r="F407" s="67">
        <v>1</v>
      </c>
      <c r="G407" s="68" t="s">
        <v>164</v>
      </c>
      <c r="H407" s="69">
        <f t="shared" si="25"/>
        <v>70</v>
      </c>
      <c r="I407" s="214" t="s">
        <v>0</v>
      </c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</row>
    <row r="408" spans="1:35" ht="15.75" hidden="1" customHeight="1" thickBot="1">
      <c r="A408" s="214" t="s">
        <v>0</v>
      </c>
      <c r="B408" s="279">
        <v>10</v>
      </c>
      <c r="C408" s="349"/>
      <c r="D408" s="123" t="s">
        <v>156</v>
      </c>
      <c r="E408" s="124">
        <v>0</v>
      </c>
      <c r="F408" s="70">
        <v>10</v>
      </c>
      <c r="G408" s="71" t="s">
        <v>164</v>
      </c>
      <c r="H408" s="72">
        <v>115</v>
      </c>
      <c r="I408" s="214" t="s">
        <v>0</v>
      </c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</row>
    <row r="409" spans="1:35" ht="15" hidden="1" customHeight="1">
      <c r="A409" s="214" t="s">
        <v>0</v>
      </c>
      <c r="B409" s="277"/>
      <c r="C409" s="355"/>
      <c r="D409" s="314"/>
      <c r="E409" s="307">
        <f>IF(D409=0,0,VLOOKUP($D409,$F408:$H417,3,FALSE)*$E408)</f>
        <v>0</v>
      </c>
      <c r="F409" s="62">
        <v>9</v>
      </c>
      <c r="G409" s="63" t="s">
        <v>164</v>
      </c>
      <c r="H409" s="64">
        <f>H408-5</f>
        <v>110</v>
      </c>
      <c r="I409" s="214" t="s">
        <v>0</v>
      </c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</row>
    <row r="410" spans="1:35" ht="15" hidden="1" customHeight="1">
      <c r="A410" s="214" t="s">
        <v>0</v>
      </c>
      <c r="B410" s="277"/>
      <c r="C410" s="355"/>
      <c r="D410" s="315"/>
      <c r="E410" s="308"/>
      <c r="F410" s="62">
        <v>8</v>
      </c>
      <c r="G410" s="63" t="s">
        <v>164</v>
      </c>
      <c r="H410" s="64">
        <f t="shared" ref="H410:H417" si="26">H409-5</f>
        <v>105</v>
      </c>
      <c r="I410" s="214" t="s">
        <v>0</v>
      </c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</row>
    <row r="411" spans="1:35" ht="15" hidden="1" customHeight="1">
      <c r="A411" s="214" t="s">
        <v>0</v>
      </c>
      <c r="B411" s="277"/>
      <c r="C411" s="355"/>
      <c r="D411" s="315"/>
      <c r="E411" s="308"/>
      <c r="F411" s="62">
        <v>7</v>
      </c>
      <c r="G411" s="63" t="s">
        <v>164</v>
      </c>
      <c r="H411" s="64">
        <f t="shared" si="26"/>
        <v>100</v>
      </c>
      <c r="I411" s="214" t="s">
        <v>0</v>
      </c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</row>
    <row r="412" spans="1:35" ht="15" hidden="1" customHeight="1">
      <c r="A412" s="214" t="s">
        <v>0</v>
      </c>
      <c r="B412" s="277"/>
      <c r="C412" s="355"/>
      <c r="D412" s="315"/>
      <c r="E412" s="308"/>
      <c r="F412" s="62">
        <v>6</v>
      </c>
      <c r="G412" s="63" t="s">
        <v>164</v>
      </c>
      <c r="H412" s="64">
        <f t="shared" si="26"/>
        <v>95</v>
      </c>
      <c r="I412" s="214" t="s">
        <v>0</v>
      </c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</row>
    <row r="413" spans="1:35" ht="15" hidden="1" customHeight="1">
      <c r="A413" s="214" t="s">
        <v>0</v>
      </c>
      <c r="B413" s="277"/>
      <c r="C413" s="355"/>
      <c r="D413" s="315"/>
      <c r="E413" s="308"/>
      <c r="F413" s="62">
        <v>5</v>
      </c>
      <c r="G413" s="63" t="s">
        <v>164</v>
      </c>
      <c r="H413" s="64">
        <f t="shared" si="26"/>
        <v>90</v>
      </c>
      <c r="I413" s="214" t="s">
        <v>0</v>
      </c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</row>
    <row r="414" spans="1:35" ht="15" hidden="1" customHeight="1">
      <c r="A414" s="214" t="s">
        <v>0</v>
      </c>
      <c r="B414" s="277"/>
      <c r="C414" s="355"/>
      <c r="D414" s="315"/>
      <c r="E414" s="308"/>
      <c r="F414" s="62">
        <v>4</v>
      </c>
      <c r="G414" s="63" t="s">
        <v>164</v>
      </c>
      <c r="H414" s="64">
        <f t="shared" si="26"/>
        <v>85</v>
      </c>
      <c r="I414" s="214" t="s">
        <v>0</v>
      </c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</row>
    <row r="415" spans="1:35" ht="15.75" hidden="1" customHeight="1" thickBot="1">
      <c r="A415" s="214" t="s">
        <v>0</v>
      </c>
      <c r="B415" s="278"/>
      <c r="C415" s="350"/>
      <c r="D415" s="315"/>
      <c r="E415" s="308"/>
      <c r="F415" s="62">
        <v>3</v>
      </c>
      <c r="G415" s="63" t="s">
        <v>164</v>
      </c>
      <c r="H415" s="64">
        <f t="shared" si="26"/>
        <v>80</v>
      </c>
      <c r="I415" s="214" t="s">
        <v>0</v>
      </c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</row>
    <row r="416" spans="1:35" ht="15" hidden="1" customHeight="1">
      <c r="A416" s="214" t="s">
        <v>0</v>
      </c>
      <c r="B416" s="274" t="s">
        <v>158</v>
      </c>
      <c r="C416" s="349"/>
      <c r="D416" s="315"/>
      <c r="E416" s="308"/>
      <c r="F416" s="62">
        <v>2</v>
      </c>
      <c r="G416" s="63" t="s">
        <v>164</v>
      </c>
      <c r="H416" s="64">
        <f t="shared" si="26"/>
        <v>75</v>
      </c>
      <c r="I416" s="214" t="s">
        <v>0</v>
      </c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</row>
    <row r="417" spans="1:35" ht="15.75" hidden="1" customHeight="1" thickBot="1">
      <c r="A417" s="214" t="s">
        <v>0</v>
      </c>
      <c r="B417" s="275"/>
      <c r="C417" s="350"/>
      <c r="D417" s="316"/>
      <c r="E417" s="309"/>
      <c r="F417" s="67">
        <v>1</v>
      </c>
      <c r="G417" s="68" t="s">
        <v>164</v>
      </c>
      <c r="H417" s="69">
        <f t="shared" si="26"/>
        <v>70</v>
      </c>
      <c r="I417" s="214" t="s">
        <v>0</v>
      </c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</row>
    <row r="418" spans="1:35" ht="15" customHeight="1">
      <c r="A418" s="214" t="s">
        <v>0</v>
      </c>
      <c r="B418" s="214" t="s">
        <v>0</v>
      </c>
      <c r="C418" s="214" t="s">
        <v>0</v>
      </c>
      <c r="D418" s="214" t="s">
        <v>0</v>
      </c>
      <c r="E418" s="214" t="s">
        <v>0</v>
      </c>
      <c r="F418" s="214" t="s">
        <v>0</v>
      </c>
      <c r="G418" s="214" t="s">
        <v>0</v>
      </c>
      <c r="H418" s="214" t="s">
        <v>0</v>
      </c>
      <c r="I418" s="214" t="s">
        <v>0</v>
      </c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</row>
    <row r="419" spans="1:35" ht="46.5" hidden="1" customHeight="1" thickBot="1">
      <c r="A419" s="36"/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</row>
    <row r="420" spans="1:35" ht="15" hidden="1" customHeight="1">
      <c r="A420" s="36"/>
      <c r="B420" s="365" t="s">
        <v>170</v>
      </c>
      <c r="C420" s="366"/>
      <c r="D420" s="332" t="s">
        <v>8</v>
      </c>
      <c r="E420" s="332"/>
      <c r="F420" s="332"/>
      <c r="G420" s="332"/>
      <c r="H420" s="333"/>
      <c r="I420" s="234"/>
      <c r="J420" s="36"/>
      <c r="K420" s="36"/>
      <c r="L420" s="36"/>
      <c r="M420" s="36"/>
      <c r="N420" s="36"/>
      <c r="O420" s="36">
        <v>5</v>
      </c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</row>
    <row r="421" spans="1:35" ht="15.75" hidden="1" customHeight="1" thickBot="1">
      <c r="A421" s="36"/>
      <c r="B421" s="367"/>
      <c r="C421" s="368"/>
      <c r="D421" s="334"/>
      <c r="E421" s="334"/>
      <c r="F421" s="334"/>
      <c r="G421" s="334"/>
      <c r="H421" s="335"/>
      <c r="I421" s="235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</row>
    <row r="422" spans="1:35" ht="15.75" hidden="1" customHeight="1" thickBot="1">
      <c r="A422" s="212" t="s">
        <v>0</v>
      </c>
      <c r="B422" s="52" t="s">
        <v>152</v>
      </c>
      <c r="C422" s="237" t="s">
        <v>153</v>
      </c>
      <c r="D422" s="280" t="s">
        <v>9</v>
      </c>
      <c r="E422" s="281"/>
      <c r="F422" s="282" t="s">
        <v>154</v>
      </c>
      <c r="G422" s="283"/>
      <c r="H422" s="284"/>
      <c r="I422" s="212" t="s">
        <v>0</v>
      </c>
      <c r="J422" s="36"/>
      <c r="K422" s="290" t="s">
        <v>155</v>
      </c>
      <c r="L422" s="291"/>
      <c r="M422" s="292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</row>
    <row r="423" spans="1:35" ht="15.75" hidden="1" customHeight="1" thickBot="1">
      <c r="A423" s="212" t="s">
        <v>0</v>
      </c>
      <c r="B423" s="251">
        <v>1</v>
      </c>
      <c r="C423" s="351"/>
      <c r="D423" s="123" t="s">
        <v>156</v>
      </c>
      <c r="E423" s="124">
        <v>0</v>
      </c>
      <c r="F423" s="58">
        <v>1</v>
      </c>
      <c r="G423" s="59" t="s">
        <v>169</v>
      </c>
      <c r="H423" s="60">
        <v>115</v>
      </c>
      <c r="I423" s="212" t="s">
        <v>0</v>
      </c>
      <c r="J423" s="36"/>
      <c r="K423" s="130" t="s">
        <v>153</v>
      </c>
      <c r="L423" s="131" t="s">
        <v>9</v>
      </c>
      <c r="M423" s="132" t="s">
        <v>158</v>
      </c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</row>
    <row r="424" spans="1:35" ht="15" hidden="1" customHeight="1">
      <c r="A424" s="212" t="s">
        <v>0</v>
      </c>
      <c r="B424" s="252"/>
      <c r="C424" s="352"/>
      <c r="D424" s="342">
        <v>0</v>
      </c>
      <c r="E424" s="307">
        <f>IF(D424=0,0,VLOOKUP($D424,$F423:$H432,3,FALSE)*$E423)</f>
        <v>0</v>
      </c>
      <c r="F424" s="62">
        <v>2</v>
      </c>
      <c r="G424" s="63" t="s">
        <v>107</v>
      </c>
      <c r="H424" s="64">
        <v>100</v>
      </c>
      <c r="I424" s="212" t="s">
        <v>0</v>
      </c>
      <c r="J424" s="36"/>
      <c r="K424" s="133">
        <v>1</v>
      </c>
      <c r="L424" s="134">
        <f>E424</f>
        <v>0</v>
      </c>
      <c r="M424" s="381">
        <f>SUM(L424:L428)</f>
        <v>0</v>
      </c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</row>
    <row r="425" spans="1:35" ht="15" hidden="1" customHeight="1">
      <c r="A425" s="212" t="s">
        <v>0</v>
      </c>
      <c r="B425" s="252"/>
      <c r="C425" s="352"/>
      <c r="D425" s="321"/>
      <c r="E425" s="308"/>
      <c r="F425" s="62">
        <v>3</v>
      </c>
      <c r="G425" s="63" t="s">
        <v>108</v>
      </c>
      <c r="H425" s="64">
        <v>75</v>
      </c>
      <c r="I425" s="212" t="s">
        <v>0</v>
      </c>
      <c r="J425" s="36"/>
      <c r="K425" s="135">
        <v>2</v>
      </c>
      <c r="L425" s="136">
        <f>E434</f>
        <v>0</v>
      </c>
      <c r="M425" s="381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</row>
    <row r="426" spans="1:35" ht="15" hidden="1" customHeight="1">
      <c r="A426" s="212" t="s">
        <v>0</v>
      </c>
      <c r="B426" s="252"/>
      <c r="C426" s="352"/>
      <c r="D426" s="321"/>
      <c r="E426" s="308"/>
      <c r="F426" s="62">
        <v>4</v>
      </c>
      <c r="G426" s="63" t="s">
        <v>190</v>
      </c>
      <c r="H426" s="64">
        <v>50</v>
      </c>
      <c r="I426" s="212" t="s">
        <v>0</v>
      </c>
      <c r="J426" s="36"/>
      <c r="K426" s="135">
        <v>3</v>
      </c>
      <c r="L426" s="136">
        <f>E444</f>
        <v>0</v>
      </c>
      <c r="M426" s="381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</row>
    <row r="427" spans="1:35" ht="15" hidden="1" customHeight="1">
      <c r="A427" s="212" t="s">
        <v>0</v>
      </c>
      <c r="B427" s="252"/>
      <c r="C427" s="352"/>
      <c r="D427" s="321"/>
      <c r="E427" s="308"/>
      <c r="F427" s="62">
        <v>5</v>
      </c>
      <c r="G427" s="63" t="s">
        <v>194</v>
      </c>
      <c r="H427" s="64">
        <v>0</v>
      </c>
      <c r="I427" s="212" t="s">
        <v>0</v>
      </c>
      <c r="J427" s="36"/>
      <c r="K427" s="135">
        <v>4</v>
      </c>
      <c r="L427" s="136">
        <v>0</v>
      </c>
      <c r="M427" s="381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</row>
    <row r="428" spans="1:35" ht="15.75" hidden="1" customHeight="1" thickBot="1">
      <c r="A428" s="212" t="s">
        <v>0</v>
      </c>
      <c r="B428" s="252"/>
      <c r="C428" s="352"/>
      <c r="D428" s="321"/>
      <c r="E428" s="308"/>
      <c r="F428" s="62"/>
      <c r="G428" s="63"/>
      <c r="H428" s="64"/>
      <c r="I428" s="212" t="s">
        <v>0</v>
      </c>
      <c r="J428" s="36"/>
      <c r="K428" s="137">
        <v>5</v>
      </c>
      <c r="L428" s="138">
        <f>E454</f>
        <v>0</v>
      </c>
      <c r="M428" s="382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</row>
    <row r="429" spans="1:35" ht="15.75" hidden="1" customHeight="1" thickBot="1">
      <c r="A429" s="212" t="s">
        <v>0</v>
      </c>
      <c r="B429" s="252"/>
      <c r="C429" s="352"/>
      <c r="D429" s="321"/>
      <c r="E429" s="308"/>
      <c r="F429" s="62"/>
      <c r="G429" s="63"/>
      <c r="H429" s="64"/>
      <c r="I429" s="212" t="s">
        <v>0</v>
      </c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</row>
    <row r="430" spans="1:35" ht="15.75" hidden="1" customHeight="1" thickBot="1">
      <c r="A430" s="212" t="s">
        <v>0</v>
      </c>
      <c r="B430" s="273"/>
      <c r="C430" s="362"/>
      <c r="D430" s="321"/>
      <c r="E430" s="308"/>
      <c r="F430" s="62"/>
      <c r="G430" s="63"/>
      <c r="H430" s="64"/>
      <c r="I430" s="212" t="s">
        <v>0</v>
      </c>
      <c r="J430" s="36"/>
      <c r="K430" s="293" t="s">
        <v>93</v>
      </c>
      <c r="L430" s="294"/>
      <c r="M430" s="295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</row>
    <row r="431" spans="1:35" ht="15.75" hidden="1" customHeight="1" thickBot="1">
      <c r="A431" s="212" t="s">
        <v>0</v>
      </c>
      <c r="B431" s="274" t="s">
        <v>158</v>
      </c>
      <c r="C431" s="353"/>
      <c r="D431" s="321"/>
      <c r="E431" s="308"/>
      <c r="F431" s="62"/>
      <c r="G431" s="63"/>
      <c r="H431" s="64"/>
      <c r="I431" s="212" t="s">
        <v>0</v>
      </c>
      <c r="J431" s="36"/>
      <c r="K431" s="139" t="s">
        <v>6</v>
      </c>
      <c r="L431" s="140" t="s">
        <v>9</v>
      </c>
      <c r="M431" s="141" t="s">
        <v>158</v>
      </c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</row>
    <row r="432" spans="1:35" ht="15.75" hidden="1" customHeight="1" thickBot="1">
      <c r="A432" s="212" t="s">
        <v>0</v>
      </c>
      <c r="B432" s="275"/>
      <c r="C432" s="354"/>
      <c r="D432" s="322"/>
      <c r="E432" s="309"/>
      <c r="F432" s="67"/>
      <c r="G432" s="68"/>
      <c r="H432" s="69"/>
      <c r="I432" s="212" t="s">
        <v>0</v>
      </c>
      <c r="J432" s="36"/>
      <c r="K432" s="133">
        <v>1</v>
      </c>
      <c r="L432" s="134">
        <f>E468</f>
        <v>0</v>
      </c>
      <c r="M432" s="383">
        <f>SUM(L432:L441)</f>
        <v>0</v>
      </c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</row>
    <row r="433" spans="1:35" ht="15.75" hidden="1" customHeight="1" thickBot="1">
      <c r="A433" s="212" t="s">
        <v>0</v>
      </c>
      <c r="B433" s="251">
        <v>2</v>
      </c>
      <c r="C433" s="351"/>
      <c r="D433" s="123" t="s">
        <v>156</v>
      </c>
      <c r="E433" s="124">
        <v>0</v>
      </c>
      <c r="F433" s="58">
        <v>1</v>
      </c>
      <c r="G433" s="59" t="s">
        <v>195</v>
      </c>
      <c r="H433" s="60">
        <v>115</v>
      </c>
      <c r="I433" s="212" t="s">
        <v>0</v>
      </c>
      <c r="J433" s="36"/>
      <c r="K433" s="135">
        <v>2</v>
      </c>
      <c r="L433" s="136">
        <f>E478</f>
        <v>0</v>
      </c>
      <c r="M433" s="381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</row>
    <row r="434" spans="1:35" ht="15" hidden="1" customHeight="1">
      <c r="A434" s="212" t="s">
        <v>0</v>
      </c>
      <c r="B434" s="252"/>
      <c r="C434" s="352"/>
      <c r="D434" s="342">
        <v>0</v>
      </c>
      <c r="E434" s="307">
        <f>IF(D434=0,0,VLOOKUP($D434,$F433:$H442,3,FALSE)*$E433)</f>
        <v>0</v>
      </c>
      <c r="F434" s="62">
        <v>2</v>
      </c>
      <c r="G434" s="63" t="s">
        <v>196</v>
      </c>
      <c r="H434" s="64">
        <v>100</v>
      </c>
      <c r="I434" s="212" t="s">
        <v>0</v>
      </c>
      <c r="J434" s="36"/>
      <c r="K434" s="135">
        <v>3</v>
      </c>
      <c r="L434" s="136">
        <f>E488</f>
        <v>0</v>
      </c>
      <c r="M434" s="381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36"/>
    </row>
    <row r="435" spans="1:35" ht="15" hidden="1" customHeight="1">
      <c r="A435" s="212" t="s">
        <v>0</v>
      </c>
      <c r="B435" s="252"/>
      <c r="C435" s="352"/>
      <c r="D435" s="321"/>
      <c r="E435" s="308"/>
      <c r="F435" s="62">
        <v>3</v>
      </c>
      <c r="G435" s="63" t="s">
        <v>197</v>
      </c>
      <c r="H435" s="64">
        <v>75</v>
      </c>
      <c r="I435" s="212" t="s">
        <v>0</v>
      </c>
      <c r="J435" s="36"/>
      <c r="K435" s="135">
        <v>4</v>
      </c>
      <c r="L435" s="136">
        <v>0</v>
      </c>
      <c r="M435" s="381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36"/>
    </row>
    <row r="436" spans="1:35" ht="15" hidden="1" customHeight="1">
      <c r="A436" s="212" t="s">
        <v>0</v>
      </c>
      <c r="B436" s="252"/>
      <c r="C436" s="352"/>
      <c r="D436" s="321"/>
      <c r="E436" s="308"/>
      <c r="F436" s="62">
        <v>4</v>
      </c>
      <c r="G436" s="63" t="s">
        <v>198</v>
      </c>
      <c r="H436" s="64">
        <v>50</v>
      </c>
      <c r="I436" s="212" t="s">
        <v>0</v>
      </c>
      <c r="J436" s="36"/>
      <c r="K436" s="135">
        <v>5</v>
      </c>
      <c r="L436" s="136">
        <f>E498</f>
        <v>0</v>
      </c>
      <c r="M436" s="381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  <c r="AI436" s="36"/>
    </row>
    <row r="437" spans="1:35" ht="15" hidden="1" customHeight="1">
      <c r="A437" s="212" t="s">
        <v>0</v>
      </c>
      <c r="B437" s="252"/>
      <c r="C437" s="352"/>
      <c r="D437" s="321"/>
      <c r="E437" s="308"/>
      <c r="F437" s="62">
        <v>5</v>
      </c>
      <c r="G437" s="63" t="s">
        <v>194</v>
      </c>
      <c r="H437" s="64">
        <v>0</v>
      </c>
      <c r="I437" s="212" t="s">
        <v>0</v>
      </c>
      <c r="J437" s="36"/>
      <c r="K437" s="133">
        <v>6</v>
      </c>
      <c r="L437" s="136">
        <f>E508</f>
        <v>0</v>
      </c>
      <c r="M437" s="381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  <c r="AI437" s="36"/>
    </row>
    <row r="438" spans="1:35" ht="15" hidden="1" customHeight="1">
      <c r="A438" s="212" t="s">
        <v>0</v>
      </c>
      <c r="B438" s="252"/>
      <c r="C438" s="352"/>
      <c r="D438" s="321"/>
      <c r="E438" s="308"/>
      <c r="F438" s="62"/>
      <c r="G438" s="63"/>
      <c r="H438" s="64"/>
      <c r="I438" s="212" t="s">
        <v>0</v>
      </c>
      <c r="J438" s="36"/>
      <c r="K438" s="135">
        <v>7</v>
      </c>
      <c r="L438" s="136">
        <f>E518</f>
        <v>0</v>
      </c>
      <c r="M438" s="381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  <c r="AI438" s="36"/>
    </row>
    <row r="439" spans="1:35" ht="15" hidden="1" customHeight="1">
      <c r="A439" s="212" t="s">
        <v>0</v>
      </c>
      <c r="B439" s="252"/>
      <c r="C439" s="352"/>
      <c r="D439" s="321"/>
      <c r="E439" s="308"/>
      <c r="F439" s="62"/>
      <c r="G439" s="63"/>
      <c r="H439" s="64"/>
      <c r="I439" s="212" t="s">
        <v>0</v>
      </c>
      <c r="J439" s="36"/>
      <c r="K439" s="135">
        <v>8</v>
      </c>
      <c r="L439" s="136">
        <f>E528</f>
        <v>0</v>
      </c>
      <c r="M439" s="381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  <c r="AI439" s="36"/>
    </row>
    <row r="440" spans="1:35" ht="15.75" hidden="1" customHeight="1" thickBot="1">
      <c r="A440" s="212" t="s">
        <v>0</v>
      </c>
      <c r="B440" s="273"/>
      <c r="C440" s="362"/>
      <c r="D440" s="321"/>
      <c r="E440" s="308"/>
      <c r="F440" s="62"/>
      <c r="G440" s="63"/>
      <c r="H440" s="64"/>
      <c r="I440" s="212" t="s">
        <v>0</v>
      </c>
      <c r="J440" s="36"/>
      <c r="K440" s="135">
        <v>9</v>
      </c>
      <c r="L440" s="136">
        <f>E538</f>
        <v>0</v>
      </c>
      <c r="M440" s="381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  <c r="AI440" s="36"/>
    </row>
    <row r="441" spans="1:35" ht="15.75" hidden="1" customHeight="1" thickBot="1">
      <c r="A441" s="212" t="s">
        <v>0</v>
      </c>
      <c r="B441" s="274" t="s">
        <v>158</v>
      </c>
      <c r="C441" s="353"/>
      <c r="D441" s="321"/>
      <c r="E441" s="308"/>
      <c r="F441" s="62"/>
      <c r="G441" s="63"/>
      <c r="H441" s="64"/>
      <c r="I441" s="212" t="s">
        <v>0</v>
      </c>
      <c r="J441" s="36"/>
      <c r="K441" s="137">
        <v>10</v>
      </c>
      <c r="L441" s="138">
        <f>E548</f>
        <v>0</v>
      </c>
      <c r="M441" s="382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  <c r="AI441" s="36"/>
    </row>
    <row r="442" spans="1:35" ht="15.75" hidden="1" customHeight="1" thickBot="1">
      <c r="A442" s="212" t="s">
        <v>0</v>
      </c>
      <c r="B442" s="275"/>
      <c r="C442" s="354"/>
      <c r="D442" s="322"/>
      <c r="E442" s="309"/>
      <c r="F442" s="67"/>
      <c r="G442" s="68"/>
      <c r="H442" s="69"/>
      <c r="I442" s="212" t="s">
        <v>0</v>
      </c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  <c r="AI442" s="36"/>
    </row>
    <row r="443" spans="1:35" ht="15.75" hidden="1" customHeight="1" thickBot="1">
      <c r="A443" s="212" t="s">
        <v>0</v>
      </c>
      <c r="B443" s="251">
        <v>3</v>
      </c>
      <c r="C443" s="351"/>
      <c r="D443" s="123" t="s">
        <v>156</v>
      </c>
      <c r="E443" s="124">
        <v>0</v>
      </c>
      <c r="F443" s="143">
        <v>1</v>
      </c>
      <c r="G443" s="128" t="s">
        <v>169</v>
      </c>
      <c r="H443" s="144">
        <v>115</v>
      </c>
      <c r="I443" s="212" t="s">
        <v>0</v>
      </c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</row>
    <row r="444" spans="1:35" ht="15" hidden="1" customHeight="1">
      <c r="A444" s="212" t="s">
        <v>0</v>
      </c>
      <c r="B444" s="252"/>
      <c r="C444" s="352"/>
      <c r="D444" s="342">
        <v>0</v>
      </c>
      <c r="E444" s="307">
        <f>IF(D444=0,0,VLOOKUP($D444,$F443:$H452,3,FALSE)*$E443)</f>
        <v>0</v>
      </c>
      <c r="F444" s="143">
        <v>2</v>
      </c>
      <c r="G444" s="128" t="s">
        <v>107</v>
      </c>
      <c r="H444" s="144">
        <v>100</v>
      </c>
      <c r="I444" s="212" t="s">
        <v>0</v>
      </c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</row>
    <row r="445" spans="1:35" ht="15" hidden="1" customHeight="1">
      <c r="A445" s="212" t="s">
        <v>0</v>
      </c>
      <c r="B445" s="252"/>
      <c r="C445" s="352"/>
      <c r="D445" s="321"/>
      <c r="E445" s="308"/>
      <c r="F445" s="143">
        <v>3</v>
      </c>
      <c r="G445" s="128" t="s">
        <v>108</v>
      </c>
      <c r="H445" s="144">
        <v>50</v>
      </c>
      <c r="I445" s="212" t="s">
        <v>0</v>
      </c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  <c r="AI445" s="36"/>
    </row>
    <row r="446" spans="1:35" ht="15" hidden="1" customHeight="1">
      <c r="A446" s="212" t="s">
        <v>0</v>
      </c>
      <c r="B446" s="252"/>
      <c r="C446" s="352"/>
      <c r="D446" s="321"/>
      <c r="E446" s="308"/>
      <c r="F446" s="143">
        <v>4</v>
      </c>
      <c r="G446" s="128" t="s">
        <v>190</v>
      </c>
      <c r="H446" s="144">
        <v>0</v>
      </c>
      <c r="I446" s="212" t="s">
        <v>0</v>
      </c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</row>
    <row r="447" spans="1:35" ht="15" hidden="1" customHeight="1">
      <c r="A447" s="212" t="s">
        <v>0</v>
      </c>
      <c r="B447" s="252"/>
      <c r="C447" s="352"/>
      <c r="D447" s="321"/>
      <c r="E447" s="308"/>
      <c r="F447" s="143"/>
      <c r="G447" s="128"/>
      <c r="H447" s="144"/>
      <c r="I447" s="212" t="s">
        <v>0</v>
      </c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36"/>
    </row>
    <row r="448" spans="1:35" ht="15" hidden="1" customHeight="1">
      <c r="A448" s="212" t="s">
        <v>0</v>
      </c>
      <c r="B448" s="252"/>
      <c r="C448" s="352"/>
      <c r="D448" s="321"/>
      <c r="E448" s="308"/>
      <c r="F448" s="143"/>
      <c r="G448" s="128"/>
      <c r="H448" s="144"/>
      <c r="I448" s="212" t="s">
        <v>0</v>
      </c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</row>
    <row r="449" spans="1:35" ht="15" hidden="1" customHeight="1">
      <c r="A449" s="212" t="s">
        <v>0</v>
      </c>
      <c r="B449" s="252"/>
      <c r="C449" s="352"/>
      <c r="D449" s="321"/>
      <c r="E449" s="308"/>
      <c r="F449" s="143"/>
      <c r="G449" s="128"/>
      <c r="H449" s="144"/>
      <c r="I449" s="212" t="s">
        <v>0</v>
      </c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</row>
    <row r="450" spans="1:35" ht="15.75" hidden="1" customHeight="1" thickBot="1">
      <c r="A450" s="212" t="s">
        <v>0</v>
      </c>
      <c r="B450" s="273"/>
      <c r="C450" s="362"/>
      <c r="D450" s="321"/>
      <c r="E450" s="308"/>
      <c r="F450" s="143"/>
      <c r="G450" s="128"/>
      <c r="H450" s="144"/>
      <c r="I450" s="212" t="s">
        <v>0</v>
      </c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36"/>
      <c r="AI450" s="36"/>
    </row>
    <row r="451" spans="1:35" ht="16.5" hidden="1" customHeight="1">
      <c r="A451" s="212" t="s">
        <v>0</v>
      </c>
      <c r="B451" s="274" t="s">
        <v>158</v>
      </c>
      <c r="C451" s="353"/>
      <c r="D451" s="321"/>
      <c r="E451" s="308"/>
      <c r="F451" s="143"/>
      <c r="G451" s="128"/>
      <c r="H451" s="144"/>
      <c r="I451" s="212" t="s">
        <v>0</v>
      </c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  <c r="AI451" s="36"/>
    </row>
    <row r="452" spans="1:35" ht="13" hidden="1" customHeight="1" thickBot="1">
      <c r="A452" s="212" t="s">
        <v>0</v>
      </c>
      <c r="B452" s="275"/>
      <c r="C452" s="354"/>
      <c r="D452" s="322"/>
      <c r="E452" s="309"/>
      <c r="F452" s="67"/>
      <c r="G452" s="145"/>
      <c r="H452" s="146"/>
      <c r="I452" s="212" t="s">
        <v>0</v>
      </c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36"/>
      <c r="AI452" s="36"/>
    </row>
    <row r="453" spans="1:35" ht="15.75" hidden="1" customHeight="1" thickBot="1">
      <c r="A453" s="212" t="s">
        <v>0</v>
      </c>
      <c r="B453" s="369">
        <v>4</v>
      </c>
      <c r="C453" s="351"/>
      <c r="D453" s="123" t="s">
        <v>156</v>
      </c>
      <c r="E453" s="124">
        <v>0</v>
      </c>
      <c r="F453" s="70">
        <v>1</v>
      </c>
      <c r="G453" s="223" t="s">
        <v>207</v>
      </c>
      <c r="H453" s="72">
        <v>120</v>
      </c>
      <c r="I453" s="212" t="s">
        <v>0</v>
      </c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</row>
    <row r="454" spans="1:35" ht="15" hidden="1" customHeight="1">
      <c r="A454" s="212" t="s">
        <v>0</v>
      </c>
      <c r="B454" s="252"/>
      <c r="C454" s="352"/>
      <c r="D454" s="342">
        <v>0</v>
      </c>
      <c r="E454" s="307">
        <f>IF(D454=0,0,VLOOKUP($D454,$F453:$H462,3,FALSE)*$E453)</f>
        <v>0</v>
      </c>
      <c r="F454" s="62">
        <v>2</v>
      </c>
      <c r="G454" s="142" t="s">
        <v>206</v>
      </c>
      <c r="H454" s="64">
        <v>115</v>
      </c>
      <c r="I454" s="212" t="s">
        <v>0</v>
      </c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</row>
    <row r="455" spans="1:35" ht="15" hidden="1" customHeight="1">
      <c r="A455" s="212" t="s">
        <v>0</v>
      </c>
      <c r="B455" s="252"/>
      <c r="C455" s="352"/>
      <c r="D455" s="321"/>
      <c r="E455" s="308"/>
      <c r="F455" s="62">
        <v>3</v>
      </c>
      <c r="G455" s="142" t="s">
        <v>205</v>
      </c>
      <c r="H455" s="64">
        <v>110</v>
      </c>
      <c r="I455" s="212" t="s">
        <v>0</v>
      </c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36"/>
      <c r="AI455" s="36"/>
    </row>
    <row r="456" spans="1:35" ht="15" hidden="1" customHeight="1">
      <c r="A456" s="212" t="s">
        <v>0</v>
      </c>
      <c r="B456" s="252"/>
      <c r="C456" s="352"/>
      <c r="D456" s="321"/>
      <c r="E456" s="308"/>
      <c r="F456" s="62">
        <v>4</v>
      </c>
      <c r="G456" s="142" t="s">
        <v>204</v>
      </c>
      <c r="H456" s="64">
        <v>105</v>
      </c>
      <c r="I456" s="212" t="s">
        <v>0</v>
      </c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36"/>
      <c r="AI456" s="36"/>
    </row>
    <row r="457" spans="1:35" ht="15" hidden="1" customHeight="1">
      <c r="A457" s="212" t="s">
        <v>0</v>
      </c>
      <c r="B457" s="252"/>
      <c r="C457" s="352"/>
      <c r="D457" s="321"/>
      <c r="E457" s="308"/>
      <c r="F457" s="62">
        <v>5</v>
      </c>
      <c r="G457" s="142">
        <v>0.99</v>
      </c>
      <c r="H457" s="64">
        <v>100</v>
      </c>
      <c r="I457" s="212" t="s">
        <v>0</v>
      </c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36"/>
      <c r="AE457" s="36"/>
      <c r="AF457" s="36"/>
      <c r="AG457" s="36"/>
      <c r="AH457" s="36"/>
      <c r="AI457" s="36"/>
    </row>
    <row r="458" spans="1:35" ht="15" hidden="1" customHeight="1">
      <c r="A458" s="212" t="s">
        <v>0</v>
      </c>
      <c r="B458" s="252"/>
      <c r="C458" s="352"/>
      <c r="D458" s="321"/>
      <c r="E458" s="308"/>
      <c r="F458" s="62">
        <v>6</v>
      </c>
      <c r="G458" s="63" t="s">
        <v>203</v>
      </c>
      <c r="H458" s="64">
        <v>95</v>
      </c>
      <c r="I458" s="212" t="s">
        <v>0</v>
      </c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36"/>
      <c r="AI458" s="36"/>
    </row>
    <row r="459" spans="1:35" ht="15" hidden="1" customHeight="1">
      <c r="A459" s="212" t="s">
        <v>0</v>
      </c>
      <c r="B459" s="252"/>
      <c r="C459" s="352"/>
      <c r="D459" s="321"/>
      <c r="E459" s="308"/>
      <c r="F459" s="62">
        <v>7</v>
      </c>
      <c r="G459" s="63" t="s">
        <v>202</v>
      </c>
      <c r="H459" s="64">
        <v>90</v>
      </c>
      <c r="I459" s="212" t="s">
        <v>0</v>
      </c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36"/>
      <c r="AI459" s="36"/>
    </row>
    <row r="460" spans="1:35" ht="15.75" hidden="1" customHeight="1" thickBot="1">
      <c r="A460" s="212" t="s">
        <v>0</v>
      </c>
      <c r="B460" s="273"/>
      <c r="C460" s="362"/>
      <c r="D460" s="321"/>
      <c r="E460" s="308"/>
      <c r="F460" s="62">
        <v>8</v>
      </c>
      <c r="G460" s="63" t="s">
        <v>201</v>
      </c>
      <c r="H460" s="64">
        <v>80</v>
      </c>
      <c r="I460" s="212" t="s">
        <v>0</v>
      </c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  <c r="AI460" s="36"/>
    </row>
    <row r="461" spans="1:35" ht="15" hidden="1" customHeight="1">
      <c r="A461" s="212" t="s">
        <v>0</v>
      </c>
      <c r="B461" s="274" t="s">
        <v>158</v>
      </c>
      <c r="C461" s="375"/>
      <c r="D461" s="321"/>
      <c r="E461" s="308"/>
      <c r="F461" s="62">
        <v>9</v>
      </c>
      <c r="G461" s="63" t="s">
        <v>200</v>
      </c>
      <c r="H461" s="64">
        <v>50</v>
      </c>
      <c r="I461" s="212" t="s">
        <v>0</v>
      </c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36"/>
      <c r="AI461" s="36"/>
    </row>
    <row r="462" spans="1:35" ht="15.75" hidden="1" customHeight="1" thickBot="1">
      <c r="A462" s="212" t="s">
        <v>0</v>
      </c>
      <c r="B462" s="275"/>
      <c r="C462" s="364"/>
      <c r="D462" s="322"/>
      <c r="E462" s="309"/>
      <c r="F462" s="67"/>
      <c r="G462" s="68"/>
      <c r="H462" s="69"/>
      <c r="I462" s="212" t="s">
        <v>0</v>
      </c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36"/>
      <c r="AI462" s="36"/>
    </row>
    <row r="463" spans="1:35" ht="15.75" hidden="1" customHeight="1" thickBot="1">
      <c r="A463" s="212" t="s">
        <v>0</v>
      </c>
      <c r="B463" s="212" t="s">
        <v>0</v>
      </c>
      <c r="C463" s="212" t="s">
        <v>0</v>
      </c>
      <c r="D463" s="212" t="s">
        <v>0</v>
      </c>
      <c r="E463" s="212" t="s">
        <v>0</v>
      </c>
      <c r="F463" s="212" t="s">
        <v>0</v>
      </c>
      <c r="G463" s="212" t="s">
        <v>0</v>
      </c>
      <c r="H463" s="212" t="s">
        <v>0</v>
      </c>
      <c r="I463" s="212" t="s">
        <v>0</v>
      </c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36"/>
      <c r="AI463" s="36"/>
    </row>
    <row r="464" spans="1:35" ht="15" hidden="1" customHeight="1">
      <c r="A464" s="214" t="s">
        <v>0</v>
      </c>
      <c r="B464" s="365" t="s">
        <v>173</v>
      </c>
      <c r="C464" s="366"/>
      <c r="D464" s="249" t="s">
        <v>8</v>
      </c>
      <c r="E464" s="249"/>
      <c r="F464" s="249"/>
      <c r="G464" s="249"/>
      <c r="H464" s="326"/>
      <c r="I464" s="241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36"/>
      <c r="AI464" s="36"/>
    </row>
    <row r="465" spans="1:35" ht="15.75" hidden="1" customHeight="1" thickBot="1">
      <c r="A465" s="214" t="s">
        <v>0</v>
      </c>
      <c r="B465" s="367"/>
      <c r="C465" s="368"/>
      <c r="D465" s="250">
        <f>D421</f>
        <v>0</v>
      </c>
      <c r="E465" s="250"/>
      <c r="F465" s="250"/>
      <c r="G465" s="250"/>
      <c r="H465" s="327"/>
      <c r="I465" s="242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</row>
    <row r="466" spans="1:35" ht="15.75" hidden="1" customHeight="1" thickBot="1">
      <c r="A466" s="214" t="s">
        <v>0</v>
      </c>
      <c r="B466" s="52" t="s">
        <v>152</v>
      </c>
      <c r="C466" s="237" t="s">
        <v>6</v>
      </c>
      <c r="D466" s="296" t="s">
        <v>9</v>
      </c>
      <c r="E466" s="297"/>
      <c r="F466" s="298" t="s">
        <v>166</v>
      </c>
      <c r="G466" s="299"/>
      <c r="H466" s="300"/>
      <c r="I466" s="214" t="s">
        <v>0</v>
      </c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</row>
    <row r="467" spans="1:35" ht="15.75" hidden="1" customHeight="1" thickBot="1">
      <c r="A467" s="214" t="s">
        <v>0</v>
      </c>
      <c r="B467" s="251">
        <v>1</v>
      </c>
      <c r="C467" s="351"/>
      <c r="D467" s="123" t="s">
        <v>156</v>
      </c>
      <c r="E467" s="124">
        <v>0</v>
      </c>
      <c r="F467" s="58">
        <v>1</v>
      </c>
      <c r="G467" s="59" t="s">
        <v>169</v>
      </c>
      <c r="H467" s="60">
        <v>115</v>
      </c>
      <c r="I467" s="214" t="s">
        <v>0</v>
      </c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  <c r="AI467" s="36"/>
    </row>
    <row r="468" spans="1:35" ht="15" hidden="1" customHeight="1">
      <c r="A468" s="214" t="s">
        <v>0</v>
      </c>
      <c r="B468" s="252"/>
      <c r="C468" s="352"/>
      <c r="D468" s="342">
        <v>0</v>
      </c>
      <c r="E468" s="307">
        <f>IF(D468=0,0,VLOOKUP($D468,$F467:$H476,3,FALSE)*$E467)</f>
        <v>0</v>
      </c>
      <c r="F468" s="62">
        <v>2</v>
      </c>
      <c r="G468" s="63" t="s">
        <v>107</v>
      </c>
      <c r="H468" s="64">
        <v>100</v>
      </c>
      <c r="I468" s="214" t="s">
        <v>0</v>
      </c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  <c r="AI468" s="36"/>
    </row>
    <row r="469" spans="1:35" ht="15" hidden="1" customHeight="1">
      <c r="A469" s="214" t="s">
        <v>0</v>
      </c>
      <c r="B469" s="252"/>
      <c r="C469" s="352"/>
      <c r="D469" s="321"/>
      <c r="E469" s="308"/>
      <c r="F469" s="62">
        <v>3</v>
      </c>
      <c r="G469" s="63" t="s">
        <v>108</v>
      </c>
      <c r="H469" s="64">
        <v>75</v>
      </c>
      <c r="I469" s="214" t="s">
        <v>0</v>
      </c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  <c r="AI469" s="36"/>
    </row>
    <row r="470" spans="1:35" ht="15" hidden="1" customHeight="1">
      <c r="A470" s="214" t="s">
        <v>0</v>
      </c>
      <c r="B470" s="252"/>
      <c r="C470" s="352"/>
      <c r="D470" s="321"/>
      <c r="E470" s="308"/>
      <c r="F470" s="62">
        <v>4</v>
      </c>
      <c r="G470" s="63" t="s">
        <v>109</v>
      </c>
      <c r="H470" s="64">
        <v>50</v>
      </c>
      <c r="I470" s="214" t="s">
        <v>0</v>
      </c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  <c r="AI470" s="36"/>
    </row>
    <row r="471" spans="1:35" ht="15" hidden="1" customHeight="1">
      <c r="A471" s="214" t="s">
        <v>0</v>
      </c>
      <c r="B471" s="252"/>
      <c r="C471" s="352"/>
      <c r="D471" s="321"/>
      <c r="E471" s="308"/>
      <c r="F471" s="62">
        <v>5</v>
      </c>
      <c r="G471" s="63" t="s">
        <v>199</v>
      </c>
      <c r="H471" s="64">
        <v>0</v>
      </c>
      <c r="I471" s="214" t="s">
        <v>0</v>
      </c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36"/>
    </row>
    <row r="472" spans="1:35" ht="15" hidden="1" customHeight="1">
      <c r="A472" s="214" t="s">
        <v>0</v>
      </c>
      <c r="B472" s="252"/>
      <c r="C472" s="352"/>
      <c r="D472" s="321"/>
      <c r="E472" s="308"/>
      <c r="F472" s="62"/>
      <c r="G472" s="63"/>
      <c r="H472" s="64"/>
      <c r="I472" s="214" t="s">
        <v>0</v>
      </c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36"/>
    </row>
    <row r="473" spans="1:35" ht="15" hidden="1" customHeight="1">
      <c r="A473" s="214" t="s">
        <v>0</v>
      </c>
      <c r="B473" s="252"/>
      <c r="C473" s="352"/>
      <c r="D473" s="321"/>
      <c r="E473" s="308"/>
      <c r="F473" s="62"/>
      <c r="G473" s="63"/>
      <c r="H473" s="64"/>
      <c r="I473" s="214" t="s">
        <v>0</v>
      </c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  <c r="AG473" s="36"/>
      <c r="AH473" s="36"/>
      <c r="AI473" s="36"/>
    </row>
    <row r="474" spans="1:35" ht="15.75" hidden="1" customHeight="1" thickBot="1">
      <c r="A474" s="214" t="s">
        <v>0</v>
      </c>
      <c r="B474" s="273"/>
      <c r="C474" s="362"/>
      <c r="D474" s="321"/>
      <c r="E474" s="308"/>
      <c r="F474" s="62"/>
      <c r="G474" s="63"/>
      <c r="H474" s="64"/>
      <c r="I474" s="214" t="s">
        <v>0</v>
      </c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36"/>
      <c r="AI474" s="36"/>
    </row>
    <row r="475" spans="1:35" ht="15" hidden="1" customHeight="1">
      <c r="A475" s="214" t="s">
        <v>0</v>
      </c>
      <c r="B475" s="274" t="s">
        <v>158</v>
      </c>
      <c r="C475" s="353"/>
      <c r="D475" s="321"/>
      <c r="E475" s="308"/>
      <c r="F475" s="62"/>
      <c r="G475" s="63"/>
      <c r="H475" s="64"/>
      <c r="I475" s="214" t="s">
        <v>0</v>
      </c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36"/>
      <c r="AI475" s="36"/>
    </row>
    <row r="476" spans="1:35" ht="15.75" hidden="1" customHeight="1" thickBot="1">
      <c r="A476" s="214" t="s">
        <v>0</v>
      </c>
      <c r="B476" s="275"/>
      <c r="C476" s="354"/>
      <c r="D476" s="322"/>
      <c r="E476" s="309"/>
      <c r="F476" s="67"/>
      <c r="G476" s="68"/>
      <c r="H476" s="69"/>
      <c r="I476" s="214" t="s">
        <v>0</v>
      </c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  <c r="AI476" s="36"/>
    </row>
    <row r="477" spans="1:35" ht="15.75" hidden="1" customHeight="1" thickBot="1">
      <c r="A477" s="214" t="s">
        <v>0</v>
      </c>
      <c r="B477" s="251">
        <v>2</v>
      </c>
      <c r="C477" s="351"/>
      <c r="D477" s="123" t="s">
        <v>156</v>
      </c>
      <c r="E477" s="124">
        <v>0</v>
      </c>
      <c r="F477" s="58">
        <v>1</v>
      </c>
      <c r="G477" s="59" t="s">
        <v>107</v>
      </c>
      <c r="H477" s="60">
        <v>100</v>
      </c>
      <c r="I477" s="214" t="s">
        <v>0</v>
      </c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36"/>
      <c r="AI477" s="36"/>
    </row>
    <row r="478" spans="1:35" ht="15" hidden="1" customHeight="1">
      <c r="A478" s="214" t="s">
        <v>0</v>
      </c>
      <c r="B478" s="252"/>
      <c r="C478" s="352"/>
      <c r="D478" s="342">
        <v>0</v>
      </c>
      <c r="E478" s="307">
        <f>IF(D478=0,0,VLOOKUP($D478,$F477:$H486,3,FALSE)*$E477)</f>
        <v>0</v>
      </c>
      <c r="F478" s="62">
        <v>2</v>
      </c>
      <c r="G478" s="63" t="s">
        <v>108</v>
      </c>
      <c r="H478" s="64">
        <v>0</v>
      </c>
      <c r="I478" s="214" t="s">
        <v>0</v>
      </c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36"/>
      <c r="AI478" s="36"/>
    </row>
    <row r="479" spans="1:35" ht="15" hidden="1" customHeight="1">
      <c r="A479" s="214" t="s">
        <v>0</v>
      </c>
      <c r="B479" s="252"/>
      <c r="C479" s="352"/>
      <c r="D479" s="321"/>
      <c r="E479" s="308"/>
      <c r="F479" s="62"/>
      <c r="G479" s="63"/>
      <c r="H479" s="64"/>
      <c r="I479" s="214" t="s">
        <v>0</v>
      </c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36"/>
      <c r="AI479" s="36"/>
    </row>
    <row r="480" spans="1:35" ht="15" hidden="1" customHeight="1">
      <c r="A480" s="214" t="s">
        <v>0</v>
      </c>
      <c r="B480" s="252"/>
      <c r="C480" s="352"/>
      <c r="D480" s="321"/>
      <c r="E480" s="308"/>
      <c r="F480" s="62"/>
      <c r="G480" s="63"/>
      <c r="H480" s="64"/>
      <c r="I480" s="214" t="s">
        <v>0</v>
      </c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36"/>
      <c r="AI480" s="36"/>
    </row>
    <row r="481" spans="1:35" ht="15" hidden="1" customHeight="1">
      <c r="A481" s="214" t="s">
        <v>0</v>
      </c>
      <c r="B481" s="252"/>
      <c r="C481" s="352"/>
      <c r="D481" s="321"/>
      <c r="E481" s="308"/>
      <c r="F481" s="62"/>
      <c r="G481" s="63"/>
      <c r="H481" s="64"/>
      <c r="I481" s="214" t="s">
        <v>0</v>
      </c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36"/>
      <c r="AI481" s="36"/>
    </row>
    <row r="482" spans="1:35" ht="15" hidden="1" customHeight="1">
      <c r="A482" s="214" t="s">
        <v>0</v>
      </c>
      <c r="B482" s="252"/>
      <c r="C482" s="352"/>
      <c r="D482" s="321"/>
      <c r="E482" s="308"/>
      <c r="F482" s="62"/>
      <c r="G482" s="63"/>
      <c r="H482" s="64"/>
      <c r="I482" s="214" t="s">
        <v>0</v>
      </c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36"/>
      <c r="AI482" s="36"/>
    </row>
    <row r="483" spans="1:35" ht="15" hidden="1" customHeight="1">
      <c r="A483" s="214" t="s">
        <v>0</v>
      </c>
      <c r="B483" s="252"/>
      <c r="C483" s="352"/>
      <c r="D483" s="321"/>
      <c r="E483" s="308"/>
      <c r="F483" s="62"/>
      <c r="G483" s="63"/>
      <c r="H483" s="64"/>
      <c r="I483" s="214" t="s">
        <v>0</v>
      </c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36"/>
      <c r="AI483" s="36"/>
    </row>
    <row r="484" spans="1:35" ht="15.75" hidden="1" customHeight="1" thickBot="1">
      <c r="A484" s="214" t="s">
        <v>0</v>
      </c>
      <c r="B484" s="273"/>
      <c r="C484" s="362"/>
      <c r="D484" s="321"/>
      <c r="E484" s="308"/>
      <c r="F484" s="62"/>
      <c r="G484" s="63"/>
      <c r="H484" s="64"/>
      <c r="I484" s="214" t="s">
        <v>0</v>
      </c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36"/>
      <c r="AI484" s="36"/>
    </row>
    <row r="485" spans="1:35" ht="15" hidden="1" customHeight="1">
      <c r="A485" s="214" t="s">
        <v>0</v>
      </c>
      <c r="B485" s="274" t="s">
        <v>158</v>
      </c>
      <c r="C485" s="353"/>
      <c r="D485" s="321"/>
      <c r="E485" s="308"/>
      <c r="F485" s="62"/>
      <c r="G485" s="63"/>
      <c r="H485" s="64"/>
      <c r="I485" s="214" t="s">
        <v>0</v>
      </c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  <c r="AI485" s="36"/>
    </row>
    <row r="486" spans="1:35" ht="15.75" hidden="1" customHeight="1" thickBot="1">
      <c r="A486" s="214" t="s">
        <v>0</v>
      </c>
      <c r="B486" s="275"/>
      <c r="C486" s="354"/>
      <c r="D486" s="322"/>
      <c r="E486" s="309"/>
      <c r="F486" s="67"/>
      <c r="G486" s="68"/>
      <c r="H486" s="69"/>
      <c r="I486" s="214" t="s">
        <v>0</v>
      </c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  <c r="AI486" s="36"/>
    </row>
    <row r="487" spans="1:35" ht="15.75" hidden="1" customHeight="1" thickBot="1">
      <c r="A487" s="214" t="s">
        <v>0</v>
      </c>
      <c r="B487" s="251">
        <v>3</v>
      </c>
      <c r="C487" s="351"/>
      <c r="D487" s="123" t="s">
        <v>156</v>
      </c>
      <c r="E487" s="124">
        <v>0</v>
      </c>
      <c r="F487" s="70">
        <v>1</v>
      </c>
      <c r="G487" s="223" t="s">
        <v>207</v>
      </c>
      <c r="H487" s="72">
        <v>120</v>
      </c>
      <c r="I487" s="214" t="s">
        <v>0</v>
      </c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36"/>
      <c r="AI487" s="36"/>
    </row>
    <row r="488" spans="1:35" ht="15" hidden="1" customHeight="1">
      <c r="A488" s="214" t="s">
        <v>0</v>
      </c>
      <c r="B488" s="252"/>
      <c r="C488" s="352"/>
      <c r="D488" s="342">
        <v>0</v>
      </c>
      <c r="E488" s="307">
        <v>0</v>
      </c>
      <c r="F488" s="62">
        <v>2</v>
      </c>
      <c r="G488" s="142" t="s">
        <v>206</v>
      </c>
      <c r="H488" s="64">
        <v>115</v>
      </c>
      <c r="I488" s="214" t="s">
        <v>0</v>
      </c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36"/>
      <c r="AI488" s="36"/>
    </row>
    <row r="489" spans="1:35" ht="15" hidden="1" customHeight="1">
      <c r="A489" s="214" t="s">
        <v>0</v>
      </c>
      <c r="B489" s="252"/>
      <c r="C489" s="352"/>
      <c r="D489" s="321"/>
      <c r="E489" s="308"/>
      <c r="F489" s="62">
        <v>3</v>
      </c>
      <c r="G489" s="142" t="s">
        <v>205</v>
      </c>
      <c r="H489" s="64">
        <v>110</v>
      </c>
      <c r="I489" s="214" t="s">
        <v>0</v>
      </c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36"/>
      <c r="AI489" s="36"/>
    </row>
    <row r="490" spans="1:35" ht="15" hidden="1" customHeight="1">
      <c r="A490" s="214" t="s">
        <v>0</v>
      </c>
      <c r="B490" s="252"/>
      <c r="C490" s="352"/>
      <c r="D490" s="321"/>
      <c r="E490" s="308"/>
      <c r="F490" s="62">
        <v>4</v>
      </c>
      <c r="G490" s="142" t="s">
        <v>204</v>
      </c>
      <c r="H490" s="64">
        <v>105</v>
      </c>
      <c r="I490" s="214" t="s">
        <v>0</v>
      </c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  <c r="AI490" s="36"/>
    </row>
    <row r="491" spans="1:35" ht="15" hidden="1" customHeight="1">
      <c r="A491" s="214" t="s">
        <v>0</v>
      </c>
      <c r="B491" s="252"/>
      <c r="C491" s="352"/>
      <c r="D491" s="321"/>
      <c r="E491" s="308"/>
      <c r="F491" s="62">
        <v>5</v>
      </c>
      <c r="G491" s="142">
        <v>0.99</v>
      </c>
      <c r="H491" s="64">
        <v>100</v>
      </c>
      <c r="I491" s="214" t="s">
        <v>0</v>
      </c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  <c r="AI491" s="36"/>
    </row>
    <row r="492" spans="1:35" ht="15" hidden="1" customHeight="1">
      <c r="A492" s="214" t="s">
        <v>0</v>
      </c>
      <c r="B492" s="252"/>
      <c r="C492" s="352"/>
      <c r="D492" s="321"/>
      <c r="E492" s="308"/>
      <c r="F492" s="62">
        <v>6</v>
      </c>
      <c r="G492" s="63" t="s">
        <v>203</v>
      </c>
      <c r="H492" s="64">
        <v>95</v>
      </c>
      <c r="I492" s="214" t="s">
        <v>0</v>
      </c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  <c r="AI492" s="36"/>
    </row>
    <row r="493" spans="1:35" ht="15" hidden="1" customHeight="1">
      <c r="A493" s="214" t="s">
        <v>0</v>
      </c>
      <c r="B493" s="252"/>
      <c r="C493" s="352"/>
      <c r="D493" s="321"/>
      <c r="E493" s="308"/>
      <c r="F493" s="62">
        <v>7</v>
      </c>
      <c r="G493" s="63" t="s">
        <v>202</v>
      </c>
      <c r="H493" s="64">
        <v>90</v>
      </c>
      <c r="I493" s="214" t="s">
        <v>0</v>
      </c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  <c r="AI493" s="36"/>
    </row>
    <row r="494" spans="1:35" ht="15.75" hidden="1" customHeight="1" thickBot="1">
      <c r="A494" s="214" t="s">
        <v>0</v>
      </c>
      <c r="B494" s="273"/>
      <c r="C494" s="362"/>
      <c r="D494" s="321"/>
      <c r="E494" s="308"/>
      <c r="F494" s="62">
        <v>8</v>
      </c>
      <c r="G494" s="63" t="s">
        <v>201</v>
      </c>
      <c r="H494" s="64">
        <v>80</v>
      </c>
      <c r="I494" s="214" t="s">
        <v>0</v>
      </c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36"/>
      <c r="AI494" s="36"/>
    </row>
    <row r="495" spans="1:35" ht="15" hidden="1" customHeight="1">
      <c r="A495" s="214" t="s">
        <v>0</v>
      </c>
      <c r="B495" s="274" t="s">
        <v>158</v>
      </c>
      <c r="C495" s="353"/>
      <c r="D495" s="321"/>
      <c r="E495" s="308"/>
      <c r="F495" s="62">
        <v>9</v>
      </c>
      <c r="G495" s="63" t="s">
        <v>200</v>
      </c>
      <c r="H495" s="64">
        <v>50</v>
      </c>
      <c r="I495" s="214" t="s">
        <v>0</v>
      </c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36"/>
      <c r="AI495" s="36"/>
    </row>
    <row r="496" spans="1:35" ht="15.75" hidden="1" customHeight="1" thickBot="1">
      <c r="A496" s="214" t="s">
        <v>0</v>
      </c>
      <c r="B496" s="275"/>
      <c r="C496" s="354"/>
      <c r="D496" s="322"/>
      <c r="E496" s="309"/>
      <c r="F496" s="67"/>
      <c r="G496" s="68"/>
      <c r="H496" s="69"/>
      <c r="I496" s="214" t="s">
        <v>0</v>
      </c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36"/>
      <c r="AI496" s="36"/>
    </row>
    <row r="497" spans="1:35" ht="15.75" hidden="1" customHeight="1" thickBot="1">
      <c r="A497" s="214" t="s">
        <v>0</v>
      </c>
      <c r="B497" s="279">
        <v>5</v>
      </c>
      <c r="C497" s="349"/>
      <c r="D497" s="123" t="s">
        <v>156</v>
      </c>
      <c r="E497" s="124">
        <v>0</v>
      </c>
      <c r="F497" s="70">
        <v>10</v>
      </c>
      <c r="G497" s="71" t="s">
        <v>164</v>
      </c>
      <c r="H497" s="72">
        <v>115</v>
      </c>
      <c r="I497" s="214" t="s">
        <v>0</v>
      </c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36"/>
      <c r="AI497" s="36"/>
    </row>
    <row r="498" spans="1:35" ht="15" hidden="1" customHeight="1">
      <c r="A498" s="214" t="s">
        <v>0</v>
      </c>
      <c r="B498" s="277"/>
      <c r="C498" s="355"/>
      <c r="D498" s="314"/>
      <c r="E498" s="307">
        <f>IF(D498=0,0,VLOOKUP($D498,$F497:$H506,3,FALSE)*$E497)</f>
        <v>0</v>
      </c>
      <c r="F498" s="62">
        <v>9</v>
      </c>
      <c r="G498" s="63" t="s">
        <v>164</v>
      </c>
      <c r="H498" s="64">
        <f>H497-5</f>
        <v>110</v>
      </c>
      <c r="I498" s="214" t="s">
        <v>0</v>
      </c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36"/>
      <c r="AI498" s="36"/>
    </row>
    <row r="499" spans="1:35" ht="15" hidden="1" customHeight="1">
      <c r="A499" s="214" t="s">
        <v>0</v>
      </c>
      <c r="B499" s="277"/>
      <c r="C499" s="355"/>
      <c r="D499" s="315"/>
      <c r="E499" s="308"/>
      <c r="F499" s="62">
        <v>8</v>
      </c>
      <c r="G499" s="63" t="s">
        <v>164</v>
      </c>
      <c r="H499" s="64">
        <f t="shared" ref="H499:H506" si="27">H498-5</f>
        <v>105</v>
      </c>
      <c r="I499" s="214" t="s">
        <v>0</v>
      </c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36"/>
      <c r="AI499" s="36"/>
    </row>
    <row r="500" spans="1:35" ht="15" hidden="1" customHeight="1">
      <c r="A500" s="214" t="s">
        <v>0</v>
      </c>
      <c r="B500" s="277"/>
      <c r="C500" s="355"/>
      <c r="D500" s="315"/>
      <c r="E500" s="308"/>
      <c r="F500" s="62">
        <v>7</v>
      </c>
      <c r="G500" s="63" t="s">
        <v>164</v>
      </c>
      <c r="H500" s="64">
        <f t="shared" si="27"/>
        <v>100</v>
      </c>
      <c r="I500" s="214" t="s">
        <v>0</v>
      </c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36"/>
      <c r="AI500" s="36"/>
    </row>
    <row r="501" spans="1:35" ht="15" hidden="1" customHeight="1">
      <c r="A501" s="214" t="s">
        <v>0</v>
      </c>
      <c r="B501" s="277"/>
      <c r="C501" s="355"/>
      <c r="D501" s="315"/>
      <c r="E501" s="308"/>
      <c r="F501" s="62">
        <v>6</v>
      </c>
      <c r="G501" s="63" t="s">
        <v>164</v>
      </c>
      <c r="H501" s="64">
        <f t="shared" si="27"/>
        <v>95</v>
      </c>
      <c r="I501" s="214" t="s">
        <v>0</v>
      </c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D501" s="36"/>
      <c r="AE501" s="36"/>
      <c r="AF501" s="36"/>
      <c r="AG501" s="36"/>
      <c r="AH501" s="36"/>
      <c r="AI501" s="36"/>
    </row>
    <row r="502" spans="1:35" ht="15" hidden="1" customHeight="1">
      <c r="A502" s="214" t="s">
        <v>0</v>
      </c>
      <c r="B502" s="277"/>
      <c r="C502" s="355"/>
      <c r="D502" s="315"/>
      <c r="E502" s="308"/>
      <c r="F502" s="62">
        <v>5</v>
      </c>
      <c r="G502" s="63" t="s">
        <v>164</v>
      </c>
      <c r="H502" s="64">
        <f t="shared" si="27"/>
        <v>90</v>
      </c>
      <c r="I502" s="214" t="s">
        <v>0</v>
      </c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36"/>
      <c r="AI502" s="36"/>
    </row>
    <row r="503" spans="1:35" ht="15" hidden="1" customHeight="1">
      <c r="A503" s="214" t="s">
        <v>0</v>
      </c>
      <c r="B503" s="277"/>
      <c r="C503" s="355"/>
      <c r="D503" s="315"/>
      <c r="E503" s="308"/>
      <c r="F503" s="62">
        <v>4</v>
      </c>
      <c r="G503" s="63" t="s">
        <v>164</v>
      </c>
      <c r="H503" s="64">
        <f t="shared" si="27"/>
        <v>85</v>
      </c>
      <c r="I503" s="214" t="s">
        <v>0</v>
      </c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36"/>
      <c r="AI503" s="36"/>
    </row>
    <row r="504" spans="1:35" ht="15.75" hidden="1" customHeight="1" thickBot="1">
      <c r="A504" s="214" t="s">
        <v>0</v>
      </c>
      <c r="B504" s="278"/>
      <c r="C504" s="350"/>
      <c r="D504" s="315"/>
      <c r="E504" s="308"/>
      <c r="F504" s="62">
        <v>3</v>
      </c>
      <c r="G504" s="63" t="s">
        <v>164</v>
      </c>
      <c r="H504" s="64">
        <f t="shared" si="27"/>
        <v>80</v>
      </c>
      <c r="I504" s="214" t="s">
        <v>0</v>
      </c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36"/>
      <c r="AI504" s="36"/>
    </row>
    <row r="505" spans="1:35" ht="15" hidden="1" customHeight="1">
      <c r="A505" s="214" t="s">
        <v>0</v>
      </c>
      <c r="B505" s="274" t="s">
        <v>158</v>
      </c>
      <c r="C505" s="349"/>
      <c r="D505" s="315"/>
      <c r="E505" s="308"/>
      <c r="F505" s="62">
        <v>2</v>
      </c>
      <c r="G505" s="63" t="s">
        <v>164</v>
      </c>
      <c r="H505" s="64">
        <f t="shared" si="27"/>
        <v>75</v>
      </c>
      <c r="I505" s="214" t="s">
        <v>0</v>
      </c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  <c r="AI505" s="36"/>
    </row>
    <row r="506" spans="1:35" ht="15.75" hidden="1" customHeight="1" thickBot="1">
      <c r="A506" s="214" t="s">
        <v>0</v>
      </c>
      <c r="B506" s="275"/>
      <c r="C506" s="350"/>
      <c r="D506" s="316"/>
      <c r="E506" s="309"/>
      <c r="F506" s="67">
        <v>1</v>
      </c>
      <c r="G506" s="68" t="s">
        <v>164</v>
      </c>
      <c r="H506" s="69">
        <f t="shared" si="27"/>
        <v>70</v>
      </c>
      <c r="I506" s="214" t="s">
        <v>0</v>
      </c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  <c r="AI506" s="36"/>
    </row>
    <row r="507" spans="1:35" ht="15.75" hidden="1" customHeight="1" thickBot="1">
      <c r="A507" s="214" t="s">
        <v>0</v>
      </c>
      <c r="B507" s="276">
        <v>6</v>
      </c>
      <c r="C507" s="349"/>
      <c r="D507" s="123" t="s">
        <v>156</v>
      </c>
      <c r="E507" s="124">
        <v>0</v>
      </c>
      <c r="F507" s="58">
        <v>10</v>
      </c>
      <c r="G507" s="59" t="s">
        <v>164</v>
      </c>
      <c r="H507" s="60">
        <v>115</v>
      </c>
      <c r="I507" s="214" t="s">
        <v>0</v>
      </c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/>
      <c r="AF507" s="36"/>
      <c r="AG507" s="36"/>
      <c r="AH507" s="36"/>
      <c r="AI507" s="36"/>
    </row>
    <row r="508" spans="1:35" ht="15" hidden="1" customHeight="1">
      <c r="A508" s="214" t="s">
        <v>0</v>
      </c>
      <c r="B508" s="277"/>
      <c r="C508" s="355"/>
      <c r="D508" s="314"/>
      <c r="E508" s="307">
        <f>IF(D508=0,0,VLOOKUP($D508,$F507:$H516,3,FALSE)*$E507)</f>
        <v>0</v>
      </c>
      <c r="F508" s="62">
        <v>9</v>
      </c>
      <c r="G508" s="63" t="s">
        <v>164</v>
      </c>
      <c r="H508" s="64">
        <f>H507-5</f>
        <v>110</v>
      </c>
      <c r="I508" s="214" t="s">
        <v>0</v>
      </c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  <c r="AG508" s="36"/>
      <c r="AH508" s="36"/>
      <c r="AI508" s="36"/>
    </row>
    <row r="509" spans="1:35" ht="15" hidden="1" customHeight="1">
      <c r="A509" s="214" t="s">
        <v>0</v>
      </c>
      <c r="B509" s="277"/>
      <c r="C509" s="355"/>
      <c r="D509" s="315"/>
      <c r="E509" s="308"/>
      <c r="F509" s="62">
        <v>8</v>
      </c>
      <c r="G509" s="63" t="s">
        <v>164</v>
      </c>
      <c r="H509" s="64">
        <f t="shared" ref="H509:H516" si="28">H508-5</f>
        <v>105</v>
      </c>
      <c r="I509" s="214" t="s">
        <v>0</v>
      </c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  <c r="AI509" s="36"/>
    </row>
    <row r="510" spans="1:35" ht="15" hidden="1" customHeight="1">
      <c r="A510" s="214" t="s">
        <v>0</v>
      </c>
      <c r="B510" s="277"/>
      <c r="C510" s="355"/>
      <c r="D510" s="315"/>
      <c r="E510" s="308"/>
      <c r="F510" s="62">
        <v>7</v>
      </c>
      <c r="G510" s="63" t="s">
        <v>164</v>
      </c>
      <c r="H510" s="64">
        <f t="shared" si="28"/>
        <v>100</v>
      </c>
      <c r="I510" s="214" t="s">
        <v>0</v>
      </c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  <c r="AI510" s="36"/>
    </row>
    <row r="511" spans="1:35" ht="15" hidden="1" customHeight="1">
      <c r="A511" s="214" t="s">
        <v>0</v>
      </c>
      <c r="B511" s="277"/>
      <c r="C511" s="355"/>
      <c r="D511" s="315"/>
      <c r="E511" s="308"/>
      <c r="F511" s="62">
        <v>6</v>
      </c>
      <c r="G511" s="63" t="s">
        <v>164</v>
      </c>
      <c r="H511" s="64">
        <f t="shared" si="28"/>
        <v>95</v>
      </c>
      <c r="I511" s="214" t="s">
        <v>0</v>
      </c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  <c r="AI511" s="36"/>
    </row>
    <row r="512" spans="1:35" ht="15" hidden="1" customHeight="1">
      <c r="A512" s="214" t="s">
        <v>0</v>
      </c>
      <c r="B512" s="277"/>
      <c r="C512" s="355"/>
      <c r="D512" s="315"/>
      <c r="E512" s="308"/>
      <c r="F512" s="62">
        <v>5</v>
      </c>
      <c r="G512" s="63" t="s">
        <v>164</v>
      </c>
      <c r="H512" s="64">
        <f t="shared" si="28"/>
        <v>90</v>
      </c>
      <c r="I512" s="214" t="s">
        <v>0</v>
      </c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  <c r="AG512" s="36"/>
      <c r="AH512" s="36"/>
      <c r="AI512" s="36"/>
    </row>
    <row r="513" spans="1:35" ht="15" hidden="1" customHeight="1">
      <c r="A513" s="214" t="s">
        <v>0</v>
      </c>
      <c r="B513" s="277"/>
      <c r="C513" s="355"/>
      <c r="D513" s="315"/>
      <c r="E513" s="308"/>
      <c r="F513" s="62">
        <v>4</v>
      </c>
      <c r="G513" s="63" t="s">
        <v>164</v>
      </c>
      <c r="H513" s="64">
        <f t="shared" si="28"/>
        <v>85</v>
      </c>
      <c r="I513" s="214" t="s">
        <v>0</v>
      </c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  <c r="AG513" s="36"/>
      <c r="AH513" s="36"/>
      <c r="AI513" s="36"/>
    </row>
    <row r="514" spans="1:35" ht="15.75" hidden="1" customHeight="1" thickBot="1">
      <c r="A514" s="214" t="s">
        <v>0</v>
      </c>
      <c r="B514" s="278"/>
      <c r="C514" s="350"/>
      <c r="D514" s="315"/>
      <c r="E514" s="308"/>
      <c r="F514" s="62">
        <v>3</v>
      </c>
      <c r="G514" s="63" t="s">
        <v>164</v>
      </c>
      <c r="H514" s="64">
        <f t="shared" si="28"/>
        <v>80</v>
      </c>
      <c r="I514" s="214" t="s">
        <v>0</v>
      </c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  <c r="AG514" s="36"/>
      <c r="AH514" s="36"/>
      <c r="AI514" s="36"/>
    </row>
    <row r="515" spans="1:35" ht="15" hidden="1" customHeight="1">
      <c r="A515" s="214" t="s">
        <v>0</v>
      </c>
      <c r="B515" s="274" t="s">
        <v>158</v>
      </c>
      <c r="C515" s="349"/>
      <c r="D515" s="315"/>
      <c r="E515" s="308"/>
      <c r="F515" s="62">
        <v>2</v>
      </c>
      <c r="G515" s="63" t="s">
        <v>164</v>
      </c>
      <c r="H515" s="64">
        <f t="shared" si="28"/>
        <v>75</v>
      </c>
      <c r="I515" s="214" t="s">
        <v>0</v>
      </c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  <c r="AG515" s="36"/>
      <c r="AH515" s="36"/>
      <c r="AI515" s="36"/>
    </row>
    <row r="516" spans="1:35" ht="15.75" hidden="1" customHeight="1" thickBot="1">
      <c r="A516" s="214" t="s">
        <v>0</v>
      </c>
      <c r="B516" s="275"/>
      <c r="C516" s="350"/>
      <c r="D516" s="316"/>
      <c r="E516" s="309"/>
      <c r="F516" s="67">
        <v>1</v>
      </c>
      <c r="G516" s="68" t="s">
        <v>164</v>
      </c>
      <c r="H516" s="69">
        <f t="shared" si="28"/>
        <v>70</v>
      </c>
      <c r="I516" s="214" t="s">
        <v>0</v>
      </c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  <c r="AG516" s="36"/>
      <c r="AH516" s="36"/>
      <c r="AI516" s="36"/>
    </row>
    <row r="517" spans="1:35" ht="15.75" hidden="1" customHeight="1" thickBot="1">
      <c r="A517" s="214" t="s">
        <v>0</v>
      </c>
      <c r="B517" s="276">
        <v>7</v>
      </c>
      <c r="C517" s="349"/>
      <c r="D517" s="123" t="s">
        <v>156</v>
      </c>
      <c r="E517" s="124">
        <v>0</v>
      </c>
      <c r="F517" s="58">
        <v>10</v>
      </c>
      <c r="G517" s="59" t="s">
        <v>164</v>
      </c>
      <c r="H517" s="60">
        <v>115</v>
      </c>
      <c r="I517" s="214" t="s">
        <v>0</v>
      </c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  <c r="AG517" s="36"/>
      <c r="AH517" s="36"/>
      <c r="AI517" s="36"/>
    </row>
    <row r="518" spans="1:35" ht="15" hidden="1" customHeight="1">
      <c r="A518" s="214" t="s">
        <v>0</v>
      </c>
      <c r="B518" s="277"/>
      <c r="C518" s="355"/>
      <c r="D518" s="314"/>
      <c r="E518" s="307">
        <f>IF(D518=0,0,VLOOKUP($D518,$F517:$H526,3,FALSE)*$E517)</f>
        <v>0</v>
      </c>
      <c r="F518" s="62">
        <v>9</v>
      </c>
      <c r="G518" s="63" t="s">
        <v>164</v>
      </c>
      <c r="H518" s="64">
        <f>H517-5</f>
        <v>110</v>
      </c>
      <c r="I518" s="214" t="s">
        <v>0</v>
      </c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  <c r="AG518" s="36"/>
      <c r="AH518" s="36"/>
      <c r="AI518" s="36"/>
    </row>
    <row r="519" spans="1:35" ht="15" hidden="1" customHeight="1">
      <c r="A519" s="214" t="s">
        <v>0</v>
      </c>
      <c r="B519" s="277"/>
      <c r="C519" s="355"/>
      <c r="D519" s="315"/>
      <c r="E519" s="308"/>
      <c r="F519" s="62">
        <v>8</v>
      </c>
      <c r="G519" s="63" t="s">
        <v>164</v>
      </c>
      <c r="H519" s="64">
        <f t="shared" ref="H519:H526" si="29">H518-5</f>
        <v>105</v>
      </c>
      <c r="I519" s="214" t="s">
        <v>0</v>
      </c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  <c r="AG519" s="36"/>
      <c r="AH519" s="36"/>
      <c r="AI519" s="36"/>
    </row>
    <row r="520" spans="1:35" ht="15" hidden="1" customHeight="1">
      <c r="A520" s="214" t="s">
        <v>0</v>
      </c>
      <c r="B520" s="277"/>
      <c r="C520" s="355"/>
      <c r="D520" s="315"/>
      <c r="E520" s="308"/>
      <c r="F520" s="62">
        <v>7</v>
      </c>
      <c r="G520" s="63" t="s">
        <v>164</v>
      </c>
      <c r="H520" s="64">
        <f t="shared" si="29"/>
        <v>100</v>
      </c>
      <c r="I520" s="214" t="s">
        <v>0</v>
      </c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  <c r="AG520" s="36"/>
      <c r="AH520" s="36"/>
      <c r="AI520" s="36"/>
    </row>
    <row r="521" spans="1:35" ht="15" hidden="1" customHeight="1">
      <c r="A521" s="214" t="s">
        <v>0</v>
      </c>
      <c r="B521" s="277"/>
      <c r="C521" s="355"/>
      <c r="D521" s="315"/>
      <c r="E521" s="308"/>
      <c r="F521" s="62">
        <v>6</v>
      </c>
      <c r="G521" s="63" t="s">
        <v>164</v>
      </c>
      <c r="H521" s="64">
        <f t="shared" si="29"/>
        <v>95</v>
      </c>
      <c r="I521" s="214" t="s">
        <v>0</v>
      </c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  <c r="AG521" s="36"/>
      <c r="AH521" s="36"/>
      <c r="AI521" s="36"/>
    </row>
    <row r="522" spans="1:35" ht="15" hidden="1" customHeight="1">
      <c r="A522" s="214" t="s">
        <v>0</v>
      </c>
      <c r="B522" s="277"/>
      <c r="C522" s="355"/>
      <c r="D522" s="315"/>
      <c r="E522" s="308"/>
      <c r="F522" s="62">
        <v>5</v>
      </c>
      <c r="G522" s="63" t="s">
        <v>164</v>
      </c>
      <c r="H522" s="64">
        <f t="shared" si="29"/>
        <v>90</v>
      </c>
      <c r="I522" s="214" t="s">
        <v>0</v>
      </c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  <c r="AG522" s="36"/>
      <c r="AH522" s="36"/>
      <c r="AI522" s="36"/>
    </row>
    <row r="523" spans="1:35" ht="15" hidden="1" customHeight="1">
      <c r="A523" s="214" t="s">
        <v>0</v>
      </c>
      <c r="B523" s="277"/>
      <c r="C523" s="355"/>
      <c r="D523" s="315"/>
      <c r="E523" s="308"/>
      <c r="F523" s="62">
        <v>4</v>
      </c>
      <c r="G523" s="63" t="s">
        <v>164</v>
      </c>
      <c r="H523" s="64">
        <f t="shared" si="29"/>
        <v>85</v>
      </c>
      <c r="I523" s="214" t="s">
        <v>0</v>
      </c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  <c r="AG523" s="36"/>
      <c r="AH523" s="36"/>
      <c r="AI523" s="36"/>
    </row>
    <row r="524" spans="1:35" ht="15.75" hidden="1" customHeight="1" thickBot="1">
      <c r="A524" s="214" t="s">
        <v>0</v>
      </c>
      <c r="B524" s="278"/>
      <c r="C524" s="350"/>
      <c r="D524" s="315"/>
      <c r="E524" s="308"/>
      <c r="F524" s="62">
        <v>3</v>
      </c>
      <c r="G524" s="63" t="s">
        <v>164</v>
      </c>
      <c r="H524" s="64">
        <f t="shared" si="29"/>
        <v>80</v>
      </c>
      <c r="I524" s="214" t="s">
        <v>0</v>
      </c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  <c r="AG524" s="36"/>
      <c r="AH524" s="36"/>
      <c r="AI524" s="36"/>
    </row>
    <row r="525" spans="1:35" ht="15" hidden="1" customHeight="1">
      <c r="A525" s="214" t="s">
        <v>0</v>
      </c>
      <c r="B525" s="274" t="s">
        <v>158</v>
      </c>
      <c r="C525" s="349"/>
      <c r="D525" s="315"/>
      <c r="E525" s="308"/>
      <c r="F525" s="62">
        <v>2</v>
      </c>
      <c r="G525" s="63" t="s">
        <v>164</v>
      </c>
      <c r="H525" s="64">
        <f t="shared" si="29"/>
        <v>75</v>
      </c>
      <c r="I525" s="214" t="s">
        <v>0</v>
      </c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  <c r="AI525" s="36"/>
    </row>
    <row r="526" spans="1:35" ht="15.75" hidden="1" customHeight="1" thickBot="1">
      <c r="A526" s="214" t="s">
        <v>0</v>
      </c>
      <c r="B526" s="275"/>
      <c r="C526" s="350"/>
      <c r="D526" s="316"/>
      <c r="E526" s="309"/>
      <c r="F526" s="67">
        <v>1</v>
      </c>
      <c r="G526" s="68" t="s">
        <v>164</v>
      </c>
      <c r="H526" s="69">
        <f t="shared" si="29"/>
        <v>70</v>
      </c>
      <c r="I526" s="214" t="s">
        <v>0</v>
      </c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  <c r="AG526" s="36"/>
      <c r="AH526" s="36"/>
      <c r="AI526" s="36"/>
    </row>
    <row r="527" spans="1:35" ht="15.75" hidden="1" customHeight="1" thickBot="1">
      <c r="A527" s="214" t="s">
        <v>0</v>
      </c>
      <c r="B527" s="276">
        <v>8</v>
      </c>
      <c r="C527" s="349"/>
      <c r="D527" s="123" t="s">
        <v>156</v>
      </c>
      <c r="E527" s="124">
        <v>0</v>
      </c>
      <c r="F527" s="58">
        <v>10</v>
      </c>
      <c r="G527" s="59" t="s">
        <v>164</v>
      </c>
      <c r="H527" s="60">
        <v>115</v>
      </c>
      <c r="I527" s="214" t="s">
        <v>0</v>
      </c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  <c r="AG527" s="36"/>
      <c r="AH527" s="36"/>
      <c r="AI527" s="36"/>
    </row>
    <row r="528" spans="1:35" ht="15" hidden="1" customHeight="1">
      <c r="A528" s="214" t="s">
        <v>0</v>
      </c>
      <c r="B528" s="277"/>
      <c r="C528" s="355"/>
      <c r="D528" s="314"/>
      <c r="E528" s="307">
        <f>IF(D528=0,0,VLOOKUP($D528,$F527:$H536,3,FALSE)*$E527)</f>
        <v>0</v>
      </c>
      <c r="F528" s="62">
        <v>9</v>
      </c>
      <c r="G528" s="63" t="s">
        <v>164</v>
      </c>
      <c r="H528" s="64">
        <f>H527-5</f>
        <v>110</v>
      </c>
      <c r="I528" s="214" t="s">
        <v>0</v>
      </c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  <c r="AG528" s="36"/>
      <c r="AH528" s="36"/>
      <c r="AI528" s="36"/>
    </row>
    <row r="529" spans="1:35" ht="15" hidden="1" customHeight="1">
      <c r="A529" s="214" t="s">
        <v>0</v>
      </c>
      <c r="B529" s="277"/>
      <c r="C529" s="355"/>
      <c r="D529" s="315"/>
      <c r="E529" s="308"/>
      <c r="F529" s="62">
        <v>8</v>
      </c>
      <c r="G529" s="63" t="s">
        <v>164</v>
      </c>
      <c r="H529" s="64">
        <f t="shared" ref="H529:H536" si="30">H528-5</f>
        <v>105</v>
      </c>
      <c r="I529" s="214" t="s">
        <v>0</v>
      </c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  <c r="AI529" s="36"/>
    </row>
    <row r="530" spans="1:35" ht="15" hidden="1" customHeight="1">
      <c r="A530" s="214" t="s">
        <v>0</v>
      </c>
      <c r="B530" s="277"/>
      <c r="C530" s="355"/>
      <c r="D530" s="315"/>
      <c r="E530" s="308"/>
      <c r="F530" s="62">
        <v>7</v>
      </c>
      <c r="G530" s="63" t="s">
        <v>164</v>
      </c>
      <c r="H530" s="64">
        <f t="shared" si="30"/>
        <v>100</v>
      </c>
      <c r="I530" s="214" t="s">
        <v>0</v>
      </c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  <c r="AI530" s="36"/>
    </row>
    <row r="531" spans="1:35" ht="15" hidden="1" customHeight="1">
      <c r="A531" s="214" t="s">
        <v>0</v>
      </c>
      <c r="B531" s="277"/>
      <c r="C531" s="355"/>
      <c r="D531" s="315"/>
      <c r="E531" s="308"/>
      <c r="F531" s="62">
        <v>6</v>
      </c>
      <c r="G531" s="63" t="s">
        <v>164</v>
      </c>
      <c r="H531" s="64">
        <f t="shared" si="30"/>
        <v>95</v>
      </c>
      <c r="I531" s="214" t="s">
        <v>0</v>
      </c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  <c r="AI531" s="36"/>
    </row>
    <row r="532" spans="1:35" ht="15" hidden="1" customHeight="1">
      <c r="A532" s="214" t="s">
        <v>0</v>
      </c>
      <c r="B532" s="277"/>
      <c r="C532" s="355"/>
      <c r="D532" s="315"/>
      <c r="E532" s="308"/>
      <c r="F532" s="62">
        <v>5</v>
      </c>
      <c r="G532" s="63" t="s">
        <v>164</v>
      </c>
      <c r="H532" s="64">
        <f t="shared" si="30"/>
        <v>90</v>
      </c>
      <c r="I532" s="214" t="s">
        <v>0</v>
      </c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36"/>
      <c r="AI532" s="36"/>
    </row>
    <row r="533" spans="1:35" ht="15" hidden="1" customHeight="1">
      <c r="A533" s="214" t="s">
        <v>0</v>
      </c>
      <c r="B533" s="277"/>
      <c r="C533" s="355"/>
      <c r="D533" s="315"/>
      <c r="E533" s="308"/>
      <c r="F533" s="62">
        <v>4</v>
      </c>
      <c r="G533" s="63" t="s">
        <v>164</v>
      </c>
      <c r="H533" s="64">
        <f t="shared" si="30"/>
        <v>85</v>
      </c>
      <c r="I533" s="214" t="s">
        <v>0</v>
      </c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36"/>
      <c r="AI533" s="36"/>
    </row>
    <row r="534" spans="1:35" ht="15.75" hidden="1" customHeight="1" thickBot="1">
      <c r="A534" s="214" t="s">
        <v>0</v>
      </c>
      <c r="B534" s="278"/>
      <c r="C534" s="350"/>
      <c r="D534" s="315"/>
      <c r="E534" s="308"/>
      <c r="F534" s="62">
        <v>3</v>
      </c>
      <c r="G534" s="63" t="s">
        <v>164</v>
      </c>
      <c r="H534" s="64">
        <f t="shared" si="30"/>
        <v>80</v>
      </c>
      <c r="I534" s="214" t="s">
        <v>0</v>
      </c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36"/>
      <c r="AI534" s="36"/>
    </row>
    <row r="535" spans="1:35" ht="15" hidden="1" customHeight="1">
      <c r="A535" s="214" t="s">
        <v>0</v>
      </c>
      <c r="B535" s="274" t="s">
        <v>158</v>
      </c>
      <c r="C535" s="349"/>
      <c r="D535" s="315"/>
      <c r="E535" s="308"/>
      <c r="F535" s="62">
        <v>2</v>
      </c>
      <c r="G535" s="63" t="s">
        <v>164</v>
      </c>
      <c r="H535" s="64">
        <f t="shared" si="30"/>
        <v>75</v>
      </c>
      <c r="I535" s="214" t="s">
        <v>0</v>
      </c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36"/>
      <c r="AI535" s="36"/>
    </row>
    <row r="536" spans="1:35" ht="15.75" hidden="1" customHeight="1" thickBot="1">
      <c r="A536" s="214" t="s">
        <v>0</v>
      </c>
      <c r="B536" s="275"/>
      <c r="C536" s="350"/>
      <c r="D536" s="316"/>
      <c r="E536" s="309"/>
      <c r="F536" s="67">
        <v>1</v>
      </c>
      <c r="G536" s="68" t="s">
        <v>164</v>
      </c>
      <c r="H536" s="69">
        <f t="shared" si="30"/>
        <v>70</v>
      </c>
      <c r="I536" s="214" t="s">
        <v>0</v>
      </c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36"/>
      <c r="AI536" s="36"/>
    </row>
    <row r="537" spans="1:35" ht="15.75" hidden="1" customHeight="1" thickBot="1">
      <c r="A537" s="214" t="s">
        <v>0</v>
      </c>
      <c r="B537" s="276">
        <v>9</v>
      </c>
      <c r="C537" s="349"/>
      <c r="D537" s="123" t="s">
        <v>156</v>
      </c>
      <c r="E537" s="124">
        <v>0</v>
      </c>
      <c r="F537" s="58">
        <v>10</v>
      </c>
      <c r="G537" s="59" t="s">
        <v>164</v>
      </c>
      <c r="H537" s="60">
        <v>115</v>
      </c>
      <c r="I537" s="214" t="s">
        <v>0</v>
      </c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36"/>
      <c r="AI537" s="36"/>
    </row>
    <row r="538" spans="1:35" ht="15" hidden="1" customHeight="1">
      <c r="A538" s="214" t="s">
        <v>0</v>
      </c>
      <c r="B538" s="277"/>
      <c r="C538" s="355"/>
      <c r="D538" s="314"/>
      <c r="E538" s="307">
        <f>IF(D538=0,0,VLOOKUP($D538,$F537:$H546,3,FALSE)*$E537)</f>
        <v>0</v>
      </c>
      <c r="F538" s="62">
        <v>9</v>
      </c>
      <c r="G538" s="63" t="s">
        <v>164</v>
      </c>
      <c r="H538" s="64">
        <f>H537-5</f>
        <v>110</v>
      </c>
      <c r="I538" s="214" t="s">
        <v>0</v>
      </c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36"/>
      <c r="AI538" s="36"/>
    </row>
    <row r="539" spans="1:35" ht="15" hidden="1" customHeight="1">
      <c r="A539" s="214" t="s">
        <v>0</v>
      </c>
      <c r="B539" s="277"/>
      <c r="C539" s="355"/>
      <c r="D539" s="315"/>
      <c r="E539" s="308"/>
      <c r="F539" s="62">
        <v>8</v>
      </c>
      <c r="G539" s="63" t="s">
        <v>164</v>
      </c>
      <c r="H539" s="64">
        <f t="shared" ref="H539:H546" si="31">H538-5</f>
        <v>105</v>
      </c>
      <c r="I539" s="214" t="s">
        <v>0</v>
      </c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36"/>
      <c r="AI539" s="36"/>
    </row>
    <row r="540" spans="1:35" ht="15" hidden="1" customHeight="1">
      <c r="A540" s="214" t="s">
        <v>0</v>
      </c>
      <c r="B540" s="277"/>
      <c r="C540" s="355"/>
      <c r="D540" s="315"/>
      <c r="E540" s="308"/>
      <c r="F540" s="62">
        <v>7</v>
      </c>
      <c r="G540" s="63" t="s">
        <v>164</v>
      </c>
      <c r="H540" s="64">
        <f t="shared" si="31"/>
        <v>100</v>
      </c>
      <c r="I540" s="214" t="s">
        <v>0</v>
      </c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36"/>
      <c r="AI540" s="36"/>
    </row>
    <row r="541" spans="1:35" ht="15" hidden="1" customHeight="1">
      <c r="A541" s="214" t="s">
        <v>0</v>
      </c>
      <c r="B541" s="277"/>
      <c r="C541" s="355"/>
      <c r="D541" s="315"/>
      <c r="E541" s="308"/>
      <c r="F541" s="62">
        <v>6</v>
      </c>
      <c r="G541" s="63" t="s">
        <v>164</v>
      </c>
      <c r="H541" s="64">
        <f t="shared" si="31"/>
        <v>95</v>
      </c>
      <c r="I541" s="214" t="s">
        <v>0</v>
      </c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36"/>
      <c r="AI541" s="36"/>
    </row>
    <row r="542" spans="1:35" ht="15" hidden="1" customHeight="1">
      <c r="A542" s="214" t="s">
        <v>0</v>
      </c>
      <c r="B542" s="277"/>
      <c r="C542" s="355"/>
      <c r="D542" s="315"/>
      <c r="E542" s="308"/>
      <c r="F542" s="62">
        <v>5</v>
      </c>
      <c r="G542" s="63" t="s">
        <v>164</v>
      </c>
      <c r="H542" s="64">
        <f t="shared" si="31"/>
        <v>90</v>
      </c>
      <c r="I542" s="214" t="s">
        <v>0</v>
      </c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36"/>
      <c r="AI542" s="36"/>
    </row>
    <row r="543" spans="1:35" ht="15" hidden="1" customHeight="1">
      <c r="A543" s="214" t="s">
        <v>0</v>
      </c>
      <c r="B543" s="277"/>
      <c r="C543" s="355"/>
      <c r="D543" s="315"/>
      <c r="E543" s="308"/>
      <c r="F543" s="62">
        <v>4</v>
      </c>
      <c r="G543" s="63" t="s">
        <v>164</v>
      </c>
      <c r="H543" s="64">
        <f t="shared" si="31"/>
        <v>85</v>
      </c>
      <c r="I543" s="214" t="s">
        <v>0</v>
      </c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36"/>
      <c r="AI543" s="36"/>
    </row>
    <row r="544" spans="1:35" ht="15.75" hidden="1" customHeight="1" thickBot="1">
      <c r="A544" s="214" t="s">
        <v>0</v>
      </c>
      <c r="B544" s="278"/>
      <c r="C544" s="350"/>
      <c r="D544" s="315"/>
      <c r="E544" s="308"/>
      <c r="F544" s="62">
        <v>3</v>
      </c>
      <c r="G544" s="63" t="s">
        <v>164</v>
      </c>
      <c r="H544" s="64">
        <f t="shared" si="31"/>
        <v>80</v>
      </c>
      <c r="I544" s="214" t="s">
        <v>0</v>
      </c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36"/>
      <c r="AI544" s="36"/>
    </row>
    <row r="545" spans="1:35" ht="15" hidden="1" customHeight="1">
      <c r="A545" s="214" t="s">
        <v>0</v>
      </c>
      <c r="B545" s="274" t="s">
        <v>158</v>
      </c>
      <c r="C545" s="349"/>
      <c r="D545" s="315"/>
      <c r="E545" s="308"/>
      <c r="F545" s="62">
        <v>2</v>
      </c>
      <c r="G545" s="63" t="s">
        <v>164</v>
      </c>
      <c r="H545" s="64">
        <f t="shared" si="31"/>
        <v>75</v>
      </c>
      <c r="I545" s="214" t="s">
        <v>0</v>
      </c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  <c r="AI545" s="36"/>
    </row>
    <row r="546" spans="1:35" ht="15.75" hidden="1" customHeight="1" thickBot="1">
      <c r="A546" s="214" t="s">
        <v>0</v>
      </c>
      <c r="B546" s="275"/>
      <c r="C546" s="350"/>
      <c r="D546" s="316"/>
      <c r="E546" s="309"/>
      <c r="F546" s="67">
        <v>1</v>
      </c>
      <c r="G546" s="68" t="s">
        <v>164</v>
      </c>
      <c r="H546" s="69">
        <f t="shared" si="31"/>
        <v>70</v>
      </c>
      <c r="I546" s="214" t="s">
        <v>0</v>
      </c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36"/>
      <c r="AI546" s="36"/>
    </row>
    <row r="547" spans="1:35" ht="15.75" hidden="1" customHeight="1" thickBot="1">
      <c r="A547" s="214" t="s">
        <v>0</v>
      </c>
      <c r="B547" s="279">
        <v>10</v>
      </c>
      <c r="C547" s="349"/>
      <c r="D547" s="123" t="s">
        <v>156</v>
      </c>
      <c r="E547" s="124">
        <v>0</v>
      </c>
      <c r="F547" s="70">
        <v>10</v>
      </c>
      <c r="G547" s="71" t="s">
        <v>164</v>
      </c>
      <c r="H547" s="72">
        <v>115</v>
      </c>
      <c r="I547" s="214" t="s">
        <v>0</v>
      </c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  <c r="AI547" s="36"/>
    </row>
    <row r="548" spans="1:35" ht="15" hidden="1" customHeight="1">
      <c r="A548" s="214" t="s">
        <v>0</v>
      </c>
      <c r="B548" s="277"/>
      <c r="C548" s="355"/>
      <c r="D548" s="314"/>
      <c r="E548" s="307">
        <f>IF(D548=0,0,VLOOKUP($D548,$F547:$H556,3,FALSE)*$E547)</f>
        <v>0</v>
      </c>
      <c r="F548" s="62">
        <v>9</v>
      </c>
      <c r="G548" s="63" t="s">
        <v>164</v>
      </c>
      <c r="H548" s="64">
        <f>H547-5</f>
        <v>110</v>
      </c>
      <c r="I548" s="214" t="s">
        <v>0</v>
      </c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  <c r="AI548" s="36"/>
    </row>
    <row r="549" spans="1:35" ht="15" hidden="1" customHeight="1">
      <c r="A549" s="214" t="s">
        <v>0</v>
      </c>
      <c r="B549" s="277"/>
      <c r="C549" s="355"/>
      <c r="D549" s="315"/>
      <c r="E549" s="308"/>
      <c r="F549" s="62">
        <v>8</v>
      </c>
      <c r="G549" s="63" t="s">
        <v>164</v>
      </c>
      <c r="H549" s="64">
        <f t="shared" ref="H549:H556" si="32">H548-5</f>
        <v>105</v>
      </c>
      <c r="I549" s="214" t="s">
        <v>0</v>
      </c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</row>
    <row r="550" spans="1:35" ht="15" hidden="1" customHeight="1">
      <c r="A550" s="214" t="s">
        <v>0</v>
      </c>
      <c r="B550" s="277"/>
      <c r="C550" s="355"/>
      <c r="D550" s="315"/>
      <c r="E550" s="308"/>
      <c r="F550" s="62">
        <v>7</v>
      </c>
      <c r="G550" s="63" t="s">
        <v>164</v>
      </c>
      <c r="H550" s="64">
        <f t="shared" si="32"/>
        <v>100</v>
      </c>
      <c r="I550" s="214" t="s">
        <v>0</v>
      </c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</row>
    <row r="551" spans="1:35" ht="15" hidden="1" customHeight="1">
      <c r="A551" s="214" t="s">
        <v>0</v>
      </c>
      <c r="B551" s="277"/>
      <c r="C551" s="355"/>
      <c r="D551" s="315"/>
      <c r="E551" s="308"/>
      <c r="F551" s="62">
        <v>6</v>
      </c>
      <c r="G551" s="63" t="s">
        <v>164</v>
      </c>
      <c r="H551" s="64">
        <f t="shared" si="32"/>
        <v>95</v>
      </c>
      <c r="I551" s="214" t="s">
        <v>0</v>
      </c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</row>
    <row r="552" spans="1:35" ht="15" hidden="1" customHeight="1">
      <c r="A552" s="214" t="s">
        <v>0</v>
      </c>
      <c r="B552" s="277"/>
      <c r="C552" s="355"/>
      <c r="D552" s="315"/>
      <c r="E552" s="308"/>
      <c r="F552" s="62">
        <v>5</v>
      </c>
      <c r="G552" s="63" t="s">
        <v>164</v>
      </c>
      <c r="H552" s="64">
        <f t="shared" si="32"/>
        <v>90</v>
      </c>
      <c r="I552" s="214" t="s">
        <v>0</v>
      </c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</row>
    <row r="553" spans="1:35" ht="15" hidden="1" customHeight="1">
      <c r="A553" s="214" t="s">
        <v>0</v>
      </c>
      <c r="B553" s="277"/>
      <c r="C553" s="355"/>
      <c r="D553" s="315"/>
      <c r="E553" s="308"/>
      <c r="F553" s="62">
        <v>4</v>
      </c>
      <c r="G553" s="63" t="s">
        <v>164</v>
      </c>
      <c r="H553" s="64">
        <f t="shared" si="32"/>
        <v>85</v>
      </c>
      <c r="I553" s="214" t="s">
        <v>0</v>
      </c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  <c r="AI553" s="36"/>
    </row>
    <row r="554" spans="1:35" ht="15.75" hidden="1" customHeight="1" thickBot="1">
      <c r="A554" s="214" t="s">
        <v>0</v>
      </c>
      <c r="B554" s="278"/>
      <c r="C554" s="350"/>
      <c r="D554" s="315"/>
      <c r="E554" s="308"/>
      <c r="F554" s="62">
        <v>3</v>
      </c>
      <c r="G554" s="63" t="s">
        <v>164</v>
      </c>
      <c r="H554" s="64">
        <f t="shared" si="32"/>
        <v>80</v>
      </c>
      <c r="I554" s="214" t="s">
        <v>0</v>
      </c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  <c r="AI554" s="36"/>
    </row>
    <row r="555" spans="1:35" ht="15" hidden="1" customHeight="1">
      <c r="A555" s="214" t="s">
        <v>0</v>
      </c>
      <c r="B555" s="274" t="s">
        <v>158</v>
      </c>
      <c r="C555" s="349"/>
      <c r="D555" s="315"/>
      <c r="E555" s="308"/>
      <c r="F555" s="62">
        <v>2</v>
      </c>
      <c r="G555" s="63" t="s">
        <v>164</v>
      </c>
      <c r="H555" s="64">
        <f t="shared" si="32"/>
        <v>75</v>
      </c>
      <c r="I555" s="214" t="s">
        <v>0</v>
      </c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  <c r="AI555" s="36"/>
    </row>
    <row r="556" spans="1:35" ht="15.75" hidden="1" customHeight="1" thickBot="1">
      <c r="A556" s="214" t="s">
        <v>0</v>
      </c>
      <c r="B556" s="275"/>
      <c r="C556" s="350"/>
      <c r="D556" s="316"/>
      <c r="E556" s="309"/>
      <c r="F556" s="67">
        <v>1</v>
      </c>
      <c r="G556" s="68" t="s">
        <v>164</v>
      </c>
      <c r="H556" s="69">
        <f t="shared" si="32"/>
        <v>70</v>
      </c>
      <c r="I556" s="214" t="s">
        <v>0</v>
      </c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  <c r="AI556" s="36"/>
    </row>
    <row r="557" spans="1:35" ht="15" hidden="1" customHeight="1">
      <c r="A557" s="214" t="s">
        <v>0</v>
      </c>
      <c r="B557" s="214" t="s">
        <v>0</v>
      </c>
      <c r="C557" s="214" t="s">
        <v>0</v>
      </c>
      <c r="D557" s="214" t="s">
        <v>0</v>
      </c>
      <c r="E557" s="214" t="s">
        <v>0</v>
      </c>
      <c r="F557" s="214" t="s">
        <v>0</v>
      </c>
      <c r="G557" s="214" t="s">
        <v>0</v>
      </c>
      <c r="H557" s="214" t="s">
        <v>0</v>
      </c>
      <c r="I557" s="214" t="s">
        <v>0</v>
      </c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  <c r="AI557" s="36"/>
    </row>
    <row r="558" spans="1:35" ht="29.25" hidden="1" customHeight="1" thickBot="1">
      <c r="A558" s="36"/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  <c r="AI558" s="36"/>
    </row>
    <row r="559" spans="1:35" ht="15" hidden="1" customHeight="1">
      <c r="A559" s="36"/>
      <c r="B559" s="48" t="s">
        <v>174</v>
      </c>
      <c r="C559" s="49"/>
      <c r="D559" s="49"/>
      <c r="E559" s="49"/>
      <c r="F559" s="49"/>
      <c r="G559" s="328" t="s">
        <v>8</v>
      </c>
      <c r="H559" s="328"/>
      <c r="I559" s="329"/>
      <c r="J559" s="36"/>
      <c r="K559" s="36"/>
      <c r="L559" s="36"/>
      <c r="M559" s="36"/>
      <c r="N559" s="36"/>
      <c r="O559" s="36">
        <v>6</v>
      </c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  <c r="AI559" s="36"/>
    </row>
    <row r="560" spans="1:35" ht="15.75" hidden="1" customHeight="1" thickBot="1">
      <c r="A560" s="36"/>
      <c r="B560" s="50"/>
      <c r="C560" s="51"/>
      <c r="D560" s="51"/>
      <c r="E560" s="51"/>
      <c r="F560" s="51"/>
      <c r="G560" s="336"/>
      <c r="H560" s="337"/>
      <c r="I560" s="338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  <c r="AI560" s="36"/>
    </row>
    <row r="561" spans="1:35" ht="15.75" hidden="1" customHeight="1" thickBot="1">
      <c r="A561" s="212" t="s">
        <v>0</v>
      </c>
      <c r="B561" s="36"/>
      <c r="C561" s="36"/>
      <c r="D561" s="36"/>
      <c r="E561" s="36"/>
      <c r="F561" s="36"/>
      <c r="G561" s="36"/>
      <c r="H561" s="36"/>
      <c r="I561" s="212" t="s">
        <v>0</v>
      </c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  <c r="AI561" s="36"/>
    </row>
    <row r="562" spans="1:35" ht="15.75" hidden="1" customHeight="1" thickBot="1">
      <c r="A562" s="212" t="s">
        <v>0</v>
      </c>
      <c r="B562" s="52" t="s">
        <v>152</v>
      </c>
      <c r="C562" s="52" t="s">
        <v>153</v>
      </c>
      <c r="D562" s="280" t="s">
        <v>9</v>
      </c>
      <c r="E562" s="281"/>
      <c r="F562" s="282" t="s">
        <v>154</v>
      </c>
      <c r="G562" s="283"/>
      <c r="H562" s="284"/>
      <c r="I562" s="212" t="s">
        <v>0</v>
      </c>
      <c r="J562" s="36"/>
      <c r="K562" s="290" t="s">
        <v>155</v>
      </c>
      <c r="L562" s="291"/>
      <c r="M562" s="292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  <c r="AI562" s="36"/>
    </row>
    <row r="563" spans="1:35" ht="15.75" hidden="1" customHeight="1" thickBot="1">
      <c r="A563" s="212" t="s">
        <v>0</v>
      </c>
      <c r="B563" s="276">
        <v>1</v>
      </c>
      <c r="C563" s="349"/>
      <c r="D563" s="123" t="s">
        <v>156</v>
      </c>
      <c r="E563" s="124">
        <v>0.6</v>
      </c>
      <c r="F563" s="58">
        <v>10</v>
      </c>
      <c r="G563" s="59" t="s">
        <v>164</v>
      </c>
      <c r="H563" s="60">
        <v>115</v>
      </c>
      <c r="I563" s="212" t="s">
        <v>0</v>
      </c>
      <c r="J563" s="36"/>
      <c r="K563" s="130" t="s">
        <v>153</v>
      </c>
      <c r="L563" s="131" t="s">
        <v>9</v>
      </c>
      <c r="M563" s="132" t="s">
        <v>158</v>
      </c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  <c r="AI563" s="36"/>
    </row>
    <row r="564" spans="1:35" ht="15" hidden="1" customHeight="1">
      <c r="A564" s="212" t="s">
        <v>0</v>
      </c>
      <c r="B564" s="277"/>
      <c r="C564" s="355"/>
      <c r="D564" s="314"/>
      <c r="E564" s="307">
        <f>IF(D564=0,0,VLOOKUP($D564,$F563:$H572,3,FALSE)*$E563)</f>
        <v>0</v>
      </c>
      <c r="F564" s="62">
        <v>9</v>
      </c>
      <c r="G564" s="63" t="s">
        <v>164</v>
      </c>
      <c r="H564" s="64">
        <f>H563-5</f>
        <v>110</v>
      </c>
      <c r="I564" s="212" t="s">
        <v>0</v>
      </c>
      <c r="J564" s="36"/>
      <c r="K564" s="133">
        <v>1</v>
      </c>
      <c r="L564" s="134">
        <f>E564</f>
        <v>0</v>
      </c>
      <c r="M564" s="381">
        <f>SUM(L564:L568)</f>
        <v>0</v>
      </c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  <c r="AI564" s="36"/>
    </row>
    <row r="565" spans="1:35" ht="15" hidden="1" customHeight="1">
      <c r="A565" s="212" t="s">
        <v>0</v>
      </c>
      <c r="B565" s="277"/>
      <c r="C565" s="355"/>
      <c r="D565" s="315"/>
      <c r="E565" s="308"/>
      <c r="F565" s="62">
        <v>8</v>
      </c>
      <c r="G565" s="63" t="s">
        <v>164</v>
      </c>
      <c r="H565" s="64">
        <f t="shared" ref="H565:H572" si="33">H564-5</f>
        <v>105</v>
      </c>
      <c r="I565" s="212" t="s">
        <v>0</v>
      </c>
      <c r="J565" s="36"/>
      <c r="K565" s="135">
        <v>2</v>
      </c>
      <c r="L565" s="136">
        <f>E574</f>
        <v>0</v>
      </c>
      <c r="M565" s="381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</row>
    <row r="566" spans="1:35" ht="15" hidden="1" customHeight="1">
      <c r="A566" s="212" t="s">
        <v>0</v>
      </c>
      <c r="B566" s="277"/>
      <c r="C566" s="355"/>
      <c r="D566" s="315"/>
      <c r="E566" s="308"/>
      <c r="F566" s="62">
        <v>7</v>
      </c>
      <c r="G566" s="63" t="s">
        <v>164</v>
      </c>
      <c r="H566" s="64">
        <f t="shared" si="33"/>
        <v>100</v>
      </c>
      <c r="I566" s="212" t="s">
        <v>0</v>
      </c>
      <c r="J566" s="36"/>
      <c r="K566" s="135">
        <v>3</v>
      </c>
      <c r="L566" s="136">
        <f>E584</f>
        <v>0</v>
      </c>
      <c r="M566" s="381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</row>
    <row r="567" spans="1:35" ht="15" hidden="1" customHeight="1">
      <c r="A567" s="212" t="s">
        <v>0</v>
      </c>
      <c r="B567" s="277"/>
      <c r="C567" s="355"/>
      <c r="D567" s="315"/>
      <c r="E567" s="308"/>
      <c r="F567" s="62">
        <v>6</v>
      </c>
      <c r="G567" s="63" t="s">
        <v>164</v>
      </c>
      <c r="H567" s="64">
        <f t="shared" si="33"/>
        <v>95</v>
      </c>
      <c r="I567" s="212" t="s">
        <v>0</v>
      </c>
      <c r="J567" s="36"/>
      <c r="K567" s="135">
        <v>4</v>
      </c>
      <c r="L567" s="136">
        <f>E594</f>
        <v>0</v>
      </c>
      <c r="M567" s="381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</row>
    <row r="568" spans="1:35" ht="15.75" hidden="1" customHeight="1" thickBot="1">
      <c r="A568" s="212" t="s">
        <v>0</v>
      </c>
      <c r="B568" s="277"/>
      <c r="C568" s="355"/>
      <c r="D568" s="315"/>
      <c r="E568" s="308"/>
      <c r="F568" s="62">
        <v>5</v>
      </c>
      <c r="G568" s="63" t="s">
        <v>164</v>
      </c>
      <c r="H568" s="64">
        <f t="shared" si="33"/>
        <v>90</v>
      </c>
      <c r="I568" s="212" t="s">
        <v>0</v>
      </c>
      <c r="J568" s="36"/>
      <c r="K568" s="137">
        <v>5</v>
      </c>
      <c r="L568" s="138">
        <f>E604</f>
        <v>0</v>
      </c>
      <c r="M568" s="382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  <c r="AG568" s="36"/>
      <c r="AH568" s="36"/>
      <c r="AI568" s="36"/>
    </row>
    <row r="569" spans="1:35" ht="15.75" hidden="1" customHeight="1" thickBot="1">
      <c r="A569" s="212" t="s">
        <v>0</v>
      </c>
      <c r="B569" s="277"/>
      <c r="C569" s="355"/>
      <c r="D569" s="315"/>
      <c r="E569" s="308"/>
      <c r="F569" s="62">
        <v>4</v>
      </c>
      <c r="G569" s="63" t="s">
        <v>164</v>
      </c>
      <c r="H569" s="64">
        <f t="shared" si="33"/>
        <v>85</v>
      </c>
      <c r="I569" s="212" t="s">
        <v>0</v>
      </c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  <c r="AG569" s="36"/>
      <c r="AH569" s="36"/>
      <c r="AI569" s="36"/>
    </row>
    <row r="570" spans="1:35" ht="15.75" hidden="1" customHeight="1" thickBot="1">
      <c r="A570" s="212" t="s">
        <v>0</v>
      </c>
      <c r="B570" s="278"/>
      <c r="C570" s="350"/>
      <c r="D570" s="315"/>
      <c r="E570" s="308"/>
      <c r="F570" s="62">
        <v>3</v>
      </c>
      <c r="G570" s="63" t="s">
        <v>164</v>
      </c>
      <c r="H570" s="64">
        <f t="shared" si="33"/>
        <v>80</v>
      </c>
      <c r="I570" s="212" t="s">
        <v>0</v>
      </c>
      <c r="J570" s="36"/>
      <c r="K570" s="293" t="s">
        <v>93</v>
      </c>
      <c r="L570" s="294"/>
      <c r="M570" s="295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  <c r="AG570" s="36"/>
      <c r="AH570" s="36"/>
      <c r="AI570" s="36"/>
    </row>
    <row r="571" spans="1:35" ht="15.75" hidden="1" customHeight="1" thickBot="1">
      <c r="A571" s="212" t="s">
        <v>0</v>
      </c>
      <c r="B571" s="274" t="s">
        <v>158</v>
      </c>
      <c r="C571" s="349"/>
      <c r="D571" s="315"/>
      <c r="E571" s="308"/>
      <c r="F571" s="62">
        <v>2</v>
      </c>
      <c r="G571" s="63" t="s">
        <v>164</v>
      </c>
      <c r="H571" s="64">
        <f t="shared" si="33"/>
        <v>75</v>
      </c>
      <c r="I571" s="212" t="s">
        <v>0</v>
      </c>
      <c r="J571" s="36"/>
      <c r="K571" s="139" t="s">
        <v>6</v>
      </c>
      <c r="L571" s="140" t="s">
        <v>9</v>
      </c>
      <c r="M571" s="141" t="s">
        <v>158</v>
      </c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</row>
    <row r="572" spans="1:35" ht="15.75" hidden="1" customHeight="1" thickBot="1">
      <c r="A572" s="212" t="s">
        <v>0</v>
      </c>
      <c r="B572" s="275"/>
      <c r="C572" s="350"/>
      <c r="D572" s="316"/>
      <c r="E572" s="309"/>
      <c r="F572" s="67">
        <v>1</v>
      </c>
      <c r="G572" s="68" t="s">
        <v>164</v>
      </c>
      <c r="H572" s="69">
        <f t="shared" si="33"/>
        <v>70</v>
      </c>
      <c r="I572" s="212" t="s">
        <v>0</v>
      </c>
      <c r="J572" s="36"/>
      <c r="K572" s="133">
        <v>1</v>
      </c>
      <c r="L572" s="134">
        <f>E618</f>
        <v>0</v>
      </c>
      <c r="M572" s="383">
        <f>SUM(L572:L581)</f>
        <v>0</v>
      </c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</row>
    <row r="573" spans="1:35" ht="15.75" hidden="1" customHeight="1" thickBot="1">
      <c r="A573" s="212" t="s">
        <v>0</v>
      </c>
      <c r="B573" s="276">
        <v>2</v>
      </c>
      <c r="C573" s="349"/>
      <c r="D573" s="123" t="s">
        <v>156</v>
      </c>
      <c r="E573" s="124">
        <v>0.6</v>
      </c>
      <c r="F573" s="58">
        <v>10</v>
      </c>
      <c r="G573" s="59" t="s">
        <v>164</v>
      </c>
      <c r="H573" s="60">
        <v>115</v>
      </c>
      <c r="I573" s="212" t="s">
        <v>0</v>
      </c>
      <c r="J573" s="36"/>
      <c r="K573" s="135">
        <v>2</v>
      </c>
      <c r="L573" s="136">
        <f>E628</f>
        <v>0</v>
      </c>
      <c r="M573" s="381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</row>
    <row r="574" spans="1:35" ht="15" hidden="1" customHeight="1">
      <c r="A574" s="212" t="s">
        <v>0</v>
      </c>
      <c r="B574" s="277"/>
      <c r="C574" s="355"/>
      <c r="D574" s="314"/>
      <c r="E574" s="307">
        <f>IF(D574=0,0,VLOOKUP($D574,$F573:$H582,3,FALSE)*$E573)</f>
        <v>0</v>
      </c>
      <c r="F574" s="62">
        <v>9</v>
      </c>
      <c r="G574" s="63" t="s">
        <v>164</v>
      </c>
      <c r="H574" s="64">
        <f>H573-5</f>
        <v>110</v>
      </c>
      <c r="I574" s="212" t="s">
        <v>0</v>
      </c>
      <c r="J574" s="36"/>
      <c r="K574" s="135">
        <v>3</v>
      </c>
      <c r="L574" s="136">
        <f>E638</f>
        <v>0</v>
      </c>
      <c r="M574" s="381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D574" s="36"/>
      <c r="AE574" s="36"/>
      <c r="AF574" s="36"/>
      <c r="AG574" s="36"/>
      <c r="AH574" s="36"/>
      <c r="AI574" s="36"/>
    </row>
    <row r="575" spans="1:35" ht="15" hidden="1" customHeight="1">
      <c r="A575" s="212" t="s">
        <v>0</v>
      </c>
      <c r="B575" s="277"/>
      <c r="C575" s="355"/>
      <c r="D575" s="315"/>
      <c r="E575" s="308"/>
      <c r="F575" s="62">
        <v>8</v>
      </c>
      <c r="G575" s="63" t="s">
        <v>164</v>
      </c>
      <c r="H575" s="64">
        <f t="shared" ref="H575:H582" si="34">H574-5</f>
        <v>105</v>
      </c>
      <c r="I575" s="212" t="s">
        <v>0</v>
      </c>
      <c r="J575" s="36"/>
      <c r="K575" s="135">
        <v>4</v>
      </c>
      <c r="L575" s="136">
        <f>E648</f>
        <v>0</v>
      </c>
      <c r="M575" s="381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D575" s="36"/>
      <c r="AE575" s="36"/>
      <c r="AF575" s="36"/>
      <c r="AG575" s="36"/>
      <c r="AH575" s="36"/>
      <c r="AI575" s="36"/>
    </row>
    <row r="576" spans="1:35" ht="15" hidden="1" customHeight="1">
      <c r="A576" s="212" t="s">
        <v>0</v>
      </c>
      <c r="B576" s="277"/>
      <c r="C576" s="355"/>
      <c r="D576" s="315"/>
      <c r="E576" s="308"/>
      <c r="F576" s="62">
        <v>7</v>
      </c>
      <c r="G576" s="63" t="s">
        <v>164</v>
      </c>
      <c r="H576" s="64">
        <f t="shared" si="34"/>
        <v>100</v>
      </c>
      <c r="I576" s="212" t="s">
        <v>0</v>
      </c>
      <c r="J576" s="36"/>
      <c r="K576" s="135">
        <v>5</v>
      </c>
      <c r="L576" s="136">
        <f>E658</f>
        <v>0</v>
      </c>
      <c r="M576" s="381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  <c r="AG576" s="36"/>
      <c r="AH576" s="36"/>
      <c r="AI576" s="36"/>
    </row>
    <row r="577" spans="1:35" ht="15" hidden="1" customHeight="1">
      <c r="A577" s="212" t="s">
        <v>0</v>
      </c>
      <c r="B577" s="277"/>
      <c r="C577" s="355"/>
      <c r="D577" s="315"/>
      <c r="E577" s="308"/>
      <c r="F577" s="62">
        <v>6</v>
      </c>
      <c r="G577" s="63" t="s">
        <v>164</v>
      </c>
      <c r="H577" s="64">
        <f t="shared" si="34"/>
        <v>95</v>
      </c>
      <c r="I577" s="212" t="s">
        <v>0</v>
      </c>
      <c r="J577" s="36"/>
      <c r="K577" s="133">
        <v>6</v>
      </c>
      <c r="L577" s="136">
        <f>E668</f>
        <v>0</v>
      </c>
      <c r="M577" s="381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  <c r="AG577" s="36"/>
      <c r="AH577" s="36"/>
      <c r="AI577" s="36"/>
    </row>
    <row r="578" spans="1:35" ht="15" hidden="1" customHeight="1">
      <c r="A578" s="212" t="s">
        <v>0</v>
      </c>
      <c r="B578" s="277"/>
      <c r="C578" s="355"/>
      <c r="D578" s="315"/>
      <c r="E578" s="308"/>
      <c r="F578" s="62">
        <v>5</v>
      </c>
      <c r="G578" s="63" t="s">
        <v>164</v>
      </c>
      <c r="H578" s="64">
        <f t="shared" si="34"/>
        <v>90</v>
      </c>
      <c r="I578" s="212" t="s">
        <v>0</v>
      </c>
      <c r="J578" s="36"/>
      <c r="K578" s="135">
        <v>7</v>
      </c>
      <c r="L578" s="136">
        <f>E678</f>
        <v>0</v>
      </c>
      <c r="M578" s="381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  <c r="AG578" s="36"/>
      <c r="AH578" s="36"/>
      <c r="AI578" s="36"/>
    </row>
    <row r="579" spans="1:35" ht="15" hidden="1" customHeight="1">
      <c r="A579" s="212" t="s">
        <v>0</v>
      </c>
      <c r="B579" s="277"/>
      <c r="C579" s="355"/>
      <c r="D579" s="315"/>
      <c r="E579" s="308"/>
      <c r="F579" s="62">
        <v>4</v>
      </c>
      <c r="G579" s="63" t="s">
        <v>164</v>
      </c>
      <c r="H579" s="64">
        <f t="shared" si="34"/>
        <v>85</v>
      </c>
      <c r="I579" s="212" t="s">
        <v>0</v>
      </c>
      <c r="J579" s="36"/>
      <c r="K579" s="135">
        <v>8</v>
      </c>
      <c r="L579" s="136">
        <f>E688</f>
        <v>0</v>
      </c>
      <c r="M579" s="381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  <c r="AG579" s="36"/>
      <c r="AH579" s="36"/>
      <c r="AI579" s="36"/>
    </row>
    <row r="580" spans="1:35" ht="15.75" hidden="1" customHeight="1" thickBot="1">
      <c r="A580" s="212" t="s">
        <v>0</v>
      </c>
      <c r="B580" s="278"/>
      <c r="C580" s="350"/>
      <c r="D580" s="315"/>
      <c r="E580" s="308"/>
      <c r="F580" s="62">
        <v>3</v>
      </c>
      <c r="G580" s="63" t="s">
        <v>164</v>
      </c>
      <c r="H580" s="64">
        <f t="shared" si="34"/>
        <v>80</v>
      </c>
      <c r="I580" s="212" t="s">
        <v>0</v>
      </c>
      <c r="J580" s="36"/>
      <c r="K580" s="135">
        <v>9</v>
      </c>
      <c r="L580" s="136">
        <f>E698</f>
        <v>0</v>
      </c>
      <c r="M580" s="381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  <c r="AG580" s="36"/>
      <c r="AH580" s="36"/>
      <c r="AI580" s="36"/>
    </row>
    <row r="581" spans="1:35" ht="15.75" hidden="1" customHeight="1" thickBot="1">
      <c r="A581" s="212" t="s">
        <v>0</v>
      </c>
      <c r="B581" s="274" t="s">
        <v>158</v>
      </c>
      <c r="C581" s="349"/>
      <c r="D581" s="315"/>
      <c r="E581" s="308"/>
      <c r="F581" s="62">
        <v>2</v>
      </c>
      <c r="G581" s="63" t="s">
        <v>164</v>
      </c>
      <c r="H581" s="64">
        <f t="shared" si="34"/>
        <v>75</v>
      </c>
      <c r="I581" s="212" t="s">
        <v>0</v>
      </c>
      <c r="J581" s="36"/>
      <c r="K581" s="137">
        <v>10</v>
      </c>
      <c r="L581" s="138">
        <f>E708</f>
        <v>0</v>
      </c>
      <c r="M581" s="382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  <c r="AG581" s="36"/>
      <c r="AH581" s="36"/>
      <c r="AI581" s="36"/>
    </row>
    <row r="582" spans="1:35" ht="15.75" hidden="1" customHeight="1" thickBot="1">
      <c r="A582" s="212" t="s">
        <v>0</v>
      </c>
      <c r="B582" s="275"/>
      <c r="C582" s="350"/>
      <c r="D582" s="316"/>
      <c r="E582" s="309"/>
      <c r="F582" s="67">
        <v>1</v>
      </c>
      <c r="G582" s="68" t="s">
        <v>164</v>
      </c>
      <c r="H582" s="69">
        <f t="shared" si="34"/>
        <v>70</v>
      </c>
      <c r="I582" s="212" t="s">
        <v>0</v>
      </c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  <c r="AG582" s="36"/>
      <c r="AH582" s="36"/>
      <c r="AI582" s="36"/>
    </row>
    <row r="583" spans="1:35" ht="15.75" hidden="1" customHeight="1" thickBot="1">
      <c r="A583" s="212" t="s">
        <v>0</v>
      </c>
      <c r="B583" s="276">
        <v>3</v>
      </c>
      <c r="C583" s="349"/>
      <c r="D583" s="123" t="s">
        <v>156</v>
      </c>
      <c r="E583" s="124">
        <v>0.6</v>
      </c>
      <c r="F583" s="58">
        <v>10</v>
      </c>
      <c r="G583" s="59" t="s">
        <v>164</v>
      </c>
      <c r="H583" s="60">
        <v>115</v>
      </c>
      <c r="I583" s="212" t="s">
        <v>0</v>
      </c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  <c r="AG583" s="36"/>
      <c r="AH583" s="36"/>
      <c r="AI583" s="36"/>
    </row>
    <row r="584" spans="1:35" ht="15" hidden="1" customHeight="1">
      <c r="A584" s="212" t="s">
        <v>0</v>
      </c>
      <c r="B584" s="277"/>
      <c r="C584" s="355"/>
      <c r="D584" s="314"/>
      <c r="E584" s="307">
        <f>IF(D584=0,0,VLOOKUP($D584,$F583:$H592,3,FALSE)*$E583)</f>
        <v>0</v>
      </c>
      <c r="F584" s="62">
        <v>9</v>
      </c>
      <c r="G584" s="63" t="s">
        <v>164</v>
      </c>
      <c r="H584" s="64">
        <f>H583-5</f>
        <v>110</v>
      </c>
      <c r="I584" s="212" t="s">
        <v>0</v>
      </c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  <c r="AG584" s="36"/>
      <c r="AH584" s="36"/>
      <c r="AI584" s="36"/>
    </row>
    <row r="585" spans="1:35" ht="15" hidden="1" customHeight="1">
      <c r="A585" s="212" t="s">
        <v>0</v>
      </c>
      <c r="B585" s="277"/>
      <c r="C585" s="355"/>
      <c r="D585" s="315"/>
      <c r="E585" s="308"/>
      <c r="F585" s="62">
        <v>8</v>
      </c>
      <c r="G585" s="63" t="s">
        <v>164</v>
      </c>
      <c r="H585" s="64">
        <f t="shared" ref="H585:H592" si="35">H584-5</f>
        <v>105</v>
      </c>
      <c r="I585" s="212" t="s">
        <v>0</v>
      </c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</row>
    <row r="586" spans="1:35" ht="15" hidden="1" customHeight="1">
      <c r="A586" s="212" t="s">
        <v>0</v>
      </c>
      <c r="B586" s="277"/>
      <c r="C586" s="355"/>
      <c r="D586" s="315"/>
      <c r="E586" s="308"/>
      <c r="F586" s="62">
        <v>7</v>
      </c>
      <c r="G586" s="63" t="s">
        <v>164</v>
      </c>
      <c r="H586" s="64">
        <f t="shared" si="35"/>
        <v>100</v>
      </c>
      <c r="I586" s="212" t="s">
        <v>0</v>
      </c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</row>
    <row r="587" spans="1:35" ht="15" hidden="1" customHeight="1">
      <c r="A587" s="212" t="s">
        <v>0</v>
      </c>
      <c r="B587" s="277"/>
      <c r="C587" s="355"/>
      <c r="D587" s="315"/>
      <c r="E587" s="308"/>
      <c r="F587" s="62">
        <v>6</v>
      </c>
      <c r="G587" s="63" t="s">
        <v>164</v>
      </c>
      <c r="H587" s="64">
        <f t="shared" si="35"/>
        <v>95</v>
      </c>
      <c r="I587" s="212" t="s">
        <v>0</v>
      </c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</row>
    <row r="588" spans="1:35" ht="15" hidden="1" customHeight="1">
      <c r="A588" s="212" t="s">
        <v>0</v>
      </c>
      <c r="B588" s="277"/>
      <c r="C588" s="355"/>
      <c r="D588" s="315"/>
      <c r="E588" s="308"/>
      <c r="F588" s="62">
        <v>5</v>
      </c>
      <c r="G588" s="63" t="s">
        <v>164</v>
      </c>
      <c r="H588" s="64">
        <f t="shared" si="35"/>
        <v>90</v>
      </c>
      <c r="I588" s="212" t="s">
        <v>0</v>
      </c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  <c r="AG588" s="36"/>
      <c r="AH588" s="36"/>
      <c r="AI588" s="36"/>
    </row>
    <row r="589" spans="1:35" ht="15" hidden="1" customHeight="1">
      <c r="A589" s="212" t="s">
        <v>0</v>
      </c>
      <c r="B589" s="277"/>
      <c r="C589" s="355"/>
      <c r="D589" s="315"/>
      <c r="E589" s="308"/>
      <c r="F589" s="62">
        <v>4</v>
      </c>
      <c r="G589" s="63" t="s">
        <v>164</v>
      </c>
      <c r="H589" s="64">
        <f t="shared" si="35"/>
        <v>85</v>
      </c>
      <c r="I589" s="212" t="s">
        <v>0</v>
      </c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  <c r="AG589" s="36"/>
      <c r="AH589" s="36"/>
      <c r="AI589" s="36"/>
    </row>
    <row r="590" spans="1:35" ht="15.75" hidden="1" customHeight="1" thickBot="1">
      <c r="A590" s="212" t="s">
        <v>0</v>
      </c>
      <c r="B590" s="278"/>
      <c r="C590" s="350"/>
      <c r="D590" s="315"/>
      <c r="E590" s="308"/>
      <c r="F590" s="62">
        <v>3</v>
      </c>
      <c r="G590" s="63" t="s">
        <v>164</v>
      </c>
      <c r="H590" s="64">
        <f t="shared" si="35"/>
        <v>80</v>
      </c>
      <c r="I590" s="212" t="s">
        <v>0</v>
      </c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  <c r="AG590" s="36"/>
      <c r="AH590" s="36"/>
      <c r="AI590" s="36"/>
    </row>
    <row r="591" spans="1:35" ht="51" hidden="1" customHeight="1">
      <c r="A591" s="212" t="s">
        <v>0</v>
      </c>
      <c r="B591" s="274" t="s">
        <v>158</v>
      </c>
      <c r="C591" s="349"/>
      <c r="D591" s="315"/>
      <c r="E591" s="308"/>
      <c r="F591" s="62">
        <v>2</v>
      </c>
      <c r="G591" s="63" t="s">
        <v>164</v>
      </c>
      <c r="H591" s="64">
        <f t="shared" si="35"/>
        <v>75</v>
      </c>
      <c r="I591" s="212" t="s">
        <v>0</v>
      </c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</row>
    <row r="592" spans="1:35" ht="51" hidden="1" customHeight="1" thickBot="1">
      <c r="A592" s="212" t="s">
        <v>0</v>
      </c>
      <c r="B592" s="275"/>
      <c r="C592" s="350"/>
      <c r="D592" s="316"/>
      <c r="E592" s="309"/>
      <c r="F592" s="67">
        <v>1</v>
      </c>
      <c r="G592" s="68" t="s">
        <v>164</v>
      </c>
      <c r="H592" s="69">
        <f t="shared" si="35"/>
        <v>70</v>
      </c>
      <c r="I592" s="212" t="s">
        <v>0</v>
      </c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</row>
    <row r="593" spans="1:35" ht="15.75" hidden="1" customHeight="1" thickBot="1">
      <c r="A593" s="212" t="s">
        <v>0</v>
      </c>
      <c r="B593" s="276">
        <v>4</v>
      </c>
      <c r="C593" s="349"/>
      <c r="D593" s="123" t="s">
        <v>156</v>
      </c>
      <c r="E593" s="124">
        <v>0.6</v>
      </c>
      <c r="F593" s="58">
        <v>10</v>
      </c>
      <c r="G593" s="59" t="s">
        <v>164</v>
      </c>
      <c r="H593" s="60">
        <v>115</v>
      </c>
      <c r="I593" s="212" t="s">
        <v>0</v>
      </c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</row>
    <row r="594" spans="1:35" ht="15" hidden="1" customHeight="1">
      <c r="A594" s="212" t="s">
        <v>0</v>
      </c>
      <c r="B594" s="277"/>
      <c r="C594" s="355"/>
      <c r="D594" s="314"/>
      <c r="E594" s="307">
        <f>IF(D594=0,0,VLOOKUP($D594,$F593:$H602,3,FALSE)*$E593)</f>
        <v>0</v>
      </c>
      <c r="F594" s="62">
        <v>9</v>
      </c>
      <c r="G594" s="63" t="s">
        <v>164</v>
      </c>
      <c r="H594" s="64">
        <f>H593-5</f>
        <v>110</v>
      </c>
      <c r="I594" s="212" t="s">
        <v>0</v>
      </c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</row>
    <row r="595" spans="1:35" ht="15" hidden="1" customHeight="1">
      <c r="A595" s="212" t="s">
        <v>0</v>
      </c>
      <c r="B595" s="277"/>
      <c r="C595" s="355"/>
      <c r="D595" s="315"/>
      <c r="E595" s="308"/>
      <c r="F595" s="62">
        <v>8</v>
      </c>
      <c r="G595" s="63" t="s">
        <v>164</v>
      </c>
      <c r="H595" s="64">
        <f t="shared" ref="H595:H602" si="36">H594-5</f>
        <v>105</v>
      </c>
      <c r="I595" s="212" t="s">
        <v>0</v>
      </c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36"/>
      <c r="AE595" s="36"/>
      <c r="AF595" s="36"/>
      <c r="AG595" s="36"/>
      <c r="AH595" s="36"/>
      <c r="AI595" s="36"/>
    </row>
    <row r="596" spans="1:35" ht="15" hidden="1" customHeight="1">
      <c r="A596" s="212" t="s">
        <v>0</v>
      </c>
      <c r="B596" s="277"/>
      <c r="C596" s="355"/>
      <c r="D596" s="315"/>
      <c r="E596" s="308"/>
      <c r="F596" s="62">
        <v>7</v>
      </c>
      <c r="G596" s="63" t="s">
        <v>164</v>
      </c>
      <c r="H596" s="64">
        <f t="shared" si="36"/>
        <v>100</v>
      </c>
      <c r="I596" s="212" t="s">
        <v>0</v>
      </c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  <c r="AG596" s="36"/>
      <c r="AH596" s="36"/>
      <c r="AI596" s="36"/>
    </row>
    <row r="597" spans="1:35" ht="15" hidden="1" customHeight="1">
      <c r="A597" s="212" t="s">
        <v>0</v>
      </c>
      <c r="B597" s="277"/>
      <c r="C597" s="355"/>
      <c r="D597" s="315"/>
      <c r="E597" s="308"/>
      <c r="F597" s="62">
        <v>6</v>
      </c>
      <c r="G597" s="63" t="s">
        <v>164</v>
      </c>
      <c r="H597" s="64">
        <f t="shared" si="36"/>
        <v>95</v>
      </c>
      <c r="I597" s="212" t="s">
        <v>0</v>
      </c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  <c r="AG597" s="36"/>
      <c r="AH597" s="36"/>
      <c r="AI597" s="36"/>
    </row>
    <row r="598" spans="1:35" ht="15" hidden="1" customHeight="1">
      <c r="A598" s="212" t="s">
        <v>0</v>
      </c>
      <c r="B598" s="277"/>
      <c r="C598" s="355"/>
      <c r="D598" s="315"/>
      <c r="E598" s="308"/>
      <c r="F598" s="62">
        <v>5</v>
      </c>
      <c r="G598" s="63" t="s">
        <v>164</v>
      </c>
      <c r="H598" s="64">
        <f t="shared" si="36"/>
        <v>90</v>
      </c>
      <c r="I598" s="212" t="s">
        <v>0</v>
      </c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  <c r="AG598" s="36"/>
      <c r="AH598" s="36"/>
      <c r="AI598" s="36"/>
    </row>
    <row r="599" spans="1:35" ht="15" hidden="1" customHeight="1">
      <c r="A599" s="212" t="s">
        <v>0</v>
      </c>
      <c r="B599" s="277"/>
      <c r="C599" s="355"/>
      <c r="D599" s="315"/>
      <c r="E599" s="308"/>
      <c r="F599" s="62">
        <v>4</v>
      </c>
      <c r="G599" s="63" t="s">
        <v>164</v>
      </c>
      <c r="H599" s="64">
        <f t="shared" si="36"/>
        <v>85</v>
      </c>
      <c r="I599" s="212" t="s">
        <v>0</v>
      </c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  <c r="AG599" s="36"/>
      <c r="AH599" s="36"/>
      <c r="AI599" s="36"/>
    </row>
    <row r="600" spans="1:35" ht="15.75" hidden="1" customHeight="1" thickBot="1">
      <c r="A600" s="212" t="s">
        <v>0</v>
      </c>
      <c r="B600" s="278"/>
      <c r="C600" s="350"/>
      <c r="D600" s="315"/>
      <c r="E600" s="308"/>
      <c r="F600" s="62">
        <v>3</v>
      </c>
      <c r="G600" s="63" t="s">
        <v>164</v>
      </c>
      <c r="H600" s="64">
        <f t="shared" si="36"/>
        <v>80</v>
      </c>
      <c r="I600" s="212" t="s">
        <v>0</v>
      </c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  <c r="AG600" s="36"/>
      <c r="AH600" s="36"/>
      <c r="AI600" s="36"/>
    </row>
    <row r="601" spans="1:35" ht="15" hidden="1" customHeight="1">
      <c r="A601" s="212" t="s">
        <v>0</v>
      </c>
      <c r="B601" s="274" t="s">
        <v>158</v>
      </c>
      <c r="C601" s="349"/>
      <c r="D601" s="315"/>
      <c r="E601" s="308"/>
      <c r="F601" s="62">
        <v>2</v>
      </c>
      <c r="G601" s="63" t="s">
        <v>164</v>
      </c>
      <c r="H601" s="64">
        <f t="shared" si="36"/>
        <v>75</v>
      </c>
      <c r="I601" s="212" t="s">
        <v>0</v>
      </c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  <c r="AG601" s="36"/>
      <c r="AH601" s="36"/>
      <c r="AI601" s="36"/>
    </row>
    <row r="602" spans="1:35" ht="15.75" hidden="1" customHeight="1" thickBot="1">
      <c r="A602" s="212" t="s">
        <v>0</v>
      </c>
      <c r="B602" s="275"/>
      <c r="C602" s="350"/>
      <c r="D602" s="316"/>
      <c r="E602" s="309"/>
      <c r="F602" s="67">
        <v>1</v>
      </c>
      <c r="G602" s="68" t="s">
        <v>164</v>
      </c>
      <c r="H602" s="69">
        <f t="shared" si="36"/>
        <v>70</v>
      </c>
      <c r="I602" s="212" t="s">
        <v>0</v>
      </c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  <c r="AG602" s="36"/>
      <c r="AH602" s="36"/>
      <c r="AI602" s="36"/>
    </row>
    <row r="603" spans="1:35" ht="15.75" hidden="1" customHeight="1" thickBot="1">
      <c r="A603" s="212" t="s">
        <v>0</v>
      </c>
      <c r="B603" s="279">
        <v>5</v>
      </c>
      <c r="C603" s="349"/>
      <c r="D603" s="123" t="s">
        <v>156</v>
      </c>
      <c r="E603" s="124">
        <v>0.6</v>
      </c>
      <c r="F603" s="70">
        <v>10</v>
      </c>
      <c r="G603" s="71" t="s">
        <v>164</v>
      </c>
      <c r="H603" s="72">
        <v>115</v>
      </c>
      <c r="I603" s="212" t="s">
        <v>0</v>
      </c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  <c r="AG603" s="36"/>
      <c r="AH603" s="36"/>
      <c r="AI603" s="36"/>
    </row>
    <row r="604" spans="1:35" ht="15" hidden="1" customHeight="1">
      <c r="A604" s="212" t="s">
        <v>0</v>
      </c>
      <c r="B604" s="277"/>
      <c r="C604" s="355"/>
      <c r="D604" s="314"/>
      <c r="E604" s="307">
        <f>IF(D604=0,0,VLOOKUP($D604,$F603:$H612,3,FALSE)*$E603)</f>
        <v>0</v>
      </c>
      <c r="F604" s="62">
        <v>9</v>
      </c>
      <c r="G604" s="63" t="s">
        <v>164</v>
      </c>
      <c r="H604" s="64">
        <f>H603-5</f>
        <v>110</v>
      </c>
      <c r="I604" s="212" t="s">
        <v>0</v>
      </c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  <c r="AG604" s="36"/>
      <c r="AH604" s="36"/>
      <c r="AI604" s="36"/>
    </row>
    <row r="605" spans="1:35" ht="15" hidden="1" customHeight="1">
      <c r="A605" s="212" t="s">
        <v>0</v>
      </c>
      <c r="B605" s="277"/>
      <c r="C605" s="355"/>
      <c r="D605" s="315"/>
      <c r="E605" s="308"/>
      <c r="F605" s="62">
        <v>8</v>
      </c>
      <c r="G605" s="63" t="s">
        <v>164</v>
      </c>
      <c r="H605" s="64">
        <f t="shared" ref="H605:H612" si="37">H604-5</f>
        <v>105</v>
      </c>
      <c r="I605" s="212" t="s">
        <v>0</v>
      </c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  <c r="AG605" s="36"/>
      <c r="AH605" s="36"/>
      <c r="AI605" s="36"/>
    </row>
    <row r="606" spans="1:35" ht="15" hidden="1" customHeight="1">
      <c r="A606" s="212" t="s">
        <v>0</v>
      </c>
      <c r="B606" s="277"/>
      <c r="C606" s="355"/>
      <c r="D606" s="315"/>
      <c r="E606" s="308"/>
      <c r="F606" s="62">
        <v>7</v>
      </c>
      <c r="G606" s="63" t="s">
        <v>164</v>
      </c>
      <c r="H606" s="64">
        <f t="shared" si="37"/>
        <v>100</v>
      </c>
      <c r="I606" s="212" t="s">
        <v>0</v>
      </c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  <c r="AG606" s="36"/>
      <c r="AH606" s="36"/>
      <c r="AI606" s="36"/>
    </row>
    <row r="607" spans="1:35" ht="15" hidden="1" customHeight="1">
      <c r="A607" s="212" t="s">
        <v>0</v>
      </c>
      <c r="B607" s="277"/>
      <c r="C607" s="355"/>
      <c r="D607" s="315"/>
      <c r="E607" s="308"/>
      <c r="F607" s="62">
        <v>6</v>
      </c>
      <c r="G607" s="63" t="s">
        <v>164</v>
      </c>
      <c r="H607" s="64">
        <f t="shared" si="37"/>
        <v>95</v>
      </c>
      <c r="I607" s="212" t="s">
        <v>0</v>
      </c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  <c r="AG607" s="36"/>
      <c r="AH607" s="36"/>
      <c r="AI607" s="36"/>
    </row>
    <row r="608" spans="1:35" ht="15" hidden="1" customHeight="1">
      <c r="A608" s="212" t="s">
        <v>0</v>
      </c>
      <c r="B608" s="277"/>
      <c r="C608" s="355"/>
      <c r="D608" s="315"/>
      <c r="E608" s="308"/>
      <c r="F608" s="62">
        <v>5</v>
      </c>
      <c r="G608" s="63" t="s">
        <v>164</v>
      </c>
      <c r="H608" s="64">
        <f t="shared" si="37"/>
        <v>90</v>
      </c>
      <c r="I608" s="212" t="s">
        <v>0</v>
      </c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  <c r="AG608" s="36"/>
      <c r="AH608" s="36"/>
      <c r="AI608" s="36"/>
    </row>
    <row r="609" spans="1:35" ht="15" hidden="1" customHeight="1">
      <c r="A609" s="212" t="s">
        <v>0</v>
      </c>
      <c r="B609" s="277"/>
      <c r="C609" s="355"/>
      <c r="D609" s="315"/>
      <c r="E609" s="308"/>
      <c r="F609" s="62">
        <v>4</v>
      </c>
      <c r="G609" s="63" t="s">
        <v>164</v>
      </c>
      <c r="H609" s="64">
        <f t="shared" si="37"/>
        <v>85</v>
      </c>
      <c r="I609" s="212" t="s">
        <v>0</v>
      </c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  <c r="AG609" s="36"/>
      <c r="AH609" s="36"/>
      <c r="AI609" s="36"/>
    </row>
    <row r="610" spans="1:35" ht="15.75" hidden="1" customHeight="1" thickBot="1">
      <c r="A610" s="212" t="s">
        <v>0</v>
      </c>
      <c r="B610" s="278"/>
      <c r="C610" s="350"/>
      <c r="D610" s="315"/>
      <c r="E610" s="308"/>
      <c r="F610" s="62">
        <v>3</v>
      </c>
      <c r="G610" s="63" t="s">
        <v>164</v>
      </c>
      <c r="H610" s="64">
        <f t="shared" si="37"/>
        <v>80</v>
      </c>
      <c r="I610" s="212" t="s">
        <v>0</v>
      </c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  <c r="AG610" s="36"/>
      <c r="AH610" s="36"/>
      <c r="AI610" s="36"/>
    </row>
    <row r="611" spans="1:35" ht="15" hidden="1" customHeight="1">
      <c r="A611" s="212" t="s">
        <v>0</v>
      </c>
      <c r="B611" s="274" t="s">
        <v>158</v>
      </c>
      <c r="C611" s="349"/>
      <c r="D611" s="315"/>
      <c r="E611" s="308"/>
      <c r="F611" s="62">
        <v>2</v>
      </c>
      <c r="G611" s="63" t="s">
        <v>164</v>
      </c>
      <c r="H611" s="64">
        <f t="shared" si="37"/>
        <v>75</v>
      </c>
      <c r="I611" s="212" t="s">
        <v>0</v>
      </c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  <c r="AG611" s="36"/>
      <c r="AH611" s="36"/>
      <c r="AI611" s="36"/>
    </row>
    <row r="612" spans="1:35" ht="15.75" hidden="1" customHeight="1" thickBot="1">
      <c r="A612" s="212" t="s">
        <v>0</v>
      </c>
      <c r="B612" s="275"/>
      <c r="C612" s="350"/>
      <c r="D612" s="316"/>
      <c r="E612" s="309"/>
      <c r="F612" s="67">
        <v>1</v>
      </c>
      <c r="G612" s="68" t="s">
        <v>164</v>
      </c>
      <c r="H612" s="69">
        <f t="shared" si="37"/>
        <v>70</v>
      </c>
      <c r="I612" s="212" t="s">
        <v>0</v>
      </c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  <c r="AG612" s="36"/>
      <c r="AH612" s="36"/>
      <c r="AI612" s="36"/>
    </row>
    <row r="613" spans="1:35" ht="15.75" hidden="1" customHeight="1" thickBot="1">
      <c r="A613" s="212" t="s">
        <v>0</v>
      </c>
      <c r="B613" s="212" t="s">
        <v>0</v>
      </c>
      <c r="C613" s="212" t="s">
        <v>0</v>
      </c>
      <c r="D613" s="212" t="s">
        <v>0</v>
      </c>
      <c r="E613" s="212" t="s">
        <v>0</v>
      </c>
      <c r="F613" s="212" t="s">
        <v>0</v>
      </c>
      <c r="G613" s="212" t="s">
        <v>0</v>
      </c>
      <c r="H613" s="212" t="s">
        <v>0</v>
      </c>
      <c r="I613" s="212" t="s">
        <v>0</v>
      </c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  <c r="AG613" s="36"/>
      <c r="AH613" s="36"/>
      <c r="AI613" s="36"/>
    </row>
    <row r="614" spans="1:35" ht="15" hidden="1" customHeight="1">
      <c r="A614" s="214" t="s">
        <v>0</v>
      </c>
      <c r="B614" s="119" t="s">
        <v>175</v>
      </c>
      <c r="C614" s="120"/>
      <c r="D614" s="120"/>
      <c r="E614" s="120"/>
      <c r="F614" s="120"/>
      <c r="G614" s="339" t="s">
        <v>8</v>
      </c>
      <c r="H614" s="340"/>
      <c r="I614" s="341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  <c r="AG614" s="36"/>
      <c r="AH614" s="36"/>
      <c r="AI614" s="36"/>
    </row>
    <row r="615" spans="1:35" ht="15.75" hidden="1" customHeight="1" thickBot="1">
      <c r="A615" s="214" t="s">
        <v>0</v>
      </c>
      <c r="B615" s="121"/>
      <c r="C615" s="122"/>
      <c r="D615" s="122"/>
      <c r="E615" s="122"/>
      <c r="F615" s="122"/>
      <c r="G615" s="343"/>
      <c r="H615" s="344"/>
      <c r="I615" s="345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  <c r="AG615" s="36"/>
      <c r="AH615" s="36"/>
      <c r="AI615" s="36"/>
    </row>
    <row r="616" spans="1:35" ht="15.75" hidden="1" customHeight="1" thickBot="1">
      <c r="A616" s="214" t="s">
        <v>0</v>
      </c>
      <c r="B616" s="52" t="s">
        <v>152</v>
      </c>
      <c r="C616" s="52" t="s">
        <v>6</v>
      </c>
      <c r="D616" s="280" t="s">
        <v>9</v>
      </c>
      <c r="E616" s="281"/>
      <c r="F616" s="282" t="s">
        <v>166</v>
      </c>
      <c r="G616" s="283"/>
      <c r="H616" s="284"/>
      <c r="I616" s="214" t="s">
        <v>0</v>
      </c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  <c r="AG616" s="36"/>
      <c r="AH616" s="36"/>
      <c r="AI616" s="36"/>
    </row>
    <row r="617" spans="1:35" ht="15.75" hidden="1" customHeight="1" thickBot="1">
      <c r="A617" s="214" t="s">
        <v>0</v>
      </c>
      <c r="B617" s="276">
        <v>1</v>
      </c>
      <c r="C617" s="349"/>
      <c r="D617" s="123" t="s">
        <v>156</v>
      </c>
      <c r="E617" s="124">
        <v>0.6</v>
      </c>
      <c r="F617" s="58">
        <v>10</v>
      </c>
      <c r="G617" s="59" t="s">
        <v>164</v>
      </c>
      <c r="H617" s="60">
        <v>115</v>
      </c>
      <c r="I617" s="214" t="s">
        <v>0</v>
      </c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  <c r="AG617" s="36"/>
      <c r="AH617" s="36"/>
      <c r="AI617" s="36"/>
    </row>
    <row r="618" spans="1:35" ht="15" hidden="1" customHeight="1">
      <c r="A618" s="214" t="s">
        <v>0</v>
      </c>
      <c r="B618" s="277"/>
      <c r="C618" s="355"/>
      <c r="D618" s="314"/>
      <c r="E618" s="307">
        <f>IF(D618=0,0,VLOOKUP($D618,$F617:$H626,3,FALSE)*$E617)</f>
        <v>0</v>
      </c>
      <c r="F618" s="62">
        <v>9</v>
      </c>
      <c r="G618" s="63" t="s">
        <v>164</v>
      </c>
      <c r="H618" s="64">
        <f>H617-5</f>
        <v>110</v>
      </c>
      <c r="I618" s="214" t="s">
        <v>0</v>
      </c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  <c r="AG618" s="36"/>
      <c r="AH618" s="36"/>
      <c r="AI618" s="36"/>
    </row>
    <row r="619" spans="1:35" ht="15" hidden="1" customHeight="1">
      <c r="A619" s="214" t="s">
        <v>0</v>
      </c>
      <c r="B619" s="277"/>
      <c r="C619" s="355"/>
      <c r="D619" s="315"/>
      <c r="E619" s="308"/>
      <c r="F619" s="62">
        <v>8</v>
      </c>
      <c r="G619" s="63" t="s">
        <v>164</v>
      </c>
      <c r="H619" s="64">
        <f t="shared" ref="H619:H626" si="38">H618-5</f>
        <v>105</v>
      </c>
      <c r="I619" s="214" t="s">
        <v>0</v>
      </c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  <c r="AG619" s="36"/>
      <c r="AH619" s="36"/>
      <c r="AI619" s="36"/>
    </row>
    <row r="620" spans="1:35" ht="15" hidden="1" customHeight="1">
      <c r="A620" s="214" t="s">
        <v>0</v>
      </c>
      <c r="B620" s="277"/>
      <c r="C620" s="355"/>
      <c r="D620" s="315"/>
      <c r="E620" s="308"/>
      <c r="F620" s="62">
        <v>7</v>
      </c>
      <c r="G620" s="63" t="s">
        <v>164</v>
      </c>
      <c r="H620" s="64">
        <f t="shared" si="38"/>
        <v>100</v>
      </c>
      <c r="I620" s="214" t="s">
        <v>0</v>
      </c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  <c r="AG620" s="36"/>
      <c r="AH620" s="36"/>
      <c r="AI620" s="36"/>
    </row>
    <row r="621" spans="1:35" ht="15" hidden="1" customHeight="1">
      <c r="A621" s="214" t="s">
        <v>0</v>
      </c>
      <c r="B621" s="277"/>
      <c r="C621" s="355"/>
      <c r="D621" s="315"/>
      <c r="E621" s="308"/>
      <c r="F621" s="62">
        <v>6</v>
      </c>
      <c r="G621" s="63" t="s">
        <v>164</v>
      </c>
      <c r="H621" s="64">
        <f t="shared" si="38"/>
        <v>95</v>
      </c>
      <c r="I621" s="214" t="s">
        <v>0</v>
      </c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  <c r="AG621" s="36"/>
      <c r="AH621" s="36"/>
      <c r="AI621" s="36"/>
    </row>
    <row r="622" spans="1:35" ht="15" hidden="1" customHeight="1">
      <c r="A622" s="214" t="s">
        <v>0</v>
      </c>
      <c r="B622" s="277"/>
      <c r="C622" s="355"/>
      <c r="D622" s="315"/>
      <c r="E622" s="308"/>
      <c r="F622" s="62">
        <v>5</v>
      </c>
      <c r="G622" s="63" t="s">
        <v>164</v>
      </c>
      <c r="H622" s="64">
        <f t="shared" si="38"/>
        <v>90</v>
      </c>
      <c r="I622" s="214" t="s">
        <v>0</v>
      </c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  <c r="AG622" s="36"/>
      <c r="AH622" s="36"/>
      <c r="AI622" s="36"/>
    </row>
    <row r="623" spans="1:35" ht="15" hidden="1" customHeight="1">
      <c r="A623" s="214" t="s">
        <v>0</v>
      </c>
      <c r="B623" s="277"/>
      <c r="C623" s="355"/>
      <c r="D623" s="315"/>
      <c r="E623" s="308"/>
      <c r="F623" s="62">
        <v>4</v>
      </c>
      <c r="G623" s="63" t="s">
        <v>164</v>
      </c>
      <c r="H623" s="64">
        <f t="shared" si="38"/>
        <v>85</v>
      </c>
      <c r="I623" s="214" t="s">
        <v>0</v>
      </c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  <c r="AG623" s="36"/>
      <c r="AH623" s="36"/>
      <c r="AI623" s="36"/>
    </row>
    <row r="624" spans="1:35" ht="15.75" hidden="1" customHeight="1" thickBot="1">
      <c r="A624" s="214" t="s">
        <v>0</v>
      </c>
      <c r="B624" s="278"/>
      <c r="C624" s="350"/>
      <c r="D624" s="315"/>
      <c r="E624" s="308"/>
      <c r="F624" s="62">
        <v>3</v>
      </c>
      <c r="G624" s="63" t="s">
        <v>164</v>
      </c>
      <c r="H624" s="64">
        <f t="shared" si="38"/>
        <v>80</v>
      </c>
      <c r="I624" s="214" t="s">
        <v>0</v>
      </c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  <c r="AG624" s="36"/>
      <c r="AH624" s="36"/>
      <c r="AI624" s="36"/>
    </row>
    <row r="625" spans="1:35" ht="15" hidden="1" customHeight="1">
      <c r="A625" s="214" t="s">
        <v>0</v>
      </c>
      <c r="B625" s="274" t="s">
        <v>158</v>
      </c>
      <c r="C625" s="349"/>
      <c r="D625" s="315"/>
      <c r="E625" s="308"/>
      <c r="F625" s="62">
        <v>2</v>
      </c>
      <c r="G625" s="63" t="s">
        <v>164</v>
      </c>
      <c r="H625" s="64">
        <f t="shared" si="38"/>
        <v>75</v>
      </c>
      <c r="I625" s="214" t="s">
        <v>0</v>
      </c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  <c r="AG625" s="36"/>
      <c r="AH625" s="36"/>
      <c r="AI625" s="36"/>
    </row>
    <row r="626" spans="1:35" ht="15.75" hidden="1" customHeight="1" thickBot="1">
      <c r="A626" s="214" t="s">
        <v>0</v>
      </c>
      <c r="B626" s="275"/>
      <c r="C626" s="350"/>
      <c r="D626" s="316"/>
      <c r="E626" s="309"/>
      <c r="F626" s="67">
        <v>1</v>
      </c>
      <c r="G626" s="68" t="s">
        <v>164</v>
      </c>
      <c r="H626" s="69">
        <f t="shared" si="38"/>
        <v>70</v>
      </c>
      <c r="I626" s="214" t="s">
        <v>0</v>
      </c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  <c r="AG626" s="36"/>
      <c r="AH626" s="36"/>
      <c r="AI626" s="36"/>
    </row>
    <row r="627" spans="1:35" ht="15.75" hidden="1" customHeight="1" thickBot="1">
      <c r="A627" s="214" t="s">
        <v>0</v>
      </c>
      <c r="B627" s="276">
        <v>2</v>
      </c>
      <c r="C627" s="349"/>
      <c r="D627" s="123" t="s">
        <v>156</v>
      </c>
      <c r="E627" s="124">
        <v>0.6</v>
      </c>
      <c r="F627" s="58">
        <v>10</v>
      </c>
      <c r="G627" s="59" t="s">
        <v>164</v>
      </c>
      <c r="H627" s="60">
        <v>115</v>
      </c>
      <c r="I627" s="214" t="s">
        <v>0</v>
      </c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  <c r="AG627" s="36"/>
      <c r="AH627" s="36"/>
      <c r="AI627" s="36"/>
    </row>
    <row r="628" spans="1:35" ht="15" hidden="1" customHeight="1">
      <c r="A628" s="214" t="s">
        <v>0</v>
      </c>
      <c r="B628" s="277"/>
      <c r="C628" s="355"/>
      <c r="D628" s="314"/>
      <c r="E628" s="307">
        <f>IF(D628=0,0,VLOOKUP($D628,$F627:$H636,3,FALSE)*$E627)</f>
        <v>0</v>
      </c>
      <c r="F628" s="62">
        <v>9</v>
      </c>
      <c r="G628" s="63" t="s">
        <v>164</v>
      </c>
      <c r="H628" s="64">
        <f>H627-5</f>
        <v>110</v>
      </c>
      <c r="I628" s="214" t="s">
        <v>0</v>
      </c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  <c r="AG628" s="36"/>
      <c r="AH628" s="36"/>
      <c r="AI628" s="36"/>
    </row>
    <row r="629" spans="1:35" ht="15" hidden="1" customHeight="1">
      <c r="A629" s="214" t="s">
        <v>0</v>
      </c>
      <c r="B629" s="277"/>
      <c r="C629" s="355"/>
      <c r="D629" s="315"/>
      <c r="E629" s="308"/>
      <c r="F629" s="62">
        <v>8</v>
      </c>
      <c r="G629" s="63" t="s">
        <v>164</v>
      </c>
      <c r="H629" s="64">
        <f t="shared" ref="H629:H636" si="39">H628-5</f>
        <v>105</v>
      </c>
      <c r="I629" s="214" t="s">
        <v>0</v>
      </c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  <c r="AG629" s="36"/>
      <c r="AH629" s="36"/>
      <c r="AI629" s="36"/>
    </row>
    <row r="630" spans="1:35" ht="15" hidden="1" customHeight="1">
      <c r="A630" s="214" t="s">
        <v>0</v>
      </c>
      <c r="B630" s="277"/>
      <c r="C630" s="355"/>
      <c r="D630" s="315"/>
      <c r="E630" s="308"/>
      <c r="F630" s="62">
        <v>7</v>
      </c>
      <c r="G630" s="63" t="s">
        <v>164</v>
      </c>
      <c r="H630" s="64">
        <f t="shared" si="39"/>
        <v>100</v>
      </c>
      <c r="I630" s="214" t="s">
        <v>0</v>
      </c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  <c r="AG630" s="36"/>
      <c r="AH630" s="36"/>
      <c r="AI630" s="36"/>
    </row>
    <row r="631" spans="1:35" ht="15" hidden="1" customHeight="1">
      <c r="A631" s="214" t="s">
        <v>0</v>
      </c>
      <c r="B631" s="277"/>
      <c r="C631" s="355"/>
      <c r="D631" s="315"/>
      <c r="E631" s="308"/>
      <c r="F631" s="62">
        <v>6</v>
      </c>
      <c r="G631" s="63" t="s">
        <v>164</v>
      </c>
      <c r="H631" s="64">
        <f t="shared" si="39"/>
        <v>95</v>
      </c>
      <c r="I631" s="214" t="s">
        <v>0</v>
      </c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  <c r="AG631" s="36"/>
      <c r="AH631" s="36"/>
      <c r="AI631" s="36"/>
    </row>
    <row r="632" spans="1:35" ht="15" hidden="1" customHeight="1">
      <c r="A632" s="214" t="s">
        <v>0</v>
      </c>
      <c r="B632" s="277"/>
      <c r="C632" s="355"/>
      <c r="D632" s="315"/>
      <c r="E632" s="308"/>
      <c r="F632" s="62">
        <v>5</v>
      </c>
      <c r="G632" s="63" t="s">
        <v>164</v>
      </c>
      <c r="H632" s="64">
        <f t="shared" si="39"/>
        <v>90</v>
      </c>
      <c r="I632" s="214" t="s">
        <v>0</v>
      </c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  <c r="AG632" s="36"/>
      <c r="AH632" s="36"/>
      <c r="AI632" s="36"/>
    </row>
    <row r="633" spans="1:35" ht="15" hidden="1" customHeight="1">
      <c r="A633" s="214" t="s">
        <v>0</v>
      </c>
      <c r="B633" s="277"/>
      <c r="C633" s="355"/>
      <c r="D633" s="315"/>
      <c r="E633" s="308"/>
      <c r="F633" s="62">
        <v>4</v>
      </c>
      <c r="G633" s="63" t="s">
        <v>164</v>
      </c>
      <c r="H633" s="64">
        <f t="shared" si="39"/>
        <v>85</v>
      </c>
      <c r="I633" s="214" t="s">
        <v>0</v>
      </c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  <c r="AG633" s="36"/>
      <c r="AH633" s="36"/>
      <c r="AI633" s="36"/>
    </row>
    <row r="634" spans="1:35" ht="15.75" hidden="1" customHeight="1" thickBot="1">
      <c r="A634" s="214" t="s">
        <v>0</v>
      </c>
      <c r="B634" s="278"/>
      <c r="C634" s="350"/>
      <c r="D634" s="315"/>
      <c r="E634" s="308"/>
      <c r="F634" s="62">
        <v>3</v>
      </c>
      <c r="G634" s="63" t="s">
        <v>164</v>
      </c>
      <c r="H634" s="64">
        <f t="shared" si="39"/>
        <v>80</v>
      </c>
      <c r="I634" s="214" t="s">
        <v>0</v>
      </c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  <c r="AG634" s="36"/>
      <c r="AH634" s="36"/>
      <c r="AI634" s="36"/>
    </row>
    <row r="635" spans="1:35" ht="15" hidden="1" customHeight="1">
      <c r="A635" s="214" t="s">
        <v>0</v>
      </c>
      <c r="B635" s="274" t="s">
        <v>158</v>
      </c>
      <c r="C635" s="349"/>
      <c r="D635" s="315"/>
      <c r="E635" s="308"/>
      <c r="F635" s="62">
        <v>2</v>
      </c>
      <c r="G635" s="63" t="s">
        <v>164</v>
      </c>
      <c r="H635" s="64">
        <f t="shared" si="39"/>
        <v>75</v>
      </c>
      <c r="I635" s="214" t="s">
        <v>0</v>
      </c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  <c r="AG635" s="36"/>
      <c r="AH635" s="36"/>
      <c r="AI635" s="36"/>
    </row>
    <row r="636" spans="1:35" ht="15.75" hidden="1" customHeight="1" thickBot="1">
      <c r="A636" s="214" t="s">
        <v>0</v>
      </c>
      <c r="B636" s="275"/>
      <c r="C636" s="350"/>
      <c r="D636" s="316"/>
      <c r="E636" s="309"/>
      <c r="F636" s="67">
        <v>1</v>
      </c>
      <c r="G636" s="68" t="s">
        <v>164</v>
      </c>
      <c r="H636" s="69">
        <f t="shared" si="39"/>
        <v>70</v>
      </c>
      <c r="I636" s="214" t="s">
        <v>0</v>
      </c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  <c r="AG636" s="36"/>
      <c r="AH636" s="36"/>
      <c r="AI636" s="36"/>
    </row>
    <row r="637" spans="1:35" ht="15.75" hidden="1" customHeight="1" thickBot="1">
      <c r="A637" s="214" t="s">
        <v>0</v>
      </c>
      <c r="B637" s="276">
        <v>3</v>
      </c>
      <c r="C637" s="349"/>
      <c r="D637" s="123" t="s">
        <v>156</v>
      </c>
      <c r="E637" s="124">
        <v>0.6</v>
      </c>
      <c r="F637" s="58">
        <v>10</v>
      </c>
      <c r="G637" s="59" t="s">
        <v>164</v>
      </c>
      <c r="H637" s="60">
        <v>115</v>
      </c>
      <c r="I637" s="214" t="s">
        <v>0</v>
      </c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  <c r="AG637" s="36"/>
      <c r="AH637" s="36"/>
      <c r="AI637" s="36"/>
    </row>
    <row r="638" spans="1:35" ht="15" hidden="1" customHeight="1">
      <c r="A638" s="214" t="s">
        <v>0</v>
      </c>
      <c r="B638" s="277"/>
      <c r="C638" s="355"/>
      <c r="D638" s="314"/>
      <c r="E638" s="307">
        <f>IF(D638=0,0,VLOOKUP($D638,$F637:$H646,3,FALSE)*$E637)</f>
        <v>0</v>
      </c>
      <c r="F638" s="62">
        <v>9</v>
      </c>
      <c r="G638" s="63" t="s">
        <v>164</v>
      </c>
      <c r="H638" s="64">
        <f>H637-5</f>
        <v>110</v>
      </c>
      <c r="I638" s="214" t="s">
        <v>0</v>
      </c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  <c r="AG638" s="36"/>
      <c r="AH638" s="36"/>
      <c r="AI638" s="36"/>
    </row>
    <row r="639" spans="1:35" ht="15" hidden="1" customHeight="1">
      <c r="A639" s="214" t="s">
        <v>0</v>
      </c>
      <c r="B639" s="277"/>
      <c r="C639" s="355"/>
      <c r="D639" s="315"/>
      <c r="E639" s="308"/>
      <c r="F639" s="62">
        <v>8</v>
      </c>
      <c r="G639" s="63" t="s">
        <v>164</v>
      </c>
      <c r="H639" s="64">
        <f t="shared" ref="H639:H646" si="40">H638-5</f>
        <v>105</v>
      </c>
      <c r="I639" s="214" t="s">
        <v>0</v>
      </c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  <c r="AG639" s="36"/>
      <c r="AH639" s="36"/>
      <c r="AI639" s="36"/>
    </row>
    <row r="640" spans="1:35" ht="15" hidden="1" customHeight="1">
      <c r="A640" s="214" t="s">
        <v>0</v>
      </c>
      <c r="B640" s="277"/>
      <c r="C640" s="355"/>
      <c r="D640" s="315"/>
      <c r="E640" s="308"/>
      <c r="F640" s="62">
        <v>7</v>
      </c>
      <c r="G640" s="63" t="s">
        <v>164</v>
      </c>
      <c r="H640" s="64">
        <f t="shared" si="40"/>
        <v>100</v>
      </c>
      <c r="I640" s="214" t="s">
        <v>0</v>
      </c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  <c r="AG640" s="36"/>
      <c r="AH640" s="36"/>
      <c r="AI640" s="36"/>
    </row>
    <row r="641" spans="1:35" ht="15" hidden="1" customHeight="1">
      <c r="A641" s="214" t="s">
        <v>0</v>
      </c>
      <c r="B641" s="277"/>
      <c r="C641" s="355"/>
      <c r="D641" s="315"/>
      <c r="E641" s="308"/>
      <c r="F641" s="62">
        <v>6</v>
      </c>
      <c r="G641" s="63" t="s">
        <v>164</v>
      </c>
      <c r="H641" s="64">
        <f t="shared" si="40"/>
        <v>95</v>
      </c>
      <c r="I641" s="214" t="s">
        <v>0</v>
      </c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  <c r="AG641" s="36"/>
      <c r="AH641" s="36"/>
      <c r="AI641" s="36"/>
    </row>
    <row r="642" spans="1:35" ht="15" hidden="1" customHeight="1">
      <c r="A642" s="214" t="s">
        <v>0</v>
      </c>
      <c r="B642" s="277"/>
      <c r="C642" s="355"/>
      <c r="D642" s="315"/>
      <c r="E642" s="308"/>
      <c r="F642" s="62">
        <v>5</v>
      </c>
      <c r="G642" s="63" t="s">
        <v>164</v>
      </c>
      <c r="H642" s="64">
        <f t="shared" si="40"/>
        <v>90</v>
      </c>
      <c r="I642" s="214" t="s">
        <v>0</v>
      </c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  <c r="AG642" s="36"/>
      <c r="AH642" s="36"/>
      <c r="AI642" s="36"/>
    </row>
    <row r="643" spans="1:35" ht="15" hidden="1" customHeight="1">
      <c r="A643" s="214" t="s">
        <v>0</v>
      </c>
      <c r="B643" s="277"/>
      <c r="C643" s="355"/>
      <c r="D643" s="315"/>
      <c r="E643" s="308"/>
      <c r="F643" s="62">
        <v>4</v>
      </c>
      <c r="G643" s="63" t="s">
        <v>164</v>
      </c>
      <c r="H643" s="64">
        <f t="shared" si="40"/>
        <v>85</v>
      </c>
      <c r="I643" s="214" t="s">
        <v>0</v>
      </c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  <c r="AG643" s="36"/>
      <c r="AH643" s="36"/>
      <c r="AI643" s="36"/>
    </row>
    <row r="644" spans="1:35" ht="15.75" hidden="1" customHeight="1" thickBot="1">
      <c r="A644" s="214" t="s">
        <v>0</v>
      </c>
      <c r="B644" s="278"/>
      <c r="C644" s="350"/>
      <c r="D644" s="315"/>
      <c r="E644" s="308"/>
      <c r="F644" s="62">
        <v>3</v>
      </c>
      <c r="G644" s="63" t="s">
        <v>164</v>
      </c>
      <c r="H644" s="64">
        <f t="shared" si="40"/>
        <v>80</v>
      </c>
      <c r="I644" s="214" t="s">
        <v>0</v>
      </c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  <c r="AG644" s="36"/>
      <c r="AH644" s="36"/>
      <c r="AI644" s="36"/>
    </row>
    <row r="645" spans="1:35" ht="15" hidden="1" customHeight="1">
      <c r="A645" s="214" t="s">
        <v>0</v>
      </c>
      <c r="B645" s="274" t="s">
        <v>158</v>
      </c>
      <c r="C645" s="349"/>
      <c r="D645" s="315"/>
      <c r="E645" s="308"/>
      <c r="F645" s="62">
        <v>2</v>
      </c>
      <c r="G645" s="63" t="s">
        <v>164</v>
      </c>
      <c r="H645" s="64">
        <f t="shared" si="40"/>
        <v>75</v>
      </c>
      <c r="I645" s="214" t="s">
        <v>0</v>
      </c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  <c r="AG645" s="36"/>
      <c r="AH645" s="36"/>
      <c r="AI645" s="36"/>
    </row>
    <row r="646" spans="1:35" ht="15.75" hidden="1" customHeight="1" thickBot="1">
      <c r="A646" s="214" t="s">
        <v>0</v>
      </c>
      <c r="B646" s="275"/>
      <c r="C646" s="350"/>
      <c r="D646" s="316"/>
      <c r="E646" s="309"/>
      <c r="F646" s="67">
        <v>1</v>
      </c>
      <c r="G646" s="68" t="s">
        <v>164</v>
      </c>
      <c r="H646" s="69">
        <f t="shared" si="40"/>
        <v>70</v>
      </c>
      <c r="I646" s="214" t="s">
        <v>0</v>
      </c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  <c r="AG646" s="36"/>
      <c r="AH646" s="36"/>
      <c r="AI646" s="36"/>
    </row>
    <row r="647" spans="1:35" ht="15.75" hidden="1" customHeight="1" thickBot="1">
      <c r="A647" s="214" t="s">
        <v>0</v>
      </c>
      <c r="B647" s="276">
        <v>4</v>
      </c>
      <c r="C647" s="349"/>
      <c r="D647" s="123" t="s">
        <v>156</v>
      </c>
      <c r="E647" s="124">
        <v>0.6</v>
      </c>
      <c r="F647" s="58">
        <v>10</v>
      </c>
      <c r="G647" s="59" t="s">
        <v>164</v>
      </c>
      <c r="H647" s="60">
        <v>115</v>
      </c>
      <c r="I647" s="214" t="s">
        <v>0</v>
      </c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  <c r="AG647" s="36"/>
      <c r="AH647" s="36"/>
      <c r="AI647" s="36"/>
    </row>
    <row r="648" spans="1:35" ht="15" hidden="1" customHeight="1">
      <c r="A648" s="214" t="s">
        <v>0</v>
      </c>
      <c r="B648" s="277"/>
      <c r="C648" s="355"/>
      <c r="D648" s="314"/>
      <c r="E648" s="307">
        <f>IF(D648=0,0,VLOOKUP($D648,$F647:$H656,3,FALSE)*$E647)</f>
        <v>0</v>
      </c>
      <c r="F648" s="62">
        <v>9</v>
      </c>
      <c r="G648" s="63" t="s">
        <v>164</v>
      </c>
      <c r="H648" s="64">
        <f>H647-5</f>
        <v>110</v>
      </c>
      <c r="I648" s="214" t="s">
        <v>0</v>
      </c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  <c r="AG648" s="36"/>
      <c r="AH648" s="36"/>
      <c r="AI648" s="36"/>
    </row>
    <row r="649" spans="1:35" ht="15" hidden="1" customHeight="1">
      <c r="A649" s="214" t="s">
        <v>0</v>
      </c>
      <c r="B649" s="277"/>
      <c r="C649" s="355"/>
      <c r="D649" s="315"/>
      <c r="E649" s="308"/>
      <c r="F649" s="62">
        <v>8</v>
      </c>
      <c r="G649" s="63" t="s">
        <v>164</v>
      </c>
      <c r="H649" s="64">
        <f t="shared" ref="H649:H656" si="41">H648-5</f>
        <v>105</v>
      </c>
      <c r="I649" s="214" t="s">
        <v>0</v>
      </c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  <c r="AG649" s="36"/>
      <c r="AH649" s="36"/>
      <c r="AI649" s="36"/>
    </row>
    <row r="650" spans="1:35" ht="15" hidden="1" customHeight="1">
      <c r="A650" s="214" t="s">
        <v>0</v>
      </c>
      <c r="B650" s="277"/>
      <c r="C650" s="355"/>
      <c r="D650" s="315"/>
      <c r="E650" s="308"/>
      <c r="F650" s="62">
        <v>7</v>
      </c>
      <c r="G650" s="63" t="s">
        <v>164</v>
      </c>
      <c r="H650" s="64">
        <f t="shared" si="41"/>
        <v>100</v>
      </c>
      <c r="I650" s="214" t="s">
        <v>0</v>
      </c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  <c r="AG650" s="36"/>
      <c r="AH650" s="36"/>
      <c r="AI650" s="36"/>
    </row>
    <row r="651" spans="1:35" ht="15" hidden="1" customHeight="1">
      <c r="A651" s="214" t="s">
        <v>0</v>
      </c>
      <c r="B651" s="277"/>
      <c r="C651" s="355"/>
      <c r="D651" s="315"/>
      <c r="E651" s="308"/>
      <c r="F651" s="62">
        <v>6</v>
      </c>
      <c r="G651" s="63" t="s">
        <v>164</v>
      </c>
      <c r="H651" s="64">
        <f t="shared" si="41"/>
        <v>95</v>
      </c>
      <c r="I651" s="214" t="s">
        <v>0</v>
      </c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  <c r="AG651" s="36"/>
      <c r="AH651" s="36"/>
      <c r="AI651" s="36"/>
    </row>
    <row r="652" spans="1:35" ht="15" hidden="1" customHeight="1">
      <c r="A652" s="214" t="s">
        <v>0</v>
      </c>
      <c r="B652" s="277"/>
      <c r="C652" s="355"/>
      <c r="D652" s="315"/>
      <c r="E652" s="308"/>
      <c r="F652" s="62">
        <v>5</v>
      </c>
      <c r="G652" s="63" t="s">
        <v>164</v>
      </c>
      <c r="H652" s="64">
        <f t="shared" si="41"/>
        <v>90</v>
      </c>
      <c r="I652" s="214" t="s">
        <v>0</v>
      </c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  <c r="AG652" s="36"/>
      <c r="AH652" s="36"/>
      <c r="AI652" s="36"/>
    </row>
    <row r="653" spans="1:35" ht="15" hidden="1" customHeight="1">
      <c r="A653" s="214" t="s">
        <v>0</v>
      </c>
      <c r="B653" s="277"/>
      <c r="C653" s="355"/>
      <c r="D653" s="315"/>
      <c r="E653" s="308"/>
      <c r="F653" s="62">
        <v>4</v>
      </c>
      <c r="G653" s="63" t="s">
        <v>164</v>
      </c>
      <c r="H653" s="64">
        <f t="shared" si="41"/>
        <v>85</v>
      </c>
      <c r="I653" s="214" t="s">
        <v>0</v>
      </c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  <c r="AG653" s="36"/>
      <c r="AH653" s="36"/>
      <c r="AI653" s="36"/>
    </row>
    <row r="654" spans="1:35" ht="15.75" hidden="1" customHeight="1" thickBot="1">
      <c r="A654" s="214" t="s">
        <v>0</v>
      </c>
      <c r="B654" s="278"/>
      <c r="C654" s="350"/>
      <c r="D654" s="315"/>
      <c r="E654" s="308"/>
      <c r="F654" s="62">
        <v>3</v>
      </c>
      <c r="G654" s="63" t="s">
        <v>164</v>
      </c>
      <c r="H654" s="64">
        <f t="shared" si="41"/>
        <v>80</v>
      </c>
      <c r="I654" s="214" t="s">
        <v>0</v>
      </c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  <c r="AG654" s="36"/>
      <c r="AH654" s="36"/>
      <c r="AI654" s="36"/>
    </row>
    <row r="655" spans="1:35" ht="15" hidden="1" customHeight="1">
      <c r="A655" s="214" t="s">
        <v>0</v>
      </c>
      <c r="B655" s="274" t="s">
        <v>158</v>
      </c>
      <c r="C655" s="349"/>
      <c r="D655" s="315"/>
      <c r="E655" s="308"/>
      <c r="F655" s="62">
        <v>2</v>
      </c>
      <c r="G655" s="63" t="s">
        <v>164</v>
      </c>
      <c r="H655" s="64">
        <f t="shared" si="41"/>
        <v>75</v>
      </c>
      <c r="I655" s="214" t="s">
        <v>0</v>
      </c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  <c r="AG655" s="36"/>
      <c r="AH655" s="36"/>
      <c r="AI655" s="36"/>
    </row>
    <row r="656" spans="1:35" ht="15.75" hidden="1" customHeight="1" thickBot="1">
      <c r="A656" s="214" t="s">
        <v>0</v>
      </c>
      <c r="B656" s="275"/>
      <c r="C656" s="350"/>
      <c r="D656" s="316"/>
      <c r="E656" s="309"/>
      <c r="F656" s="67">
        <v>1</v>
      </c>
      <c r="G656" s="68" t="s">
        <v>164</v>
      </c>
      <c r="H656" s="69">
        <f t="shared" si="41"/>
        <v>70</v>
      </c>
      <c r="I656" s="214" t="s">
        <v>0</v>
      </c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  <c r="AG656" s="36"/>
      <c r="AH656" s="36"/>
      <c r="AI656" s="36"/>
    </row>
    <row r="657" spans="1:35" ht="15.75" hidden="1" customHeight="1" thickBot="1">
      <c r="A657" s="214" t="s">
        <v>0</v>
      </c>
      <c r="B657" s="279">
        <v>5</v>
      </c>
      <c r="C657" s="349"/>
      <c r="D657" s="123" t="s">
        <v>156</v>
      </c>
      <c r="E657" s="124">
        <v>0.6</v>
      </c>
      <c r="F657" s="70">
        <v>10</v>
      </c>
      <c r="G657" s="71" t="s">
        <v>164</v>
      </c>
      <c r="H657" s="72">
        <v>115</v>
      </c>
      <c r="I657" s="214" t="s">
        <v>0</v>
      </c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D657" s="36"/>
      <c r="AE657" s="36"/>
      <c r="AF657" s="36"/>
      <c r="AG657" s="36"/>
      <c r="AH657" s="36"/>
      <c r="AI657" s="36"/>
    </row>
    <row r="658" spans="1:35" ht="15" hidden="1" customHeight="1">
      <c r="A658" s="214" t="s">
        <v>0</v>
      </c>
      <c r="B658" s="277"/>
      <c r="C658" s="355"/>
      <c r="D658" s="314"/>
      <c r="E658" s="307">
        <f>IF(D658=0,0,VLOOKUP($D658,$F657:$H666,3,FALSE)*$E657)</f>
        <v>0</v>
      </c>
      <c r="F658" s="62">
        <v>9</v>
      </c>
      <c r="G658" s="63" t="s">
        <v>164</v>
      </c>
      <c r="H658" s="64">
        <f>H657-5</f>
        <v>110</v>
      </c>
      <c r="I658" s="214" t="s">
        <v>0</v>
      </c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  <c r="AG658" s="36"/>
      <c r="AH658" s="36"/>
      <c r="AI658" s="36"/>
    </row>
    <row r="659" spans="1:35" ht="15" hidden="1" customHeight="1">
      <c r="A659" s="214" t="s">
        <v>0</v>
      </c>
      <c r="B659" s="277"/>
      <c r="C659" s="355"/>
      <c r="D659" s="315"/>
      <c r="E659" s="308"/>
      <c r="F659" s="62">
        <v>8</v>
      </c>
      <c r="G659" s="63" t="s">
        <v>164</v>
      </c>
      <c r="H659" s="64">
        <f t="shared" ref="H659:H666" si="42">H658-5</f>
        <v>105</v>
      </c>
      <c r="I659" s="214" t="s">
        <v>0</v>
      </c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  <c r="AG659" s="36"/>
      <c r="AH659" s="36"/>
      <c r="AI659" s="36"/>
    </row>
    <row r="660" spans="1:35" ht="15" hidden="1" customHeight="1">
      <c r="A660" s="214" t="s">
        <v>0</v>
      </c>
      <c r="B660" s="277"/>
      <c r="C660" s="355"/>
      <c r="D660" s="315"/>
      <c r="E660" s="308"/>
      <c r="F660" s="62">
        <v>7</v>
      </c>
      <c r="G660" s="63" t="s">
        <v>164</v>
      </c>
      <c r="H660" s="64">
        <f t="shared" si="42"/>
        <v>100</v>
      </c>
      <c r="I660" s="214" t="s">
        <v>0</v>
      </c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  <c r="AG660" s="36"/>
      <c r="AH660" s="36"/>
      <c r="AI660" s="36"/>
    </row>
    <row r="661" spans="1:35" ht="15" hidden="1" customHeight="1">
      <c r="A661" s="214" t="s">
        <v>0</v>
      </c>
      <c r="B661" s="277"/>
      <c r="C661" s="355"/>
      <c r="D661" s="315"/>
      <c r="E661" s="308"/>
      <c r="F661" s="62">
        <v>6</v>
      </c>
      <c r="G661" s="63" t="s">
        <v>164</v>
      </c>
      <c r="H661" s="64">
        <f t="shared" si="42"/>
        <v>95</v>
      </c>
      <c r="I661" s="214" t="s">
        <v>0</v>
      </c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  <c r="AG661" s="36"/>
      <c r="AH661" s="36"/>
      <c r="AI661" s="36"/>
    </row>
    <row r="662" spans="1:35" ht="15" hidden="1" customHeight="1">
      <c r="A662" s="214" t="s">
        <v>0</v>
      </c>
      <c r="B662" s="277"/>
      <c r="C662" s="355"/>
      <c r="D662" s="315"/>
      <c r="E662" s="308"/>
      <c r="F662" s="62">
        <v>5</v>
      </c>
      <c r="G662" s="63" t="s">
        <v>164</v>
      </c>
      <c r="H662" s="64">
        <f t="shared" si="42"/>
        <v>90</v>
      </c>
      <c r="I662" s="214" t="s">
        <v>0</v>
      </c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  <c r="AG662" s="36"/>
      <c r="AH662" s="36"/>
      <c r="AI662" s="36"/>
    </row>
    <row r="663" spans="1:35" ht="15" hidden="1" customHeight="1">
      <c r="A663" s="214" t="s">
        <v>0</v>
      </c>
      <c r="B663" s="277"/>
      <c r="C663" s="355"/>
      <c r="D663" s="315"/>
      <c r="E663" s="308"/>
      <c r="F663" s="62">
        <v>4</v>
      </c>
      <c r="G663" s="63" t="s">
        <v>164</v>
      </c>
      <c r="H663" s="64">
        <f t="shared" si="42"/>
        <v>85</v>
      </c>
      <c r="I663" s="214" t="s">
        <v>0</v>
      </c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  <c r="AG663" s="36"/>
      <c r="AH663" s="36"/>
      <c r="AI663" s="36"/>
    </row>
    <row r="664" spans="1:35" ht="15.75" hidden="1" customHeight="1" thickBot="1">
      <c r="A664" s="214" t="s">
        <v>0</v>
      </c>
      <c r="B664" s="278"/>
      <c r="C664" s="350"/>
      <c r="D664" s="315"/>
      <c r="E664" s="308"/>
      <c r="F664" s="62">
        <v>3</v>
      </c>
      <c r="G664" s="63" t="s">
        <v>164</v>
      </c>
      <c r="H664" s="64">
        <f t="shared" si="42"/>
        <v>80</v>
      </c>
      <c r="I664" s="214" t="s">
        <v>0</v>
      </c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  <c r="AG664" s="36"/>
      <c r="AH664" s="36"/>
      <c r="AI664" s="36"/>
    </row>
    <row r="665" spans="1:35" ht="15" hidden="1" customHeight="1">
      <c r="A665" s="214" t="s">
        <v>0</v>
      </c>
      <c r="B665" s="274" t="s">
        <v>158</v>
      </c>
      <c r="C665" s="349"/>
      <c r="D665" s="315"/>
      <c r="E665" s="308"/>
      <c r="F665" s="62">
        <v>2</v>
      </c>
      <c r="G665" s="63" t="s">
        <v>164</v>
      </c>
      <c r="H665" s="64">
        <f t="shared" si="42"/>
        <v>75</v>
      </c>
      <c r="I665" s="214" t="s">
        <v>0</v>
      </c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  <c r="AG665" s="36"/>
      <c r="AH665" s="36"/>
      <c r="AI665" s="36"/>
    </row>
    <row r="666" spans="1:35" ht="15.75" hidden="1" customHeight="1" thickBot="1">
      <c r="A666" s="214" t="s">
        <v>0</v>
      </c>
      <c r="B666" s="275"/>
      <c r="C666" s="350"/>
      <c r="D666" s="316"/>
      <c r="E666" s="309"/>
      <c r="F666" s="67">
        <v>1</v>
      </c>
      <c r="G666" s="68" t="s">
        <v>164</v>
      </c>
      <c r="H666" s="69">
        <f t="shared" si="42"/>
        <v>70</v>
      </c>
      <c r="I666" s="214" t="s">
        <v>0</v>
      </c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  <c r="AG666" s="36"/>
      <c r="AH666" s="36"/>
      <c r="AI666" s="36"/>
    </row>
    <row r="667" spans="1:35" ht="15.75" hidden="1" customHeight="1" thickBot="1">
      <c r="A667" s="214" t="s">
        <v>0</v>
      </c>
      <c r="B667" s="276">
        <v>6</v>
      </c>
      <c r="C667" s="349"/>
      <c r="D667" s="123" t="s">
        <v>156</v>
      </c>
      <c r="E667" s="124">
        <v>0.6</v>
      </c>
      <c r="F667" s="58">
        <v>10</v>
      </c>
      <c r="G667" s="59" t="s">
        <v>164</v>
      </c>
      <c r="H667" s="60">
        <v>115</v>
      </c>
      <c r="I667" s="214" t="s">
        <v>0</v>
      </c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  <c r="AG667" s="36"/>
      <c r="AH667" s="36"/>
      <c r="AI667" s="36"/>
    </row>
    <row r="668" spans="1:35" ht="15" hidden="1" customHeight="1">
      <c r="A668" s="214" t="s">
        <v>0</v>
      </c>
      <c r="B668" s="277"/>
      <c r="C668" s="355"/>
      <c r="D668" s="314"/>
      <c r="E668" s="307">
        <f>IF(D668=0,0,VLOOKUP($D668,$F667:$H676,3,FALSE)*$E667)</f>
        <v>0</v>
      </c>
      <c r="F668" s="62">
        <v>9</v>
      </c>
      <c r="G668" s="63" t="s">
        <v>164</v>
      </c>
      <c r="H668" s="64">
        <f>H667-5</f>
        <v>110</v>
      </c>
      <c r="I668" s="214" t="s">
        <v>0</v>
      </c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  <c r="AG668" s="36"/>
      <c r="AH668" s="36"/>
      <c r="AI668" s="36"/>
    </row>
    <row r="669" spans="1:35" ht="15" hidden="1" customHeight="1">
      <c r="A669" s="214" t="s">
        <v>0</v>
      </c>
      <c r="B669" s="277"/>
      <c r="C669" s="355"/>
      <c r="D669" s="315"/>
      <c r="E669" s="308"/>
      <c r="F669" s="62">
        <v>8</v>
      </c>
      <c r="G669" s="63" t="s">
        <v>164</v>
      </c>
      <c r="H669" s="64">
        <f t="shared" ref="H669:H676" si="43">H668-5</f>
        <v>105</v>
      </c>
      <c r="I669" s="214" t="s">
        <v>0</v>
      </c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  <c r="AG669" s="36"/>
      <c r="AH669" s="36"/>
      <c r="AI669" s="36"/>
    </row>
    <row r="670" spans="1:35" ht="15" hidden="1" customHeight="1">
      <c r="A670" s="214" t="s">
        <v>0</v>
      </c>
      <c r="B670" s="277"/>
      <c r="C670" s="355"/>
      <c r="D670" s="315"/>
      <c r="E670" s="308"/>
      <c r="F670" s="62">
        <v>7</v>
      </c>
      <c r="G670" s="63" t="s">
        <v>164</v>
      </c>
      <c r="H670" s="64">
        <f t="shared" si="43"/>
        <v>100</v>
      </c>
      <c r="I670" s="214" t="s">
        <v>0</v>
      </c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D670" s="36"/>
      <c r="AE670" s="36"/>
      <c r="AF670" s="36"/>
      <c r="AG670" s="36"/>
      <c r="AH670" s="36"/>
      <c r="AI670" s="36"/>
    </row>
    <row r="671" spans="1:35" ht="15" hidden="1" customHeight="1">
      <c r="A671" s="214" t="s">
        <v>0</v>
      </c>
      <c r="B671" s="277"/>
      <c r="C671" s="355"/>
      <c r="D671" s="315"/>
      <c r="E671" s="308"/>
      <c r="F671" s="62">
        <v>6</v>
      </c>
      <c r="G671" s="63" t="s">
        <v>164</v>
      </c>
      <c r="H671" s="64">
        <f t="shared" si="43"/>
        <v>95</v>
      </c>
      <c r="I671" s="214" t="s">
        <v>0</v>
      </c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  <c r="AG671" s="36"/>
      <c r="AH671" s="36"/>
      <c r="AI671" s="36"/>
    </row>
    <row r="672" spans="1:35" ht="15" hidden="1" customHeight="1">
      <c r="A672" s="214" t="s">
        <v>0</v>
      </c>
      <c r="B672" s="277"/>
      <c r="C672" s="355"/>
      <c r="D672" s="315"/>
      <c r="E672" s="308"/>
      <c r="F672" s="62">
        <v>5</v>
      </c>
      <c r="G672" s="63" t="s">
        <v>164</v>
      </c>
      <c r="H672" s="64">
        <f t="shared" si="43"/>
        <v>90</v>
      </c>
      <c r="I672" s="214" t="s">
        <v>0</v>
      </c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36"/>
      <c r="AI672" s="36"/>
    </row>
    <row r="673" spans="1:35" ht="15" hidden="1" customHeight="1">
      <c r="A673" s="214" t="s">
        <v>0</v>
      </c>
      <c r="B673" s="277"/>
      <c r="C673" s="355"/>
      <c r="D673" s="315"/>
      <c r="E673" s="308"/>
      <c r="F673" s="62">
        <v>4</v>
      </c>
      <c r="G673" s="63" t="s">
        <v>164</v>
      </c>
      <c r="H673" s="64">
        <f t="shared" si="43"/>
        <v>85</v>
      </c>
      <c r="I673" s="214" t="s">
        <v>0</v>
      </c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  <c r="AG673" s="36"/>
      <c r="AH673" s="36"/>
      <c r="AI673" s="36"/>
    </row>
    <row r="674" spans="1:35" ht="15.75" hidden="1" customHeight="1" thickBot="1">
      <c r="A674" s="214" t="s">
        <v>0</v>
      </c>
      <c r="B674" s="278"/>
      <c r="C674" s="350"/>
      <c r="D674" s="315"/>
      <c r="E674" s="308"/>
      <c r="F674" s="62">
        <v>3</v>
      </c>
      <c r="G674" s="63" t="s">
        <v>164</v>
      </c>
      <c r="H674" s="64">
        <f t="shared" si="43"/>
        <v>80</v>
      </c>
      <c r="I674" s="214" t="s">
        <v>0</v>
      </c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  <c r="AG674" s="36"/>
      <c r="AH674" s="36"/>
      <c r="AI674" s="36"/>
    </row>
    <row r="675" spans="1:35" ht="15" hidden="1" customHeight="1">
      <c r="A675" s="214" t="s">
        <v>0</v>
      </c>
      <c r="B675" s="274" t="s">
        <v>158</v>
      </c>
      <c r="C675" s="349"/>
      <c r="D675" s="315"/>
      <c r="E675" s="308"/>
      <c r="F675" s="62">
        <v>2</v>
      </c>
      <c r="G675" s="63" t="s">
        <v>164</v>
      </c>
      <c r="H675" s="64">
        <f t="shared" si="43"/>
        <v>75</v>
      </c>
      <c r="I675" s="214" t="s">
        <v>0</v>
      </c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  <c r="AG675" s="36"/>
      <c r="AH675" s="36"/>
      <c r="AI675" s="36"/>
    </row>
    <row r="676" spans="1:35" ht="15.75" hidden="1" customHeight="1" thickBot="1">
      <c r="A676" s="214" t="s">
        <v>0</v>
      </c>
      <c r="B676" s="275"/>
      <c r="C676" s="350"/>
      <c r="D676" s="316"/>
      <c r="E676" s="309"/>
      <c r="F676" s="67">
        <v>1</v>
      </c>
      <c r="G676" s="68" t="s">
        <v>164</v>
      </c>
      <c r="H676" s="69">
        <f t="shared" si="43"/>
        <v>70</v>
      </c>
      <c r="I676" s="214" t="s">
        <v>0</v>
      </c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  <c r="AG676" s="36"/>
      <c r="AH676" s="36"/>
      <c r="AI676" s="36"/>
    </row>
    <row r="677" spans="1:35" ht="15.75" hidden="1" customHeight="1" thickBot="1">
      <c r="A677" s="214" t="s">
        <v>0</v>
      </c>
      <c r="B677" s="276">
        <v>7</v>
      </c>
      <c r="C677" s="349"/>
      <c r="D677" s="123" t="s">
        <v>156</v>
      </c>
      <c r="E677" s="124">
        <v>0.6</v>
      </c>
      <c r="F677" s="58">
        <v>10</v>
      </c>
      <c r="G677" s="59" t="s">
        <v>164</v>
      </c>
      <c r="H677" s="60">
        <v>115</v>
      </c>
      <c r="I677" s="214" t="s">
        <v>0</v>
      </c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  <c r="AG677" s="36"/>
      <c r="AH677" s="36"/>
      <c r="AI677" s="36"/>
    </row>
    <row r="678" spans="1:35" ht="15" hidden="1" customHeight="1">
      <c r="A678" s="214" t="s">
        <v>0</v>
      </c>
      <c r="B678" s="277"/>
      <c r="C678" s="355"/>
      <c r="D678" s="314"/>
      <c r="E678" s="307">
        <f>IF(D678=0,0,VLOOKUP($D678,$F677:$H686,3,FALSE)*$E677)</f>
        <v>0</v>
      </c>
      <c r="F678" s="62">
        <v>9</v>
      </c>
      <c r="G678" s="63" t="s">
        <v>164</v>
      </c>
      <c r="H678" s="64">
        <f>H677-5</f>
        <v>110</v>
      </c>
      <c r="I678" s="214" t="s">
        <v>0</v>
      </c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  <c r="AG678" s="36"/>
      <c r="AH678" s="36"/>
      <c r="AI678" s="36"/>
    </row>
    <row r="679" spans="1:35" ht="15" hidden="1" customHeight="1">
      <c r="A679" s="214" t="s">
        <v>0</v>
      </c>
      <c r="B679" s="277"/>
      <c r="C679" s="355"/>
      <c r="D679" s="315"/>
      <c r="E679" s="308"/>
      <c r="F679" s="62">
        <v>8</v>
      </c>
      <c r="G679" s="63" t="s">
        <v>164</v>
      </c>
      <c r="H679" s="64">
        <f t="shared" ref="H679:H686" si="44">H678-5</f>
        <v>105</v>
      </c>
      <c r="I679" s="214" t="s">
        <v>0</v>
      </c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  <c r="AG679" s="36"/>
      <c r="AH679" s="36"/>
      <c r="AI679" s="36"/>
    </row>
    <row r="680" spans="1:35" ht="15" hidden="1" customHeight="1">
      <c r="A680" s="214" t="s">
        <v>0</v>
      </c>
      <c r="B680" s="277"/>
      <c r="C680" s="355"/>
      <c r="D680" s="315"/>
      <c r="E680" s="308"/>
      <c r="F680" s="62">
        <v>7</v>
      </c>
      <c r="G680" s="63" t="s">
        <v>164</v>
      </c>
      <c r="H680" s="64">
        <f t="shared" si="44"/>
        <v>100</v>
      </c>
      <c r="I680" s="214" t="s">
        <v>0</v>
      </c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  <c r="AG680" s="36"/>
      <c r="AH680" s="36"/>
      <c r="AI680" s="36"/>
    </row>
    <row r="681" spans="1:35" ht="15" hidden="1" customHeight="1">
      <c r="A681" s="214" t="s">
        <v>0</v>
      </c>
      <c r="B681" s="277"/>
      <c r="C681" s="355"/>
      <c r="D681" s="315"/>
      <c r="E681" s="308"/>
      <c r="F681" s="62">
        <v>6</v>
      </c>
      <c r="G681" s="63" t="s">
        <v>164</v>
      </c>
      <c r="H681" s="64">
        <f t="shared" si="44"/>
        <v>95</v>
      </c>
      <c r="I681" s="214" t="s">
        <v>0</v>
      </c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  <c r="AG681" s="36"/>
      <c r="AH681" s="36"/>
      <c r="AI681" s="36"/>
    </row>
    <row r="682" spans="1:35" ht="15" hidden="1" customHeight="1">
      <c r="A682" s="214" t="s">
        <v>0</v>
      </c>
      <c r="B682" s="277"/>
      <c r="C682" s="355"/>
      <c r="D682" s="315"/>
      <c r="E682" s="308"/>
      <c r="F682" s="62">
        <v>5</v>
      </c>
      <c r="G682" s="63" t="s">
        <v>164</v>
      </c>
      <c r="H682" s="64">
        <f t="shared" si="44"/>
        <v>90</v>
      </c>
      <c r="I682" s="214" t="s">
        <v>0</v>
      </c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  <c r="AG682" s="36"/>
      <c r="AH682" s="36"/>
      <c r="AI682" s="36"/>
    </row>
    <row r="683" spans="1:35" ht="15" hidden="1" customHeight="1">
      <c r="A683" s="214" t="s">
        <v>0</v>
      </c>
      <c r="B683" s="277"/>
      <c r="C683" s="355"/>
      <c r="D683" s="315"/>
      <c r="E683" s="308"/>
      <c r="F683" s="62">
        <v>4</v>
      </c>
      <c r="G683" s="63" t="s">
        <v>164</v>
      </c>
      <c r="H683" s="64">
        <f t="shared" si="44"/>
        <v>85</v>
      </c>
      <c r="I683" s="214" t="s">
        <v>0</v>
      </c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  <c r="AG683" s="36"/>
      <c r="AH683" s="36"/>
      <c r="AI683" s="36"/>
    </row>
    <row r="684" spans="1:35" ht="15.75" hidden="1" customHeight="1" thickBot="1">
      <c r="A684" s="214" t="s">
        <v>0</v>
      </c>
      <c r="B684" s="278"/>
      <c r="C684" s="350"/>
      <c r="D684" s="315"/>
      <c r="E684" s="308"/>
      <c r="F684" s="62">
        <v>3</v>
      </c>
      <c r="G684" s="63" t="s">
        <v>164</v>
      </c>
      <c r="H684" s="64">
        <f t="shared" si="44"/>
        <v>80</v>
      </c>
      <c r="I684" s="214" t="s">
        <v>0</v>
      </c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  <c r="AG684" s="36"/>
      <c r="AH684" s="36"/>
      <c r="AI684" s="36"/>
    </row>
    <row r="685" spans="1:35" ht="15" hidden="1" customHeight="1">
      <c r="A685" s="214" t="s">
        <v>0</v>
      </c>
      <c r="B685" s="274" t="s">
        <v>158</v>
      </c>
      <c r="C685" s="349"/>
      <c r="D685" s="315"/>
      <c r="E685" s="308"/>
      <c r="F685" s="62">
        <v>2</v>
      </c>
      <c r="G685" s="63" t="s">
        <v>164</v>
      </c>
      <c r="H685" s="64">
        <f t="shared" si="44"/>
        <v>75</v>
      </c>
      <c r="I685" s="214" t="s">
        <v>0</v>
      </c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  <c r="AG685" s="36"/>
      <c r="AH685" s="36"/>
      <c r="AI685" s="36"/>
    </row>
    <row r="686" spans="1:35" ht="15.75" hidden="1" customHeight="1" thickBot="1">
      <c r="A686" s="214" t="s">
        <v>0</v>
      </c>
      <c r="B686" s="275"/>
      <c r="C686" s="350"/>
      <c r="D686" s="316"/>
      <c r="E686" s="309"/>
      <c r="F686" s="67">
        <v>1</v>
      </c>
      <c r="G686" s="68" t="s">
        <v>164</v>
      </c>
      <c r="H686" s="69">
        <f t="shared" si="44"/>
        <v>70</v>
      </c>
      <c r="I686" s="214" t="s">
        <v>0</v>
      </c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  <c r="AG686" s="36"/>
      <c r="AH686" s="36"/>
      <c r="AI686" s="36"/>
    </row>
    <row r="687" spans="1:35" ht="15.75" hidden="1" customHeight="1" thickBot="1">
      <c r="A687" s="214" t="s">
        <v>0</v>
      </c>
      <c r="B687" s="276">
        <v>8</v>
      </c>
      <c r="C687" s="349"/>
      <c r="D687" s="123" t="s">
        <v>156</v>
      </c>
      <c r="E687" s="124">
        <v>0.6</v>
      </c>
      <c r="F687" s="58">
        <v>10</v>
      </c>
      <c r="G687" s="59" t="s">
        <v>164</v>
      </c>
      <c r="H687" s="60">
        <v>115</v>
      </c>
      <c r="I687" s="214" t="s">
        <v>0</v>
      </c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  <c r="AG687" s="36"/>
      <c r="AH687" s="36"/>
      <c r="AI687" s="36"/>
    </row>
    <row r="688" spans="1:35" ht="15" hidden="1" customHeight="1">
      <c r="A688" s="214" t="s">
        <v>0</v>
      </c>
      <c r="B688" s="277"/>
      <c r="C688" s="355"/>
      <c r="D688" s="314"/>
      <c r="E688" s="307">
        <f>IF(D688=0,0,VLOOKUP($D688,$F687:$H696,3,FALSE)*$E687)</f>
        <v>0</v>
      </c>
      <c r="F688" s="62">
        <v>9</v>
      </c>
      <c r="G688" s="63" t="s">
        <v>164</v>
      </c>
      <c r="H688" s="64">
        <f>H687-5</f>
        <v>110</v>
      </c>
      <c r="I688" s="214" t="s">
        <v>0</v>
      </c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  <c r="AG688" s="36"/>
      <c r="AH688" s="36"/>
      <c r="AI688" s="36"/>
    </row>
    <row r="689" spans="1:35" ht="15" hidden="1" customHeight="1">
      <c r="A689" s="214" t="s">
        <v>0</v>
      </c>
      <c r="B689" s="277"/>
      <c r="C689" s="355"/>
      <c r="D689" s="315"/>
      <c r="E689" s="308"/>
      <c r="F689" s="62">
        <v>8</v>
      </c>
      <c r="G689" s="63" t="s">
        <v>164</v>
      </c>
      <c r="H689" s="64">
        <f t="shared" ref="H689:H696" si="45">H688-5</f>
        <v>105</v>
      </c>
      <c r="I689" s="214" t="s">
        <v>0</v>
      </c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  <c r="AG689" s="36"/>
      <c r="AH689" s="36"/>
      <c r="AI689" s="36"/>
    </row>
    <row r="690" spans="1:35" ht="15" hidden="1" customHeight="1">
      <c r="A690" s="214" t="s">
        <v>0</v>
      </c>
      <c r="B690" s="277"/>
      <c r="C690" s="355"/>
      <c r="D690" s="315"/>
      <c r="E690" s="308"/>
      <c r="F690" s="62">
        <v>7</v>
      </c>
      <c r="G690" s="63" t="s">
        <v>164</v>
      </c>
      <c r="H690" s="64">
        <f t="shared" si="45"/>
        <v>100</v>
      </c>
      <c r="I690" s="214" t="s">
        <v>0</v>
      </c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  <c r="AG690" s="36"/>
      <c r="AH690" s="36"/>
      <c r="AI690" s="36"/>
    </row>
    <row r="691" spans="1:35" ht="15" hidden="1" customHeight="1">
      <c r="A691" s="214" t="s">
        <v>0</v>
      </c>
      <c r="B691" s="277"/>
      <c r="C691" s="355"/>
      <c r="D691" s="315"/>
      <c r="E691" s="308"/>
      <c r="F691" s="62">
        <v>6</v>
      </c>
      <c r="G691" s="63" t="s">
        <v>164</v>
      </c>
      <c r="H691" s="64">
        <f t="shared" si="45"/>
        <v>95</v>
      </c>
      <c r="I691" s="214" t="s">
        <v>0</v>
      </c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  <c r="AG691" s="36"/>
      <c r="AH691" s="36"/>
      <c r="AI691" s="36"/>
    </row>
    <row r="692" spans="1:35" ht="15" hidden="1" customHeight="1">
      <c r="A692" s="214" t="s">
        <v>0</v>
      </c>
      <c r="B692" s="277"/>
      <c r="C692" s="355"/>
      <c r="D692" s="315"/>
      <c r="E692" s="308"/>
      <c r="F692" s="62">
        <v>5</v>
      </c>
      <c r="G692" s="63" t="s">
        <v>164</v>
      </c>
      <c r="H692" s="64">
        <f t="shared" si="45"/>
        <v>90</v>
      </c>
      <c r="I692" s="214" t="s">
        <v>0</v>
      </c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  <c r="AG692" s="36"/>
      <c r="AH692" s="36"/>
      <c r="AI692" s="36"/>
    </row>
    <row r="693" spans="1:35" ht="15" hidden="1" customHeight="1">
      <c r="A693" s="214" t="s">
        <v>0</v>
      </c>
      <c r="B693" s="277"/>
      <c r="C693" s="355"/>
      <c r="D693" s="315"/>
      <c r="E693" s="308"/>
      <c r="F693" s="62">
        <v>4</v>
      </c>
      <c r="G693" s="63" t="s">
        <v>164</v>
      </c>
      <c r="H693" s="64">
        <f t="shared" si="45"/>
        <v>85</v>
      </c>
      <c r="I693" s="214" t="s">
        <v>0</v>
      </c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  <c r="AG693" s="36"/>
      <c r="AH693" s="36"/>
      <c r="AI693" s="36"/>
    </row>
    <row r="694" spans="1:35" ht="15.75" hidden="1" customHeight="1" thickBot="1">
      <c r="A694" s="214" t="s">
        <v>0</v>
      </c>
      <c r="B694" s="278"/>
      <c r="C694" s="350"/>
      <c r="D694" s="315"/>
      <c r="E694" s="308"/>
      <c r="F694" s="62">
        <v>3</v>
      </c>
      <c r="G694" s="63" t="s">
        <v>164</v>
      </c>
      <c r="H694" s="64">
        <f t="shared" si="45"/>
        <v>80</v>
      </c>
      <c r="I694" s="214" t="s">
        <v>0</v>
      </c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  <c r="AG694" s="36"/>
      <c r="AH694" s="36"/>
      <c r="AI694" s="36"/>
    </row>
    <row r="695" spans="1:35" ht="15" hidden="1" customHeight="1">
      <c r="A695" s="214" t="s">
        <v>0</v>
      </c>
      <c r="B695" s="274" t="s">
        <v>158</v>
      </c>
      <c r="C695" s="349"/>
      <c r="D695" s="315"/>
      <c r="E695" s="308"/>
      <c r="F695" s="62">
        <v>2</v>
      </c>
      <c r="G695" s="63" t="s">
        <v>164</v>
      </c>
      <c r="H695" s="64">
        <f t="shared" si="45"/>
        <v>75</v>
      </c>
      <c r="I695" s="214" t="s">
        <v>0</v>
      </c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  <c r="AG695" s="36"/>
      <c r="AH695" s="36"/>
      <c r="AI695" s="36"/>
    </row>
    <row r="696" spans="1:35" ht="15.75" hidden="1" customHeight="1" thickBot="1">
      <c r="A696" s="214" t="s">
        <v>0</v>
      </c>
      <c r="B696" s="275"/>
      <c r="C696" s="350"/>
      <c r="D696" s="316"/>
      <c r="E696" s="309"/>
      <c r="F696" s="67">
        <v>1</v>
      </c>
      <c r="G696" s="68" t="s">
        <v>164</v>
      </c>
      <c r="H696" s="69">
        <f t="shared" si="45"/>
        <v>70</v>
      </c>
      <c r="I696" s="214" t="s">
        <v>0</v>
      </c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  <c r="AG696" s="36"/>
      <c r="AH696" s="36"/>
      <c r="AI696" s="36"/>
    </row>
    <row r="697" spans="1:35" ht="15.75" hidden="1" customHeight="1" thickBot="1">
      <c r="A697" s="214" t="s">
        <v>0</v>
      </c>
      <c r="B697" s="276">
        <v>9</v>
      </c>
      <c r="C697" s="349"/>
      <c r="D697" s="123" t="s">
        <v>156</v>
      </c>
      <c r="E697" s="124">
        <v>0.6</v>
      </c>
      <c r="F697" s="58">
        <v>10</v>
      </c>
      <c r="G697" s="59" t="s">
        <v>164</v>
      </c>
      <c r="H697" s="60">
        <v>115</v>
      </c>
      <c r="I697" s="214" t="s">
        <v>0</v>
      </c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  <c r="AG697" s="36"/>
      <c r="AH697" s="36"/>
      <c r="AI697" s="36"/>
    </row>
    <row r="698" spans="1:35" ht="15" hidden="1" customHeight="1">
      <c r="A698" s="214" t="s">
        <v>0</v>
      </c>
      <c r="B698" s="277"/>
      <c r="C698" s="355"/>
      <c r="D698" s="314"/>
      <c r="E698" s="307">
        <f>IF(D698=0,0,VLOOKUP($D698,$F697:$H706,3,FALSE)*$E697)</f>
        <v>0</v>
      </c>
      <c r="F698" s="62">
        <v>9</v>
      </c>
      <c r="G698" s="63" t="s">
        <v>164</v>
      </c>
      <c r="H698" s="64">
        <f>H697-5</f>
        <v>110</v>
      </c>
      <c r="I698" s="214" t="s">
        <v>0</v>
      </c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  <c r="AG698" s="36"/>
      <c r="AH698" s="36"/>
      <c r="AI698" s="36"/>
    </row>
    <row r="699" spans="1:35" ht="15" hidden="1" customHeight="1">
      <c r="A699" s="214" t="s">
        <v>0</v>
      </c>
      <c r="B699" s="277"/>
      <c r="C699" s="355"/>
      <c r="D699" s="315"/>
      <c r="E699" s="308"/>
      <c r="F699" s="62">
        <v>8</v>
      </c>
      <c r="G699" s="63" t="s">
        <v>164</v>
      </c>
      <c r="H699" s="64">
        <f t="shared" ref="H699:H706" si="46">H698-5</f>
        <v>105</v>
      </c>
      <c r="I699" s="214" t="s">
        <v>0</v>
      </c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  <c r="AG699" s="36"/>
      <c r="AH699" s="36"/>
      <c r="AI699" s="36"/>
    </row>
    <row r="700" spans="1:35" ht="15" hidden="1" customHeight="1">
      <c r="A700" s="214" t="s">
        <v>0</v>
      </c>
      <c r="B700" s="277"/>
      <c r="C700" s="355"/>
      <c r="D700" s="315"/>
      <c r="E700" s="308"/>
      <c r="F700" s="62">
        <v>7</v>
      </c>
      <c r="G700" s="63" t="s">
        <v>164</v>
      </c>
      <c r="H700" s="64">
        <f t="shared" si="46"/>
        <v>100</v>
      </c>
      <c r="I700" s="214" t="s">
        <v>0</v>
      </c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  <c r="AG700" s="36"/>
      <c r="AH700" s="36"/>
      <c r="AI700" s="36"/>
    </row>
    <row r="701" spans="1:35" ht="15" hidden="1" customHeight="1">
      <c r="A701" s="214" t="s">
        <v>0</v>
      </c>
      <c r="B701" s="277"/>
      <c r="C701" s="355"/>
      <c r="D701" s="315"/>
      <c r="E701" s="308"/>
      <c r="F701" s="62">
        <v>6</v>
      </c>
      <c r="G701" s="63" t="s">
        <v>164</v>
      </c>
      <c r="H701" s="64">
        <f t="shared" si="46"/>
        <v>95</v>
      </c>
      <c r="I701" s="214" t="s">
        <v>0</v>
      </c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36"/>
      <c r="AE701" s="36"/>
      <c r="AF701" s="36"/>
      <c r="AG701" s="36"/>
      <c r="AH701" s="36"/>
      <c r="AI701" s="36"/>
    </row>
    <row r="702" spans="1:35" ht="15" hidden="1" customHeight="1">
      <c r="A702" s="214" t="s">
        <v>0</v>
      </c>
      <c r="B702" s="277"/>
      <c r="C702" s="355"/>
      <c r="D702" s="315"/>
      <c r="E702" s="308"/>
      <c r="F702" s="62">
        <v>5</v>
      </c>
      <c r="G702" s="63" t="s">
        <v>164</v>
      </c>
      <c r="H702" s="64">
        <f t="shared" si="46"/>
        <v>90</v>
      </c>
      <c r="I702" s="214" t="s">
        <v>0</v>
      </c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  <c r="AG702" s="36"/>
      <c r="AH702" s="36"/>
      <c r="AI702" s="36"/>
    </row>
    <row r="703" spans="1:35" ht="15" hidden="1" customHeight="1">
      <c r="A703" s="214" t="s">
        <v>0</v>
      </c>
      <c r="B703" s="277"/>
      <c r="C703" s="355"/>
      <c r="D703" s="315"/>
      <c r="E703" s="308"/>
      <c r="F703" s="62">
        <v>4</v>
      </c>
      <c r="G703" s="63" t="s">
        <v>164</v>
      </c>
      <c r="H703" s="64">
        <f t="shared" si="46"/>
        <v>85</v>
      </c>
      <c r="I703" s="214" t="s">
        <v>0</v>
      </c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  <c r="AG703" s="36"/>
      <c r="AH703" s="36"/>
      <c r="AI703" s="36"/>
    </row>
    <row r="704" spans="1:35" ht="15.75" hidden="1" customHeight="1" thickBot="1">
      <c r="A704" s="214" t="s">
        <v>0</v>
      </c>
      <c r="B704" s="278"/>
      <c r="C704" s="350"/>
      <c r="D704" s="315"/>
      <c r="E704" s="308"/>
      <c r="F704" s="62">
        <v>3</v>
      </c>
      <c r="G704" s="63" t="s">
        <v>164</v>
      </c>
      <c r="H704" s="64">
        <f t="shared" si="46"/>
        <v>80</v>
      </c>
      <c r="I704" s="214" t="s">
        <v>0</v>
      </c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  <c r="AG704" s="36"/>
      <c r="AH704" s="36"/>
      <c r="AI704" s="36"/>
    </row>
    <row r="705" spans="1:35" ht="15" hidden="1" customHeight="1">
      <c r="A705" s="214" t="s">
        <v>0</v>
      </c>
      <c r="B705" s="274" t="s">
        <v>158</v>
      </c>
      <c r="C705" s="349"/>
      <c r="D705" s="315"/>
      <c r="E705" s="308"/>
      <c r="F705" s="62">
        <v>2</v>
      </c>
      <c r="G705" s="63" t="s">
        <v>164</v>
      </c>
      <c r="H705" s="64">
        <f t="shared" si="46"/>
        <v>75</v>
      </c>
      <c r="I705" s="214" t="s">
        <v>0</v>
      </c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  <c r="AG705" s="36"/>
      <c r="AH705" s="36"/>
      <c r="AI705" s="36"/>
    </row>
    <row r="706" spans="1:35" ht="15.75" hidden="1" customHeight="1" thickBot="1">
      <c r="A706" s="214" t="s">
        <v>0</v>
      </c>
      <c r="B706" s="275"/>
      <c r="C706" s="350"/>
      <c r="D706" s="316"/>
      <c r="E706" s="309"/>
      <c r="F706" s="67">
        <v>1</v>
      </c>
      <c r="G706" s="68" t="s">
        <v>164</v>
      </c>
      <c r="H706" s="69">
        <f t="shared" si="46"/>
        <v>70</v>
      </c>
      <c r="I706" s="214" t="s">
        <v>0</v>
      </c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  <c r="AG706" s="36"/>
      <c r="AH706" s="36"/>
      <c r="AI706" s="36"/>
    </row>
    <row r="707" spans="1:35" ht="15.75" hidden="1" customHeight="1" thickBot="1">
      <c r="A707" s="214" t="s">
        <v>0</v>
      </c>
      <c r="B707" s="279">
        <v>10</v>
      </c>
      <c r="C707" s="349"/>
      <c r="D707" s="123" t="s">
        <v>156</v>
      </c>
      <c r="E707" s="124">
        <v>0.6</v>
      </c>
      <c r="F707" s="70">
        <v>10</v>
      </c>
      <c r="G707" s="71" t="s">
        <v>164</v>
      </c>
      <c r="H707" s="72">
        <v>115</v>
      </c>
      <c r="I707" s="214" t="s">
        <v>0</v>
      </c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  <c r="AG707" s="36"/>
      <c r="AH707" s="36"/>
      <c r="AI707" s="36"/>
    </row>
    <row r="708" spans="1:35" ht="15" hidden="1" customHeight="1">
      <c r="A708" s="214" t="s">
        <v>0</v>
      </c>
      <c r="B708" s="277"/>
      <c r="C708" s="355"/>
      <c r="D708" s="314"/>
      <c r="E708" s="307">
        <f>IF(D708=0,0,VLOOKUP($D708,$F707:$H716,3,FALSE)*$E707)</f>
        <v>0</v>
      </c>
      <c r="F708" s="62">
        <v>9</v>
      </c>
      <c r="G708" s="63" t="s">
        <v>164</v>
      </c>
      <c r="H708" s="64">
        <f>H707-5</f>
        <v>110</v>
      </c>
      <c r="I708" s="214" t="s">
        <v>0</v>
      </c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  <c r="AG708" s="36"/>
      <c r="AH708" s="36"/>
      <c r="AI708" s="36"/>
    </row>
    <row r="709" spans="1:35" ht="15" hidden="1" customHeight="1">
      <c r="A709" s="214" t="s">
        <v>0</v>
      </c>
      <c r="B709" s="277"/>
      <c r="C709" s="355"/>
      <c r="D709" s="315"/>
      <c r="E709" s="308"/>
      <c r="F709" s="62">
        <v>8</v>
      </c>
      <c r="G709" s="63" t="s">
        <v>164</v>
      </c>
      <c r="H709" s="64">
        <f t="shared" ref="H709:H716" si="47">H708-5</f>
        <v>105</v>
      </c>
      <c r="I709" s="214" t="s">
        <v>0</v>
      </c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  <c r="AG709" s="36"/>
      <c r="AH709" s="36"/>
      <c r="AI709" s="36"/>
    </row>
    <row r="710" spans="1:35" ht="15" hidden="1" customHeight="1">
      <c r="A710" s="214" t="s">
        <v>0</v>
      </c>
      <c r="B710" s="277"/>
      <c r="C710" s="355"/>
      <c r="D710" s="315"/>
      <c r="E710" s="308"/>
      <c r="F710" s="62">
        <v>7</v>
      </c>
      <c r="G710" s="63" t="s">
        <v>164</v>
      </c>
      <c r="H710" s="64">
        <f t="shared" si="47"/>
        <v>100</v>
      </c>
      <c r="I710" s="214" t="s">
        <v>0</v>
      </c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  <c r="AG710" s="36"/>
      <c r="AH710" s="36"/>
      <c r="AI710" s="36"/>
    </row>
    <row r="711" spans="1:35" ht="15" hidden="1" customHeight="1">
      <c r="A711" s="214" t="s">
        <v>0</v>
      </c>
      <c r="B711" s="277"/>
      <c r="C711" s="355"/>
      <c r="D711" s="315"/>
      <c r="E711" s="308"/>
      <c r="F711" s="62">
        <v>6</v>
      </c>
      <c r="G711" s="63" t="s">
        <v>164</v>
      </c>
      <c r="H711" s="64">
        <f t="shared" si="47"/>
        <v>95</v>
      </c>
      <c r="I711" s="214" t="s">
        <v>0</v>
      </c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  <c r="AG711" s="36"/>
      <c r="AH711" s="36"/>
      <c r="AI711" s="36"/>
    </row>
    <row r="712" spans="1:35" ht="15" hidden="1" customHeight="1">
      <c r="A712" s="214" t="s">
        <v>0</v>
      </c>
      <c r="B712" s="277"/>
      <c r="C712" s="355"/>
      <c r="D712" s="315"/>
      <c r="E712" s="308"/>
      <c r="F712" s="62">
        <v>5</v>
      </c>
      <c r="G712" s="63" t="s">
        <v>164</v>
      </c>
      <c r="H712" s="64">
        <f t="shared" si="47"/>
        <v>90</v>
      </c>
      <c r="I712" s="214" t="s">
        <v>0</v>
      </c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  <c r="AG712" s="36"/>
      <c r="AH712" s="36"/>
      <c r="AI712" s="36"/>
    </row>
    <row r="713" spans="1:35" ht="15" hidden="1" customHeight="1">
      <c r="A713" s="214" t="s">
        <v>0</v>
      </c>
      <c r="B713" s="277"/>
      <c r="C713" s="355"/>
      <c r="D713" s="315"/>
      <c r="E713" s="308"/>
      <c r="F713" s="62">
        <v>4</v>
      </c>
      <c r="G713" s="63" t="s">
        <v>164</v>
      </c>
      <c r="H713" s="64">
        <f t="shared" si="47"/>
        <v>85</v>
      </c>
      <c r="I713" s="214" t="s">
        <v>0</v>
      </c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  <c r="AG713" s="36"/>
      <c r="AH713" s="36"/>
      <c r="AI713" s="36"/>
    </row>
    <row r="714" spans="1:35" ht="15.75" hidden="1" customHeight="1" thickBot="1">
      <c r="A714" s="214" t="s">
        <v>0</v>
      </c>
      <c r="B714" s="278"/>
      <c r="C714" s="350"/>
      <c r="D714" s="315"/>
      <c r="E714" s="308"/>
      <c r="F714" s="62">
        <v>3</v>
      </c>
      <c r="G714" s="63" t="s">
        <v>164</v>
      </c>
      <c r="H714" s="64">
        <f t="shared" si="47"/>
        <v>80</v>
      </c>
      <c r="I714" s="214" t="s">
        <v>0</v>
      </c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  <c r="AG714" s="36"/>
      <c r="AH714" s="36"/>
      <c r="AI714" s="36"/>
    </row>
    <row r="715" spans="1:35" ht="15" hidden="1" customHeight="1">
      <c r="A715" s="214" t="s">
        <v>0</v>
      </c>
      <c r="B715" s="274" t="s">
        <v>158</v>
      </c>
      <c r="C715" s="349"/>
      <c r="D715" s="315"/>
      <c r="E715" s="308"/>
      <c r="F715" s="62">
        <v>2</v>
      </c>
      <c r="G715" s="63" t="s">
        <v>164</v>
      </c>
      <c r="H715" s="64">
        <f t="shared" si="47"/>
        <v>75</v>
      </c>
      <c r="I715" s="214" t="s">
        <v>0</v>
      </c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  <c r="AG715" s="36"/>
      <c r="AH715" s="36"/>
      <c r="AI715" s="36"/>
    </row>
    <row r="716" spans="1:35" ht="15.75" hidden="1" customHeight="1" thickBot="1">
      <c r="A716" s="214" t="s">
        <v>0</v>
      </c>
      <c r="B716" s="275"/>
      <c r="C716" s="350"/>
      <c r="D716" s="316"/>
      <c r="E716" s="309"/>
      <c r="F716" s="67">
        <v>1</v>
      </c>
      <c r="G716" s="68" t="s">
        <v>164</v>
      </c>
      <c r="H716" s="69">
        <f t="shared" si="47"/>
        <v>70</v>
      </c>
      <c r="I716" s="214" t="s">
        <v>0</v>
      </c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  <c r="AG716" s="36"/>
      <c r="AH716" s="36"/>
      <c r="AI716" s="36"/>
    </row>
    <row r="717" spans="1:35" ht="15" hidden="1" customHeight="1">
      <c r="A717" s="214" t="s">
        <v>0</v>
      </c>
      <c r="B717" s="214" t="s">
        <v>0</v>
      </c>
      <c r="C717" s="214" t="s">
        <v>0</v>
      </c>
      <c r="D717" s="214" t="s">
        <v>0</v>
      </c>
      <c r="E717" s="214" t="s">
        <v>0</v>
      </c>
      <c r="F717" s="214" t="s">
        <v>0</v>
      </c>
      <c r="G717" s="214" t="s">
        <v>0</v>
      </c>
      <c r="H717" s="214" t="s">
        <v>0</v>
      </c>
      <c r="I717" s="214" t="s">
        <v>0</v>
      </c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  <c r="AG717" s="36"/>
      <c r="AH717" s="36"/>
      <c r="AI717" s="36"/>
    </row>
    <row r="718" spans="1:35" ht="29.25" hidden="1" customHeight="1" thickBot="1">
      <c r="A718" s="36"/>
      <c r="B718" s="36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  <c r="AG718" s="36"/>
      <c r="AH718" s="36"/>
      <c r="AI718" s="36"/>
    </row>
    <row r="719" spans="1:35" ht="15" hidden="1" customHeight="1">
      <c r="A719" s="36"/>
      <c r="B719" s="48" t="s">
        <v>176</v>
      </c>
      <c r="C719" s="49"/>
      <c r="D719" s="49"/>
      <c r="E719" s="49"/>
      <c r="F719" s="49"/>
      <c r="G719" s="328" t="s">
        <v>8</v>
      </c>
      <c r="H719" s="328"/>
      <c r="I719" s="329"/>
      <c r="J719" s="36"/>
      <c r="K719" s="36"/>
      <c r="L719" s="36"/>
      <c r="M719" s="36"/>
      <c r="N719" s="36"/>
      <c r="O719" s="36">
        <v>7</v>
      </c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D719" s="36"/>
      <c r="AE719" s="36"/>
      <c r="AF719" s="36"/>
      <c r="AG719" s="36"/>
      <c r="AH719" s="36"/>
      <c r="AI719" s="36"/>
    </row>
    <row r="720" spans="1:35" ht="15.75" hidden="1" customHeight="1" thickBot="1">
      <c r="A720" s="36"/>
      <c r="B720" s="50"/>
      <c r="C720" s="51"/>
      <c r="D720" s="51"/>
      <c r="E720" s="51"/>
      <c r="F720" s="51"/>
      <c r="G720" s="336"/>
      <c r="H720" s="337"/>
      <c r="I720" s="338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D720" s="36"/>
      <c r="AE720" s="36"/>
      <c r="AF720" s="36"/>
      <c r="AG720" s="36"/>
      <c r="AH720" s="36"/>
      <c r="AI720" s="36"/>
    </row>
    <row r="721" spans="1:35" ht="15.75" hidden="1" customHeight="1" thickBot="1">
      <c r="A721" s="212" t="s">
        <v>0</v>
      </c>
      <c r="B721" s="36"/>
      <c r="C721" s="36"/>
      <c r="D721" s="36"/>
      <c r="E721" s="36"/>
      <c r="F721" s="36"/>
      <c r="G721" s="36"/>
      <c r="H721" s="36"/>
      <c r="I721" s="212" t="s">
        <v>0</v>
      </c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D721" s="36"/>
      <c r="AE721" s="36"/>
      <c r="AF721" s="36"/>
      <c r="AG721" s="36"/>
      <c r="AH721" s="36"/>
      <c r="AI721" s="36"/>
    </row>
    <row r="722" spans="1:35" ht="15.75" hidden="1" customHeight="1" thickBot="1">
      <c r="A722" s="212" t="s">
        <v>0</v>
      </c>
      <c r="B722" s="52" t="s">
        <v>152</v>
      </c>
      <c r="C722" s="52" t="s">
        <v>153</v>
      </c>
      <c r="D722" s="280" t="s">
        <v>9</v>
      </c>
      <c r="E722" s="281"/>
      <c r="F722" s="282" t="s">
        <v>154</v>
      </c>
      <c r="G722" s="283"/>
      <c r="H722" s="284"/>
      <c r="I722" s="212" t="s">
        <v>0</v>
      </c>
      <c r="J722" s="36"/>
      <c r="K722" s="290" t="s">
        <v>155</v>
      </c>
      <c r="L722" s="291"/>
      <c r="M722" s="292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D722" s="36"/>
      <c r="AE722" s="36"/>
      <c r="AF722" s="36"/>
      <c r="AG722" s="36"/>
      <c r="AH722" s="36"/>
      <c r="AI722" s="36"/>
    </row>
    <row r="723" spans="1:35" ht="15.75" hidden="1" customHeight="1" thickBot="1">
      <c r="A723" s="212" t="s">
        <v>0</v>
      </c>
      <c r="B723" s="276">
        <v>1</v>
      </c>
      <c r="C723" s="349"/>
      <c r="D723" s="123" t="s">
        <v>156</v>
      </c>
      <c r="E723" s="124">
        <v>0.6</v>
      </c>
      <c r="F723" s="58">
        <v>10</v>
      </c>
      <c r="G723" s="59" t="s">
        <v>164</v>
      </c>
      <c r="H723" s="60">
        <v>115</v>
      </c>
      <c r="I723" s="212" t="s">
        <v>0</v>
      </c>
      <c r="J723" s="36"/>
      <c r="K723" s="130" t="s">
        <v>153</v>
      </c>
      <c r="L723" s="131" t="s">
        <v>9</v>
      </c>
      <c r="M723" s="132" t="s">
        <v>158</v>
      </c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D723" s="36"/>
      <c r="AE723" s="36"/>
      <c r="AF723" s="36"/>
      <c r="AG723" s="36"/>
      <c r="AH723" s="36"/>
      <c r="AI723" s="36"/>
    </row>
    <row r="724" spans="1:35" ht="15" hidden="1" customHeight="1">
      <c r="A724" s="212" t="s">
        <v>0</v>
      </c>
      <c r="B724" s="277"/>
      <c r="C724" s="355"/>
      <c r="D724" s="314"/>
      <c r="E724" s="307">
        <f>IF(D724=0,0,VLOOKUP($D724,$F723:$H732,3,FALSE)*$E723)</f>
        <v>0</v>
      </c>
      <c r="F724" s="62">
        <v>9</v>
      </c>
      <c r="G724" s="63" t="s">
        <v>164</v>
      </c>
      <c r="H724" s="64">
        <f>H723-5</f>
        <v>110</v>
      </c>
      <c r="I724" s="212" t="s">
        <v>0</v>
      </c>
      <c r="J724" s="36"/>
      <c r="K724" s="133">
        <v>1</v>
      </c>
      <c r="L724" s="134">
        <f>E724</f>
        <v>0</v>
      </c>
      <c r="M724" s="381">
        <f>SUM(L724:L728)</f>
        <v>0</v>
      </c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D724" s="36"/>
      <c r="AE724" s="36"/>
      <c r="AF724" s="36"/>
      <c r="AG724" s="36"/>
      <c r="AH724" s="36"/>
      <c r="AI724" s="36"/>
    </row>
    <row r="725" spans="1:35" ht="15" hidden="1" customHeight="1">
      <c r="A725" s="212" t="s">
        <v>0</v>
      </c>
      <c r="B725" s="277"/>
      <c r="C725" s="355"/>
      <c r="D725" s="315"/>
      <c r="E725" s="308"/>
      <c r="F725" s="62">
        <v>8</v>
      </c>
      <c r="G725" s="63" t="s">
        <v>164</v>
      </c>
      <c r="H725" s="64">
        <f t="shared" ref="H725:H732" si="48">H724-5</f>
        <v>105</v>
      </c>
      <c r="I725" s="212" t="s">
        <v>0</v>
      </c>
      <c r="J725" s="36"/>
      <c r="K725" s="135">
        <v>2</v>
      </c>
      <c r="L725" s="136">
        <f>E734</f>
        <v>0</v>
      </c>
      <c r="M725" s="381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D725" s="36"/>
      <c r="AE725" s="36"/>
      <c r="AF725" s="36"/>
      <c r="AG725" s="36"/>
      <c r="AH725" s="36"/>
      <c r="AI725" s="36"/>
    </row>
    <row r="726" spans="1:35" ht="15" hidden="1" customHeight="1">
      <c r="A726" s="212" t="s">
        <v>0</v>
      </c>
      <c r="B726" s="277"/>
      <c r="C726" s="355"/>
      <c r="D726" s="315"/>
      <c r="E726" s="308"/>
      <c r="F726" s="62">
        <v>7</v>
      </c>
      <c r="G726" s="63" t="s">
        <v>164</v>
      </c>
      <c r="H726" s="64">
        <f t="shared" si="48"/>
        <v>100</v>
      </c>
      <c r="I726" s="212" t="s">
        <v>0</v>
      </c>
      <c r="J726" s="36"/>
      <c r="K726" s="135">
        <v>3</v>
      </c>
      <c r="L726" s="136">
        <f>E744</f>
        <v>0</v>
      </c>
      <c r="M726" s="381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D726" s="36"/>
      <c r="AE726" s="36"/>
      <c r="AF726" s="36"/>
      <c r="AG726" s="36"/>
      <c r="AH726" s="36"/>
      <c r="AI726" s="36"/>
    </row>
    <row r="727" spans="1:35" ht="15" hidden="1" customHeight="1">
      <c r="A727" s="212" t="s">
        <v>0</v>
      </c>
      <c r="B727" s="277"/>
      <c r="C727" s="355"/>
      <c r="D727" s="315"/>
      <c r="E727" s="308"/>
      <c r="F727" s="62">
        <v>6</v>
      </c>
      <c r="G727" s="63" t="s">
        <v>164</v>
      </c>
      <c r="H727" s="64">
        <f t="shared" si="48"/>
        <v>95</v>
      </c>
      <c r="I727" s="212" t="s">
        <v>0</v>
      </c>
      <c r="J727" s="36"/>
      <c r="K727" s="135">
        <v>4</v>
      </c>
      <c r="L727" s="136">
        <f>E754</f>
        <v>0</v>
      </c>
      <c r="M727" s="381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D727" s="36"/>
      <c r="AE727" s="36"/>
      <c r="AF727" s="36"/>
      <c r="AG727" s="36"/>
      <c r="AH727" s="36"/>
      <c r="AI727" s="36"/>
    </row>
    <row r="728" spans="1:35" ht="15.75" hidden="1" customHeight="1" thickBot="1">
      <c r="A728" s="212" t="s">
        <v>0</v>
      </c>
      <c r="B728" s="277"/>
      <c r="C728" s="355"/>
      <c r="D728" s="315"/>
      <c r="E728" s="308"/>
      <c r="F728" s="62">
        <v>5</v>
      </c>
      <c r="G728" s="63" t="s">
        <v>164</v>
      </c>
      <c r="H728" s="64">
        <f t="shared" si="48"/>
        <v>90</v>
      </c>
      <c r="I728" s="212" t="s">
        <v>0</v>
      </c>
      <c r="J728" s="36"/>
      <c r="K728" s="137">
        <v>5</v>
      </c>
      <c r="L728" s="138">
        <f>E764</f>
        <v>0</v>
      </c>
      <c r="M728" s="382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D728" s="36"/>
      <c r="AE728" s="36"/>
      <c r="AF728" s="36"/>
      <c r="AG728" s="36"/>
      <c r="AH728" s="36"/>
      <c r="AI728" s="36"/>
    </row>
    <row r="729" spans="1:35" ht="15.75" hidden="1" customHeight="1" thickBot="1">
      <c r="A729" s="212" t="s">
        <v>0</v>
      </c>
      <c r="B729" s="277"/>
      <c r="C729" s="355"/>
      <c r="D729" s="315"/>
      <c r="E729" s="308"/>
      <c r="F729" s="62">
        <v>4</v>
      </c>
      <c r="G729" s="63" t="s">
        <v>164</v>
      </c>
      <c r="H729" s="64">
        <f t="shared" si="48"/>
        <v>85</v>
      </c>
      <c r="I729" s="212" t="s">
        <v>0</v>
      </c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D729" s="36"/>
      <c r="AE729" s="36"/>
      <c r="AF729" s="36"/>
      <c r="AG729" s="36"/>
      <c r="AH729" s="36"/>
      <c r="AI729" s="36"/>
    </row>
    <row r="730" spans="1:35" ht="15.75" hidden="1" customHeight="1" thickBot="1">
      <c r="A730" s="212" t="s">
        <v>0</v>
      </c>
      <c r="B730" s="278"/>
      <c r="C730" s="350"/>
      <c r="D730" s="315"/>
      <c r="E730" s="308"/>
      <c r="F730" s="62">
        <v>3</v>
      </c>
      <c r="G730" s="63" t="s">
        <v>164</v>
      </c>
      <c r="H730" s="64">
        <f t="shared" si="48"/>
        <v>80</v>
      </c>
      <c r="I730" s="212" t="s">
        <v>0</v>
      </c>
      <c r="J730" s="36"/>
      <c r="K730" s="293" t="s">
        <v>93</v>
      </c>
      <c r="L730" s="294"/>
      <c r="M730" s="295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D730" s="36"/>
      <c r="AE730" s="36"/>
      <c r="AF730" s="36"/>
      <c r="AG730" s="36"/>
      <c r="AH730" s="36"/>
      <c r="AI730" s="36"/>
    </row>
    <row r="731" spans="1:35" ht="15.75" hidden="1" customHeight="1" thickBot="1">
      <c r="A731" s="212" t="s">
        <v>0</v>
      </c>
      <c r="B731" s="274" t="s">
        <v>158</v>
      </c>
      <c r="C731" s="349"/>
      <c r="D731" s="315"/>
      <c r="E731" s="308"/>
      <c r="F731" s="62">
        <v>2</v>
      </c>
      <c r="G731" s="63" t="s">
        <v>164</v>
      </c>
      <c r="H731" s="64">
        <f t="shared" si="48"/>
        <v>75</v>
      </c>
      <c r="I731" s="212" t="s">
        <v>0</v>
      </c>
      <c r="J731" s="36"/>
      <c r="K731" s="139" t="s">
        <v>6</v>
      </c>
      <c r="L731" s="140" t="s">
        <v>9</v>
      </c>
      <c r="M731" s="141" t="s">
        <v>158</v>
      </c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D731" s="36"/>
      <c r="AE731" s="36"/>
      <c r="AF731" s="36"/>
      <c r="AG731" s="36"/>
      <c r="AH731" s="36"/>
      <c r="AI731" s="36"/>
    </row>
    <row r="732" spans="1:35" ht="15.75" hidden="1" customHeight="1" thickBot="1">
      <c r="A732" s="212" t="s">
        <v>0</v>
      </c>
      <c r="B732" s="275"/>
      <c r="C732" s="350"/>
      <c r="D732" s="316"/>
      <c r="E732" s="309"/>
      <c r="F732" s="67">
        <v>1</v>
      </c>
      <c r="G732" s="68" t="s">
        <v>164</v>
      </c>
      <c r="H732" s="69">
        <f t="shared" si="48"/>
        <v>70</v>
      </c>
      <c r="I732" s="212" t="s">
        <v>0</v>
      </c>
      <c r="J732" s="36"/>
      <c r="K732" s="133">
        <v>1</v>
      </c>
      <c r="L732" s="134">
        <f>E778</f>
        <v>0</v>
      </c>
      <c r="M732" s="383">
        <f>SUM(L732:L741)</f>
        <v>0</v>
      </c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D732" s="36"/>
      <c r="AE732" s="36"/>
      <c r="AF732" s="36"/>
      <c r="AG732" s="36"/>
      <c r="AH732" s="36"/>
      <c r="AI732" s="36"/>
    </row>
    <row r="733" spans="1:35" ht="15.75" hidden="1" customHeight="1" thickBot="1">
      <c r="A733" s="212" t="s">
        <v>0</v>
      </c>
      <c r="B733" s="276">
        <v>2</v>
      </c>
      <c r="C733" s="349"/>
      <c r="D733" s="123" t="s">
        <v>156</v>
      </c>
      <c r="E733" s="124">
        <v>0.6</v>
      </c>
      <c r="F733" s="58">
        <v>10</v>
      </c>
      <c r="G733" s="59" t="s">
        <v>164</v>
      </c>
      <c r="H733" s="60">
        <v>115</v>
      </c>
      <c r="I733" s="212" t="s">
        <v>0</v>
      </c>
      <c r="J733" s="36"/>
      <c r="K733" s="135">
        <v>2</v>
      </c>
      <c r="L733" s="136">
        <f>E788</f>
        <v>0</v>
      </c>
      <c r="M733" s="381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D733" s="36"/>
      <c r="AE733" s="36"/>
      <c r="AF733" s="36"/>
      <c r="AG733" s="36"/>
      <c r="AH733" s="36"/>
      <c r="AI733" s="36"/>
    </row>
    <row r="734" spans="1:35" ht="15" hidden="1" customHeight="1">
      <c r="A734" s="212" t="s">
        <v>0</v>
      </c>
      <c r="B734" s="277"/>
      <c r="C734" s="355"/>
      <c r="D734" s="314"/>
      <c r="E734" s="307">
        <f>IF(D734=0,0,VLOOKUP($D734,$F733:$H742,3,FALSE)*$E733)</f>
        <v>0</v>
      </c>
      <c r="F734" s="62">
        <v>9</v>
      </c>
      <c r="G734" s="63" t="s">
        <v>164</v>
      </c>
      <c r="H734" s="64">
        <f>H733-5</f>
        <v>110</v>
      </c>
      <c r="I734" s="212" t="s">
        <v>0</v>
      </c>
      <c r="J734" s="36"/>
      <c r="K734" s="135">
        <v>3</v>
      </c>
      <c r="L734" s="136">
        <f>E798</f>
        <v>0</v>
      </c>
      <c r="M734" s="381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D734" s="36"/>
      <c r="AE734" s="36"/>
      <c r="AF734" s="36"/>
      <c r="AG734" s="36"/>
      <c r="AH734" s="36"/>
      <c r="AI734" s="36"/>
    </row>
    <row r="735" spans="1:35" ht="15" hidden="1" customHeight="1">
      <c r="A735" s="212" t="s">
        <v>0</v>
      </c>
      <c r="B735" s="277"/>
      <c r="C735" s="355"/>
      <c r="D735" s="315"/>
      <c r="E735" s="308"/>
      <c r="F735" s="62">
        <v>8</v>
      </c>
      <c r="G735" s="63" t="s">
        <v>164</v>
      </c>
      <c r="H735" s="64">
        <f t="shared" ref="H735:H742" si="49">H734-5</f>
        <v>105</v>
      </c>
      <c r="I735" s="212" t="s">
        <v>0</v>
      </c>
      <c r="J735" s="36"/>
      <c r="K735" s="135">
        <v>4</v>
      </c>
      <c r="L735" s="136">
        <f>E808</f>
        <v>0</v>
      </c>
      <c r="M735" s="381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D735" s="36"/>
      <c r="AE735" s="36"/>
      <c r="AF735" s="36"/>
      <c r="AG735" s="36"/>
      <c r="AH735" s="36"/>
      <c r="AI735" s="36"/>
    </row>
    <row r="736" spans="1:35" ht="15" hidden="1" customHeight="1">
      <c r="A736" s="212" t="s">
        <v>0</v>
      </c>
      <c r="B736" s="277"/>
      <c r="C736" s="355"/>
      <c r="D736" s="315"/>
      <c r="E736" s="308"/>
      <c r="F736" s="62">
        <v>7</v>
      </c>
      <c r="G736" s="63" t="s">
        <v>164</v>
      </c>
      <c r="H736" s="64">
        <f t="shared" si="49"/>
        <v>100</v>
      </c>
      <c r="I736" s="212" t="s">
        <v>0</v>
      </c>
      <c r="J736" s="36"/>
      <c r="K736" s="135">
        <v>5</v>
      </c>
      <c r="L736" s="136">
        <f>E818</f>
        <v>0</v>
      </c>
      <c r="M736" s="381"/>
      <c r="N736" s="36"/>
      <c r="O736" s="36"/>
      <c r="P736" s="36"/>
      <c r="Q736" s="36"/>
      <c r="R736" s="36"/>
      <c r="S736" s="36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D736" s="36"/>
      <c r="AE736" s="36"/>
      <c r="AF736" s="36"/>
      <c r="AG736" s="36"/>
      <c r="AH736" s="36"/>
      <c r="AI736" s="36"/>
    </row>
    <row r="737" spans="1:35" ht="15" hidden="1" customHeight="1">
      <c r="A737" s="212" t="s">
        <v>0</v>
      </c>
      <c r="B737" s="277"/>
      <c r="C737" s="355"/>
      <c r="D737" s="315"/>
      <c r="E737" s="308"/>
      <c r="F737" s="62">
        <v>6</v>
      </c>
      <c r="G737" s="63" t="s">
        <v>164</v>
      </c>
      <c r="H737" s="64">
        <f t="shared" si="49"/>
        <v>95</v>
      </c>
      <c r="I737" s="212" t="s">
        <v>0</v>
      </c>
      <c r="J737" s="36"/>
      <c r="K737" s="133">
        <v>6</v>
      </c>
      <c r="L737" s="136">
        <f>E828</f>
        <v>0</v>
      </c>
      <c r="M737" s="381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D737" s="36"/>
      <c r="AE737" s="36"/>
      <c r="AF737" s="36"/>
      <c r="AG737" s="36"/>
      <c r="AH737" s="36"/>
      <c r="AI737" s="36"/>
    </row>
    <row r="738" spans="1:35" ht="15" hidden="1" customHeight="1">
      <c r="A738" s="212" t="s">
        <v>0</v>
      </c>
      <c r="B738" s="277"/>
      <c r="C738" s="355"/>
      <c r="D738" s="315"/>
      <c r="E738" s="308"/>
      <c r="F738" s="62">
        <v>5</v>
      </c>
      <c r="G738" s="63" t="s">
        <v>164</v>
      </c>
      <c r="H738" s="64">
        <f t="shared" si="49"/>
        <v>90</v>
      </c>
      <c r="I738" s="212" t="s">
        <v>0</v>
      </c>
      <c r="J738" s="36"/>
      <c r="K738" s="135">
        <v>7</v>
      </c>
      <c r="L738" s="136">
        <f>E838</f>
        <v>0</v>
      </c>
      <c r="M738" s="381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D738" s="36"/>
      <c r="AE738" s="36"/>
      <c r="AF738" s="36"/>
      <c r="AG738" s="36"/>
      <c r="AH738" s="36"/>
      <c r="AI738" s="36"/>
    </row>
    <row r="739" spans="1:35" ht="15" hidden="1" customHeight="1">
      <c r="A739" s="212" t="s">
        <v>0</v>
      </c>
      <c r="B739" s="277"/>
      <c r="C739" s="355"/>
      <c r="D739" s="315"/>
      <c r="E739" s="308"/>
      <c r="F739" s="62">
        <v>4</v>
      </c>
      <c r="G739" s="63" t="s">
        <v>164</v>
      </c>
      <c r="H739" s="64">
        <f t="shared" si="49"/>
        <v>85</v>
      </c>
      <c r="I739" s="212" t="s">
        <v>0</v>
      </c>
      <c r="J739" s="36"/>
      <c r="K739" s="135">
        <v>8</v>
      </c>
      <c r="L739" s="136">
        <f>E848</f>
        <v>0</v>
      </c>
      <c r="M739" s="381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D739" s="36"/>
      <c r="AE739" s="36"/>
      <c r="AF739" s="36"/>
      <c r="AG739" s="36"/>
      <c r="AH739" s="36"/>
      <c r="AI739" s="36"/>
    </row>
    <row r="740" spans="1:35" ht="15.75" hidden="1" customHeight="1" thickBot="1">
      <c r="A740" s="212" t="s">
        <v>0</v>
      </c>
      <c r="B740" s="278"/>
      <c r="C740" s="350"/>
      <c r="D740" s="315"/>
      <c r="E740" s="308"/>
      <c r="F740" s="62">
        <v>3</v>
      </c>
      <c r="G740" s="63" t="s">
        <v>164</v>
      </c>
      <c r="H740" s="64">
        <f t="shared" si="49"/>
        <v>80</v>
      </c>
      <c r="I740" s="212" t="s">
        <v>0</v>
      </c>
      <c r="J740" s="36"/>
      <c r="K740" s="135">
        <v>9</v>
      </c>
      <c r="L740" s="136">
        <f>E858</f>
        <v>0</v>
      </c>
      <c r="M740" s="381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D740" s="36"/>
      <c r="AE740" s="36"/>
      <c r="AF740" s="36"/>
      <c r="AG740" s="36"/>
      <c r="AH740" s="36"/>
      <c r="AI740" s="36"/>
    </row>
    <row r="741" spans="1:35" ht="15.75" hidden="1" customHeight="1" thickBot="1">
      <c r="A741" s="212" t="s">
        <v>0</v>
      </c>
      <c r="B741" s="274" t="s">
        <v>158</v>
      </c>
      <c r="C741" s="349"/>
      <c r="D741" s="315"/>
      <c r="E741" s="308"/>
      <c r="F741" s="62">
        <v>2</v>
      </c>
      <c r="G741" s="63" t="s">
        <v>164</v>
      </c>
      <c r="H741" s="64">
        <f t="shared" si="49"/>
        <v>75</v>
      </c>
      <c r="I741" s="212" t="s">
        <v>0</v>
      </c>
      <c r="J741" s="36"/>
      <c r="K741" s="137">
        <v>10</v>
      </c>
      <c r="L741" s="138">
        <f>E868</f>
        <v>0</v>
      </c>
      <c r="M741" s="382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D741" s="36"/>
      <c r="AE741" s="36"/>
      <c r="AF741" s="36"/>
      <c r="AG741" s="36"/>
      <c r="AH741" s="36"/>
      <c r="AI741" s="36"/>
    </row>
    <row r="742" spans="1:35" ht="15.75" hidden="1" customHeight="1" thickBot="1">
      <c r="A742" s="212" t="s">
        <v>0</v>
      </c>
      <c r="B742" s="275"/>
      <c r="C742" s="350"/>
      <c r="D742" s="316"/>
      <c r="E742" s="309"/>
      <c r="F742" s="67">
        <v>1</v>
      </c>
      <c r="G742" s="68" t="s">
        <v>164</v>
      </c>
      <c r="H742" s="69">
        <f t="shared" si="49"/>
        <v>70</v>
      </c>
      <c r="I742" s="212" t="s">
        <v>0</v>
      </c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D742" s="36"/>
      <c r="AE742" s="36"/>
      <c r="AF742" s="36"/>
      <c r="AG742" s="36"/>
      <c r="AH742" s="36"/>
      <c r="AI742" s="36"/>
    </row>
    <row r="743" spans="1:35" ht="15.75" hidden="1" customHeight="1" thickBot="1">
      <c r="A743" s="212" t="s">
        <v>0</v>
      </c>
      <c r="B743" s="276">
        <v>3</v>
      </c>
      <c r="C743" s="349"/>
      <c r="D743" s="123" t="s">
        <v>156</v>
      </c>
      <c r="E743" s="124">
        <v>0.6</v>
      </c>
      <c r="F743" s="58">
        <v>10</v>
      </c>
      <c r="G743" s="59" t="s">
        <v>164</v>
      </c>
      <c r="H743" s="60">
        <v>115</v>
      </c>
      <c r="I743" s="212" t="s">
        <v>0</v>
      </c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D743" s="36"/>
      <c r="AE743" s="36"/>
      <c r="AF743" s="36"/>
      <c r="AG743" s="36"/>
      <c r="AH743" s="36"/>
      <c r="AI743" s="36"/>
    </row>
    <row r="744" spans="1:35" ht="15" hidden="1" customHeight="1">
      <c r="A744" s="212" t="s">
        <v>0</v>
      </c>
      <c r="B744" s="277"/>
      <c r="C744" s="355"/>
      <c r="D744" s="314"/>
      <c r="E744" s="307">
        <f>IF(D744=0,0,VLOOKUP($D744,$F743:$H752,3,FALSE)*$E743)</f>
        <v>0</v>
      </c>
      <c r="F744" s="62">
        <v>9</v>
      </c>
      <c r="G744" s="63" t="s">
        <v>164</v>
      </c>
      <c r="H744" s="64">
        <f>H743-5</f>
        <v>110</v>
      </c>
      <c r="I744" s="212" t="s">
        <v>0</v>
      </c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D744" s="36"/>
      <c r="AE744" s="36"/>
      <c r="AF744" s="36"/>
      <c r="AG744" s="36"/>
      <c r="AH744" s="36"/>
      <c r="AI744" s="36"/>
    </row>
    <row r="745" spans="1:35" ht="15" hidden="1" customHeight="1">
      <c r="A745" s="212" t="s">
        <v>0</v>
      </c>
      <c r="B745" s="277"/>
      <c r="C745" s="355"/>
      <c r="D745" s="315"/>
      <c r="E745" s="308"/>
      <c r="F745" s="62">
        <v>8</v>
      </c>
      <c r="G745" s="63" t="s">
        <v>164</v>
      </c>
      <c r="H745" s="64">
        <f t="shared" ref="H745:H752" si="50">H744-5</f>
        <v>105</v>
      </c>
      <c r="I745" s="212" t="s">
        <v>0</v>
      </c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36"/>
      <c r="AE745" s="36"/>
      <c r="AF745" s="36"/>
      <c r="AG745" s="36"/>
      <c r="AH745" s="36"/>
      <c r="AI745" s="36"/>
    </row>
    <row r="746" spans="1:35" ht="15" hidden="1" customHeight="1">
      <c r="A746" s="212" t="s">
        <v>0</v>
      </c>
      <c r="B746" s="277"/>
      <c r="C746" s="355"/>
      <c r="D746" s="315"/>
      <c r="E746" s="308"/>
      <c r="F746" s="62">
        <v>7</v>
      </c>
      <c r="G746" s="63" t="s">
        <v>164</v>
      </c>
      <c r="H746" s="64">
        <f t="shared" si="50"/>
        <v>100</v>
      </c>
      <c r="I746" s="212" t="s">
        <v>0</v>
      </c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D746" s="36"/>
      <c r="AE746" s="36"/>
      <c r="AF746" s="36"/>
      <c r="AG746" s="36"/>
      <c r="AH746" s="36"/>
      <c r="AI746" s="36"/>
    </row>
    <row r="747" spans="1:35" ht="15" hidden="1" customHeight="1">
      <c r="A747" s="212" t="s">
        <v>0</v>
      </c>
      <c r="B747" s="277"/>
      <c r="C747" s="355"/>
      <c r="D747" s="315"/>
      <c r="E747" s="308"/>
      <c r="F747" s="62">
        <v>6</v>
      </c>
      <c r="G747" s="63" t="s">
        <v>164</v>
      </c>
      <c r="H747" s="64">
        <f t="shared" si="50"/>
        <v>95</v>
      </c>
      <c r="I747" s="212" t="s">
        <v>0</v>
      </c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D747" s="36"/>
      <c r="AE747" s="36"/>
      <c r="AF747" s="36"/>
      <c r="AG747" s="36"/>
      <c r="AH747" s="36"/>
      <c r="AI747" s="36"/>
    </row>
    <row r="748" spans="1:35" ht="15" hidden="1" customHeight="1">
      <c r="A748" s="212" t="s">
        <v>0</v>
      </c>
      <c r="B748" s="277"/>
      <c r="C748" s="355"/>
      <c r="D748" s="315"/>
      <c r="E748" s="308"/>
      <c r="F748" s="62">
        <v>5</v>
      </c>
      <c r="G748" s="63" t="s">
        <v>164</v>
      </c>
      <c r="H748" s="64">
        <f t="shared" si="50"/>
        <v>90</v>
      </c>
      <c r="I748" s="212" t="s">
        <v>0</v>
      </c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D748" s="36"/>
      <c r="AE748" s="36"/>
      <c r="AF748" s="36"/>
      <c r="AG748" s="36"/>
      <c r="AH748" s="36"/>
      <c r="AI748" s="36"/>
    </row>
    <row r="749" spans="1:35" ht="15" hidden="1" customHeight="1">
      <c r="A749" s="212" t="s">
        <v>0</v>
      </c>
      <c r="B749" s="277"/>
      <c r="C749" s="355"/>
      <c r="D749" s="315"/>
      <c r="E749" s="308"/>
      <c r="F749" s="62">
        <v>4</v>
      </c>
      <c r="G749" s="63" t="s">
        <v>164</v>
      </c>
      <c r="H749" s="64">
        <f t="shared" si="50"/>
        <v>85</v>
      </c>
      <c r="I749" s="212" t="s">
        <v>0</v>
      </c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D749" s="36"/>
      <c r="AE749" s="36"/>
      <c r="AF749" s="36"/>
      <c r="AG749" s="36"/>
      <c r="AH749" s="36"/>
      <c r="AI749" s="36"/>
    </row>
    <row r="750" spans="1:35" ht="15.75" hidden="1" customHeight="1" thickBot="1">
      <c r="A750" s="212" t="s">
        <v>0</v>
      </c>
      <c r="B750" s="278"/>
      <c r="C750" s="350"/>
      <c r="D750" s="315"/>
      <c r="E750" s="308"/>
      <c r="F750" s="62">
        <v>3</v>
      </c>
      <c r="G750" s="63" t="s">
        <v>164</v>
      </c>
      <c r="H750" s="64">
        <f t="shared" si="50"/>
        <v>80</v>
      </c>
      <c r="I750" s="212" t="s">
        <v>0</v>
      </c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D750" s="36"/>
      <c r="AE750" s="36"/>
      <c r="AF750" s="36"/>
      <c r="AG750" s="36"/>
      <c r="AH750" s="36"/>
      <c r="AI750" s="36"/>
    </row>
    <row r="751" spans="1:35" ht="51" hidden="1" customHeight="1">
      <c r="A751" s="212" t="s">
        <v>0</v>
      </c>
      <c r="B751" s="274" t="s">
        <v>158</v>
      </c>
      <c r="C751" s="349"/>
      <c r="D751" s="315"/>
      <c r="E751" s="308"/>
      <c r="F751" s="62">
        <v>2</v>
      </c>
      <c r="G751" s="63" t="s">
        <v>164</v>
      </c>
      <c r="H751" s="64">
        <f t="shared" si="50"/>
        <v>75</v>
      </c>
      <c r="I751" s="212" t="s">
        <v>0</v>
      </c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D751" s="36"/>
      <c r="AE751" s="36"/>
      <c r="AF751" s="36"/>
      <c r="AG751" s="36"/>
      <c r="AH751" s="36"/>
      <c r="AI751" s="36"/>
    </row>
    <row r="752" spans="1:35" ht="51" hidden="1" customHeight="1" thickBot="1">
      <c r="A752" s="212" t="s">
        <v>0</v>
      </c>
      <c r="B752" s="275"/>
      <c r="C752" s="350"/>
      <c r="D752" s="316"/>
      <c r="E752" s="309"/>
      <c r="F752" s="67">
        <v>1</v>
      </c>
      <c r="G752" s="68" t="s">
        <v>164</v>
      </c>
      <c r="H752" s="69">
        <f t="shared" si="50"/>
        <v>70</v>
      </c>
      <c r="I752" s="212" t="s">
        <v>0</v>
      </c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D752" s="36"/>
      <c r="AE752" s="36"/>
      <c r="AF752" s="36"/>
      <c r="AG752" s="36"/>
      <c r="AH752" s="36"/>
      <c r="AI752" s="36"/>
    </row>
    <row r="753" spans="1:35" ht="15.75" hidden="1" customHeight="1" thickBot="1">
      <c r="A753" s="212" t="s">
        <v>0</v>
      </c>
      <c r="B753" s="276">
        <v>4</v>
      </c>
      <c r="C753" s="349"/>
      <c r="D753" s="123" t="s">
        <v>156</v>
      </c>
      <c r="E753" s="124">
        <v>0.6</v>
      </c>
      <c r="F753" s="58">
        <v>10</v>
      </c>
      <c r="G753" s="59" t="s">
        <v>164</v>
      </c>
      <c r="H753" s="60">
        <v>115</v>
      </c>
      <c r="I753" s="212" t="s">
        <v>0</v>
      </c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D753" s="36"/>
      <c r="AE753" s="36"/>
      <c r="AF753" s="36"/>
      <c r="AG753" s="36"/>
      <c r="AH753" s="36"/>
      <c r="AI753" s="36"/>
    </row>
    <row r="754" spans="1:35" ht="15" hidden="1" customHeight="1">
      <c r="A754" s="212" t="s">
        <v>0</v>
      </c>
      <c r="B754" s="277"/>
      <c r="C754" s="355"/>
      <c r="D754" s="314"/>
      <c r="E754" s="307">
        <f>IF(D754=0,0,VLOOKUP($D754,$F753:$H762,3,FALSE)*$E753)</f>
        <v>0</v>
      </c>
      <c r="F754" s="62">
        <v>9</v>
      </c>
      <c r="G754" s="63" t="s">
        <v>164</v>
      </c>
      <c r="H754" s="64">
        <f>H753-5</f>
        <v>110</v>
      </c>
      <c r="I754" s="212" t="s">
        <v>0</v>
      </c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D754" s="36"/>
      <c r="AE754" s="36"/>
      <c r="AF754" s="36"/>
      <c r="AG754" s="36"/>
      <c r="AH754" s="36"/>
      <c r="AI754" s="36"/>
    </row>
    <row r="755" spans="1:35" ht="15" hidden="1" customHeight="1">
      <c r="A755" s="212" t="s">
        <v>0</v>
      </c>
      <c r="B755" s="277"/>
      <c r="C755" s="355"/>
      <c r="D755" s="315"/>
      <c r="E755" s="308"/>
      <c r="F755" s="62">
        <v>8</v>
      </c>
      <c r="G755" s="63" t="s">
        <v>164</v>
      </c>
      <c r="H755" s="64">
        <f t="shared" ref="H755:H762" si="51">H754-5</f>
        <v>105</v>
      </c>
      <c r="I755" s="212" t="s">
        <v>0</v>
      </c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D755" s="36"/>
      <c r="AE755" s="36"/>
      <c r="AF755" s="36"/>
      <c r="AG755" s="36"/>
      <c r="AH755" s="36"/>
      <c r="AI755" s="36"/>
    </row>
    <row r="756" spans="1:35" ht="15" hidden="1" customHeight="1">
      <c r="A756" s="212" t="s">
        <v>0</v>
      </c>
      <c r="B756" s="277"/>
      <c r="C756" s="355"/>
      <c r="D756" s="315"/>
      <c r="E756" s="308"/>
      <c r="F756" s="62">
        <v>7</v>
      </c>
      <c r="G756" s="63" t="s">
        <v>164</v>
      </c>
      <c r="H756" s="64">
        <f t="shared" si="51"/>
        <v>100</v>
      </c>
      <c r="I756" s="212" t="s">
        <v>0</v>
      </c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D756" s="36"/>
      <c r="AE756" s="36"/>
      <c r="AF756" s="36"/>
      <c r="AG756" s="36"/>
      <c r="AH756" s="36"/>
      <c r="AI756" s="36"/>
    </row>
    <row r="757" spans="1:35" ht="15" hidden="1" customHeight="1">
      <c r="A757" s="212" t="s">
        <v>0</v>
      </c>
      <c r="B757" s="277"/>
      <c r="C757" s="355"/>
      <c r="D757" s="315"/>
      <c r="E757" s="308"/>
      <c r="F757" s="62">
        <v>6</v>
      </c>
      <c r="G757" s="63" t="s">
        <v>164</v>
      </c>
      <c r="H757" s="64">
        <f t="shared" si="51"/>
        <v>95</v>
      </c>
      <c r="I757" s="212" t="s">
        <v>0</v>
      </c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D757" s="36"/>
      <c r="AE757" s="36"/>
      <c r="AF757" s="36"/>
      <c r="AG757" s="36"/>
      <c r="AH757" s="36"/>
      <c r="AI757" s="36"/>
    </row>
    <row r="758" spans="1:35" ht="15" hidden="1" customHeight="1">
      <c r="A758" s="212" t="s">
        <v>0</v>
      </c>
      <c r="B758" s="277"/>
      <c r="C758" s="355"/>
      <c r="D758" s="315"/>
      <c r="E758" s="308"/>
      <c r="F758" s="62">
        <v>5</v>
      </c>
      <c r="G758" s="63" t="s">
        <v>164</v>
      </c>
      <c r="H758" s="64">
        <f t="shared" si="51"/>
        <v>90</v>
      </c>
      <c r="I758" s="212" t="s">
        <v>0</v>
      </c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D758" s="36"/>
      <c r="AE758" s="36"/>
      <c r="AF758" s="36"/>
      <c r="AG758" s="36"/>
      <c r="AH758" s="36"/>
      <c r="AI758" s="36"/>
    </row>
    <row r="759" spans="1:35" ht="15" hidden="1" customHeight="1">
      <c r="A759" s="212" t="s">
        <v>0</v>
      </c>
      <c r="B759" s="277"/>
      <c r="C759" s="355"/>
      <c r="D759" s="315"/>
      <c r="E759" s="308"/>
      <c r="F759" s="62">
        <v>4</v>
      </c>
      <c r="G759" s="63" t="s">
        <v>164</v>
      </c>
      <c r="H759" s="64">
        <f t="shared" si="51"/>
        <v>85</v>
      </c>
      <c r="I759" s="212" t="s">
        <v>0</v>
      </c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D759" s="36"/>
      <c r="AE759" s="36"/>
      <c r="AF759" s="36"/>
      <c r="AG759" s="36"/>
      <c r="AH759" s="36"/>
      <c r="AI759" s="36"/>
    </row>
    <row r="760" spans="1:35" ht="15.75" hidden="1" customHeight="1" thickBot="1">
      <c r="A760" s="212" t="s">
        <v>0</v>
      </c>
      <c r="B760" s="278"/>
      <c r="C760" s="350"/>
      <c r="D760" s="315"/>
      <c r="E760" s="308"/>
      <c r="F760" s="62">
        <v>3</v>
      </c>
      <c r="G760" s="63" t="s">
        <v>164</v>
      </c>
      <c r="H760" s="64">
        <f t="shared" si="51"/>
        <v>80</v>
      </c>
      <c r="I760" s="212" t="s">
        <v>0</v>
      </c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D760" s="36"/>
      <c r="AE760" s="36"/>
      <c r="AF760" s="36"/>
      <c r="AG760" s="36"/>
      <c r="AH760" s="36"/>
      <c r="AI760" s="36"/>
    </row>
    <row r="761" spans="1:35" ht="15" hidden="1" customHeight="1">
      <c r="A761" s="212" t="s">
        <v>0</v>
      </c>
      <c r="B761" s="274" t="s">
        <v>158</v>
      </c>
      <c r="C761" s="349"/>
      <c r="D761" s="315"/>
      <c r="E761" s="308"/>
      <c r="F761" s="62">
        <v>2</v>
      </c>
      <c r="G761" s="63" t="s">
        <v>164</v>
      </c>
      <c r="H761" s="64">
        <f t="shared" si="51"/>
        <v>75</v>
      </c>
      <c r="I761" s="212" t="s">
        <v>0</v>
      </c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D761" s="36"/>
      <c r="AE761" s="36"/>
      <c r="AF761" s="36"/>
      <c r="AG761" s="36"/>
      <c r="AH761" s="36"/>
      <c r="AI761" s="36"/>
    </row>
    <row r="762" spans="1:35" ht="15.75" hidden="1" customHeight="1" thickBot="1">
      <c r="A762" s="212" t="s">
        <v>0</v>
      </c>
      <c r="B762" s="275"/>
      <c r="C762" s="350"/>
      <c r="D762" s="316"/>
      <c r="E762" s="309"/>
      <c r="F762" s="67">
        <v>1</v>
      </c>
      <c r="G762" s="68" t="s">
        <v>164</v>
      </c>
      <c r="H762" s="69">
        <f t="shared" si="51"/>
        <v>70</v>
      </c>
      <c r="I762" s="212" t="s">
        <v>0</v>
      </c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D762" s="36"/>
      <c r="AE762" s="36"/>
      <c r="AF762" s="36"/>
      <c r="AG762" s="36"/>
      <c r="AH762" s="36"/>
      <c r="AI762" s="36"/>
    </row>
    <row r="763" spans="1:35" ht="15.75" hidden="1" customHeight="1" thickBot="1">
      <c r="A763" s="212" t="s">
        <v>0</v>
      </c>
      <c r="B763" s="279">
        <v>5</v>
      </c>
      <c r="C763" s="349"/>
      <c r="D763" s="123" t="s">
        <v>156</v>
      </c>
      <c r="E763" s="124">
        <v>0.6</v>
      </c>
      <c r="F763" s="70">
        <v>10</v>
      </c>
      <c r="G763" s="71" t="s">
        <v>164</v>
      </c>
      <c r="H763" s="72">
        <v>115</v>
      </c>
      <c r="I763" s="212" t="s">
        <v>0</v>
      </c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D763" s="36"/>
      <c r="AE763" s="36"/>
      <c r="AF763" s="36"/>
      <c r="AG763" s="36"/>
      <c r="AH763" s="36"/>
      <c r="AI763" s="36"/>
    </row>
    <row r="764" spans="1:35" ht="15" hidden="1" customHeight="1">
      <c r="A764" s="212" t="s">
        <v>0</v>
      </c>
      <c r="B764" s="277"/>
      <c r="C764" s="355"/>
      <c r="D764" s="314"/>
      <c r="E764" s="307">
        <f>IF(D764=0,0,VLOOKUP($D764,$F763:$H772,3,FALSE)*$E763)</f>
        <v>0</v>
      </c>
      <c r="F764" s="62">
        <v>9</v>
      </c>
      <c r="G764" s="63" t="s">
        <v>164</v>
      </c>
      <c r="H764" s="64">
        <f>H763-5</f>
        <v>110</v>
      </c>
      <c r="I764" s="212" t="s">
        <v>0</v>
      </c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D764" s="36"/>
      <c r="AE764" s="36"/>
      <c r="AF764" s="36"/>
      <c r="AG764" s="36"/>
      <c r="AH764" s="36"/>
      <c r="AI764" s="36"/>
    </row>
    <row r="765" spans="1:35" ht="15" hidden="1" customHeight="1">
      <c r="A765" s="212" t="s">
        <v>0</v>
      </c>
      <c r="B765" s="277"/>
      <c r="C765" s="355"/>
      <c r="D765" s="315"/>
      <c r="E765" s="308"/>
      <c r="F765" s="62">
        <v>8</v>
      </c>
      <c r="G765" s="63" t="s">
        <v>164</v>
      </c>
      <c r="H765" s="64">
        <f t="shared" ref="H765:H772" si="52">H764-5</f>
        <v>105</v>
      </c>
      <c r="I765" s="212" t="s">
        <v>0</v>
      </c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D765" s="36"/>
      <c r="AE765" s="36"/>
      <c r="AF765" s="36"/>
      <c r="AG765" s="36"/>
      <c r="AH765" s="36"/>
      <c r="AI765" s="36"/>
    </row>
    <row r="766" spans="1:35" ht="15" hidden="1" customHeight="1">
      <c r="A766" s="212" t="s">
        <v>0</v>
      </c>
      <c r="B766" s="277"/>
      <c r="C766" s="355"/>
      <c r="D766" s="315"/>
      <c r="E766" s="308"/>
      <c r="F766" s="62">
        <v>7</v>
      </c>
      <c r="G766" s="63" t="s">
        <v>164</v>
      </c>
      <c r="H766" s="64">
        <f t="shared" si="52"/>
        <v>100</v>
      </c>
      <c r="I766" s="212" t="s">
        <v>0</v>
      </c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D766" s="36"/>
      <c r="AE766" s="36"/>
      <c r="AF766" s="36"/>
      <c r="AG766" s="36"/>
      <c r="AH766" s="36"/>
      <c r="AI766" s="36"/>
    </row>
    <row r="767" spans="1:35" ht="15" hidden="1" customHeight="1">
      <c r="A767" s="212" t="s">
        <v>0</v>
      </c>
      <c r="B767" s="277"/>
      <c r="C767" s="355"/>
      <c r="D767" s="315"/>
      <c r="E767" s="308"/>
      <c r="F767" s="62">
        <v>6</v>
      </c>
      <c r="G767" s="63" t="s">
        <v>164</v>
      </c>
      <c r="H767" s="64">
        <f t="shared" si="52"/>
        <v>95</v>
      </c>
      <c r="I767" s="212" t="s">
        <v>0</v>
      </c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D767" s="36"/>
      <c r="AE767" s="36"/>
      <c r="AF767" s="36"/>
      <c r="AG767" s="36"/>
      <c r="AH767" s="36"/>
      <c r="AI767" s="36"/>
    </row>
    <row r="768" spans="1:35" ht="15" hidden="1" customHeight="1">
      <c r="A768" s="212" t="s">
        <v>0</v>
      </c>
      <c r="B768" s="277"/>
      <c r="C768" s="355"/>
      <c r="D768" s="315"/>
      <c r="E768" s="308"/>
      <c r="F768" s="62">
        <v>5</v>
      </c>
      <c r="G768" s="63" t="s">
        <v>164</v>
      </c>
      <c r="H768" s="64">
        <f t="shared" si="52"/>
        <v>90</v>
      </c>
      <c r="I768" s="212" t="s">
        <v>0</v>
      </c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D768" s="36"/>
      <c r="AE768" s="36"/>
      <c r="AF768" s="36"/>
      <c r="AG768" s="36"/>
      <c r="AH768" s="36"/>
      <c r="AI768" s="36"/>
    </row>
    <row r="769" spans="1:35" ht="15" hidden="1" customHeight="1">
      <c r="A769" s="212" t="s">
        <v>0</v>
      </c>
      <c r="B769" s="277"/>
      <c r="C769" s="355"/>
      <c r="D769" s="315"/>
      <c r="E769" s="308"/>
      <c r="F769" s="62">
        <v>4</v>
      </c>
      <c r="G769" s="63" t="s">
        <v>164</v>
      </c>
      <c r="H769" s="64">
        <f t="shared" si="52"/>
        <v>85</v>
      </c>
      <c r="I769" s="212" t="s">
        <v>0</v>
      </c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D769" s="36"/>
      <c r="AE769" s="36"/>
      <c r="AF769" s="36"/>
      <c r="AG769" s="36"/>
      <c r="AH769" s="36"/>
      <c r="AI769" s="36"/>
    </row>
    <row r="770" spans="1:35" ht="15.75" hidden="1" customHeight="1" thickBot="1">
      <c r="A770" s="212" t="s">
        <v>0</v>
      </c>
      <c r="B770" s="278"/>
      <c r="C770" s="350"/>
      <c r="D770" s="315"/>
      <c r="E770" s="308"/>
      <c r="F770" s="62">
        <v>3</v>
      </c>
      <c r="G770" s="63" t="s">
        <v>164</v>
      </c>
      <c r="H770" s="64">
        <f t="shared" si="52"/>
        <v>80</v>
      </c>
      <c r="I770" s="212" t="s">
        <v>0</v>
      </c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D770" s="36"/>
      <c r="AE770" s="36"/>
      <c r="AF770" s="36"/>
      <c r="AG770" s="36"/>
      <c r="AH770" s="36"/>
      <c r="AI770" s="36"/>
    </row>
    <row r="771" spans="1:35" ht="15" hidden="1" customHeight="1">
      <c r="A771" s="212" t="s">
        <v>0</v>
      </c>
      <c r="B771" s="274" t="s">
        <v>158</v>
      </c>
      <c r="C771" s="349"/>
      <c r="D771" s="315"/>
      <c r="E771" s="308"/>
      <c r="F771" s="62">
        <v>2</v>
      </c>
      <c r="G771" s="63" t="s">
        <v>164</v>
      </c>
      <c r="H771" s="64">
        <f t="shared" si="52"/>
        <v>75</v>
      </c>
      <c r="I771" s="212" t="s">
        <v>0</v>
      </c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D771" s="36"/>
      <c r="AE771" s="36"/>
      <c r="AF771" s="36"/>
      <c r="AG771" s="36"/>
      <c r="AH771" s="36"/>
      <c r="AI771" s="36"/>
    </row>
    <row r="772" spans="1:35" ht="15.75" hidden="1" customHeight="1" thickBot="1">
      <c r="A772" s="212" t="s">
        <v>0</v>
      </c>
      <c r="B772" s="275"/>
      <c r="C772" s="350"/>
      <c r="D772" s="316"/>
      <c r="E772" s="309"/>
      <c r="F772" s="67">
        <v>1</v>
      </c>
      <c r="G772" s="68" t="s">
        <v>164</v>
      </c>
      <c r="H772" s="69">
        <f t="shared" si="52"/>
        <v>70</v>
      </c>
      <c r="I772" s="212" t="s">
        <v>0</v>
      </c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D772" s="36"/>
      <c r="AE772" s="36"/>
      <c r="AF772" s="36"/>
      <c r="AG772" s="36"/>
      <c r="AH772" s="36"/>
      <c r="AI772" s="36"/>
    </row>
    <row r="773" spans="1:35" ht="15.75" hidden="1" customHeight="1" thickBot="1">
      <c r="A773" s="212" t="s">
        <v>0</v>
      </c>
      <c r="B773" s="212" t="s">
        <v>0</v>
      </c>
      <c r="C773" s="212" t="s">
        <v>0</v>
      </c>
      <c r="D773" s="212" t="s">
        <v>0</v>
      </c>
      <c r="E773" s="212" t="s">
        <v>0</v>
      </c>
      <c r="F773" s="212" t="s">
        <v>0</v>
      </c>
      <c r="G773" s="212" t="s">
        <v>0</v>
      </c>
      <c r="H773" s="212" t="s">
        <v>0</v>
      </c>
      <c r="I773" s="212" t="s">
        <v>0</v>
      </c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D773" s="36"/>
      <c r="AE773" s="36"/>
      <c r="AF773" s="36"/>
      <c r="AG773" s="36"/>
      <c r="AH773" s="36"/>
      <c r="AI773" s="36"/>
    </row>
    <row r="774" spans="1:35" ht="15" hidden="1" customHeight="1">
      <c r="A774" s="214" t="s">
        <v>0</v>
      </c>
      <c r="B774" s="119" t="s">
        <v>177</v>
      </c>
      <c r="C774" s="120"/>
      <c r="D774" s="120"/>
      <c r="E774" s="120"/>
      <c r="F774" s="120"/>
      <c r="G774" s="339" t="s">
        <v>8</v>
      </c>
      <c r="H774" s="340"/>
      <c r="I774" s="341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D774" s="36"/>
      <c r="AE774" s="36"/>
      <c r="AF774" s="36"/>
      <c r="AG774" s="36"/>
      <c r="AH774" s="36"/>
      <c r="AI774" s="36"/>
    </row>
    <row r="775" spans="1:35" ht="15.75" hidden="1" customHeight="1" thickBot="1">
      <c r="A775" s="214" t="s">
        <v>0</v>
      </c>
      <c r="B775" s="121"/>
      <c r="C775" s="122"/>
      <c r="D775" s="122"/>
      <c r="E775" s="122"/>
      <c r="F775" s="122"/>
      <c r="G775" s="343"/>
      <c r="H775" s="344"/>
      <c r="I775" s="345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D775" s="36"/>
      <c r="AE775" s="36"/>
      <c r="AF775" s="36"/>
      <c r="AG775" s="36"/>
      <c r="AH775" s="36"/>
      <c r="AI775" s="36"/>
    </row>
    <row r="776" spans="1:35" ht="15.75" hidden="1" customHeight="1" thickBot="1">
      <c r="A776" s="214" t="s">
        <v>0</v>
      </c>
      <c r="B776" s="52" t="s">
        <v>152</v>
      </c>
      <c r="C776" s="52" t="s">
        <v>6</v>
      </c>
      <c r="D776" s="280" t="s">
        <v>9</v>
      </c>
      <c r="E776" s="281"/>
      <c r="F776" s="282" t="s">
        <v>166</v>
      </c>
      <c r="G776" s="283"/>
      <c r="H776" s="284"/>
      <c r="I776" s="214" t="s">
        <v>0</v>
      </c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D776" s="36"/>
      <c r="AE776" s="36"/>
      <c r="AF776" s="36"/>
      <c r="AG776" s="36"/>
      <c r="AH776" s="36"/>
      <c r="AI776" s="36"/>
    </row>
    <row r="777" spans="1:35" ht="15.75" hidden="1" customHeight="1" thickBot="1">
      <c r="A777" s="214" t="s">
        <v>0</v>
      </c>
      <c r="B777" s="276">
        <v>1</v>
      </c>
      <c r="C777" s="349"/>
      <c r="D777" s="123" t="s">
        <v>156</v>
      </c>
      <c r="E777" s="124">
        <v>0.6</v>
      </c>
      <c r="F777" s="58">
        <v>10</v>
      </c>
      <c r="G777" s="59" t="s">
        <v>164</v>
      </c>
      <c r="H777" s="60">
        <v>115</v>
      </c>
      <c r="I777" s="214" t="s">
        <v>0</v>
      </c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D777" s="36"/>
      <c r="AE777" s="36"/>
      <c r="AF777" s="36"/>
      <c r="AG777" s="36"/>
      <c r="AH777" s="36"/>
      <c r="AI777" s="36"/>
    </row>
    <row r="778" spans="1:35" ht="15" hidden="1" customHeight="1">
      <c r="A778" s="214" t="s">
        <v>0</v>
      </c>
      <c r="B778" s="277"/>
      <c r="C778" s="355"/>
      <c r="D778" s="314"/>
      <c r="E778" s="307">
        <f>IF(D778=0,0,VLOOKUP($D778,$F777:$H786,3,FALSE)*$E777)</f>
        <v>0</v>
      </c>
      <c r="F778" s="62">
        <v>9</v>
      </c>
      <c r="G778" s="63" t="s">
        <v>164</v>
      </c>
      <c r="H778" s="64">
        <f>H777-5</f>
        <v>110</v>
      </c>
      <c r="I778" s="214" t="s">
        <v>0</v>
      </c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D778" s="36"/>
      <c r="AE778" s="36"/>
      <c r="AF778" s="36"/>
      <c r="AG778" s="36"/>
      <c r="AH778" s="36"/>
      <c r="AI778" s="36"/>
    </row>
    <row r="779" spans="1:35" ht="15" hidden="1" customHeight="1">
      <c r="A779" s="214" t="s">
        <v>0</v>
      </c>
      <c r="B779" s="277"/>
      <c r="C779" s="355"/>
      <c r="D779" s="315"/>
      <c r="E779" s="308"/>
      <c r="F779" s="62">
        <v>8</v>
      </c>
      <c r="G779" s="63" t="s">
        <v>164</v>
      </c>
      <c r="H779" s="64">
        <f t="shared" ref="H779:H786" si="53">H778-5</f>
        <v>105</v>
      </c>
      <c r="I779" s="214" t="s">
        <v>0</v>
      </c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D779" s="36"/>
      <c r="AE779" s="36"/>
      <c r="AF779" s="36"/>
      <c r="AG779" s="36"/>
      <c r="AH779" s="36"/>
      <c r="AI779" s="36"/>
    </row>
    <row r="780" spans="1:35" ht="15" hidden="1" customHeight="1">
      <c r="A780" s="214" t="s">
        <v>0</v>
      </c>
      <c r="B780" s="277"/>
      <c r="C780" s="355"/>
      <c r="D780" s="315"/>
      <c r="E780" s="308"/>
      <c r="F780" s="62">
        <v>7</v>
      </c>
      <c r="G780" s="63" t="s">
        <v>164</v>
      </c>
      <c r="H780" s="64">
        <f t="shared" si="53"/>
        <v>100</v>
      </c>
      <c r="I780" s="214" t="s">
        <v>0</v>
      </c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D780" s="36"/>
      <c r="AE780" s="36"/>
      <c r="AF780" s="36"/>
      <c r="AG780" s="36"/>
      <c r="AH780" s="36"/>
      <c r="AI780" s="36"/>
    </row>
    <row r="781" spans="1:35" ht="15" hidden="1" customHeight="1">
      <c r="A781" s="214" t="s">
        <v>0</v>
      </c>
      <c r="B781" s="277"/>
      <c r="C781" s="355"/>
      <c r="D781" s="315"/>
      <c r="E781" s="308"/>
      <c r="F781" s="62">
        <v>6</v>
      </c>
      <c r="G781" s="63" t="s">
        <v>164</v>
      </c>
      <c r="H781" s="64">
        <f t="shared" si="53"/>
        <v>95</v>
      </c>
      <c r="I781" s="214" t="s">
        <v>0</v>
      </c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D781" s="36"/>
      <c r="AE781" s="36"/>
      <c r="AF781" s="36"/>
      <c r="AG781" s="36"/>
      <c r="AH781" s="36"/>
      <c r="AI781" s="36"/>
    </row>
    <row r="782" spans="1:35" ht="15" hidden="1" customHeight="1">
      <c r="A782" s="214" t="s">
        <v>0</v>
      </c>
      <c r="B782" s="277"/>
      <c r="C782" s="355"/>
      <c r="D782" s="315"/>
      <c r="E782" s="308"/>
      <c r="F782" s="62">
        <v>5</v>
      </c>
      <c r="G782" s="63" t="s">
        <v>164</v>
      </c>
      <c r="H782" s="64">
        <f t="shared" si="53"/>
        <v>90</v>
      </c>
      <c r="I782" s="214" t="s">
        <v>0</v>
      </c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D782" s="36"/>
      <c r="AE782" s="36"/>
      <c r="AF782" s="36"/>
      <c r="AG782" s="36"/>
      <c r="AH782" s="36"/>
      <c r="AI782" s="36"/>
    </row>
    <row r="783" spans="1:35" ht="15" hidden="1" customHeight="1">
      <c r="A783" s="214" t="s">
        <v>0</v>
      </c>
      <c r="B783" s="277"/>
      <c r="C783" s="355"/>
      <c r="D783" s="315"/>
      <c r="E783" s="308"/>
      <c r="F783" s="62">
        <v>4</v>
      </c>
      <c r="G783" s="63" t="s">
        <v>164</v>
      </c>
      <c r="H783" s="64">
        <f t="shared" si="53"/>
        <v>85</v>
      </c>
      <c r="I783" s="214" t="s">
        <v>0</v>
      </c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D783" s="36"/>
      <c r="AE783" s="36"/>
      <c r="AF783" s="36"/>
      <c r="AG783" s="36"/>
      <c r="AH783" s="36"/>
      <c r="AI783" s="36"/>
    </row>
    <row r="784" spans="1:35" ht="15.75" hidden="1" customHeight="1" thickBot="1">
      <c r="A784" s="214" t="s">
        <v>0</v>
      </c>
      <c r="B784" s="278"/>
      <c r="C784" s="350"/>
      <c r="D784" s="315"/>
      <c r="E784" s="308"/>
      <c r="F784" s="62">
        <v>3</v>
      </c>
      <c r="G784" s="63" t="s">
        <v>164</v>
      </c>
      <c r="H784" s="64">
        <f t="shared" si="53"/>
        <v>80</v>
      </c>
      <c r="I784" s="214" t="s">
        <v>0</v>
      </c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D784" s="36"/>
      <c r="AE784" s="36"/>
      <c r="AF784" s="36"/>
      <c r="AG784" s="36"/>
      <c r="AH784" s="36"/>
      <c r="AI784" s="36"/>
    </row>
    <row r="785" spans="1:35" ht="15" hidden="1" customHeight="1">
      <c r="A785" s="214" t="s">
        <v>0</v>
      </c>
      <c r="B785" s="274" t="s">
        <v>158</v>
      </c>
      <c r="C785" s="349"/>
      <c r="D785" s="315"/>
      <c r="E785" s="308"/>
      <c r="F785" s="62">
        <v>2</v>
      </c>
      <c r="G785" s="63" t="s">
        <v>164</v>
      </c>
      <c r="H785" s="64">
        <f t="shared" si="53"/>
        <v>75</v>
      </c>
      <c r="I785" s="214" t="s">
        <v>0</v>
      </c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D785" s="36"/>
      <c r="AE785" s="36"/>
      <c r="AF785" s="36"/>
      <c r="AG785" s="36"/>
      <c r="AH785" s="36"/>
      <c r="AI785" s="36"/>
    </row>
    <row r="786" spans="1:35" ht="15.75" hidden="1" customHeight="1" thickBot="1">
      <c r="A786" s="214" t="s">
        <v>0</v>
      </c>
      <c r="B786" s="275"/>
      <c r="C786" s="350"/>
      <c r="D786" s="316"/>
      <c r="E786" s="309"/>
      <c r="F786" s="67">
        <v>1</v>
      </c>
      <c r="G786" s="68" t="s">
        <v>164</v>
      </c>
      <c r="H786" s="69">
        <f t="shared" si="53"/>
        <v>70</v>
      </c>
      <c r="I786" s="214" t="s">
        <v>0</v>
      </c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D786" s="36"/>
      <c r="AE786" s="36"/>
      <c r="AF786" s="36"/>
      <c r="AG786" s="36"/>
      <c r="AH786" s="36"/>
      <c r="AI786" s="36"/>
    </row>
    <row r="787" spans="1:35" ht="15.75" hidden="1" customHeight="1" thickBot="1">
      <c r="A787" s="214" t="s">
        <v>0</v>
      </c>
      <c r="B787" s="276">
        <v>2</v>
      </c>
      <c r="C787" s="349"/>
      <c r="D787" s="123" t="s">
        <v>156</v>
      </c>
      <c r="E787" s="124">
        <v>0.6</v>
      </c>
      <c r="F787" s="58">
        <v>10</v>
      </c>
      <c r="G787" s="59" t="s">
        <v>164</v>
      </c>
      <c r="H787" s="60">
        <v>115</v>
      </c>
      <c r="I787" s="214" t="s">
        <v>0</v>
      </c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D787" s="36"/>
      <c r="AE787" s="36"/>
      <c r="AF787" s="36"/>
      <c r="AG787" s="36"/>
      <c r="AH787" s="36"/>
      <c r="AI787" s="36"/>
    </row>
    <row r="788" spans="1:35" ht="15" hidden="1" customHeight="1">
      <c r="A788" s="214" t="s">
        <v>0</v>
      </c>
      <c r="B788" s="277"/>
      <c r="C788" s="355"/>
      <c r="D788" s="314"/>
      <c r="E788" s="307">
        <f>IF(D788=0,0,VLOOKUP($D788,$F787:$H796,3,FALSE)*$E787)</f>
        <v>0</v>
      </c>
      <c r="F788" s="62">
        <v>9</v>
      </c>
      <c r="G788" s="63" t="s">
        <v>164</v>
      </c>
      <c r="H788" s="64">
        <f>H787-5</f>
        <v>110</v>
      </c>
      <c r="I788" s="214" t="s">
        <v>0</v>
      </c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D788" s="36"/>
      <c r="AE788" s="36"/>
      <c r="AF788" s="36"/>
      <c r="AG788" s="36"/>
      <c r="AH788" s="36"/>
      <c r="AI788" s="36"/>
    </row>
    <row r="789" spans="1:35" ht="15" hidden="1" customHeight="1">
      <c r="A789" s="214" t="s">
        <v>0</v>
      </c>
      <c r="B789" s="277"/>
      <c r="C789" s="355"/>
      <c r="D789" s="315"/>
      <c r="E789" s="308"/>
      <c r="F789" s="62">
        <v>8</v>
      </c>
      <c r="G789" s="63" t="s">
        <v>164</v>
      </c>
      <c r="H789" s="64">
        <f t="shared" ref="H789:H796" si="54">H788-5</f>
        <v>105</v>
      </c>
      <c r="I789" s="214" t="s">
        <v>0</v>
      </c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D789" s="36"/>
      <c r="AE789" s="36"/>
      <c r="AF789" s="36"/>
      <c r="AG789" s="36"/>
      <c r="AH789" s="36"/>
      <c r="AI789" s="36"/>
    </row>
    <row r="790" spans="1:35" ht="15" hidden="1" customHeight="1">
      <c r="A790" s="214" t="s">
        <v>0</v>
      </c>
      <c r="B790" s="277"/>
      <c r="C790" s="355"/>
      <c r="D790" s="315"/>
      <c r="E790" s="308"/>
      <c r="F790" s="62">
        <v>7</v>
      </c>
      <c r="G790" s="63" t="s">
        <v>164</v>
      </c>
      <c r="H790" s="64">
        <f t="shared" si="54"/>
        <v>100</v>
      </c>
      <c r="I790" s="214" t="s">
        <v>0</v>
      </c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D790" s="36"/>
      <c r="AE790" s="36"/>
      <c r="AF790" s="36"/>
      <c r="AG790" s="36"/>
      <c r="AH790" s="36"/>
      <c r="AI790" s="36"/>
    </row>
    <row r="791" spans="1:35" ht="15" hidden="1" customHeight="1">
      <c r="A791" s="214" t="s">
        <v>0</v>
      </c>
      <c r="B791" s="277"/>
      <c r="C791" s="355"/>
      <c r="D791" s="315"/>
      <c r="E791" s="308"/>
      <c r="F791" s="62">
        <v>6</v>
      </c>
      <c r="G791" s="63" t="s">
        <v>164</v>
      </c>
      <c r="H791" s="64">
        <f t="shared" si="54"/>
        <v>95</v>
      </c>
      <c r="I791" s="214" t="s">
        <v>0</v>
      </c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D791" s="36"/>
      <c r="AE791" s="36"/>
      <c r="AF791" s="36"/>
      <c r="AG791" s="36"/>
      <c r="AH791" s="36"/>
      <c r="AI791" s="36"/>
    </row>
    <row r="792" spans="1:35" ht="15" hidden="1" customHeight="1">
      <c r="A792" s="214" t="s">
        <v>0</v>
      </c>
      <c r="B792" s="277"/>
      <c r="C792" s="355"/>
      <c r="D792" s="315"/>
      <c r="E792" s="308"/>
      <c r="F792" s="62">
        <v>5</v>
      </c>
      <c r="G792" s="63" t="s">
        <v>164</v>
      </c>
      <c r="H792" s="64">
        <f t="shared" si="54"/>
        <v>90</v>
      </c>
      <c r="I792" s="214" t="s">
        <v>0</v>
      </c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D792" s="36"/>
      <c r="AE792" s="36"/>
      <c r="AF792" s="36"/>
      <c r="AG792" s="36"/>
      <c r="AH792" s="36"/>
      <c r="AI792" s="36"/>
    </row>
    <row r="793" spans="1:35" ht="15" hidden="1" customHeight="1">
      <c r="A793" s="214" t="s">
        <v>0</v>
      </c>
      <c r="B793" s="277"/>
      <c r="C793" s="355"/>
      <c r="D793" s="315"/>
      <c r="E793" s="308"/>
      <c r="F793" s="62">
        <v>4</v>
      </c>
      <c r="G793" s="63" t="s">
        <v>164</v>
      </c>
      <c r="H793" s="64">
        <f t="shared" si="54"/>
        <v>85</v>
      </c>
      <c r="I793" s="214" t="s">
        <v>0</v>
      </c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D793" s="36"/>
      <c r="AE793" s="36"/>
      <c r="AF793" s="36"/>
      <c r="AG793" s="36"/>
      <c r="AH793" s="36"/>
      <c r="AI793" s="36"/>
    </row>
    <row r="794" spans="1:35" ht="15.75" hidden="1" customHeight="1" thickBot="1">
      <c r="A794" s="214" t="s">
        <v>0</v>
      </c>
      <c r="B794" s="278"/>
      <c r="C794" s="350"/>
      <c r="D794" s="315"/>
      <c r="E794" s="308"/>
      <c r="F794" s="62">
        <v>3</v>
      </c>
      <c r="G794" s="63" t="s">
        <v>164</v>
      </c>
      <c r="H794" s="64">
        <f t="shared" si="54"/>
        <v>80</v>
      </c>
      <c r="I794" s="214" t="s">
        <v>0</v>
      </c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D794" s="36"/>
      <c r="AE794" s="36"/>
      <c r="AF794" s="36"/>
      <c r="AG794" s="36"/>
      <c r="AH794" s="36"/>
      <c r="AI794" s="36"/>
    </row>
    <row r="795" spans="1:35" ht="15" hidden="1" customHeight="1">
      <c r="A795" s="214" t="s">
        <v>0</v>
      </c>
      <c r="B795" s="274" t="s">
        <v>158</v>
      </c>
      <c r="C795" s="349"/>
      <c r="D795" s="315"/>
      <c r="E795" s="308"/>
      <c r="F795" s="62">
        <v>2</v>
      </c>
      <c r="G795" s="63" t="s">
        <v>164</v>
      </c>
      <c r="H795" s="64">
        <f t="shared" si="54"/>
        <v>75</v>
      </c>
      <c r="I795" s="214" t="s">
        <v>0</v>
      </c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D795" s="36"/>
      <c r="AE795" s="36"/>
      <c r="AF795" s="36"/>
      <c r="AG795" s="36"/>
      <c r="AH795" s="36"/>
      <c r="AI795" s="36"/>
    </row>
    <row r="796" spans="1:35" ht="15.75" hidden="1" customHeight="1" thickBot="1">
      <c r="A796" s="214" t="s">
        <v>0</v>
      </c>
      <c r="B796" s="275"/>
      <c r="C796" s="350"/>
      <c r="D796" s="316"/>
      <c r="E796" s="309"/>
      <c r="F796" s="67">
        <v>1</v>
      </c>
      <c r="G796" s="68" t="s">
        <v>164</v>
      </c>
      <c r="H796" s="69">
        <f t="shared" si="54"/>
        <v>70</v>
      </c>
      <c r="I796" s="214" t="s">
        <v>0</v>
      </c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D796" s="36"/>
      <c r="AE796" s="36"/>
      <c r="AF796" s="36"/>
      <c r="AG796" s="36"/>
      <c r="AH796" s="36"/>
      <c r="AI796" s="36"/>
    </row>
    <row r="797" spans="1:35" ht="15.75" hidden="1" customHeight="1" thickBot="1">
      <c r="A797" s="214" t="s">
        <v>0</v>
      </c>
      <c r="B797" s="276">
        <v>3</v>
      </c>
      <c r="C797" s="349"/>
      <c r="D797" s="123" t="s">
        <v>156</v>
      </c>
      <c r="E797" s="124">
        <v>0.6</v>
      </c>
      <c r="F797" s="58">
        <v>10</v>
      </c>
      <c r="G797" s="59" t="s">
        <v>164</v>
      </c>
      <c r="H797" s="60">
        <v>115</v>
      </c>
      <c r="I797" s="214" t="s">
        <v>0</v>
      </c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D797" s="36"/>
      <c r="AE797" s="36"/>
      <c r="AF797" s="36"/>
      <c r="AG797" s="36"/>
      <c r="AH797" s="36"/>
      <c r="AI797" s="36"/>
    </row>
    <row r="798" spans="1:35" ht="15" hidden="1" customHeight="1">
      <c r="A798" s="214" t="s">
        <v>0</v>
      </c>
      <c r="B798" s="277"/>
      <c r="C798" s="355"/>
      <c r="D798" s="314"/>
      <c r="E798" s="307">
        <f>IF(D798=0,0,VLOOKUP($D798,$F797:$H806,3,FALSE)*$E797)</f>
        <v>0</v>
      </c>
      <c r="F798" s="62">
        <v>9</v>
      </c>
      <c r="G798" s="63" t="s">
        <v>164</v>
      </c>
      <c r="H798" s="64">
        <f>H797-5</f>
        <v>110</v>
      </c>
      <c r="I798" s="214" t="s">
        <v>0</v>
      </c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D798" s="36"/>
      <c r="AE798" s="36"/>
      <c r="AF798" s="36"/>
      <c r="AG798" s="36"/>
      <c r="AH798" s="36"/>
      <c r="AI798" s="36"/>
    </row>
    <row r="799" spans="1:35" ht="15" hidden="1" customHeight="1">
      <c r="A799" s="214" t="s">
        <v>0</v>
      </c>
      <c r="B799" s="277"/>
      <c r="C799" s="355"/>
      <c r="D799" s="315"/>
      <c r="E799" s="308"/>
      <c r="F799" s="62">
        <v>8</v>
      </c>
      <c r="G799" s="63" t="s">
        <v>164</v>
      </c>
      <c r="H799" s="64">
        <f t="shared" ref="H799:H806" si="55">H798-5</f>
        <v>105</v>
      </c>
      <c r="I799" s="214" t="s">
        <v>0</v>
      </c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D799" s="36"/>
      <c r="AE799" s="36"/>
      <c r="AF799" s="36"/>
      <c r="AG799" s="36"/>
      <c r="AH799" s="36"/>
      <c r="AI799" s="36"/>
    </row>
    <row r="800" spans="1:35" ht="15" hidden="1" customHeight="1">
      <c r="A800" s="214" t="s">
        <v>0</v>
      </c>
      <c r="B800" s="277"/>
      <c r="C800" s="355"/>
      <c r="D800" s="315"/>
      <c r="E800" s="308"/>
      <c r="F800" s="62">
        <v>7</v>
      </c>
      <c r="G800" s="63" t="s">
        <v>164</v>
      </c>
      <c r="H800" s="64">
        <f t="shared" si="55"/>
        <v>100</v>
      </c>
      <c r="I800" s="214" t="s">
        <v>0</v>
      </c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D800" s="36"/>
      <c r="AE800" s="36"/>
      <c r="AF800" s="36"/>
      <c r="AG800" s="36"/>
      <c r="AH800" s="36"/>
      <c r="AI800" s="36"/>
    </row>
    <row r="801" spans="1:35" ht="15" hidden="1" customHeight="1">
      <c r="A801" s="214" t="s">
        <v>0</v>
      </c>
      <c r="B801" s="277"/>
      <c r="C801" s="355"/>
      <c r="D801" s="315"/>
      <c r="E801" s="308"/>
      <c r="F801" s="62">
        <v>6</v>
      </c>
      <c r="G801" s="63" t="s">
        <v>164</v>
      </c>
      <c r="H801" s="64">
        <f t="shared" si="55"/>
        <v>95</v>
      </c>
      <c r="I801" s="214" t="s">
        <v>0</v>
      </c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  <c r="AG801" s="36"/>
      <c r="AH801" s="36"/>
      <c r="AI801" s="36"/>
    </row>
    <row r="802" spans="1:35" ht="15" hidden="1" customHeight="1">
      <c r="A802" s="214" t="s">
        <v>0</v>
      </c>
      <c r="B802" s="277"/>
      <c r="C802" s="355"/>
      <c r="D802" s="315"/>
      <c r="E802" s="308"/>
      <c r="F802" s="62">
        <v>5</v>
      </c>
      <c r="G802" s="63" t="s">
        <v>164</v>
      </c>
      <c r="H802" s="64">
        <f t="shared" si="55"/>
        <v>90</v>
      </c>
      <c r="I802" s="214" t="s">
        <v>0</v>
      </c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  <c r="AG802" s="36"/>
      <c r="AH802" s="36"/>
      <c r="AI802" s="36"/>
    </row>
    <row r="803" spans="1:35" ht="15" hidden="1" customHeight="1">
      <c r="A803" s="214" t="s">
        <v>0</v>
      </c>
      <c r="B803" s="277"/>
      <c r="C803" s="355"/>
      <c r="D803" s="315"/>
      <c r="E803" s="308"/>
      <c r="F803" s="62">
        <v>4</v>
      </c>
      <c r="G803" s="63" t="s">
        <v>164</v>
      </c>
      <c r="H803" s="64">
        <f t="shared" si="55"/>
        <v>85</v>
      </c>
      <c r="I803" s="214" t="s">
        <v>0</v>
      </c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  <c r="AG803" s="36"/>
      <c r="AH803" s="36"/>
      <c r="AI803" s="36"/>
    </row>
    <row r="804" spans="1:35" ht="15.75" hidden="1" customHeight="1" thickBot="1">
      <c r="A804" s="214" t="s">
        <v>0</v>
      </c>
      <c r="B804" s="278"/>
      <c r="C804" s="350"/>
      <c r="D804" s="315"/>
      <c r="E804" s="308"/>
      <c r="F804" s="62">
        <v>3</v>
      </c>
      <c r="G804" s="63" t="s">
        <v>164</v>
      </c>
      <c r="H804" s="64">
        <f t="shared" si="55"/>
        <v>80</v>
      </c>
      <c r="I804" s="214" t="s">
        <v>0</v>
      </c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  <c r="AG804" s="36"/>
      <c r="AH804" s="36"/>
      <c r="AI804" s="36"/>
    </row>
    <row r="805" spans="1:35" ht="15" hidden="1" customHeight="1">
      <c r="A805" s="214" t="s">
        <v>0</v>
      </c>
      <c r="B805" s="274" t="s">
        <v>158</v>
      </c>
      <c r="C805" s="349"/>
      <c r="D805" s="315"/>
      <c r="E805" s="308"/>
      <c r="F805" s="62">
        <v>2</v>
      </c>
      <c r="G805" s="63" t="s">
        <v>164</v>
      </c>
      <c r="H805" s="64">
        <f t="shared" si="55"/>
        <v>75</v>
      </c>
      <c r="I805" s="214" t="s">
        <v>0</v>
      </c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  <c r="AG805" s="36"/>
      <c r="AH805" s="36"/>
      <c r="AI805" s="36"/>
    </row>
    <row r="806" spans="1:35" ht="15.75" hidden="1" customHeight="1" thickBot="1">
      <c r="A806" s="214" t="s">
        <v>0</v>
      </c>
      <c r="B806" s="275"/>
      <c r="C806" s="350"/>
      <c r="D806" s="316"/>
      <c r="E806" s="309"/>
      <c r="F806" s="67">
        <v>1</v>
      </c>
      <c r="G806" s="68" t="s">
        <v>164</v>
      </c>
      <c r="H806" s="69">
        <f t="shared" si="55"/>
        <v>70</v>
      </c>
      <c r="I806" s="214" t="s">
        <v>0</v>
      </c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  <c r="AG806" s="36"/>
      <c r="AH806" s="36"/>
      <c r="AI806" s="36"/>
    </row>
    <row r="807" spans="1:35" ht="15.75" hidden="1" customHeight="1" thickBot="1">
      <c r="A807" s="214" t="s">
        <v>0</v>
      </c>
      <c r="B807" s="276">
        <v>4</v>
      </c>
      <c r="C807" s="349"/>
      <c r="D807" s="123" t="s">
        <v>156</v>
      </c>
      <c r="E807" s="124">
        <v>0.6</v>
      </c>
      <c r="F807" s="58">
        <v>10</v>
      </c>
      <c r="G807" s="59" t="s">
        <v>164</v>
      </c>
      <c r="H807" s="60">
        <v>115</v>
      </c>
      <c r="I807" s="214" t="s">
        <v>0</v>
      </c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  <c r="AG807" s="36"/>
      <c r="AH807" s="36"/>
      <c r="AI807" s="36"/>
    </row>
    <row r="808" spans="1:35" ht="15" hidden="1" customHeight="1">
      <c r="A808" s="214" t="s">
        <v>0</v>
      </c>
      <c r="B808" s="277"/>
      <c r="C808" s="355"/>
      <c r="D808" s="314"/>
      <c r="E808" s="307">
        <f>IF(D808=0,0,VLOOKUP($D808,$F807:$H816,3,FALSE)*$E807)</f>
        <v>0</v>
      </c>
      <c r="F808" s="62">
        <v>9</v>
      </c>
      <c r="G808" s="63" t="s">
        <v>164</v>
      </c>
      <c r="H808" s="64">
        <f>H807-5</f>
        <v>110</v>
      </c>
      <c r="I808" s="214" t="s">
        <v>0</v>
      </c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  <c r="AG808" s="36"/>
      <c r="AH808" s="36"/>
      <c r="AI808" s="36"/>
    </row>
    <row r="809" spans="1:35" ht="15" hidden="1" customHeight="1">
      <c r="A809" s="214" t="s">
        <v>0</v>
      </c>
      <c r="B809" s="277"/>
      <c r="C809" s="355"/>
      <c r="D809" s="315"/>
      <c r="E809" s="308"/>
      <c r="F809" s="62">
        <v>8</v>
      </c>
      <c r="G809" s="63" t="s">
        <v>164</v>
      </c>
      <c r="H809" s="64">
        <f t="shared" ref="H809:H816" si="56">H808-5</f>
        <v>105</v>
      </c>
      <c r="I809" s="214" t="s">
        <v>0</v>
      </c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  <c r="AG809" s="36"/>
      <c r="AH809" s="36"/>
      <c r="AI809" s="36"/>
    </row>
    <row r="810" spans="1:35" ht="15" hidden="1" customHeight="1">
      <c r="A810" s="214" t="s">
        <v>0</v>
      </c>
      <c r="B810" s="277"/>
      <c r="C810" s="355"/>
      <c r="D810" s="315"/>
      <c r="E810" s="308"/>
      <c r="F810" s="62">
        <v>7</v>
      </c>
      <c r="G810" s="63" t="s">
        <v>164</v>
      </c>
      <c r="H810" s="64">
        <f t="shared" si="56"/>
        <v>100</v>
      </c>
      <c r="I810" s="214" t="s">
        <v>0</v>
      </c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  <c r="AG810" s="36"/>
      <c r="AH810" s="36"/>
      <c r="AI810" s="36"/>
    </row>
    <row r="811" spans="1:35" ht="15" hidden="1" customHeight="1">
      <c r="A811" s="214" t="s">
        <v>0</v>
      </c>
      <c r="B811" s="277"/>
      <c r="C811" s="355"/>
      <c r="D811" s="315"/>
      <c r="E811" s="308"/>
      <c r="F811" s="62">
        <v>6</v>
      </c>
      <c r="G811" s="63" t="s">
        <v>164</v>
      </c>
      <c r="H811" s="64">
        <f t="shared" si="56"/>
        <v>95</v>
      </c>
      <c r="I811" s="214" t="s">
        <v>0</v>
      </c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  <c r="AG811" s="36"/>
      <c r="AH811" s="36"/>
      <c r="AI811" s="36"/>
    </row>
    <row r="812" spans="1:35" ht="15" hidden="1" customHeight="1">
      <c r="A812" s="214" t="s">
        <v>0</v>
      </c>
      <c r="B812" s="277"/>
      <c r="C812" s="355"/>
      <c r="D812" s="315"/>
      <c r="E812" s="308"/>
      <c r="F812" s="62">
        <v>5</v>
      </c>
      <c r="G812" s="63" t="s">
        <v>164</v>
      </c>
      <c r="H812" s="64">
        <f t="shared" si="56"/>
        <v>90</v>
      </c>
      <c r="I812" s="214" t="s">
        <v>0</v>
      </c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  <c r="AG812" s="36"/>
      <c r="AH812" s="36"/>
      <c r="AI812" s="36"/>
    </row>
    <row r="813" spans="1:35" ht="15" hidden="1" customHeight="1">
      <c r="A813" s="214" t="s">
        <v>0</v>
      </c>
      <c r="B813" s="277"/>
      <c r="C813" s="355"/>
      <c r="D813" s="315"/>
      <c r="E813" s="308"/>
      <c r="F813" s="62">
        <v>4</v>
      </c>
      <c r="G813" s="63" t="s">
        <v>164</v>
      </c>
      <c r="H813" s="64">
        <f t="shared" si="56"/>
        <v>85</v>
      </c>
      <c r="I813" s="214" t="s">
        <v>0</v>
      </c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  <c r="AG813" s="36"/>
      <c r="AH813" s="36"/>
      <c r="AI813" s="36"/>
    </row>
    <row r="814" spans="1:35" ht="15.75" hidden="1" customHeight="1" thickBot="1">
      <c r="A814" s="214" t="s">
        <v>0</v>
      </c>
      <c r="B814" s="278"/>
      <c r="C814" s="350"/>
      <c r="D814" s="315"/>
      <c r="E814" s="308"/>
      <c r="F814" s="62">
        <v>3</v>
      </c>
      <c r="G814" s="63" t="s">
        <v>164</v>
      </c>
      <c r="H814" s="64">
        <f t="shared" si="56"/>
        <v>80</v>
      </c>
      <c r="I814" s="214" t="s">
        <v>0</v>
      </c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36"/>
      <c r="AI814" s="36"/>
    </row>
    <row r="815" spans="1:35" ht="15" hidden="1" customHeight="1">
      <c r="A815" s="214" t="s">
        <v>0</v>
      </c>
      <c r="B815" s="274" t="s">
        <v>158</v>
      </c>
      <c r="C815" s="349"/>
      <c r="D815" s="315"/>
      <c r="E815" s="308"/>
      <c r="F815" s="62">
        <v>2</v>
      </c>
      <c r="G815" s="63" t="s">
        <v>164</v>
      </c>
      <c r="H815" s="64">
        <f t="shared" si="56"/>
        <v>75</v>
      </c>
      <c r="I815" s="214" t="s">
        <v>0</v>
      </c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  <c r="AG815" s="36"/>
      <c r="AH815" s="36"/>
      <c r="AI815" s="36"/>
    </row>
    <row r="816" spans="1:35" ht="15.75" hidden="1" customHeight="1" thickBot="1">
      <c r="A816" s="214" t="s">
        <v>0</v>
      </c>
      <c r="B816" s="275"/>
      <c r="C816" s="350"/>
      <c r="D816" s="316"/>
      <c r="E816" s="309"/>
      <c r="F816" s="67">
        <v>1</v>
      </c>
      <c r="G816" s="68" t="s">
        <v>164</v>
      </c>
      <c r="H816" s="69">
        <f t="shared" si="56"/>
        <v>70</v>
      </c>
      <c r="I816" s="214" t="s">
        <v>0</v>
      </c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  <c r="AG816" s="36"/>
      <c r="AH816" s="36"/>
      <c r="AI816" s="36"/>
    </row>
    <row r="817" spans="1:35" ht="15.75" hidden="1" customHeight="1" thickBot="1">
      <c r="A817" s="214" t="s">
        <v>0</v>
      </c>
      <c r="B817" s="279">
        <v>5</v>
      </c>
      <c r="C817" s="349"/>
      <c r="D817" s="123" t="s">
        <v>156</v>
      </c>
      <c r="E817" s="124">
        <v>0.6</v>
      </c>
      <c r="F817" s="70">
        <v>10</v>
      </c>
      <c r="G817" s="71" t="s">
        <v>164</v>
      </c>
      <c r="H817" s="72">
        <v>115</v>
      </c>
      <c r="I817" s="214" t="s">
        <v>0</v>
      </c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  <c r="AG817" s="36"/>
      <c r="AH817" s="36"/>
      <c r="AI817" s="36"/>
    </row>
    <row r="818" spans="1:35" ht="15" hidden="1" customHeight="1">
      <c r="A818" s="214" t="s">
        <v>0</v>
      </c>
      <c r="B818" s="277"/>
      <c r="C818" s="355"/>
      <c r="D818" s="314"/>
      <c r="E818" s="307">
        <f>IF(D818=0,0,VLOOKUP($D818,$F817:$H826,3,FALSE)*$E817)</f>
        <v>0</v>
      </c>
      <c r="F818" s="62">
        <v>9</v>
      </c>
      <c r="G818" s="63" t="s">
        <v>164</v>
      </c>
      <c r="H818" s="64">
        <f>H817-5</f>
        <v>110</v>
      </c>
      <c r="I818" s="214" t="s">
        <v>0</v>
      </c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  <c r="AG818" s="36"/>
      <c r="AH818" s="36"/>
      <c r="AI818" s="36"/>
    </row>
    <row r="819" spans="1:35" ht="15" hidden="1" customHeight="1">
      <c r="A819" s="214" t="s">
        <v>0</v>
      </c>
      <c r="B819" s="277"/>
      <c r="C819" s="355"/>
      <c r="D819" s="315"/>
      <c r="E819" s="308"/>
      <c r="F819" s="62">
        <v>8</v>
      </c>
      <c r="G819" s="63" t="s">
        <v>164</v>
      </c>
      <c r="H819" s="64">
        <f t="shared" ref="H819:H826" si="57">H818-5</f>
        <v>105</v>
      </c>
      <c r="I819" s="214" t="s">
        <v>0</v>
      </c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D819" s="36"/>
      <c r="AE819" s="36"/>
      <c r="AF819" s="36"/>
      <c r="AG819" s="36"/>
      <c r="AH819" s="36"/>
      <c r="AI819" s="36"/>
    </row>
    <row r="820" spans="1:35" ht="15" hidden="1" customHeight="1">
      <c r="A820" s="214" t="s">
        <v>0</v>
      </c>
      <c r="B820" s="277"/>
      <c r="C820" s="355"/>
      <c r="D820" s="315"/>
      <c r="E820" s="308"/>
      <c r="F820" s="62">
        <v>7</v>
      </c>
      <c r="G820" s="63" t="s">
        <v>164</v>
      </c>
      <c r="H820" s="64">
        <f t="shared" si="57"/>
        <v>100</v>
      </c>
      <c r="I820" s="214" t="s">
        <v>0</v>
      </c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  <c r="AG820" s="36"/>
      <c r="AH820" s="36"/>
      <c r="AI820" s="36"/>
    </row>
    <row r="821" spans="1:35" ht="15" hidden="1" customHeight="1">
      <c r="A821" s="214" t="s">
        <v>0</v>
      </c>
      <c r="B821" s="277"/>
      <c r="C821" s="355"/>
      <c r="D821" s="315"/>
      <c r="E821" s="308"/>
      <c r="F821" s="62">
        <v>6</v>
      </c>
      <c r="G821" s="63" t="s">
        <v>164</v>
      </c>
      <c r="H821" s="64">
        <f t="shared" si="57"/>
        <v>95</v>
      </c>
      <c r="I821" s="214" t="s">
        <v>0</v>
      </c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  <c r="AG821" s="36"/>
      <c r="AH821" s="36"/>
      <c r="AI821" s="36"/>
    </row>
    <row r="822" spans="1:35" ht="15" hidden="1" customHeight="1">
      <c r="A822" s="214" t="s">
        <v>0</v>
      </c>
      <c r="B822" s="277"/>
      <c r="C822" s="355"/>
      <c r="D822" s="315"/>
      <c r="E822" s="308"/>
      <c r="F822" s="62">
        <v>5</v>
      </c>
      <c r="G822" s="63" t="s">
        <v>164</v>
      </c>
      <c r="H822" s="64">
        <f t="shared" si="57"/>
        <v>90</v>
      </c>
      <c r="I822" s="214" t="s">
        <v>0</v>
      </c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  <c r="AG822" s="36"/>
      <c r="AH822" s="36"/>
      <c r="AI822" s="36"/>
    </row>
    <row r="823" spans="1:35" ht="15" hidden="1" customHeight="1">
      <c r="A823" s="214" t="s">
        <v>0</v>
      </c>
      <c r="B823" s="277"/>
      <c r="C823" s="355"/>
      <c r="D823" s="315"/>
      <c r="E823" s="308"/>
      <c r="F823" s="62">
        <v>4</v>
      </c>
      <c r="G823" s="63" t="s">
        <v>164</v>
      </c>
      <c r="H823" s="64">
        <f t="shared" si="57"/>
        <v>85</v>
      </c>
      <c r="I823" s="214" t="s">
        <v>0</v>
      </c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  <c r="AG823" s="36"/>
      <c r="AH823" s="36"/>
      <c r="AI823" s="36"/>
    </row>
    <row r="824" spans="1:35" ht="15.75" hidden="1" customHeight="1" thickBot="1">
      <c r="A824" s="214" t="s">
        <v>0</v>
      </c>
      <c r="B824" s="278"/>
      <c r="C824" s="350"/>
      <c r="D824" s="315"/>
      <c r="E824" s="308"/>
      <c r="F824" s="62">
        <v>3</v>
      </c>
      <c r="G824" s="63" t="s">
        <v>164</v>
      </c>
      <c r="H824" s="64">
        <f t="shared" si="57"/>
        <v>80</v>
      </c>
      <c r="I824" s="214" t="s">
        <v>0</v>
      </c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  <c r="AG824" s="36"/>
      <c r="AH824" s="36"/>
      <c r="AI824" s="36"/>
    </row>
    <row r="825" spans="1:35" ht="15" hidden="1" customHeight="1">
      <c r="A825" s="214" t="s">
        <v>0</v>
      </c>
      <c r="B825" s="274" t="s">
        <v>158</v>
      </c>
      <c r="C825" s="349"/>
      <c r="D825" s="315"/>
      <c r="E825" s="308"/>
      <c r="F825" s="62">
        <v>2</v>
      </c>
      <c r="G825" s="63" t="s">
        <v>164</v>
      </c>
      <c r="H825" s="64">
        <f t="shared" si="57"/>
        <v>75</v>
      </c>
      <c r="I825" s="214" t="s">
        <v>0</v>
      </c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  <c r="AG825" s="36"/>
      <c r="AH825" s="36"/>
      <c r="AI825" s="36"/>
    </row>
    <row r="826" spans="1:35" ht="15.75" hidden="1" customHeight="1" thickBot="1">
      <c r="A826" s="214" t="s">
        <v>0</v>
      </c>
      <c r="B826" s="275"/>
      <c r="C826" s="350"/>
      <c r="D826" s="316"/>
      <c r="E826" s="309"/>
      <c r="F826" s="67">
        <v>1</v>
      </c>
      <c r="G826" s="68" t="s">
        <v>164</v>
      </c>
      <c r="H826" s="69">
        <f t="shared" si="57"/>
        <v>70</v>
      </c>
      <c r="I826" s="214" t="s">
        <v>0</v>
      </c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  <c r="AG826" s="36"/>
      <c r="AH826" s="36"/>
      <c r="AI826" s="36"/>
    </row>
    <row r="827" spans="1:35" ht="15.75" hidden="1" customHeight="1" thickBot="1">
      <c r="A827" s="214" t="s">
        <v>0</v>
      </c>
      <c r="B827" s="276">
        <v>6</v>
      </c>
      <c r="C827" s="349"/>
      <c r="D827" s="123" t="s">
        <v>156</v>
      </c>
      <c r="E827" s="124">
        <v>0.6</v>
      </c>
      <c r="F827" s="58">
        <v>10</v>
      </c>
      <c r="G827" s="59" t="s">
        <v>164</v>
      </c>
      <c r="H827" s="60">
        <v>115</v>
      </c>
      <c r="I827" s="214" t="s">
        <v>0</v>
      </c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  <c r="AG827" s="36"/>
      <c r="AH827" s="36"/>
      <c r="AI827" s="36"/>
    </row>
    <row r="828" spans="1:35" ht="15" hidden="1" customHeight="1">
      <c r="A828" s="214" t="s">
        <v>0</v>
      </c>
      <c r="B828" s="277"/>
      <c r="C828" s="355"/>
      <c r="D828" s="314"/>
      <c r="E828" s="307">
        <f>IF(D828=0,0,VLOOKUP($D828,$F827:$H836,3,FALSE)*$E827)</f>
        <v>0</v>
      </c>
      <c r="F828" s="62">
        <v>9</v>
      </c>
      <c r="G828" s="63" t="s">
        <v>164</v>
      </c>
      <c r="H828" s="64">
        <f>H827-5</f>
        <v>110</v>
      </c>
      <c r="I828" s="214" t="s">
        <v>0</v>
      </c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D828" s="36"/>
      <c r="AE828" s="36"/>
      <c r="AF828" s="36"/>
      <c r="AG828" s="36"/>
      <c r="AH828" s="36"/>
      <c r="AI828" s="36"/>
    </row>
    <row r="829" spans="1:35" ht="15" hidden="1" customHeight="1">
      <c r="A829" s="214" t="s">
        <v>0</v>
      </c>
      <c r="B829" s="277"/>
      <c r="C829" s="355"/>
      <c r="D829" s="315"/>
      <c r="E829" s="308"/>
      <c r="F829" s="62">
        <v>8</v>
      </c>
      <c r="G829" s="63" t="s">
        <v>164</v>
      </c>
      <c r="H829" s="64">
        <f t="shared" ref="H829:H836" si="58">H828-5</f>
        <v>105</v>
      </c>
      <c r="I829" s="214" t="s">
        <v>0</v>
      </c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D829" s="36"/>
      <c r="AE829" s="36"/>
      <c r="AF829" s="36"/>
      <c r="AG829" s="36"/>
      <c r="AH829" s="36"/>
      <c r="AI829" s="36"/>
    </row>
    <row r="830" spans="1:35" ht="15" hidden="1" customHeight="1">
      <c r="A830" s="214" t="s">
        <v>0</v>
      </c>
      <c r="B830" s="277"/>
      <c r="C830" s="355"/>
      <c r="D830" s="315"/>
      <c r="E830" s="308"/>
      <c r="F830" s="62">
        <v>7</v>
      </c>
      <c r="G830" s="63" t="s">
        <v>164</v>
      </c>
      <c r="H830" s="64">
        <f t="shared" si="58"/>
        <v>100</v>
      </c>
      <c r="I830" s="214" t="s">
        <v>0</v>
      </c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D830" s="36"/>
      <c r="AE830" s="36"/>
      <c r="AF830" s="36"/>
      <c r="AG830" s="36"/>
      <c r="AH830" s="36"/>
      <c r="AI830" s="36"/>
    </row>
    <row r="831" spans="1:35" ht="15" hidden="1" customHeight="1">
      <c r="A831" s="214" t="s">
        <v>0</v>
      </c>
      <c r="B831" s="277"/>
      <c r="C831" s="355"/>
      <c r="D831" s="315"/>
      <c r="E831" s="308"/>
      <c r="F831" s="62">
        <v>6</v>
      </c>
      <c r="G831" s="63" t="s">
        <v>164</v>
      </c>
      <c r="H831" s="64">
        <f t="shared" si="58"/>
        <v>95</v>
      </c>
      <c r="I831" s="214" t="s">
        <v>0</v>
      </c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D831" s="36"/>
      <c r="AE831" s="36"/>
      <c r="AF831" s="36"/>
      <c r="AG831" s="36"/>
      <c r="AH831" s="36"/>
      <c r="AI831" s="36"/>
    </row>
    <row r="832" spans="1:35" ht="15" hidden="1" customHeight="1">
      <c r="A832" s="214" t="s">
        <v>0</v>
      </c>
      <c r="B832" s="277"/>
      <c r="C832" s="355"/>
      <c r="D832" s="315"/>
      <c r="E832" s="308"/>
      <c r="F832" s="62">
        <v>5</v>
      </c>
      <c r="G832" s="63" t="s">
        <v>164</v>
      </c>
      <c r="H832" s="64">
        <f t="shared" si="58"/>
        <v>90</v>
      </c>
      <c r="I832" s="214" t="s">
        <v>0</v>
      </c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D832" s="36"/>
      <c r="AE832" s="36"/>
      <c r="AF832" s="36"/>
      <c r="AG832" s="36"/>
      <c r="AH832" s="36"/>
      <c r="AI832" s="36"/>
    </row>
    <row r="833" spans="1:35" ht="15" hidden="1" customHeight="1">
      <c r="A833" s="214" t="s">
        <v>0</v>
      </c>
      <c r="B833" s="277"/>
      <c r="C833" s="355"/>
      <c r="D833" s="315"/>
      <c r="E833" s="308"/>
      <c r="F833" s="62">
        <v>4</v>
      </c>
      <c r="G833" s="63" t="s">
        <v>164</v>
      </c>
      <c r="H833" s="64">
        <f t="shared" si="58"/>
        <v>85</v>
      </c>
      <c r="I833" s="214" t="s">
        <v>0</v>
      </c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D833" s="36"/>
      <c r="AE833" s="36"/>
      <c r="AF833" s="36"/>
      <c r="AG833" s="36"/>
      <c r="AH833" s="36"/>
      <c r="AI833" s="36"/>
    </row>
    <row r="834" spans="1:35" ht="15.75" hidden="1" customHeight="1" thickBot="1">
      <c r="A834" s="214" t="s">
        <v>0</v>
      </c>
      <c r="B834" s="278"/>
      <c r="C834" s="350"/>
      <c r="D834" s="315"/>
      <c r="E834" s="308"/>
      <c r="F834" s="62">
        <v>3</v>
      </c>
      <c r="G834" s="63" t="s">
        <v>164</v>
      </c>
      <c r="H834" s="64">
        <f t="shared" si="58"/>
        <v>80</v>
      </c>
      <c r="I834" s="214" t="s">
        <v>0</v>
      </c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  <c r="AB834" s="36"/>
      <c r="AC834" s="36"/>
      <c r="AD834" s="36"/>
      <c r="AE834" s="36"/>
      <c r="AF834" s="36"/>
      <c r="AG834" s="36"/>
      <c r="AH834" s="36"/>
      <c r="AI834" s="36"/>
    </row>
    <row r="835" spans="1:35" ht="15" hidden="1" customHeight="1">
      <c r="A835" s="214" t="s">
        <v>0</v>
      </c>
      <c r="B835" s="274" t="s">
        <v>158</v>
      </c>
      <c r="C835" s="349"/>
      <c r="D835" s="315"/>
      <c r="E835" s="308"/>
      <c r="F835" s="62">
        <v>2</v>
      </c>
      <c r="G835" s="63" t="s">
        <v>164</v>
      </c>
      <c r="H835" s="64">
        <f t="shared" si="58"/>
        <v>75</v>
      </c>
      <c r="I835" s="214" t="s">
        <v>0</v>
      </c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  <c r="AB835" s="36"/>
      <c r="AC835" s="36"/>
      <c r="AD835" s="36"/>
      <c r="AE835" s="36"/>
      <c r="AF835" s="36"/>
      <c r="AG835" s="36"/>
      <c r="AH835" s="36"/>
      <c r="AI835" s="36"/>
    </row>
    <row r="836" spans="1:35" ht="15.75" hidden="1" customHeight="1" thickBot="1">
      <c r="A836" s="214" t="s">
        <v>0</v>
      </c>
      <c r="B836" s="275"/>
      <c r="C836" s="350"/>
      <c r="D836" s="316"/>
      <c r="E836" s="309"/>
      <c r="F836" s="67">
        <v>1</v>
      </c>
      <c r="G836" s="68" t="s">
        <v>164</v>
      </c>
      <c r="H836" s="69">
        <f t="shared" si="58"/>
        <v>70</v>
      </c>
      <c r="I836" s="214" t="s">
        <v>0</v>
      </c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  <c r="AB836" s="36"/>
      <c r="AC836" s="36"/>
      <c r="AD836" s="36"/>
      <c r="AE836" s="36"/>
      <c r="AF836" s="36"/>
      <c r="AG836" s="36"/>
      <c r="AH836" s="36"/>
      <c r="AI836" s="36"/>
    </row>
    <row r="837" spans="1:35" ht="15.75" hidden="1" customHeight="1" thickBot="1">
      <c r="A837" s="214" t="s">
        <v>0</v>
      </c>
      <c r="B837" s="276">
        <v>7</v>
      </c>
      <c r="C837" s="349"/>
      <c r="D837" s="123" t="s">
        <v>156</v>
      </c>
      <c r="E837" s="124">
        <v>0.6</v>
      </c>
      <c r="F837" s="58">
        <v>10</v>
      </c>
      <c r="G837" s="59" t="s">
        <v>164</v>
      </c>
      <c r="H837" s="60">
        <v>115</v>
      </c>
      <c r="I837" s="214" t="s">
        <v>0</v>
      </c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  <c r="AB837" s="36"/>
      <c r="AC837" s="36"/>
      <c r="AD837" s="36"/>
      <c r="AE837" s="36"/>
      <c r="AF837" s="36"/>
      <c r="AG837" s="36"/>
      <c r="AH837" s="36"/>
      <c r="AI837" s="36"/>
    </row>
    <row r="838" spans="1:35" ht="15" hidden="1" customHeight="1">
      <c r="A838" s="214" t="s">
        <v>0</v>
      </c>
      <c r="B838" s="277"/>
      <c r="C838" s="355"/>
      <c r="D838" s="314"/>
      <c r="E838" s="307">
        <f>IF(D838=0,0,VLOOKUP($D838,$F837:$H846,3,FALSE)*$E837)</f>
        <v>0</v>
      </c>
      <c r="F838" s="62">
        <v>9</v>
      </c>
      <c r="G838" s="63" t="s">
        <v>164</v>
      </c>
      <c r="H838" s="64">
        <f>H837-5</f>
        <v>110</v>
      </c>
      <c r="I838" s="214" t="s">
        <v>0</v>
      </c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  <c r="AB838" s="36"/>
      <c r="AC838" s="36"/>
      <c r="AD838" s="36"/>
      <c r="AE838" s="36"/>
      <c r="AF838" s="36"/>
      <c r="AG838" s="36"/>
      <c r="AH838" s="36"/>
      <c r="AI838" s="36"/>
    </row>
    <row r="839" spans="1:35" ht="15" hidden="1" customHeight="1">
      <c r="A839" s="214" t="s">
        <v>0</v>
      </c>
      <c r="B839" s="277"/>
      <c r="C839" s="355"/>
      <c r="D839" s="315"/>
      <c r="E839" s="308"/>
      <c r="F839" s="62">
        <v>8</v>
      </c>
      <c r="G839" s="63" t="s">
        <v>164</v>
      </c>
      <c r="H839" s="64">
        <f t="shared" ref="H839:H846" si="59">H838-5</f>
        <v>105</v>
      </c>
      <c r="I839" s="214" t="s">
        <v>0</v>
      </c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  <c r="AB839" s="36"/>
      <c r="AC839" s="36"/>
      <c r="AD839" s="36"/>
      <c r="AE839" s="36"/>
      <c r="AF839" s="36"/>
      <c r="AG839" s="36"/>
      <c r="AH839" s="36"/>
      <c r="AI839" s="36"/>
    </row>
    <row r="840" spans="1:35" ht="15" hidden="1" customHeight="1">
      <c r="A840" s="214" t="s">
        <v>0</v>
      </c>
      <c r="B840" s="277"/>
      <c r="C840" s="355"/>
      <c r="D840" s="315"/>
      <c r="E840" s="308"/>
      <c r="F840" s="62">
        <v>7</v>
      </c>
      <c r="G840" s="63" t="s">
        <v>164</v>
      </c>
      <c r="H840" s="64">
        <f t="shared" si="59"/>
        <v>100</v>
      </c>
      <c r="I840" s="214" t="s">
        <v>0</v>
      </c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  <c r="AB840" s="36"/>
      <c r="AC840" s="36"/>
      <c r="AD840" s="36"/>
      <c r="AE840" s="36"/>
      <c r="AF840" s="36"/>
      <c r="AG840" s="36"/>
      <c r="AH840" s="36"/>
      <c r="AI840" s="36"/>
    </row>
    <row r="841" spans="1:35" ht="15" hidden="1" customHeight="1">
      <c r="A841" s="214" t="s">
        <v>0</v>
      </c>
      <c r="B841" s="277"/>
      <c r="C841" s="355"/>
      <c r="D841" s="315"/>
      <c r="E841" s="308"/>
      <c r="F841" s="62">
        <v>6</v>
      </c>
      <c r="G841" s="63" t="s">
        <v>164</v>
      </c>
      <c r="H841" s="64">
        <f t="shared" si="59"/>
        <v>95</v>
      </c>
      <c r="I841" s="214" t="s">
        <v>0</v>
      </c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  <c r="AB841" s="36"/>
      <c r="AC841" s="36"/>
      <c r="AD841" s="36"/>
      <c r="AE841" s="36"/>
      <c r="AF841" s="36"/>
      <c r="AG841" s="36"/>
      <c r="AH841" s="36"/>
      <c r="AI841" s="36"/>
    </row>
    <row r="842" spans="1:35" ht="15" hidden="1" customHeight="1">
      <c r="A842" s="214" t="s">
        <v>0</v>
      </c>
      <c r="B842" s="277"/>
      <c r="C842" s="355"/>
      <c r="D842" s="315"/>
      <c r="E842" s="308"/>
      <c r="F842" s="62">
        <v>5</v>
      </c>
      <c r="G842" s="63" t="s">
        <v>164</v>
      </c>
      <c r="H842" s="64">
        <f t="shared" si="59"/>
        <v>90</v>
      </c>
      <c r="I842" s="214" t="s">
        <v>0</v>
      </c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  <c r="AB842" s="36"/>
      <c r="AC842" s="36"/>
      <c r="AD842" s="36"/>
      <c r="AE842" s="36"/>
      <c r="AF842" s="36"/>
      <c r="AG842" s="36"/>
      <c r="AH842" s="36"/>
      <c r="AI842" s="36"/>
    </row>
    <row r="843" spans="1:35" ht="15" hidden="1" customHeight="1">
      <c r="A843" s="214" t="s">
        <v>0</v>
      </c>
      <c r="B843" s="277"/>
      <c r="C843" s="355"/>
      <c r="D843" s="315"/>
      <c r="E843" s="308"/>
      <c r="F843" s="62">
        <v>4</v>
      </c>
      <c r="G843" s="63" t="s">
        <v>164</v>
      </c>
      <c r="H843" s="64">
        <f t="shared" si="59"/>
        <v>85</v>
      </c>
      <c r="I843" s="214" t="s">
        <v>0</v>
      </c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  <c r="AB843" s="36"/>
      <c r="AC843" s="36"/>
      <c r="AD843" s="36"/>
      <c r="AE843" s="36"/>
      <c r="AF843" s="36"/>
      <c r="AG843" s="36"/>
      <c r="AH843" s="36"/>
      <c r="AI843" s="36"/>
    </row>
    <row r="844" spans="1:35" ht="15.75" hidden="1" customHeight="1" thickBot="1">
      <c r="A844" s="214" t="s">
        <v>0</v>
      </c>
      <c r="B844" s="278"/>
      <c r="C844" s="350"/>
      <c r="D844" s="315"/>
      <c r="E844" s="308"/>
      <c r="F844" s="62">
        <v>3</v>
      </c>
      <c r="G844" s="63" t="s">
        <v>164</v>
      </c>
      <c r="H844" s="64">
        <f t="shared" si="59"/>
        <v>80</v>
      </c>
      <c r="I844" s="214" t="s">
        <v>0</v>
      </c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  <c r="AB844" s="36"/>
      <c r="AC844" s="36"/>
      <c r="AD844" s="36"/>
      <c r="AE844" s="36"/>
      <c r="AF844" s="36"/>
      <c r="AG844" s="36"/>
      <c r="AH844" s="36"/>
      <c r="AI844" s="36"/>
    </row>
    <row r="845" spans="1:35" ht="15" hidden="1" customHeight="1">
      <c r="A845" s="214" t="s">
        <v>0</v>
      </c>
      <c r="B845" s="274" t="s">
        <v>158</v>
      </c>
      <c r="C845" s="349"/>
      <c r="D845" s="315"/>
      <c r="E845" s="308"/>
      <c r="F845" s="62">
        <v>2</v>
      </c>
      <c r="G845" s="63" t="s">
        <v>164</v>
      </c>
      <c r="H845" s="64">
        <f t="shared" si="59"/>
        <v>75</v>
      </c>
      <c r="I845" s="214" t="s">
        <v>0</v>
      </c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  <c r="AB845" s="36"/>
      <c r="AC845" s="36"/>
      <c r="AD845" s="36"/>
      <c r="AE845" s="36"/>
      <c r="AF845" s="36"/>
      <c r="AG845" s="36"/>
      <c r="AH845" s="36"/>
      <c r="AI845" s="36"/>
    </row>
    <row r="846" spans="1:35" ht="15.75" hidden="1" customHeight="1" thickBot="1">
      <c r="A846" s="214" t="s">
        <v>0</v>
      </c>
      <c r="B846" s="275"/>
      <c r="C846" s="350"/>
      <c r="D846" s="316"/>
      <c r="E846" s="309"/>
      <c r="F846" s="67">
        <v>1</v>
      </c>
      <c r="G846" s="68" t="s">
        <v>164</v>
      </c>
      <c r="H846" s="69">
        <f t="shared" si="59"/>
        <v>70</v>
      </c>
      <c r="I846" s="214" t="s">
        <v>0</v>
      </c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  <c r="AB846" s="36"/>
      <c r="AC846" s="36"/>
      <c r="AD846" s="36"/>
      <c r="AE846" s="36"/>
      <c r="AF846" s="36"/>
      <c r="AG846" s="36"/>
      <c r="AH846" s="36"/>
      <c r="AI846" s="36"/>
    </row>
    <row r="847" spans="1:35" ht="15.75" hidden="1" customHeight="1" thickBot="1">
      <c r="A847" s="214" t="s">
        <v>0</v>
      </c>
      <c r="B847" s="276">
        <v>8</v>
      </c>
      <c r="C847" s="349"/>
      <c r="D847" s="123" t="s">
        <v>156</v>
      </c>
      <c r="E847" s="124">
        <v>0.6</v>
      </c>
      <c r="F847" s="58">
        <v>10</v>
      </c>
      <c r="G847" s="59" t="s">
        <v>164</v>
      </c>
      <c r="H847" s="60">
        <v>115</v>
      </c>
      <c r="I847" s="214" t="s">
        <v>0</v>
      </c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  <c r="AB847" s="36"/>
      <c r="AC847" s="36"/>
      <c r="AD847" s="36"/>
      <c r="AE847" s="36"/>
      <c r="AF847" s="36"/>
      <c r="AG847" s="36"/>
      <c r="AH847" s="36"/>
      <c r="AI847" s="36"/>
    </row>
    <row r="848" spans="1:35" ht="15" hidden="1" customHeight="1">
      <c r="A848" s="214" t="s">
        <v>0</v>
      </c>
      <c r="B848" s="277"/>
      <c r="C848" s="355"/>
      <c r="D848" s="314"/>
      <c r="E848" s="307">
        <f>IF(D848=0,0,VLOOKUP($D848,$F847:$H856,3,FALSE)*$E847)</f>
        <v>0</v>
      </c>
      <c r="F848" s="62">
        <v>9</v>
      </c>
      <c r="G848" s="63" t="s">
        <v>164</v>
      </c>
      <c r="H848" s="64">
        <f>H847-5</f>
        <v>110</v>
      </c>
      <c r="I848" s="214" t="s">
        <v>0</v>
      </c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  <c r="AA848" s="36"/>
      <c r="AB848" s="36"/>
      <c r="AC848" s="36"/>
      <c r="AD848" s="36"/>
      <c r="AE848" s="36"/>
      <c r="AF848" s="36"/>
      <c r="AG848" s="36"/>
      <c r="AH848" s="36"/>
      <c r="AI848" s="36"/>
    </row>
    <row r="849" spans="1:35" ht="15" hidden="1" customHeight="1">
      <c r="A849" s="214" t="s">
        <v>0</v>
      </c>
      <c r="B849" s="277"/>
      <c r="C849" s="355"/>
      <c r="D849" s="315"/>
      <c r="E849" s="308"/>
      <c r="F849" s="62">
        <v>8</v>
      </c>
      <c r="G849" s="63" t="s">
        <v>164</v>
      </c>
      <c r="H849" s="64">
        <f t="shared" ref="H849:H856" si="60">H848-5</f>
        <v>105</v>
      </c>
      <c r="I849" s="214" t="s">
        <v>0</v>
      </c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  <c r="AA849" s="36"/>
      <c r="AB849" s="36"/>
      <c r="AC849" s="36"/>
      <c r="AD849" s="36"/>
      <c r="AE849" s="36"/>
      <c r="AF849" s="36"/>
      <c r="AG849" s="36"/>
      <c r="AH849" s="36"/>
      <c r="AI849" s="36"/>
    </row>
    <row r="850" spans="1:35" ht="15" hidden="1" customHeight="1">
      <c r="A850" s="214" t="s">
        <v>0</v>
      </c>
      <c r="B850" s="277"/>
      <c r="C850" s="355"/>
      <c r="D850" s="315"/>
      <c r="E850" s="308"/>
      <c r="F850" s="62">
        <v>7</v>
      </c>
      <c r="G850" s="63" t="s">
        <v>164</v>
      </c>
      <c r="H850" s="64">
        <f t="shared" si="60"/>
        <v>100</v>
      </c>
      <c r="I850" s="214" t="s">
        <v>0</v>
      </c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  <c r="AA850" s="36"/>
      <c r="AB850" s="36"/>
      <c r="AC850" s="36"/>
      <c r="AD850" s="36"/>
      <c r="AE850" s="36"/>
      <c r="AF850" s="36"/>
      <c r="AG850" s="36"/>
      <c r="AH850" s="36"/>
      <c r="AI850" s="36"/>
    </row>
    <row r="851" spans="1:35" ht="15" hidden="1" customHeight="1">
      <c r="A851" s="214" t="s">
        <v>0</v>
      </c>
      <c r="B851" s="277"/>
      <c r="C851" s="355"/>
      <c r="D851" s="315"/>
      <c r="E851" s="308"/>
      <c r="F851" s="62">
        <v>6</v>
      </c>
      <c r="G851" s="63" t="s">
        <v>164</v>
      </c>
      <c r="H851" s="64">
        <f t="shared" si="60"/>
        <v>95</v>
      </c>
      <c r="I851" s="214" t="s">
        <v>0</v>
      </c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  <c r="AA851" s="36"/>
      <c r="AB851" s="36"/>
      <c r="AC851" s="36"/>
      <c r="AD851" s="36"/>
      <c r="AE851" s="36"/>
      <c r="AF851" s="36"/>
      <c r="AG851" s="36"/>
      <c r="AH851" s="36"/>
      <c r="AI851" s="36"/>
    </row>
    <row r="852" spans="1:35" ht="15" hidden="1" customHeight="1">
      <c r="A852" s="214" t="s">
        <v>0</v>
      </c>
      <c r="B852" s="277"/>
      <c r="C852" s="355"/>
      <c r="D852" s="315"/>
      <c r="E852" s="308"/>
      <c r="F852" s="62">
        <v>5</v>
      </c>
      <c r="G852" s="63" t="s">
        <v>164</v>
      </c>
      <c r="H852" s="64">
        <f t="shared" si="60"/>
        <v>90</v>
      </c>
      <c r="I852" s="214" t="s">
        <v>0</v>
      </c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  <c r="AA852" s="36"/>
      <c r="AB852" s="36"/>
      <c r="AC852" s="36"/>
      <c r="AD852" s="36"/>
      <c r="AE852" s="36"/>
      <c r="AF852" s="36"/>
      <c r="AG852" s="36"/>
      <c r="AH852" s="36"/>
      <c r="AI852" s="36"/>
    </row>
    <row r="853" spans="1:35" ht="15" hidden="1" customHeight="1">
      <c r="A853" s="214" t="s">
        <v>0</v>
      </c>
      <c r="B853" s="277"/>
      <c r="C853" s="355"/>
      <c r="D853" s="315"/>
      <c r="E853" s="308"/>
      <c r="F853" s="62">
        <v>4</v>
      </c>
      <c r="G853" s="63" t="s">
        <v>164</v>
      </c>
      <c r="H853" s="64">
        <f t="shared" si="60"/>
        <v>85</v>
      </c>
      <c r="I853" s="214" t="s">
        <v>0</v>
      </c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  <c r="AA853" s="36"/>
      <c r="AB853" s="36"/>
      <c r="AC853" s="36"/>
      <c r="AD853" s="36"/>
      <c r="AE853" s="36"/>
      <c r="AF853" s="36"/>
      <c r="AG853" s="36"/>
      <c r="AH853" s="36"/>
      <c r="AI853" s="36"/>
    </row>
    <row r="854" spans="1:35" ht="15.75" hidden="1" customHeight="1" thickBot="1">
      <c r="A854" s="214" t="s">
        <v>0</v>
      </c>
      <c r="B854" s="278"/>
      <c r="C854" s="350"/>
      <c r="D854" s="315"/>
      <c r="E854" s="308"/>
      <c r="F854" s="62">
        <v>3</v>
      </c>
      <c r="G854" s="63" t="s">
        <v>164</v>
      </c>
      <c r="H854" s="64">
        <f t="shared" si="60"/>
        <v>80</v>
      </c>
      <c r="I854" s="214" t="s">
        <v>0</v>
      </c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  <c r="AA854" s="36"/>
      <c r="AB854" s="36"/>
      <c r="AC854" s="36"/>
      <c r="AD854" s="36"/>
      <c r="AE854" s="36"/>
      <c r="AF854" s="36"/>
      <c r="AG854" s="36"/>
      <c r="AH854" s="36"/>
      <c r="AI854" s="36"/>
    </row>
    <row r="855" spans="1:35" ht="15" hidden="1" customHeight="1">
      <c r="A855" s="214" t="s">
        <v>0</v>
      </c>
      <c r="B855" s="274" t="s">
        <v>158</v>
      </c>
      <c r="C855" s="349"/>
      <c r="D855" s="315"/>
      <c r="E855" s="308"/>
      <c r="F855" s="62">
        <v>2</v>
      </c>
      <c r="G855" s="63" t="s">
        <v>164</v>
      </c>
      <c r="H855" s="64">
        <f t="shared" si="60"/>
        <v>75</v>
      </c>
      <c r="I855" s="214" t="s">
        <v>0</v>
      </c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  <c r="AA855" s="36"/>
      <c r="AB855" s="36"/>
      <c r="AC855" s="36"/>
      <c r="AD855" s="36"/>
      <c r="AE855" s="36"/>
      <c r="AF855" s="36"/>
      <c r="AG855" s="36"/>
      <c r="AH855" s="36"/>
      <c r="AI855" s="36"/>
    </row>
    <row r="856" spans="1:35" ht="15.75" hidden="1" customHeight="1" thickBot="1">
      <c r="A856" s="214" t="s">
        <v>0</v>
      </c>
      <c r="B856" s="275"/>
      <c r="C856" s="350"/>
      <c r="D856" s="316"/>
      <c r="E856" s="309"/>
      <c r="F856" s="67">
        <v>1</v>
      </c>
      <c r="G856" s="68" t="s">
        <v>164</v>
      </c>
      <c r="H856" s="69">
        <f t="shared" si="60"/>
        <v>70</v>
      </c>
      <c r="I856" s="214" t="s">
        <v>0</v>
      </c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  <c r="AA856" s="36"/>
      <c r="AB856" s="36"/>
      <c r="AC856" s="36"/>
      <c r="AD856" s="36"/>
      <c r="AE856" s="36"/>
      <c r="AF856" s="36"/>
      <c r="AG856" s="36"/>
      <c r="AH856" s="36"/>
      <c r="AI856" s="36"/>
    </row>
    <row r="857" spans="1:35" ht="15.75" hidden="1" customHeight="1" thickBot="1">
      <c r="A857" s="214" t="s">
        <v>0</v>
      </c>
      <c r="B857" s="276">
        <v>9</v>
      </c>
      <c r="C857" s="349"/>
      <c r="D857" s="123" t="s">
        <v>156</v>
      </c>
      <c r="E857" s="124">
        <v>0.6</v>
      </c>
      <c r="F857" s="58">
        <v>10</v>
      </c>
      <c r="G857" s="59" t="s">
        <v>164</v>
      </c>
      <c r="H857" s="60">
        <v>115</v>
      </c>
      <c r="I857" s="214" t="s">
        <v>0</v>
      </c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  <c r="AA857" s="36"/>
      <c r="AB857" s="36"/>
      <c r="AC857" s="36"/>
      <c r="AD857" s="36"/>
      <c r="AE857" s="36"/>
      <c r="AF857" s="36"/>
      <c r="AG857" s="36"/>
      <c r="AH857" s="36"/>
      <c r="AI857" s="36"/>
    </row>
    <row r="858" spans="1:35" ht="15" hidden="1" customHeight="1">
      <c r="A858" s="214" t="s">
        <v>0</v>
      </c>
      <c r="B858" s="277"/>
      <c r="C858" s="355"/>
      <c r="D858" s="314"/>
      <c r="E858" s="307">
        <f>IF(D858=0,0,VLOOKUP($D858,$F857:$H866,3,FALSE)*$E857)</f>
        <v>0</v>
      </c>
      <c r="F858" s="62">
        <v>9</v>
      </c>
      <c r="G858" s="63" t="s">
        <v>164</v>
      </c>
      <c r="H858" s="64">
        <f>H857-5</f>
        <v>110</v>
      </c>
      <c r="I858" s="214" t="s">
        <v>0</v>
      </c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  <c r="AA858" s="36"/>
      <c r="AB858" s="36"/>
      <c r="AC858" s="36"/>
      <c r="AD858" s="36"/>
      <c r="AE858" s="36"/>
      <c r="AF858" s="36"/>
      <c r="AG858" s="36"/>
      <c r="AH858" s="36"/>
      <c r="AI858" s="36"/>
    </row>
    <row r="859" spans="1:35" ht="15" hidden="1" customHeight="1">
      <c r="A859" s="214" t="s">
        <v>0</v>
      </c>
      <c r="B859" s="277"/>
      <c r="C859" s="355"/>
      <c r="D859" s="315"/>
      <c r="E859" s="308"/>
      <c r="F859" s="62">
        <v>8</v>
      </c>
      <c r="G859" s="63" t="s">
        <v>164</v>
      </c>
      <c r="H859" s="64">
        <f t="shared" ref="H859:H866" si="61">H858-5</f>
        <v>105</v>
      </c>
      <c r="I859" s="214" t="s">
        <v>0</v>
      </c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  <c r="AA859" s="36"/>
      <c r="AB859" s="36"/>
      <c r="AC859" s="36"/>
      <c r="AD859" s="36"/>
      <c r="AE859" s="36"/>
      <c r="AF859" s="36"/>
      <c r="AG859" s="36"/>
      <c r="AH859" s="36"/>
      <c r="AI859" s="36"/>
    </row>
    <row r="860" spans="1:35" ht="15" hidden="1" customHeight="1">
      <c r="A860" s="214" t="s">
        <v>0</v>
      </c>
      <c r="B860" s="277"/>
      <c r="C860" s="355"/>
      <c r="D860" s="315"/>
      <c r="E860" s="308"/>
      <c r="F860" s="62">
        <v>7</v>
      </c>
      <c r="G860" s="63" t="s">
        <v>164</v>
      </c>
      <c r="H860" s="64">
        <f t="shared" si="61"/>
        <v>100</v>
      </c>
      <c r="I860" s="214" t="s">
        <v>0</v>
      </c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  <c r="AA860" s="36"/>
      <c r="AB860" s="36"/>
      <c r="AC860" s="36"/>
      <c r="AD860" s="36"/>
      <c r="AE860" s="36"/>
      <c r="AF860" s="36"/>
      <c r="AG860" s="36"/>
      <c r="AH860" s="36"/>
      <c r="AI860" s="36"/>
    </row>
    <row r="861" spans="1:35" ht="15" hidden="1" customHeight="1">
      <c r="A861" s="214" t="s">
        <v>0</v>
      </c>
      <c r="B861" s="277"/>
      <c r="C861" s="355"/>
      <c r="D861" s="315"/>
      <c r="E861" s="308"/>
      <c r="F861" s="62">
        <v>6</v>
      </c>
      <c r="G861" s="63" t="s">
        <v>164</v>
      </c>
      <c r="H861" s="64">
        <f t="shared" si="61"/>
        <v>95</v>
      </c>
      <c r="I861" s="214" t="s">
        <v>0</v>
      </c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  <c r="AA861" s="36"/>
      <c r="AB861" s="36"/>
      <c r="AC861" s="36"/>
      <c r="AD861" s="36"/>
      <c r="AE861" s="36"/>
      <c r="AF861" s="36"/>
      <c r="AG861" s="36"/>
      <c r="AH861" s="36"/>
      <c r="AI861" s="36"/>
    </row>
    <row r="862" spans="1:35" ht="15" hidden="1" customHeight="1">
      <c r="A862" s="214" t="s">
        <v>0</v>
      </c>
      <c r="B862" s="277"/>
      <c r="C862" s="355"/>
      <c r="D862" s="315"/>
      <c r="E862" s="308"/>
      <c r="F862" s="62">
        <v>5</v>
      </c>
      <c r="G862" s="63" t="s">
        <v>164</v>
      </c>
      <c r="H862" s="64">
        <f t="shared" si="61"/>
        <v>90</v>
      </c>
      <c r="I862" s="214" t="s">
        <v>0</v>
      </c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  <c r="AA862" s="36"/>
      <c r="AB862" s="36"/>
      <c r="AC862" s="36"/>
      <c r="AD862" s="36"/>
      <c r="AE862" s="36"/>
      <c r="AF862" s="36"/>
      <c r="AG862" s="36"/>
      <c r="AH862" s="36"/>
      <c r="AI862" s="36"/>
    </row>
    <row r="863" spans="1:35" ht="15" hidden="1" customHeight="1">
      <c r="A863" s="214" t="s">
        <v>0</v>
      </c>
      <c r="B863" s="277"/>
      <c r="C863" s="355"/>
      <c r="D863" s="315"/>
      <c r="E863" s="308"/>
      <c r="F863" s="62">
        <v>4</v>
      </c>
      <c r="G863" s="63" t="s">
        <v>164</v>
      </c>
      <c r="H863" s="64">
        <f t="shared" si="61"/>
        <v>85</v>
      </c>
      <c r="I863" s="214" t="s">
        <v>0</v>
      </c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  <c r="AA863" s="36"/>
      <c r="AB863" s="36"/>
      <c r="AC863" s="36"/>
      <c r="AD863" s="36"/>
      <c r="AE863" s="36"/>
      <c r="AF863" s="36"/>
      <c r="AG863" s="36"/>
      <c r="AH863" s="36"/>
      <c r="AI863" s="36"/>
    </row>
    <row r="864" spans="1:35" ht="15.75" hidden="1" customHeight="1" thickBot="1">
      <c r="A864" s="214" t="s">
        <v>0</v>
      </c>
      <c r="B864" s="278"/>
      <c r="C864" s="350"/>
      <c r="D864" s="315"/>
      <c r="E864" s="308"/>
      <c r="F864" s="62">
        <v>3</v>
      </c>
      <c r="G864" s="63" t="s">
        <v>164</v>
      </c>
      <c r="H864" s="64">
        <f t="shared" si="61"/>
        <v>80</v>
      </c>
      <c r="I864" s="214" t="s">
        <v>0</v>
      </c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  <c r="AA864" s="36"/>
      <c r="AB864" s="36"/>
      <c r="AC864" s="36"/>
      <c r="AD864" s="36"/>
      <c r="AE864" s="36"/>
      <c r="AF864" s="36"/>
      <c r="AG864" s="36"/>
      <c r="AH864" s="36"/>
      <c r="AI864" s="36"/>
    </row>
    <row r="865" spans="1:35" ht="15" hidden="1" customHeight="1">
      <c r="A865" s="214" t="s">
        <v>0</v>
      </c>
      <c r="B865" s="274" t="s">
        <v>158</v>
      </c>
      <c r="C865" s="349"/>
      <c r="D865" s="315"/>
      <c r="E865" s="308"/>
      <c r="F865" s="62">
        <v>2</v>
      </c>
      <c r="G865" s="63" t="s">
        <v>164</v>
      </c>
      <c r="H865" s="64">
        <f t="shared" si="61"/>
        <v>75</v>
      </c>
      <c r="I865" s="214" t="s">
        <v>0</v>
      </c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  <c r="X865" s="36"/>
      <c r="Y865" s="36"/>
      <c r="Z865" s="36"/>
      <c r="AA865" s="36"/>
      <c r="AB865" s="36"/>
      <c r="AC865" s="36"/>
      <c r="AD865" s="36"/>
      <c r="AE865" s="36"/>
      <c r="AF865" s="36"/>
      <c r="AG865" s="36"/>
      <c r="AH865" s="36"/>
      <c r="AI865" s="36"/>
    </row>
    <row r="866" spans="1:35" ht="15.75" hidden="1" customHeight="1" thickBot="1">
      <c r="A866" s="214" t="s">
        <v>0</v>
      </c>
      <c r="B866" s="275"/>
      <c r="C866" s="350"/>
      <c r="D866" s="316"/>
      <c r="E866" s="309"/>
      <c r="F866" s="67">
        <v>1</v>
      </c>
      <c r="G866" s="68" t="s">
        <v>164</v>
      </c>
      <c r="H866" s="69">
        <f t="shared" si="61"/>
        <v>70</v>
      </c>
      <c r="I866" s="214" t="s">
        <v>0</v>
      </c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  <c r="X866" s="36"/>
      <c r="Y866" s="36"/>
      <c r="Z866" s="36"/>
      <c r="AA866" s="36"/>
      <c r="AB866" s="36"/>
      <c r="AC866" s="36"/>
      <c r="AD866" s="36"/>
      <c r="AE866" s="36"/>
      <c r="AF866" s="36"/>
      <c r="AG866" s="36"/>
      <c r="AH866" s="36"/>
      <c r="AI866" s="36"/>
    </row>
    <row r="867" spans="1:35" ht="15.75" hidden="1" customHeight="1" thickBot="1">
      <c r="A867" s="214" t="s">
        <v>0</v>
      </c>
      <c r="B867" s="279">
        <v>10</v>
      </c>
      <c r="C867" s="349"/>
      <c r="D867" s="123" t="s">
        <v>156</v>
      </c>
      <c r="E867" s="124">
        <v>0.6</v>
      </c>
      <c r="F867" s="70">
        <v>10</v>
      </c>
      <c r="G867" s="71" t="s">
        <v>164</v>
      </c>
      <c r="H867" s="72">
        <v>115</v>
      </c>
      <c r="I867" s="214" t="s">
        <v>0</v>
      </c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  <c r="X867" s="36"/>
      <c r="Y867" s="36"/>
      <c r="Z867" s="36"/>
      <c r="AA867" s="36"/>
      <c r="AB867" s="36"/>
      <c r="AC867" s="36"/>
      <c r="AD867" s="36"/>
      <c r="AE867" s="36"/>
      <c r="AF867" s="36"/>
      <c r="AG867" s="36"/>
      <c r="AH867" s="36"/>
      <c r="AI867" s="36"/>
    </row>
    <row r="868" spans="1:35" ht="15" hidden="1" customHeight="1">
      <c r="A868" s="214" t="s">
        <v>0</v>
      </c>
      <c r="B868" s="277"/>
      <c r="C868" s="355"/>
      <c r="D868" s="314"/>
      <c r="E868" s="307">
        <f>IF(D868=0,0,VLOOKUP($D868,$F867:$H876,3,FALSE)*$E867)</f>
        <v>0</v>
      </c>
      <c r="F868" s="62">
        <v>9</v>
      </c>
      <c r="G868" s="63" t="s">
        <v>164</v>
      </c>
      <c r="H868" s="64">
        <f>H867-5</f>
        <v>110</v>
      </c>
      <c r="I868" s="214" t="s">
        <v>0</v>
      </c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  <c r="X868" s="36"/>
      <c r="Y868" s="36"/>
      <c r="Z868" s="36"/>
      <c r="AA868" s="36"/>
      <c r="AB868" s="36"/>
      <c r="AC868" s="36"/>
      <c r="AD868" s="36"/>
      <c r="AE868" s="36"/>
      <c r="AF868" s="36"/>
      <c r="AG868" s="36"/>
      <c r="AH868" s="36"/>
      <c r="AI868" s="36"/>
    </row>
    <row r="869" spans="1:35" ht="15" hidden="1" customHeight="1">
      <c r="A869" s="214" t="s">
        <v>0</v>
      </c>
      <c r="B869" s="277"/>
      <c r="C869" s="355"/>
      <c r="D869" s="315"/>
      <c r="E869" s="308"/>
      <c r="F869" s="62">
        <v>8</v>
      </c>
      <c r="G869" s="63" t="s">
        <v>164</v>
      </c>
      <c r="H869" s="64">
        <f t="shared" ref="H869:H876" si="62">H868-5</f>
        <v>105</v>
      </c>
      <c r="I869" s="214" t="s">
        <v>0</v>
      </c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  <c r="X869" s="36"/>
      <c r="Y869" s="36"/>
      <c r="Z869" s="36"/>
      <c r="AA869" s="36"/>
      <c r="AB869" s="36"/>
      <c r="AC869" s="36"/>
      <c r="AD869" s="36"/>
      <c r="AE869" s="36"/>
      <c r="AF869" s="36"/>
      <c r="AG869" s="36"/>
      <c r="AH869" s="36"/>
      <c r="AI869" s="36"/>
    </row>
    <row r="870" spans="1:35" ht="15" hidden="1" customHeight="1">
      <c r="A870" s="214" t="s">
        <v>0</v>
      </c>
      <c r="B870" s="277"/>
      <c r="C870" s="355"/>
      <c r="D870" s="315"/>
      <c r="E870" s="308"/>
      <c r="F870" s="62">
        <v>7</v>
      </c>
      <c r="G870" s="63" t="s">
        <v>164</v>
      </c>
      <c r="H870" s="64">
        <f t="shared" si="62"/>
        <v>100</v>
      </c>
      <c r="I870" s="214" t="s">
        <v>0</v>
      </c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  <c r="X870" s="36"/>
      <c r="Y870" s="36"/>
      <c r="Z870" s="36"/>
      <c r="AA870" s="36"/>
      <c r="AB870" s="36"/>
      <c r="AC870" s="36"/>
      <c r="AD870" s="36"/>
      <c r="AE870" s="36"/>
      <c r="AF870" s="36"/>
      <c r="AG870" s="36"/>
      <c r="AH870" s="36"/>
      <c r="AI870" s="36"/>
    </row>
    <row r="871" spans="1:35" ht="15" hidden="1" customHeight="1">
      <c r="A871" s="214" t="s">
        <v>0</v>
      </c>
      <c r="B871" s="277"/>
      <c r="C871" s="355"/>
      <c r="D871" s="315"/>
      <c r="E871" s="308"/>
      <c r="F871" s="62">
        <v>6</v>
      </c>
      <c r="G871" s="63" t="s">
        <v>164</v>
      </c>
      <c r="H871" s="64">
        <f t="shared" si="62"/>
        <v>95</v>
      </c>
      <c r="I871" s="214" t="s">
        <v>0</v>
      </c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  <c r="X871" s="36"/>
      <c r="Y871" s="36"/>
      <c r="Z871" s="36"/>
      <c r="AA871" s="36"/>
      <c r="AB871" s="36"/>
      <c r="AC871" s="36"/>
      <c r="AD871" s="36"/>
      <c r="AE871" s="36"/>
      <c r="AF871" s="36"/>
      <c r="AG871" s="36"/>
      <c r="AH871" s="36"/>
      <c r="AI871" s="36"/>
    </row>
    <row r="872" spans="1:35" ht="15" hidden="1" customHeight="1">
      <c r="A872" s="214" t="s">
        <v>0</v>
      </c>
      <c r="B872" s="277"/>
      <c r="C872" s="355"/>
      <c r="D872" s="315"/>
      <c r="E872" s="308"/>
      <c r="F872" s="62">
        <v>5</v>
      </c>
      <c r="G872" s="63" t="s">
        <v>164</v>
      </c>
      <c r="H872" s="64">
        <f t="shared" si="62"/>
        <v>90</v>
      </c>
      <c r="I872" s="214" t="s">
        <v>0</v>
      </c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  <c r="X872" s="36"/>
      <c r="Y872" s="36"/>
      <c r="Z872" s="36"/>
      <c r="AA872" s="36"/>
      <c r="AB872" s="36"/>
      <c r="AC872" s="36"/>
      <c r="AD872" s="36"/>
      <c r="AE872" s="36"/>
      <c r="AF872" s="36"/>
      <c r="AG872" s="36"/>
      <c r="AH872" s="36"/>
      <c r="AI872" s="36"/>
    </row>
    <row r="873" spans="1:35" ht="15" hidden="1" customHeight="1">
      <c r="A873" s="214" t="s">
        <v>0</v>
      </c>
      <c r="B873" s="277"/>
      <c r="C873" s="355"/>
      <c r="D873" s="315"/>
      <c r="E873" s="308"/>
      <c r="F873" s="62">
        <v>4</v>
      </c>
      <c r="G873" s="63" t="s">
        <v>164</v>
      </c>
      <c r="H873" s="64">
        <f t="shared" si="62"/>
        <v>85</v>
      </c>
      <c r="I873" s="214" t="s">
        <v>0</v>
      </c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  <c r="X873" s="36"/>
      <c r="Y873" s="36"/>
      <c r="Z873" s="36"/>
      <c r="AA873" s="36"/>
      <c r="AB873" s="36"/>
      <c r="AC873" s="36"/>
      <c r="AD873" s="36"/>
      <c r="AE873" s="36"/>
      <c r="AF873" s="36"/>
      <c r="AG873" s="36"/>
      <c r="AH873" s="36"/>
      <c r="AI873" s="36"/>
    </row>
    <row r="874" spans="1:35" ht="15.75" hidden="1" customHeight="1" thickBot="1">
      <c r="A874" s="214" t="s">
        <v>0</v>
      </c>
      <c r="B874" s="278"/>
      <c r="C874" s="350"/>
      <c r="D874" s="315"/>
      <c r="E874" s="308"/>
      <c r="F874" s="62">
        <v>3</v>
      </c>
      <c r="G874" s="63" t="s">
        <v>164</v>
      </c>
      <c r="H874" s="64">
        <f t="shared" si="62"/>
        <v>80</v>
      </c>
      <c r="I874" s="214" t="s">
        <v>0</v>
      </c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  <c r="X874" s="36"/>
      <c r="Y874" s="36"/>
      <c r="Z874" s="36"/>
      <c r="AA874" s="36"/>
      <c r="AB874" s="36"/>
      <c r="AC874" s="36"/>
      <c r="AD874" s="36"/>
      <c r="AE874" s="36"/>
      <c r="AF874" s="36"/>
      <c r="AG874" s="36"/>
      <c r="AH874" s="36"/>
      <c r="AI874" s="36"/>
    </row>
    <row r="875" spans="1:35" ht="15" hidden="1" customHeight="1">
      <c r="A875" s="214" t="s">
        <v>0</v>
      </c>
      <c r="B875" s="274" t="s">
        <v>158</v>
      </c>
      <c r="C875" s="349"/>
      <c r="D875" s="315"/>
      <c r="E875" s="308"/>
      <c r="F875" s="62">
        <v>2</v>
      </c>
      <c r="G875" s="63" t="s">
        <v>164</v>
      </c>
      <c r="H875" s="64">
        <f t="shared" si="62"/>
        <v>75</v>
      </c>
      <c r="I875" s="214" t="s">
        <v>0</v>
      </c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  <c r="X875" s="36"/>
      <c r="Y875" s="36"/>
      <c r="Z875" s="36"/>
      <c r="AA875" s="36"/>
      <c r="AB875" s="36"/>
      <c r="AC875" s="36"/>
      <c r="AD875" s="36"/>
      <c r="AE875" s="36"/>
      <c r="AF875" s="36"/>
      <c r="AG875" s="36"/>
      <c r="AH875" s="36"/>
      <c r="AI875" s="36"/>
    </row>
    <row r="876" spans="1:35" ht="15.75" hidden="1" customHeight="1" thickBot="1">
      <c r="A876" s="214" t="s">
        <v>0</v>
      </c>
      <c r="B876" s="275"/>
      <c r="C876" s="350"/>
      <c r="D876" s="316"/>
      <c r="E876" s="309"/>
      <c r="F876" s="67">
        <v>1</v>
      </c>
      <c r="G876" s="68" t="s">
        <v>164</v>
      </c>
      <c r="H876" s="69">
        <f t="shared" si="62"/>
        <v>70</v>
      </c>
      <c r="I876" s="214" t="s">
        <v>0</v>
      </c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  <c r="X876" s="36"/>
      <c r="Y876" s="36"/>
      <c r="Z876" s="36"/>
      <c r="AA876" s="36"/>
      <c r="AB876" s="36"/>
      <c r="AC876" s="36"/>
      <c r="AD876" s="36"/>
      <c r="AE876" s="36"/>
      <c r="AF876" s="36"/>
      <c r="AG876" s="36"/>
      <c r="AH876" s="36"/>
      <c r="AI876" s="36"/>
    </row>
    <row r="877" spans="1:35" ht="15" hidden="1" customHeight="1">
      <c r="A877" s="214" t="s">
        <v>0</v>
      </c>
      <c r="B877" s="214" t="s">
        <v>0</v>
      </c>
      <c r="C877" s="214" t="s">
        <v>0</v>
      </c>
      <c r="D877" s="214" t="s">
        <v>0</v>
      </c>
      <c r="E877" s="214" t="s">
        <v>0</v>
      </c>
      <c r="F877" s="214" t="s">
        <v>0</v>
      </c>
      <c r="G877" s="214" t="s">
        <v>0</v>
      </c>
      <c r="H877" s="214" t="s">
        <v>0</v>
      </c>
      <c r="I877" s="214" t="s">
        <v>0</v>
      </c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  <c r="X877" s="36"/>
      <c r="Y877" s="36"/>
      <c r="Z877" s="36"/>
      <c r="AA877" s="36"/>
      <c r="AB877" s="36"/>
      <c r="AC877" s="36"/>
      <c r="AD877" s="36"/>
      <c r="AE877" s="36"/>
      <c r="AF877" s="36"/>
      <c r="AG877" s="36"/>
      <c r="AH877" s="36"/>
      <c r="AI877" s="36"/>
    </row>
    <row r="878" spans="1:35" ht="29.25" hidden="1" customHeight="1" thickBot="1">
      <c r="A878" s="36"/>
      <c r="B878" s="36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  <c r="X878" s="36"/>
      <c r="Y878" s="36"/>
      <c r="Z878" s="36"/>
      <c r="AA878" s="36"/>
      <c r="AB878" s="36"/>
      <c r="AC878" s="36"/>
      <c r="AD878" s="36"/>
      <c r="AE878" s="36"/>
      <c r="AF878" s="36"/>
      <c r="AG878" s="36"/>
      <c r="AH878" s="36"/>
      <c r="AI878" s="36"/>
    </row>
    <row r="879" spans="1:35" ht="15" hidden="1" customHeight="1">
      <c r="A879" s="36"/>
      <c r="B879" s="48" t="s">
        <v>178</v>
      </c>
      <c r="C879" s="49"/>
      <c r="D879" s="49"/>
      <c r="E879" s="49"/>
      <c r="F879" s="49"/>
      <c r="G879" s="328" t="s">
        <v>8</v>
      </c>
      <c r="H879" s="328"/>
      <c r="I879" s="329"/>
      <c r="J879" s="36"/>
      <c r="K879" s="36"/>
      <c r="L879" s="36"/>
      <c r="M879" s="36"/>
      <c r="N879" s="36"/>
      <c r="O879" s="36">
        <v>8</v>
      </c>
      <c r="P879" s="36"/>
      <c r="Q879" s="36"/>
      <c r="R879" s="36"/>
      <c r="S879" s="36"/>
      <c r="T879" s="36"/>
      <c r="U879" s="36"/>
      <c r="V879" s="36"/>
      <c r="W879" s="36"/>
      <c r="X879" s="36"/>
      <c r="Y879" s="36"/>
      <c r="Z879" s="36"/>
      <c r="AA879" s="36"/>
      <c r="AB879" s="36"/>
      <c r="AC879" s="36"/>
      <c r="AD879" s="36"/>
      <c r="AE879" s="36"/>
      <c r="AF879" s="36"/>
      <c r="AG879" s="36"/>
      <c r="AH879" s="36"/>
      <c r="AI879" s="36"/>
    </row>
    <row r="880" spans="1:35" ht="15.75" hidden="1" customHeight="1" thickBot="1">
      <c r="A880" s="36"/>
      <c r="B880" s="50"/>
      <c r="C880" s="51"/>
      <c r="D880" s="51"/>
      <c r="E880" s="51"/>
      <c r="F880" s="51"/>
      <c r="G880" s="336"/>
      <c r="H880" s="337"/>
      <c r="I880" s="338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  <c r="X880" s="36"/>
      <c r="Y880" s="36"/>
      <c r="Z880" s="36"/>
      <c r="AA880" s="36"/>
      <c r="AB880" s="36"/>
      <c r="AC880" s="36"/>
      <c r="AD880" s="36"/>
      <c r="AE880" s="36"/>
      <c r="AF880" s="36"/>
      <c r="AG880" s="36"/>
      <c r="AH880" s="36"/>
      <c r="AI880" s="36"/>
    </row>
    <row r="881" spans="1:35" ht="15.75" hidden="1" customHeight="1" thickBot="1">
      <c r="A881" s="212" t="s">
        <v>0</v>
      </c>
      <c r="B881" s="36"/>
      <c r="C881" s="36"/>
      <c r="D881" s="36"/>
      <c r="E881" s="36"/>
      <c r="F881" s="36"/>
      <c r="G881" s="36"/>
      <c r="H881" s="36"/>
      <c r="I881" s="212" t="s">
        <v>0</v>
      </c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  <c r="X881" s="36"/>
      <c r="Y881" s="36"/>
      <c r="Z881" s="36"/>
      <c r="AA881" s="36"/>
      <c r="AB881" s="36"/>
      <c r="AC881" s="36"/>
      <c r="AD881" s="36"/>
      <c r="AE881" s="36"/>
      <c r="AF881" s="36"/>
      <c r="AG881" s="36"/>
      <c r="AH881" s="36"/>
      <c r="AI881" s="36"/>
    </row>
    <row r="882" spans="1:35" ht="15.75" hidden="1" customHeight="1" thickBot="1">
      <c r="A882" s="212" t="s">
        <v>0</v>
      </c>
      <c r="B882" s="52" t="s">
        <v>152</v>
      </c>
      <c r="C882" s="52" t="s">
        <v>153</v>
      </c>
      <c r="D882" s="280" t="s">
        <v>9</v>
      </c>
      <c r="E882" s="281"/>
      <c r="F882" s="282" t="s">
        <v>154</v>
      </c>
      <c r="G882" s="283"/>
      <c r="H882" s="284"/>
      <c r="I882" s="212" t="s">
        <v>0</v>
      </c>
      <c r="J882" s="36"/>
      <c r="K882" s="290" t="s">
        <v>155</v>
      </c>
      <c r="L882" s="291"/>
      <c r="M882" s="292"/>
      <c r="N882" s="36"/>
      <c r="O882" s="36"/>
      <c r="P882" s="36"/>
      <c r="Q882" s="36"/>
      <c r="R882" s="36"/>
      <c r="S882" s="36"/>
      <c r="T882" s="36"/>
      <c r="U882" s="36"/>
      <c r="V882" s="36"/>
      <c r="W882" s="36"/>
      <c r="X882" s="36"/>
      <c r="Y882" s="36"/>
      <c r="Z882" s="36"/>
      <c r="AA882" s="36"/>
      <c r="AB882" s="36"/>
      <c r="AC882" s="36"/>
      <c r="AD882" s="36"/>
      <c r="AE882" s="36"/>
      <c r="AF882" s="36"/>
      <c r="AG882" s="36"/>
      <c r="AH882" s="36"/>
      <c r="AI882" s="36"/>
    </row>
    <row r="883" spans="1:35" ht="15.75" hidden="1" customHeight="1" thickBot="1">
      <c r="A883" s="212" t="s">
        <v>0</v>
      </c>
      <c r="B883" s="276">
        <v>1</v>
      </c>
      <c r="C883" s="349"/>
      <c r="D883" s="123" t="s">
        <v>156</v>
      </c>
      <c r="E883" s="124">
        <v>0.6</v>
      </c>
      <c r="F883" s="58">
        <v>10</v>
      </c>
      <c r="G883" s="59" t="s">
        <v>164</v>
      </c>
      <c r="H883" s="60">
        <v>115</v>
      </c>
      <c r="I883" s="212" t="s">
        <v>0</v>
      </c>
      <c r="J883" s="36"/>
      <c r="K883" s="130" t="s">
        <v>153</v>
      </c>
      <c r="L883" s="131" t="s">
        <v>9</v>
      </c>
      <c r="M883" s="132" t="s">
        <v>158</v>
      </c>
      <c r="N883" s="36"/>
      <c r="O883" s="36"/>
      <c r="P883" s="36"/>
      <c r="Q883" s="36"/>
      <c r="R883" s="36"/>
      <c r="S883" s="36"/>
      <c r="T883" s="36"/>
      <c r="U883" s="36"/>
      <c r="V883" s="36"/>
      <c r="W883" s="36"/>
      <c r="X883" s="36"/>
      <c r="Y883" s="36"/>
      <c r="Z883" s="36"/>
      <c r="AA883" s="36"/>
      <c r="AB883" s="36"/>
      <c r="AC883" s="36"/>
      <c r="AD883" s="36"/>
      <c r="AE883" s="36"/>
      <c r="AF883" s="36"/>
      <c r="AG883" s="36"/>
      <c r="AH883" s="36"/>
      <c r="AI883" s="36"/>
    </row>
    <row r="884" spans="1:35" ht="15" hidden="1" customHeight="1">
      <c r="A884" s="212" t="s">
        <v>0</v>
      </c>
      <c r="B884" s="277"/>
      <c r="C884" s="355"/>
      <c r="D884" s="314"/>
      <c r="E884" s="307">
        <f>IF(D884=0,0,VLOOKUP($D884,$F883:$H892,3,FALSE)*$E883)</f>
        <v>0</v>
      </c>
      <c r="F884" s="62">
        <v>9</v>
      </c>
      <c r="G884" s="63" t="s">
        <v>164</v>
      </c>
      <c r="H884" s="64">
        <f>H883-5</f>
        <v>110</v>
      </c>
      <c r="I884" s="212" t="s">
        <v>0</v>
      </c>
      <c r="J884" s="36"/>
      <c r="K884" s="133">
        <v>1</v>
      </c>
      <c r="L884" s="134">
        <f>E884</f>
        <v>0</v>
      </c>
      <c r="M884" s="381">
        <f>SUM(L884:L888)</f>
        <v>0</v>
      </c>
      <c r="N884" s="36"/>
      <c r="O884" s="36"/>
      <c r="P884" s="36"/>
      <c r="Q884" s="36"/>
      <c r="R884" s="36"/>
      <c r="S884" s="36"/>
      <c r="T884" s="36"/>
      <c r="U884" s="36"/>
      <c r="V884" s="36"/>
      <c r="W884" s="36"/>
      <c r="X884" s="36"/>
      <c r="Y884" s="36"/>
      <c r="Z884" s="36"/>
      <c r="AA884" s="36"/>
      <c r="AB884" s="36"/>
      <c r="AC884" s="36"/>
      <c r="AD884" s="36"/>
      <c r="AE884" s="36"/>
      <c r="AF884" s="36"/>
      <c r="AG884" s="36"/>
      <c r="AH884" s="36"/>
      <c r="AI884" s="36"/>
    </row>
    <row r="885" spans="1:35" ht="15" hidden="1" customHeight="1">
      <c r="A885" s="212" t="s">
        <v>0</v>
      </c>
      <c r="B885" s="277"/>
      <c r="C885" s="355"/>
      <c r="D885" s="315"/>
      <c r="E885" s="308"/>
      <c r="F885" s="62">
        <v>8</v>
      </c>
      <c r="G885" s="63" t="s">
        <v>164</v>
      </c>
      <c r="H885" s="64">
        <f t="shared" ref="H885:H892" si="63">H884-5</f>
        <v>105</v>
      </c>
      <c r="I885" s="212" t="s">
        <v>0</v>
      </c>
      <c r="J885" s="36"/>
      <c r="K885" s="135">
        <v>2</v>
      </c>
      <c r="L885" s="136">
        <f>E894</f>
        <v>0</v>
      </c>
      <c r="M885" s="381"/>
      <c r="N885" s="36"/>
      <c r="O885" s="36"/>
      <c r="P885" s="36"/>
      <c r="Q885" s="36"/>
      <c r="R885" s="36"/>
      <c r="S885" s="36"/>
      <c r="T885" s="36"/>
      <c r="U885" s="36"/>
      <c r="V885" s="36"/>
      <c r="W885" s="36"/>
      <c r="X885" s="36"/>
      <c r="Y885" s="36"/>
      <c r="Z885" s="36"/>
      <c r="AA885" s="36"/>
      <c r="AB885" s="36"/>
      <c r="AC885" s="36"/>
      <c r="AD885" s="36"/>
      <c r="AE885" s="36"/>
      <c r="AF885" s="36"/>
      <c r="AG885" s="36"/>
      <c r="AH885" s="36"/>
      <c r="AI885" s="36"/>
    </row>
    <row r="886" spans="1:35" ht="15" hidden="1" customHeight="1">
      <c r="A886" s="212" t="s">
        <v>0</v>
      </c>
      <c r="B886" s="277"/>
      <c r="C886" s="355"/>
      <c r="D886" s="315"/>
      <c r="E886" s="308"/>
      <c r="F886" s="62">
        <v>7</v>
      </c>
      <c r="G886" s="63" t="s">
        <v>164</v>
      </c>
      <c r="H886" s="64">
        <f t="shared" si="63"/>
        <v>100</v>
      </c>
      <c r="I886" s="212" t="s">
        <v>0</v>
      </c>
      <c r="J886" s="36"/>
      <c r="K886" s="135">
        <v>3</v>
      </c>
      <c r="L886" s="136">
        <f>E904</f>
        <v>0</v>
      </c>
      <c r="M886" s="381"/>
      <c r="N886" s="36"/>
      <c r="O886" s="36"/>
      <c r="P886" s="36"/>
      <c r="Q886" s="36"/>
      <c r="R886" s="36"/>
      <c r="S886" s="36"/>
      <c r="T886" s="36"/>
      <c r="U886" s="36"/>
      <c r="V886" s="36"/>
      <c r="W886" s="36"/>
      <c r="X886" s="36"/>
      <c r="Y886" s="36"/>
      <c r="Z886" s="36"/>
      <c r="AA886" s="36"/>
      <c r="AB886" s="36"/>
      <c r="AC886" s="36"/>
      <c r="AD886" s="36"/>
      <c r="AE886" s="36"/>
      <c r="AF886" s="36"/>
      <c r="AG886" s="36"/>
      <c r="AH886" s="36"/>
      <c r="AI886" s="36"/>
    </row>
    <row r="887" spans="1:35" ht="15" hidden="1" customHeight="1">
      <c r="A887" s="212" t="s">
        <v>0</v>
      </c>
      <c r="B887" s="277"/>
      <c r="C887" s="355"/>
      <c r="D887" s="315"/>
      <c r="E887" s="308"/>
      <c r="F887" s="62">
        <v>6</v>
      </c>
      <c r="G887" s="63" t="s">
        <v>164</v>
      </c>
      <c r="H887" s="64">
        <f t="shared" si="63"/>
        <v>95</v>
      </c>
      <c r="I887" s="212" t="s">
        <v>0</v>
      </c>
      <c r="J887" s="36"/>
      <c r="K887" s="135">
        <v>4</v>
      </c>
      <c r="L887" s="136">
        <f>E914</f>
        <v>0</v>
      </c>
      <c r="M887" s="381"/>
      <c r="N887" s="36"/>
      <c r="O887" s="36"/>
      <c r="P887" s="36"/>
      <c r="Q887" s="36"/>
      <c r="R887" s="36"/>
      <c r="S887" s="36"/>
      <c r="T887" s="36"/>
      <c r="U887" s="36"/>
      <c r="V887" s="36"/>
      <c r="W887" s="36"/>
      <c r="X887" s="36"/>
      <c r="Y887" s="36"/>
      <c r="Z887" s="36"/>
      <c r="AA887" s="36"/>
      <c r="AB887" s="36"/>
      <c r="AC887" s="36"/>
      <c r="AD887" s="36"/>
      <c r="AE887" s="36"/>
      <c r="AF887" s="36"/>
      <c r="AG887" s="36"/>
      <c r="AH887" s="36"/>
      <c r="AI887" s="36"/>
    </row>
    <row r="888" spans="1:35" ht="15.75" hidden="1" customHeight="1" thickBot="1">
      <c r="A888" s="212" t="s">
        <v>0</v>
      </c>
      <c r="B888" s="277"/>
      <c r="C888" s="355"/>
      <c r="D888" s="315"/>
      <c r="E888" s="308"/>
      <c r="F888" s="62">
        <v>5</v>
      </c>
      <c r="G888" s="63" t="s">
        <v>164</v>
      </c>
      <c r="H888" s="64">
        <f t="shared" si="63"/>
        <v>90</v>
      </c>
      <c r="I888" s="212" t="s">
        <v>0</v>
      </c>
      <c r="J888" s="36"/>
      <c r="K888" s="137">
        <v>5</v>
      </c>
      <c r="L888" s="138">
        <f>E924</f>
        <v>0</v>
      </c>
      <c r="M888" s="382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36"/>
      <c r="Z888" s="36"/>
      <c r="AA888" s="36"/>
      <c r="AB888" s="36"/>
      <c r="AC888" s="36"/>
      <c r="AD888" s="36"/>
      <c r="AE888" s="36"/>
      <c r="AF888" s="36"/>
      <c r="AG888" s="36"/>
      <c r="AH888" s="36"/>
      <c r="AI888" s="36"/>
    </row>
    <row r="889" spans="1:35" ht="15.75" hidden="1" customHeight="1" thickBot="1">
      <c r="A889" s="212" t="s">
        <v>0</v>
      </c>
      <c r="B889" s="277"/>
      <c r="C889" s="355"/>
      <c r="D889" s="315"/>
      <c r="E889" s="308"/>
      <c r="F889" s="62">
        <v>4</v>
      </c>
      <c r="G889" s="63" t="s">
        <v>164</v>
      </c>
      <c r="H889" s="64">
        <f t="shared" si="63"/>
        <v>85</v>
      </c>
      <c r="I889" s="212" t="s">
        <v>0</v>
      </c>
      <c r="J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  <c r="X889" s="36"/>
      <c r="Y889" s="36"/>
      <c r="Z889" s="36"/>
      <c r="AA889" s="36"/>
      <c r="AB889" s="36"/>
      <c r="AC889" s="36"/>
      <c r="AD889" s="36"/>
      <c r="AE889" s="36"/>
      <c r="AF889" s="36"/>
      <c r="AG889" s="36"/>
      <c r="AH889" s="36"/>
      <c r="AI889" s="36"/>
    </row>
    <row r="890" spans="1:35" ht="15.75" hidden="1" customHeight="1" thickBot="1">
      <c r="A890" s="212" t="s">
        <v>0</v>
      </c>
      <c r="B890" s="278"/>
      <c r="C890" s="350"/>
      <c r="D890" s="315"/>
      <c r="E890" s="308"/>
      <c r="F890" s="62">
        <v>3</v>
      </c>
      <c r="G890" s="63" t="s">
        <v>164</v>
      </c>
      <c r="H890" s="64">
        <f t="shared" si="63"/>
        <v>80</v>
      </c>
      <c r="I890" s="212" t="s">
        <v>0</v>
      </c>
      <c r="J890" s="36"/>
      <c r="K890" s="293" t="s">
        <v>93</v>
      </c>
      <c r="L890" s="294"/>
      <c r="M890" s="295"/>
      <c r="N890" s="36"/>
      <c r="O890" s="36"/>
      <c r="P890" s="36"/>
      <c r="Q890" s="36"/>
      <c r="R890" s="36"/>
      <c r="S890" s="36"/>
      <c r="T890" s="36"/>
      <c r="U890" s="36"/>
      <c r="V890" s="36"/>
      <c r="W890" s="36"/>
      <c r="X890" s="36"/>
      <c r="Y890" s="36"/>
      <c r="Z890" s="36"/>
      <c r="AA890" s="36"/>
      <c r="AB890" s="36"/>
      <c r="AC890" s="36"/>
      <c r="AD890" s="36"/>
      <c r="AE890" s="36"/>
      <c r="AF890" s="36"/>
      <c r="AG890" s="36"/>
      <c r="AH890" s="36"/>
      <c r="AI890" s="36"/>
    </row>
    <row r="891" spans="1:35" ht="15.75" hidden="1" customHeight="1" thickBot="1">
      <c r="A891" s="212" t="s">
        <v>0</v>
      </c>
      <c r="B891" s="274" t="s">
        <v>158</v>
      </c>
      <c r="C891" s="349"/>
      <c r="D891" s="315"/>
      <c r="E891" s="308"/>
      <c r="F891" s="62">
        <v>2</v>
      </c>
      <c r="G891" s="63" t="s">
        <v>164</v>
      </c>
      <c r="H891" s="64">
        <f t="shared" si="63"/>
        <v>75</v>
      </c>
      <c r="I891" s="212" t="s">
        <v>0</v>
      </c>
      <c r="J891" s="36"/>
      <c r="K891" s="139" t="s">
        <v>6</v>
      </c>
      <c r="L891" s="140" t="s">
        <v>9</v>
      </c>
      <c r="M891" s="141" t="s">
        <v>158</v>
      </c>
      <c r="N891" s="36"/>
      <c r="O891" s="36"/>
      <c r="P891" s="36"/>
      <c r="Q891" s="36"/>
      <c r="R891" s="36"/>
      <c r="S891" s="36"/>
      <c r="T891" s="36"/>
      <c r="U891" s="36"/>
      <c r="V891" s="36"/>
      <c r="W891" s="36"/>
      <c r="X891" s="36"/>
      <c r="Y891" s="36"/>
      <c r="Z891" s="36"/>
      <c r="AA891" s="36"/>
      <c r="AB891" s="36"/>
      <c r="AC891" s="36"/>
      <c r="AD891" s="36"/>
      <c r="AE891" s="36"/>
      <c r="AF891" s="36"/>
      <c r="AG891" s="36"/>
      <c r="AH891" s="36"/>
      <c r="AI891" s="36"/>
    </row>
    <row r="892" spans="1:35" ht="15.75" hidden="1" customHeight="1" thickBot="1">
      <c r="A892" s="212" t="s">
        <v>0</v>
      </c>
      <c r="B892" s="275"/>
      <c r="C892" s="350"/>
      <c r="D892" s="316"/>
      <c r="E892" s="309"/>
      <c r="F892" s="67">
        <v>1</v>
      </c>
      <c r="G892" s="68" t="s">
        <v>164</v>
      </c>
      <c r="H892" s="69">
        <f t="shared" si="63"/>
        <v>70</v>
      </c>
      <c r="I892" s="212" t="s">
        <v>0</v>
      </c>
      <c r="J892" s="36"/>
      <c r="K892" s="133">
        <v>1</v>
      </c>
      <c r="L892" s="134">
        <f>E938</f>
        <v>0</v>
      </c>
      <c r="M892" s="383">
        <f>SUM(L892:L901)</f>
        <v>0</v>
      </c>
      <c r="N892" s="36"/>
      <c r="O892" s="36"/>
      <c r="P892" s="36"/>
      <c r="Q892" s="36"/>
      <c r="R892" s="36"/>
      <c r="S892" s="36"/>
      <c r="T892" s="36"/>
      <c r="U892" s="36"/>
      <c r="V892" s="36"/>
      <c r="W892" s="36"/>
      <c r="X892" s="36"/>
      <c r="Y892" s="36"/>
      <c r="Z892" s="36"/>
      <c r="AA892" s="36"/>
      <c r="AB892" s="36"/>
      <c r="AC892" s="36"/>
      <c r="AD892" s="36"/>
      <c r="AE892" s="36"/>
      <c r="AF892" s="36"/>
      <c r="AG892" s="36"/>
      <c r="AH892" s="36"/>
      <c r="AI892" s="36"/>
    </row>
    <row r="893" spans="1:35" ht="15.75" hidden="1" customHeight="1" thickBot="1">
      <c r="A893" s="212" t="s">
        <v>0</v>
      </c>
      <c r="B893" s="276">
        <v>2</v>
      </c>
      <c r="C893" s="349"/>
      <c r="D893" s="123" t="s">
        <v>156</v>
      </c>
      <c r="E893" s="124">
        <v>0.6</v>
      </c>
      <c r="F893" s="58">
        <v>10</v>
      </c>
      <c r="G893" s="59" t="s">
        <v>164</v>
      </c>
      <c r="H893" s="60">
        <v>115</v>
      </c>
      <c r="I893" s="212" t="s">
        <v>0</v>
      </c>
      <c r="J893" s="36"/>
      <c r="K893" s="135">
        <v>2</v>
      </c>
      <c r="L893" s="136">
        <f>E948</f>
        <v>0</v>
      </c>
      <c r="M893" s="381"/>
      <c r="N893" s="36"/>
      <c r="O893" s="36"/>
      <c r="P893" s="36"/>
      <c r="Q893" s="36"/>
      <c r="R893" s="36"/>
      <c r="S893" s="36"/>
      <c r="T893" s="36"/>
      <c r="U893" s="36"/>
      <c r="V893" s="36"/>
      <c r="W893" s="36"/>
      <c r="X893" s="36"/>
      <c r="Y893" s="36"/>
      <c r="Z893" s="36"/>
      <c r="AA893" s="36"/>
      <c r="AB893" s="36"/>
      <c r="AC893" s="36"/>
      <c r="AD893" s="36"/>
      <c r="AE893" s="36"/>
      <c r="AF893" s="36"/>
      <c r="AG893" s="36"/>
      <c r="AH893" s="36"/>
      <c r="AI893" s="36"/>
    </row>
    <row r="894" spans="1:35" ht="15" hidden="1" customHeight="1">
      <c r="A894" s="212" t="s">
        <v>0</v>
      </c>
      <c r="B894" s="277"/>
      <c r="C894" s="355"/>
      <c r="D894" s="314"/>
      <c r="E894" s="307">
        <f>IF(D894=0,0,VLOOKUP($D894,$F893:$H902,3,FALSE)*$E893)</f>
        <v>0</v>
      </c>
      <c r="F894" s="62">
        <v>9</v>
      </c>
      <c r="G894" s="63" t="s">
        <v>164</v>
      </c>
      <c r="H894" s="64">
        <f>H893-5</f>
        <v>110</v>
      </c>
      <c r="I894" s="212" t="s">
        <v>0</v>
      </c>
      <c r="J894" s="36"/>
      <c r="K894" s="135">
        <v>3</v>
      </c>
      <c r="L894" s="136">
        <f>E958</f>
        <v>0</v>
      </c>
      <c r="M894" s="381"/>
      <c r="N894" s="36"/>
      <c r="O894" s="36"/>
      <c r="P894" s="36"/>
      <c r="Q894" s="36"/>
      <c r="R894" s="36"/>
      <c r="S894" s="36"/>
      <c r="T894" s="36"/>
      <c r="U894" s="36"/>
      <c r="V894" s="36"/>
      <c r="W894" s="36"/>
      <c r="X894" s="36"/>
      <c r="Y894" s="36"/>
      <c r="Z894" s="36"/>
      <c r="AA894" s="36"/>
      <c r="AB894" s="36"/>
      <c r="AC894" s="36"/>
      <c r="AD894" s="36"/>
      <c r="AE894" s="36"/>
      <c r="AF894" s="36"/>
      <c r="AG894" s="36"/>
      <c r="AH894" s="36"/>
      <c r="AI894" s="36"/>
    </row>
    <row r="895" spans="1:35" ht="15" hidden="1" customHeight="1">
      <c r="A895" s="212" t="s">
        <v>0</v>
      </c>
      <c r="B895" s="277"/>
      <c r="C895" s="355"/>
      <c r="D895" s="315"/>
      <c r="E895" s="308"/>
      <c r="F895" s="62">
        <v>8</v>
      </c>
      <c r="G895" s="63" t="s">
        <v>164</v>
      </c>
      <c r="H895" s="64">
        <f t="shared" ref="H895:H902" si="64">H894-5</f>
        <v>105</v>
      </c>
      <c r="I895" s="212" t="s">
        <v>0</v>
      </c>
      <c r="J895" s="36"/>
      <c r="K895" s="135">
        <v>4</v>
      </c>
      <c r="L895" s="136">
        <f>E968</f>
        <v>0</v>
      </c>
      <c r="M895" s="381"/>
      <c r="N895" s="36"/>
      <c r="O895" s="36"/>
      <c r="P895" s="36"/>
      <c r="Q895" s="36"/>
      <c r="R895" s="36"/>
      <c r="S895" s="36"/>
      <c r="T895" s="36"/>
      <c r="U895" s="36"/>
      <c r="V895" s="36"/>
      <c r="W895" s="36"/>
      <c r="X895" s="36"/>
      <c r="Y895" s="36"/>
      <c r="Z895" s="36"/>
      <c r="AA895" s="36"/>
      <c r="AB895" s="36"/>
      <c r="AC895" s="36"/>
      <c r="AD895" s="36"/>
      <c r="AE895" s="36"/>
      <c r="AF895" s="36"/>
      <c r="AG895" s="36"/>
      <c r="AH895" s="36"/>
      <c r="AI895" s="36"/>
    </row>
    <row r="896" spans="1:35" ht="15" hidden="1" customHeight="1">
      <c r="A896" s="212" t="s">
        <v>0</v>
      </c>
      <c r="B896" s="277"/>
      <c r="C896" s="355"/>
      <c r="D896" s="315"/>
      <c r="E896" s="308"/>
      <c r="F896" s="62">
        <v>7</v>
      </c>
      <c r="G896" s="63" t="s">
        <v>164</v>
      </c>
      <c r="H896" s="64">
        <f t="shared" si="64"/>
        <v>100</v>
      </c>
      <c r="I896" s="212" t="s">
        <v>0</v>
      </c>
      <c r="J896" s="36"/>
      <c r="K896" s="135">
        <v>5</v>
      </c>
      <c r="L896" s="136">
        <f>E978</f>
        <v>0</v>
      </c>
      <c r="M896" s="381"/>
      <c r="N896" s="36"/>
      <c r="O896" s="36"/>
      <c r="P896" s="36"/>
      <c r="Q896" s="36"/>
      <c r="R896" s="36"/>
      <c r="S896" s="36"/>
      <c r="T896" s="36"/>
      <c r="U896" s="36"/>
      <c r="V896" s="36"/>
      <c r="W896" s="36"/>
      <c r="X896" s="36"/>
      <c r="Y896" s="36"/>
      <c r="Z896" s="36"/>
      <c r="AA896" s="36"/>
      <c r="AB896" s="36"/>
      <c r="AC896" s="36"/>
      <c r="AD896" s="36"/>
      <c r="AE896" s="36"/>
      <c r="AF896" s="36"/>
      <c r="AG896" s="36"/>
      <c r="AH896" s="36"/>
      <c r="AI896" s="36"/>
    </row>
    <row r="897" spans="1:35" ht="15" hidden="1" customHeight="1">
      <c r="A897" s="212" t="s">
        <v>0</v>
      </c>
      <c r="B897" s="277"/>
      <c r="C897" s="355"/>
      <c r="D897" s="315"/>
      <c r="E897" s="308"/>
      <c r="F897" s="62">
        <v>6</v>
      </c>
      <c r="G897" s="63" t="s">
        <v>164</v>
      </c>
      <c r="H897" s="64">
        <f t="shared" si="64"/>
        <v>95</v>
      </c>
      <c r="I897" s="212" t="s">
        <v>0</v>
      </c>
      <c r="J897" s="36"/>
      <c r="K897" s="133">
        <v>6</v>
      </c>
      <c r="L897" s="136">
        <f>E988</f>
        <v>0</v>
      </c>
      <c r="M897" s="381"/>
      <c r="N897" s="36"/>
      <c r="O897" s="36"/>
      <c r="P897" s="36"/>
      <c r="Q897" s="36"/>
      <c r="R897" s="36"/>
      <c r="S897" s="36"/>
      <c r="T897" s="36"/>
      <c r="U897" s="36"/>
      <c r="V897" s="36"/>
      <c r="W897" s="36"/>
      <c r="X897" s="36"/>
      <c r="Y897" s="36"/>
      <c r="Z897" s="36"/>
      <c r="AA897" s="36"/>
      <c r="AB897" s="36"/>
      <c r="AC897" s="36"/>
      <c r="AD897" s="36"/>
      <c r="AE897" s="36"/>
      <c r="AF897" s="36"/>
      <c r="AG897" s="36"/>
      <c r="AH897" s="36"/>
      <c r="AI897" s="36"/>
    </row>
    <row r="898" spans="1:35" ht="15" hidden="1" customHeight="1">
      <c r="A898" s="212" t="s">
        <v>0</v>
      </c>
      <c r="B898" s="277"/>
      <c r="C898" s="355"/>
      <c r="D898" s="315"/>
      <c r="E898" s="308"/>
      <c r="F898" s="62">
        <v>5</v>
      </c>
      <c r="G898" s="63" t="s">
        <v>164</v>
      </c>
      <c r="H898" s="64">
        <f t="shared" si="64"/>
        <v>90</v>
      </c>
      <c r="I898" s="212" t="s">
        <v>0</v>
      </c>
      <c r="J898" s="36"/>
      <c r="K898" s="135">
        <v>7</v>
      </c>
      <c r="L898" s="136">
        <f>E998</f>
        <v>0</v>
      </c>
      <c r="M898" s="381"/>
      <c r="N898" s="36"/>
      <c r="O898" s="36"/>
      <c r="P898" s="36"/>
      <c r="Q898" s="36"/>
      <c r="R898" s="36"/>
      <c r="S898" s="36"/>
      <c r="T898" s="36"/>
      <c r="U898" s="36"/>
      <c r="V898" s="36"/>
      <c r="W898" s="36"/>
      <c r="X898" s="36"/>
      <c r="Y898" s="36"/>
      <c r="Z898" s="36"/>
      <c r="AA898" s="36"/>
      <c r="AB898" s="36"/>
      <c r="AC898" s="36"/>
      <c r="AD898" s="36"/>
      <c r="AE898" s="36"/>
      <c r="AF898" s="36"/>
      <c r="AG898" s="36"/>
      <c r="AH898" s="36"/>
      <c r="AI898" s="36"/>
    </row>
    <row r="899" spans="1:35" ht="15" hidden="1" customHeight="1">
      <c r="A899" s="212" t="s">
        <v>0</v>
      </c>
      <c r="B899" s="277"/>
      <c r="C899" s="355"/>
      <c r="D899" s="315"/>
      <c r="E899" s="308"/>
      <c r="F899" s="62">
        <v>4</v>
      </c>
      <c r="G899" s="63" t="s">
        <v>164</v>
      </c>
      <c r="H899" s="64">
        <f t="shared" si="64"/>
        <v>85</v>
      </c>
      <c r="I899" s="212" t="s">
        <v>0</v>
      </c>
      <c r="J899" s="36"/>
      <c r="K899" s="135">
        <v>8</v>
      </c>
      <c r="L899" s="136">
        <f>E1008</f>
        <v>0</v>
      </c>
      <c r="M899" s="381"/>
      <c r="N899" s="36"/>
      <c r="O899" s="36"/>
      <c r="P899" s="36"/>
      <c r="Q899" s="36"/>
      <c r="R899" s="36"/>
      <c r="S899" s="36"/>
      <c r="T899" s="36"/>
      <c r="U899" s="36"/>
      <c r="V899" s="36"/>
      <c r="W899" s="36"/>
      <c r="X899" s="36"/>
      <c r="Y899" s="36"/>
      <c r="Z899" s="36"/>
      <c r="AA899" s="36"/>
      <c r="AB899" s="36"/>
      <c r="AC899" s="36"/>
      <c r="AD899" s="36"/>
      <c r="AE899" s="36"/>
      <c r="AF899" s="36"/>
      <c r="AG899" s="36"/>
      <c r="AH899" s="36"/>
      <c r="AI899" s="36"/>
    </row>
    <row r="900" spans="1:35" ht="15.75" hidden="1" customHeight="1" thickBot="1">
      <c r="A900" s="212" t="s">
        <v>0</v>
      </c>
      <c r="B900" s="278"/>
      <c r="C900" s="350"/>
      <c r="D900" s="315"/>
      <c r="E900" s="308"/>
      <c r="F900" s="62">
        <v>3</v>
      </c>
      <c r="G900" s="63" t="s">
        <v>164</v>
      </c>
      <c r="H900" s="64">
        <f t="shared" si="64"/>
        <v>80</v>
      </c>
      <c r="I900" s="212" t="s">
        <v>0</v>
      </c>
      <c r="J900" s="36"/>
      <c r="K900" s="135">
        <v>9</v>
      </c>
      <c r="L900" s="136">
        <f>E1018</f>
        <v>0</v>
      </c>
      <c r="M900" s="381"/>
      <c r="N900" s="36"/>
      <c r="O900" s="36"/>
      <c r="P900" s="36"/>
      <c r="Q900" s="36"/>
      <c r="R900" s="36"/>
      <c r="S900" s="36"/>
      <c r="T900" s="36"/>
      <c r="U900" s="36"/>
      <c r="V900" s="36"/>
      <c r="W900" s="36"/>
      <c r="X900" s="36"/>
      <c r="Y900" s="36"/>
      <c r="Z900" s="36"/>
      <c r="AA900" s="36"/>
      <c r="AB900" s="36"/>
      <c r="AC900" s="36"/>
      <c r="AD900" s="36"/>
      <c r="AE900" s="36"/>
      <c r="AF900" s="36"/>
      <c r="AG900" s="36"/>
      <c r="AH900" s="36"/>
      <c r="AI900" s="36"/>
    </row>
    <row r="901" spans="1:35" ht="15.75" hidden="1" customHeight="1" thickBot="1">
      <c r="A901" s="212" t="s">
        <v>0</v>
      </c>
      <c r="B901" s="274" t="s">
        <v>158</v>
      </c>
      <c r="C901" s="349"/>
      <c r="D901" s="315"/>
      <c r="E901" s="308"/>
      <c r="F901" s="62">
        <v>2</v>
      </c>
      <c r="G901" s="63" t="s">
        <v>164</v>
      </c>
      <c r="H901" s="64">
        <f t="shared" si="64"/>
        <v>75</v>
      </c>
      <c r="I901" s="212" t="s">
        <v>0</v>
      </c>
      <c r="J901" s="36"/>
      <c r="K901" s="137">
        <v>10</v>
      </c>
      <c r="L901" s="138">
        <f>E1028</f>
        <v>0</v>
      </c>
      <c r="M901" s="382"/>
      <c r="N901" s="36"/>
      <c r="O901" s="36"/>
      <c r="P901" s="36"/>
      <c r="Q901" s="36"/>
      <c r="R901" s="36"/>
      <c r="S901" s="36"/>
      <c r="T901" s="36"/>
      <c r="U901" s="36"/>
      <c r="V901" s="36"/>
      <c r="W901" s="36"/>
      <c r="X901" s="36"/>
      <c r="Y901" s="36"/>
      <c r="Z901" s="36"/>
      <c r="AA901" s="36"/>
      <c r="AB901" s="36"/>
      <c r="AC901" s="36"/>
      <c r="AD901" s="36"/>
      <c r="AE901" s="36"/>
      <c r="AF901" s="36"/>
      <c r="AG901" s="36"/>
      <c r="AH901" s="36"/>
      <c r="AI901" s="36"/>
    </row>
    <row r="902" spans="1:35" ht="15.75" hidden="1" customHeight="1" thickBot="1">
      <c r="A902" s="212" t="s">
        <v>0</v>
      </c>
      <c r="B902" s="275"/>
      <c r="C902" s="350"/>
      <c r="D902" s="316"/>
      <c r="E902" s="309"/>
      <c r="F902" s="67">
        <v>1</v>
      </c>
      <c r="G902" s="68" t="s">
        <v>164</v>
      </c>
      <c r="H902" s="69">
        <f t="shared" si="64"/>
        <v>70</v>
      </c>
      <c r="I902" s="212" t="s">
        <v>0</v>
      </c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  <c r="X902" s="36"/>
      <c r="Y902" s="36"/>
      <c r="Z902" s="36"/>
      <c r="AA902" s="36"/>
      <c r="AB902" s="36"/>
      <c r="AC902" s="36"/>
      <c r="AD902" s="36"/>
      <c r="AE902" s="36"/>
      <c r="AF902" s="36"/>
      <c r="AG902" s="36"/>
      <c r="AH902" s="36"/>
      <c r="AI902" s="36"/>
    </row>
    <row r="903" spans="1:35" ht="15.75" hidden="1" customHeight="1" thickBot="1">
      <c r="A903" s="212" t="s">
        <v>0</v>
      </c>
      <c r="B903" s="276">
        <v>3</v>
      </c>
      <c r="C903" s="349"/>
      <c r="D903" s="123" t="s">
        <v>156</v>
      </c>
      <c r="E903" s="124">
        <v>0.6</v>
      </c>
      <c r="F903" s="58">
        <v>10</v>
      </c>
      <c r="G903" s="59" t="s">
        <v>164</v>
      </c>
      <c r="H903" s="60">
        <v>115</v>
      </c>
      <c r="I903" s="212" t="s">
        <v>0</v>
      </c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  <c r="X903" s="36"/>
      <c r="Y903" s="36"/>
      <c r="Z903" s="36"/>
      <c r="AA903" s="36"/>
      <c r="AB903" s="36"/>
      <c r="AC903" s="36"/>
      <c r="AD903" s="36"/>
      <c r="AE903" s="36"/>
      <c r="AF903" s="36"/>
      <c r="AG903" s="36"/>
      <c r="AH903" s="36"/>
      <c r="AI903" s="36"/>
    </row>
    <row r="904" spans="1:35" ht="15" hidden="1" customHeight="1">
      <c r="A904" s="212" t="s">
        <v>0</v>
      </c>
      <c r="B904" s="277"/>
      <c r="C904" s="355"/>
      <c r="D904" s="314"/>
      <c r="E904" s="307">
        <f>IF(D904=0,0,VLOOKUP($D904,$F903:$H912,3,FALSE)*$E903)</f>
        <v>0</v>
      </c>
      <c r="F904" s="62">
        <v>9</v>
      </c>
      <c r="G904" s="63" t="s">
        <v>164</v>
      </c>
      <c r="H904" s="64">
        <f>H903-5</f>
        <v>110</v>
      </c>
      <c r="I904" s="212" t="s">
        <v>0</v>
      </c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  <c r="X904" s="36"/>
      <c r="Y904" s="36"/>
      <c r="Z904" s="36"/>
      <c r="AA904" s="36"/>
      <c r="AB904" s="36"/>
      <c r="AC904" s="36"/>
      <c r="AD904" s="36"/>
      <c r="AE904" s="36"/>
      <c r="AF904" s="36"/>
      <c r="AG904" s="36"/>
      <c r="AH904" s="36"/>
      <c r="AI904" s="36"/>
    </row>
    <row r="905" spans="1:35" ht="15" hidden="1" customHeight="1">
      <c r="A905" s="212" t="s">
        <v>0</v>
      </c>
      <c r="B905" s="277"/>
      <c r="C905" s="355"/>
      <c r="D905" s="315"/>
      <c r="E905" s="308"/>
      <c r="F905" s="62">
        <v>8</v>
      </c>
      <c r="G905" s="63" t="s">
        <v>164</v>
      </c>
      <c r="H905" s="64">
        <f t="shared" ref="H905:H912" si="65">H904-5</f>
        <v>105</v>
      </c>
      <c r="I905" s="212" t="s">
        <v>0</v>
      </c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  <c r="X905" s="36"/>
      <c r="Y905" s="36"/>
      <c r="Z905" s="36"/>
      <c r="AA905" s="36"/>
      <c r="AB905" s="36"/>
      <c r="AC905" s="36"/>
      <c r="AD905" s="36"/>
      <c r="AE905" s="36"/>
      <c r="AF905" s="36"/>
      <c r="AG905" s="36"/>
      <c r="AH905" s="36"/>
      <c r="AI905" s="36"/>
    </row>
    <row r="906" spans="1:35" ht="15" hidden="1" customHeight="1">
      <c r="A906" s="212" t="s">
        <v>0</v>
      </c>
      <c r="B906" s="277"/>
      <c r="C906" s="355"/>
      <c r="D906" s="315"/>
      <c r="E906" s="308"/>
      <c r="F906" s="62">
        <v>7</v>
      </c>
      <c r="G906" s="63" t="s">
        <v>164</v>
      </c>
      <c r="H906" s="64">
        <f t="shared" si="65"/>
        <v>100</v>
      </c>
      <c r="I906" s="212" t="s">
        <v>0</v>
      </c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  <c r="X906" s="36"/>
      <c r="Y906" s="36"/>
      <c r="Z906" s="36"/>
      <c r="AA906" s="36"/>
      <c r="AB906" s="36"/>
      <c r="AC906" s="36"/>
      <c r="AD906" s="36"/>
      <c r="AE906" s="36"/>
      <c r="AF906" s="36"/>
      <c r="AG906" s="36"/>
      <c r="AH906" s="36"/>
      <c r="AI906" s="36"/>
    </row>
    <row r="907" spans="1:35" ht="15" hidden="1" customHeight="1">
      <c r="A907" s="212" t="s">
        <v>0</v>
      </c>
      <c r="B907" s="277"/>
      <c r="C907" s="355"/>
      <c r="D907" s="315"/>
      <c r="E907" s="308"/>
      <c r="F907" s="62">
        <v>6</v>
      </c>
      <c r="G907" s="63" t="s">
        <v>164</v>
      </c>
      <c r="H907" s="64">
        <f t="shared" si="65"/>
        <v>95</v>
      </c>
      <c r="I907" s="212" t="s">
        <v>0</v>
      </c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  <c r="X907" s="36"/>
      <c r="Y907" s="36"/>
      <c r="Z907" s="36"/>
      <c r="AA907" s="36"/>
      <c r="AB907" s="36"/>
      <c r="AC907" s="36"/>
      <c r="AD907" s="36"/>
      <c r="AE907" s="36"/>
      <c r="AF907" s="36"/>
      <c r="AG907" s="36"/>
      <c r="AH907" s="36"/>
      <c r="AI907" s="36"/>
    </row>
    <row r="908" spans="1:35" ht="15" hidden="1" customHeight="1">
      <c r="A908" s="212" t="s">
        <v>0</v>
      </c>
      <c r="B908" s="277"/>
      <c r="C908" s="355"/>
      <c r="D908" s="315"/>
      <c r="E908" s="308"/>
      <c r="F908" s="62">
        <v>5</v>
      </c>
      <c r="G908" s="63" t="s">
        <v>164</v>
      </c>
      <c r="H908" s="64">
        <f t="shared" si="65"/>
        <v>90</v>
      </c>
      <c r="I908" s="212" t="s">
        <v>0</v>
      </c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  <c r="X908" s="36"/>
      <c r="Y908" s="36"/>
      <c r="Z908" s="36"/>
      <c r="AA908" s="36"/>
      <c r="AB908" s="36"/>
      <c r="AC908" s="36"/>
      <c r="AD908" s="36"/>
      <c r="AE908" s="36"/>
      <c r="AF908" s="36"/>
      <c r="AG908" s="36"/>
      <c r="AH908" s="36"/>
      <c r="AI908" s="36"/>
    </row>
    <row r="909" spans="1:35" ht="15" hidden="1" customHeight="1">
      <c r="A909" s="212" t="s">
        <v>0</v>
      </c>
      <c r="B909" s="277"/>
      <c r="C909" s="355"/>
      <c r="D909" s="315"/>
      <c r="E909" s="308"/>
      <c r="F909" s="62">
        <v>4</v>
      </c>
      <c r="G909" s="63" t="s">
        <v>164</v>
      </c>
      <c r="H909" s="64">
        <f t="shared" si="65"/>
        <v>85</v>
      </c>
      <c r="I909" s="212" t="s">
        <v>0</v>
      </c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36"/>
      <c r="Z909" s="36"/>
      <c r="AA909" s="36"/>
      <c r="AB909" s="36"/>
      <c r="AC909" s="36"/>
      <c r="AD909" s="36"/>
      <c r="AE909" s="36"/>
      <c r="AF909" s="36"/>
      <c r="AG909" s="36"/>
      <c r="AH909" s="36"/>
      <c r="AI909" s="36"/>
    </row>
    <row r="910" spans="1:35" ht="15.75" hidden="1" customHeight="1" thickBot="1">
      <c r="A910" s="212" t="s">
        <v>0</v>
      </c>
      <c r="B910" s="278"/>
      <c r="C910" s="350"/>
      <c r="D910" s="315"/>
      <c r="E910" s="308"/>
      <c r="F910" s="62">
        <v>3</v>
      </c>
      <c r="G910" s="63" t="s">
        <v>164</v>
      </c>
      <c r="H910" s="64">
        <f t="shared" si="65"/>
        <v>80</v>
      </c>
      <c r="I910" s="212" t="s">
        <v>0</v>
      </c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  <c r="X910" s="36"/>
      <c r="Y910" s="36"/>
      <c r="Z910" s="36"/>
      <c r="AA910" s="36"/>
      <c r="AB910" s="36"/>
      <c r="AC910" s="36"/>
      <c r="AD910" s="36"/>
      <c r="AE910" s="36"/>
      <c r="AF910" s="36"/>
      <c r="AG910" s="36"/>
      <c r="AH910" s="36"/>
      <c r="AI910" s="36"/>
    </row>
    <row r="911" spans="1:35" ht="51" hidden="1" customHeight="1">
      <c r="A911" s="212" t="s">
        <v>0</v>
      </c>
      <c r="B911" s="274" t="s">
        <v>158</v>
      </c>
      <c r="C911" s="349"/>
      <c r="D911" s="315"/>
      <c r="E911" s="308"/>
      <c r="F911" s="62">
        <v>2</v>
      </c>
      <c r="G911" s="63" t="s">
        <v>164</v>
      </c>
      <c r="H911" s="64">
        <f t="shared" si="65"/>
        <v>75</v>
      </c>
      <c r="I911" s="212" t="s">
        <v>0</v>
      </c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  <c r="X911" s="36"/>
      <c r="Y911" s="36"/>
      <c r="Z911" s="36"/>
      <c r="AA911" s="36"/>
      <c r="AB911" s="36"/>
      <c r="AC911" s="36"/>
      <c r="AD911" s="36"/>
      <c r="AE911" s="36"/>
      <c r="AF911" s="36"/>
      <c r="AG911" s="36"/>
      <c r="AH911" s="36"/>
      <c r="AI911" s="36"/>
    </row>
    <row r="912" spans="1:35" ht="51" hidden="1" customHeight="1" thickBot="1">
      <c r="A912" s="212" t="s">
        <v>0</v>
      </c>
      <c r="B912" s="275"/>
      <c r="C912" s="350"/>
      <c r="D912" s="316"/>
      <c r="E912" s="309"/>
      <c r="F912" s="67">
        <v>1</v>
      </c>
      <c r="G912" s="68" t="s">
        <v>164</v>
      </c>
      <c r="H912" s="69">
        <f t="shared" si="65"/>
        <v>70</v>
      </c>
      <c r="I912" s="212" t="s">
        <v>0</v>
      </c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  <c r="X912" s="36"/>
      <c r="Y912" s="36"/>
      <c r="Z912" s="36"/>
      <c r="AA912" s="36"/>
      <c r="AB912" s="36"/>
      <c r="AC912" s="36"/>
      <c r="AD912" s="36"/>
      <c r="AE912" s="36"/>
      <c r="AF912" s="36"/>
      <c r="AG912" s="36"/>
      <c r="AH912" s="36"/>
      <c r="AI912" s="36"/>
    </row>
    <row r="913" spans="1:35" ht="15.75" hidden="1" customHeight="1" thickBot="1">
      <c r="A913" s="212" t="s">
        <v>0</v>
      </c>
      <c r="B913" s="276">
        <v>4</v>
      </c>
      <c r="C913" s="349"/>
      <c r="D913" s="123" t="s">
        <v>156</v>
      </c>
      <c r="E913" s="124">
        <v>0.6</v>
      </c>
      <c r="F913" s="58">
        <v>10</v>
      </c>
      <c r="G913" s="59" t="s">
        <v>164</v>
      </c>
      <c r="H913" s="60">
        <v>115</v>
      </c>
      <c r="I913" s="212" t="s">
        <v>0</v>
      </c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  <c r="X913" s="36"/>
      <c r="Y913" s="36"/>
      <c r="Z913" s="36"/>
      <c r="AA913" s="36"/>
      <c r="AB913" s="36"/>
      <c r="AC913" s="36"/>
      <c r="AD913" s="36"/>
      <c r="AE913" s="36"/>
      <c r="AF913" s="36"/>
      <c r="AG913" s="36"/>
      <c r="AH913" s="36"/>
      <c r="AI913" s="36"/>
    </row>
    <row r="914" spans="1:35" ht="15" hidden="1" customHeight="1">
      <c r="A914" s="212" t="s">
        <v>0</v>
      </c>
      <c r="B914" s="277"/>
      <c r="C914" s="355"/>
      <c r="D914" s="314"/>
      <c r="E914" s="307">
        <f>IF(D914=0,0,VLOOKUP($D914,$F913:$H922,3,FALSE)*$E913)</f>
        <v>0</v>
      </c>
      <c r="F914" s="62">
        <v>9</v>
      </c>
      <c r="G914" s="63" t="s">
        <v>164</v>
      </c>
      <c r="H914" s="64">
        <f>H913-5</f>
        <v>110</v>
      </c>
      <c r="I914" s="212" t="s">
        <v>0</v>
      </c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  <c r="X914" s="36"/>
      <c r="Y914" s="36"/>
      <c r="Z914" s="36"/>
      <c r="AA914" s="36"/>
      <c r="AB914" s="36"/>
      <c r="AC914" s="36"/>
      <c r="AD914" s="36"/>
      <c r="AE914" s="36"/>
      <c r="AF914" s="36"/>
      <c r="AG914" s="36"/>
      <c r="AH914" s="36"/>
      <c r="AI914" s="36"/>
    </row>
    <row r="915" spans="1:35" ht="15" hidden="1" customHeight="1">
      <c r="A915" s="212" t="s">
        <v>0</v>
      </c>
      <c r="B915" s="277"/>
      <c r="C915" s="355"/>
      <c r="D915" s="315"/>
      <c r="E915" s="308"/>
      <c r="F915" s="62">
        <v>8</v>
      </c>
      <c r="G915" s="63" t="s">
        <v>164</v>
      </c>
      <c r="H915" s="64">
        <f t="shared" ref="H915:H922" si="66">H914-5</f>
        <v>105</v>
      </c>
      <c r="I915" s="212" t="s">
        <v>0</v>
      </c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  <c r="X915" s="36"/>
      <c r="Y915" s="36"/>
      <c r="Z915" s="36"/>
      <c r="AA915" s="36"/>
      <c r="AB915" s="36"/>
      <c r="AC915" s="36"/>
      <c r="AD915" s="36"/>
      <c r="AE915" s="36"/>
      <c r="AF915" s="36"/>
      <c r="AG915" s="36"/>
      <c r="AH915" s="36"/>
      <c r="AI915" s="36"/>
    </row>
    <row r="916" spans="1:35" ht="15" hidden="1" customHeight="1">
      <c r="A916" s="212" t="s">
        <v>0</v>
      </c>
      <c r="B916" s="277"/>
      <c r="C916" s="355"/>
      <c r="D916" s="315"/>
      <c r="E916" s="308"/>
      <c r="F916" s="62">
        <v>7</v>
      </c>
      <c r="G916" s="63" t="s">
        <v>164</v>
      </c>
      <c r="H916" s="64">
        <f t="shared" si="66"/>
        <v>100</v>
      </c>
      <c r="I916" s="212" t="s">
        <v>0</v>
      </c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  <c r="X916" s="36"/>
      <c r="Y916" s="36"/>
      <c r="Z916" s="36"/>
      <c r="AA916" s="36"/>
      <c r="AB916" s="36"/>
      <c r="AC916" s="36"/>
      <c r="AD916" s="36"/>
      <c r="AE916" s="36"/>
      <c r="AF916" s="36"/>
      <c r="AG916" s="36"/>
      <c r="AH916" s="36"/>
      <c r="AI916" s="36"/>
    </row>
    <row r="917" spans="1:35" ht="15" hidden="1" customHeight="1">
      <c r="A917" s="212" t="s">
        <v>0</v>
      </c>
      <c r="B917" s="277"/>
      <c r="C917" s="355"/>
      <c r="D917" s="315"/>
      <c r="E917" s="308"/>
      <c r="F917" s="62">
        <v>6</v>
      </c>
      <c r="G917" s="63" t="s">
        <v>164</v>
      </c>
      <c r="H917" s="64">
        <f t="shared" si="66"/>
        <v>95</v>
      </c>
      <c r="I917" s="212" t="s">
        <v>0</v>
      </c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  <c r="X917" s="36"/>
      <c r="Y917" s="36"/>
      <c r="Z917" s="36"/>
      <c r="AA917" s="36"/>
      <c r="AB917" s="36"/>
      <c r="AC917" s="36"/>
      <c r="AD917" s="36"/>
      <c r="AE917" s="36"/>
      <c r="AF917" s="36"/>
      <c r="AG917" s="36"/>
      <c r="AH917" s="36"/>
      <c r="AI917" s="36"/>
    </row>
    <row r="918" spans="1:35" ht="15" hidden="1" customHeight="1">
      <c r="A918" s="212" t="s">
        <v>0</v>
      </c>
      <c r="B918" s="277"/>
      <c r="C918" s="355"/>
      <c r="D918" s="315"/>
      <c r="E918" s="308"/>
      <c r="F918" s="62">
        <v>5</v>
      </c>
      <c r="G918" s="63" t="s">
        <v>164</v>
      </c>
      <c r="H918" s="64">
        <f t="shared" si="66"/>
        <v>90</v>
      </c>
      <c r="I918" s="212" t="s">
        <v>0</v>
      </c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  <c r="X918" s="36"/>
      <c r="Y918" s="36"/>
      <c r="Z918" s="36"/>
      <c r="AA918" s="36"/>
      <c r="AB918" s="36"/>
      <c r="AC918" s="36"/>
      <c r="AD918" s="36"/>
      <c r="AE918" s="36"/>
      <c r="AF918" s="36"/>
      <c r="AG918" s="36"/>
      <c r="AH918" s="36"/>
      <c r="AI918" s="36"/>
    </row>
    <row r="919" spans="1:35" ht="15" hidden="1" customHeight="1">
      <c r="A919" s="212" t="s">
        <v>0</v>
      </c>
      <c r="B919" s="277"/>
      <c r="C919" s="355"/>
      <c r="D919" s="315"/>
      <c r="E919" s="308"/>
      <c r="F919" s="62">
        <v>4</v>
      </c>
      <c r="G919" s="63" t="s">
        <v>164</v>
      </c>
      <c r="H919" s="64">
        <f t="shared" si="66"/>
        <v>85</v>
      </c>
      <c r="I919" s="212" t="s">
        <v>0</v>
      </c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  <c r="X919" s="36"/>
      <c r="Y919" s="36"/>
      <c r="Z919" s="36"/>
      <c r="AA919" s="36"/>
      <c r="AB919" s="36"/>
      <c r="AC919" s="36"/>
      <c r="AD919" s="36"/>
      <c r="AE919" s="36"/>
      <c r="AF919" s="36"/>
      <c r="AG919" s="36"/>
      <c r="AH919" s="36"/>
      <c r="AI919" s="36"/>
    </row>
    <row r="920" spans="1:35" ht="15.75" hidden="1" customHeight="1" thickBot="1">
      <c r="A920" s="212" t="s">
        <v>0</v>
      </c>
      <c r="B920" s="278"/>
      <c r="C920" s="350"/>
      <c r="D920" s="315"/>
      <c r="E920" s="308"/>
      <c r="F920" s="62">
        <v>3</v>
      </c>
      <c r="G920" s="63" t="s">
        <v>164</v>
      </c>
      <c r="H920" s="64">
        <f t="shared" si="66"/>
        <v>80</v>
      </c>
      <c r="I920" s="212" t="s">
        <v>0</v>
      </c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  <c r="X920" s="36"/>
      <c r="Y920" s="36"/>
      <c r="Z920" s="36"/>
      <c r="AA920" s="36"/>
      <c r="AB920" s="36"/>
      <c r="AC920" s="36"/>
      <c r="AD920" s="36"/>
      <c r="AE920" s="36"/>
      <c r="AF920" s="36"/>
      <c r="AG920" s="36"/>
      <c r="AH920" s="36"/>
      <c r="AI920" s="36"/>
    </row>
    <row r="921" spans="1:35" ht="15" hidden="1" customHeight="1">
      <c r="A921" s="212" t="s">
        <v>0</v>
      </c>
      <c r="B921" s="274" t="s">
        <v>158</v>
      </c>
      <c r="C921" s="349"/>
      <c r="D921" s="315"/>
      <c r="E921" s="308"/>
      <c r="F921" s="62">
        <v>2</v>
      </c>
      <c r="G921" s="63" t="s">
        <v>164</v>
      </c>
      <c r="H921" s="64">
        <f t="shared" si="66"/>
        <v>75</v>
      </c>
      <c r="I921" s="212" t="s">
        <v>0</v>
      </c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  <c r="X921" s="36"/>
      <c r="Y921" s="36"/>
      <c r="Z921" s="36"/>
      <c r="AA921" s="36"/>
      <c r="AB921" s="36"/>
      <c r="AC921" s="36"/>
      <c r="AD921" s="36"/>
      <c r="AE921" s="36"/>
      <c r="AF921" s="36"/>
      <c r="AG921" s="36"/>
      <c r="AH921" s="36"/>
      <c r="AI921" s="36"/>
    </row>
    <row r="922" spans="1:35" ht="15.75" hidden="1" customHeight="1" thickBot="1">
      <c r="A922" s="212" t="s">
        <v>0</v>
      </c>
      <c r="B922" s="275"/>
      <c r="C922" s="350"/>
      <c r="D922" s="316"/>
      <c r="E922" s="309"/>
      <c r="F922" s="67">
        <v>1</v>
      </c>
      <c r="G922" s="68" t="s">
        <v>164</v>
      </c>
      <c r="H922" s="69">
        <f t="shared" si="66"/>
        <v>70</v>
      </c>
      <c r="I922" s="212" t="s">
        <v>0</v>
      </c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  <c r="X922" s="36"/>
      <c r="Y922" s="36"/>
      <c r="Z922" s="36"/>
      <c r="AA922" s="36"/>
      <c r="AB922" s="36"/>
      <c r="AC922" s="36"/>
      <c r="AD922" s="36"/>
      <c r="AE922" s="36"/>
      <c r="AF922" s="36"/>
      <c r="AG922" s="36"/>
      <c r="AH922" s="36"/>
      <c r="AI922" s="36"/>
    </row>
    <row r="923" spans="1:35" ht="15.75" hidden="1" customHeight="1" thickBot="1">
      <c r="A923" s="212" t="s">
        <v>0</v>
      </c>
      <c r="B923" s="279">
        <v>5</v>
      </c>
      <c r="C923" s="349"/>
      <c r="D923" s="123" t="s">
        <v>156</v>
      </c>
      <c r="E923" s="124">
        <v>0.6</v>
      </c>
      <c r="F923" s="70">
        <v>10</v>
      </c>
      <c r="G923" s="71" t="s">
        <v>164</v>
      </c>
      <c r="H923" s="72">
        <v>115</v>
      </c>
      <c r="I923" s="212" t="s">
        <v>0</v>
      </c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  <c r="X923" s="36"/>
      <c r="Y923" s="36"/>
      <c r="Z923" s="36"/>
      <c r="AA923" s="36"/>
      <c r="AB923" s="36"/>
      <c r="AC923" s="36"/>
      <c r="AD923" s="36"/>
      <c r="AE923" s="36"/>
      <c r="AF923" s="36"/>
      <c r="AG923" s="36"/>
      <c r="AH923" s="36"/>
      <c r="AI923" s="36"/>
    </row>
    <row r="924" spans="1:35" ht="15" hidden="1" customHeight="1">
      <c r="A924" s="212" t="s">
        <v>0</v>
      </c>
      <c r="B924" s="277"/>
      <c r="C924" s="355"/>
      <c r="D924" s="314"/>
      <c r="E924" s="307">
        <f>IF(D924=0,0,VLOOKUP($D924,$F923:$H932,3,FALSE)*$E923)</f>
        <v>0</v>
      </c>
      <c r="F924" s="62">
        <v>9</v>
      </c>
      <c r="G924" s="63" t="s">
        <v>164</v>
      </c>
      <c r="H924" s="64">
        <f>H923-5</f>
        <v>110</v>
      </c>
      <c r="I924" s="212" t="s">
        <v>0</v>
      </c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  <c r="X924" s="36"/>
      <c r="Y924" s="36"/>
      <c r="Z924" s="36"/>
      <c r="AA924" s="36"/>
      <c r="AB924" s="36"/>
      <c r="AC924" s="36"/>
      <c r="AD924" s="36"/>
      <c r="AE924" s="36"/>
      <c r="AF924" s="36"/>
      <c r="AG924" s="36"/>
      <c r="AH924" s="36"/>
      <c r="AI924" s="36"/>
    </row>
    <row r="925" spans="1:35" ht="15" hidden="1" customHeight="1">
      <c r="A925" s="212" t="s">
        <v>0</v>
      </c>
      <c r="B925" s="277"/>
      <c r="C925" s="355"/>
      <c r="D925" s="315"/>
      <c r="E925" s="308"/>
      <c r="F925" s="62">
        <v>8</v>
      </c>
      <c r="G925" s="63" t="s">
        <v>164</v>
      </c>
      <c r="H925" s="64">
        <f t="shared" ref="H925:H932" si="67">H924-5</f>
        <v>105</v>
      </c>
      <c r="I925" s="212" t="s">
        <v>0</v>
      </c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  <c r="X925" s="36"/>
      <c r="Y925" s="36"/>
      <c r="Z925" s="36"/>
      <c r="AA925" s="36"/>
      <c r="AB925" s="36"/>
      <c r="AC925" s="36"/>
      <c r="AD925" s="36"/>
      <c r="AE925" s="36"/>
      <c r="AF925" s="36"/>
      <c r="AG925" s="36"/>
      <c r="AH925" s="36"/>
      <c r="AI925" s="36"/>
    </row>
    <row r="926" spans="1:35" ht="15" hidden="1" customHeight="1">
      <c r="A926" s="212" t="s">
        <v>0</v>
      </c>
      <c r="B926" s="277"/>
      <c r="C926" s="355"/>
      <c r="D926" s="315"/>
      <c r="E926" s="308"/>
      <c r="F926" s="62">
        <v>7</v>
      </c>
      <c r="G926" s="63" t="s">
        <v>164</v>
      </c>
      <c r="H926" s="64">
        <f t="shared" si="67"/>
        <v>100</v>
      </c>
      <c r="I926" s="212" t="s">
        <v>0</v>
      </c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  <c r="X926" s="36"/>
      <c r="Y926" s="36"/>
      <c r="Z926" s="36"/>
      <c r="AA926" s="36"/>
      <c r="AB926" s="36"/>
      <c r="AC926" s="36"/>
      <c r="AD926" s="36"/>
      <c r="AE926" s="36"/>
      <c r="AF926" s="36"/>
      <c r="AG926" s="36"/>
      <c r="AH926" s="36"/>
      <c r="AI926" s="36"/>
    </row>
    <row r="927" spans="1:35" ht="15" hidden="1" customHeight="1">
      <c r="A927" s="212" t="s">
        <v>0</v>
      </c>
      <c r="B927" s="277"/>
      <c r="C927" s="355"/>
      <c r="D927" s="315"/>
      <c r="E927" s="308"/>
      <c r="F927" s="62">
        <v>6</v>
      </c>
      <c r="G927" s="63" t="s">
        <v>164</v>
      </c>
      <c r="H927" s="64">
        <f t="shared" si="67"/>
        <v>95</v>
      </c>
      <c r="I927" s="212" t="s">
        <v>0</v>
      </c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  <c r="X927" s="36"/>
      <c r="Y927" s="36"/>
      <c r="Z927" s="36"/>
      <c r="AA927" s="36"/>
      <c r="AB927" s="36"/>
      <c r="AC927" s="36"/>
      <c r="AD927" s="36"/>
      <c r="AE927" s="36"/>
      <c r="AF927" s="36"/>
      <c r="AG927" s="36"/>
      <c r="AH927" s="36"/>
      <c r="AI927" s="36"/>
    </row>
    <row r="928" spans="1:35" ht="15" hidden="1" customHeight="1">
      <c r="A928" s="212" t="s">
        <v>0</v>
      </c>
      <c r="B928" s="277"/>
      <c r="C928" s="355"/>
      <c r="D928" s="315"/>
      <c r="E928" s="308"/>
      <c r="F928" s="62">
        <v>5</v>
      </c>
      <c r="G928" s="63" t="s">
        <v>164</v>
      </c>
      <c r="H928" s="64">
        <f t="shared" si="67"/>
        <v>90</v>
      </c>
      <c r="I928" s="212" t="s">
        <v>0</v>
      </c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  <c r="X928" s="36"/>
      <c r="Y928" s="36"/>
      <c r="Z928" s="36"/>
      <c r="AA928" s="36"/>
      <c r="AB928" s="36"/>
      <c r="AC928" s="36"/>
      <c r="AD928" s="36"/>
      <c r="AE928" s="36"/>
      <c r="AF928" s="36"/>
      <c r="AG928" s="36"/>
      <c r="AH928" s="36"/>
      <c r="AI928" s="36"/>
    </row>
    <row r="929" spans="1:35" ht="15" hidden="1" customHeight="1">
      <c r="A929" s="212" t="s">
        <v>0</v>
      </c>
      <c r="B929" s="277"/>
      <c r="C929" s="355"/>
      <c r="D929" s="315"/>
      <c r="E929" s="308"/>
      <c r="F929" s="62">
        <v>4</v>
      </c>
      <c r="G929" s="63" t="s">
        <v>164</v>
      </c>
      <c r="H929" s="64">
        <f t="shared" si="67"/>
        <v>85</v>
      </c>
      <c r="I929" s="212" t="s">
        <v>0</v>
      </c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  <c r="X929" s="36"/>
      <c r="Y929" s="36"/>
      <c r="Z929" s="36"/>
      <c r="AA929" s="36"/>
      <c r="AB929" s="36"/>
      <c r="AC929" s="36"/>
      <c r="AD929" s="36"/>
      <c r="AE929" s="36"/>
      <c r="AF929" s="36"/>
      <c r="AG929" s="36"/>
      <c r="AH929" s="36"/>
      <c r="AI929" s="36"/>
    </row>
    <row r="930" spans="1:35" ht="15.75" hidden="1" customHeight="1" thickBot="1">
      <c r="A930" s="212" t="s">
        <v>0</v>
      </c>
      <c r="B930" s="278"/>
      <c r="C930" s="350"/>
      <c r="D930" s="315"/>
      <c r="E930" s="308"/>
      <c r="F930" s="62">
        <v>3</v>
      </c>
      <c r="G930" s="63" t="s">
        <v>164</v>
      </c>
      <c r="H930" s="64">
        <f t="shared" si="67"/>
        <v>80</v>
      </c>
      <c r="I930" s="212" t="s">
        <v>0</v>
      </c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  <c r="X930" s="36"/>
      <c r="Y930" s="36"/>
      <c r="Z930" s="36"/>
      <c r="AA930" s="36"/>
      <c r="AB930" s="36"/>
      <c r="AC930" s="36"/>
      <c r="AD930" s="36"/>
      <c r="AE930" s="36"/>
      <c r="AF930" s="36"/>
      <c r="AG930" s="36"/>
      <c r="AH930" s="36"/>
      <c r="AI930" s="36"/>
    </row>
    <row r="931" spans="1:35" ht="15" hidden="1" customHeight="1">
      <c r="A931" s="212" t="s">
        <v>0</v>
      </c>
      <c r="B931" s="274" t="s">
        <v>158</v>
      </c>
      <c r="C931" s="349"/>
      <c r="D931" s="315"/>
      <c r="E931" s="308"/>
      <c r="F931" s="62">
        <v>2</v>
      </c>
      <c r="G931" s="63" t="s">
        <v>164</v>
      </c>
      <c r="H931" s="64">
        <f t="shared" si="67"/>
        <v>75</v>
      </c>
      <c r="I931" s="212" t="s">
        <v>0</v>
      </c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  <c r="X931" s="36"/>
      <c r="Y931" s="36"/>
      <c r="Z931" s="36"/>
      <c r="AA931" s="36"/>
      <c r="AB931" s="36"/>
      <c r="AC931" s="36"/>
      <c r="AD931" s="36"/>
      <c r="AE931" s="36"/>
      <c r="AF931" s="36"/>
      <c r="AG931" s="36"/>
      <c r="AH931" s="36"/>
      <c r="AI931" s="36"/>
    </row>
    <row r="932" spans="1:35" ht="15.75" hidden="1" customHeight="1" thickBot="1">
      <c r="A932" s="212" t="s">
        <v>0</v>
      </c>
      <c r="B932" s="275"/>
      <c r="C932" s="350"/>
      <c r="D932" s="316"/>
      <c r="E932" s="309"/>
      <c r="F932" s="67">
        <v>1</v>
      </c>
      <c r="G932" s="68" t="s">
        <v>164</v>
      </c>
      <c r="H932" s="69">
        <f t="shared" si="67"/>
        <v>70</v>
      </c>
      <c r="I932" s="212" t="s">
        <v>0</v>
      </c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  <c r="X932" s="36"/>
      <c r="Y932" s="36"/>
      <c r="Z932" s="36"/>
      <c r="AA932" s="36"/>
      <c r="AB932" s="36"/>
      <c r="AC932" s="36"/>
      <c r="AD932" s="36"/>
      <c r="AE932" s="36"/>
      <c r="AF932" s="36"/>
      <c r="AG932" s="36"/>
      <c r="AH932" s="36"/>
      <c r="AI932" s="36"/>
    </row>
    <row r="933" spans="1:35" ht="15.75" hidden="1" customHeight="1" thickBot="1">
      <c r="A933" s="212" t="s">
        <v>0</v>
      </c>
      <c r="B933" s="212" t="s">
        <v>0</v>
      </c>
      <c r="C933" s="212" t="s">
        <v>0</v>
      </c>
      <c r="D933" s="212" t="s">
        <v>0</v>
      </c>
      <c r="E933" s="212" t="s">
        <v>0</v>
      </c>
      <c r="F933" s="212" t="s">
        <v>0</v>
      </c>
      <c r="G933" s="212" t="s">
        <v>0</v>
      </c>
      <c r="H933" s="212" t="s">
        <v>0</v>
      </c>
      <c r="I933" s="212" t="s">
        <v>0</v>
      </c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  <c r="X933" s="36"/>
      <c r="Y933" s="36"/>
      <c r="Z933" s="36"/>
      <c r="AA933" s="36"/>
      <c r="AB933" s="36"/>
      <c r="AC933" s="36"/>
      <c r="AD933" s="36"/>
      <c r="AE933" s="36"/>
      <c r="AF933" s="36"/>
      <c r="AG933" s="36"/>
      <c r="AH933" s="36"/>
      <c r="AI933" s="36"/>
    </row>
    <row r="934" spans="1:35" ht="15" hidden="1" customHeight="1">
      <c r="A934" s="214" t="s">
        <v>0</v>
      </c>
      <c r="B934" s="119" t="s">
        <v>179</v>
      </c>
      <c r="C934" s="120"/>
      <c r="D934" s="120"/>
      <c r="E934" s="120"/>
      <c r="F934" s="120"/>
      <c r="G934" s="339" t="s">
        <v>8</v>
      </c>
      <c r="H934" s="340"/>
      <c r="I934" s="341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  <c r="X934" s="36"/>
      <c r="Y934" s="36"/>
      <c r="Z934" s="36"/>
      <c r="AA934" s="36"/>
      <c r="AB934" s="36"/>
      <c r="AC934" s="36"/>
      <c r="AD934" s="36"/>
      <c r="AE934" s="36"/>
      <c r="AF934" s="36"/>
      <c r="AG934" s="36"/>
      <c r="AH934" s="36"/>
      <c r="AI934" s="36"/>
    </row>
    <row r="935" spans="1:35" ht="15.75" hidden="1" customHeight="1" thickBot="1">
      <c r="A935" s="214" t="s">
        <v>0</v>
      </c>
      <c r="B935" s="121"/>
      <c r="C935" s="122"/>
      <c r="D935" s="122"/>
      <c r="E935" s="122"/>
      <c r="F935" s="122"/>
      <c r="G935" s="343"/>
      <c r="H935" s="344"/>
      <c r="I935" s="345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  <c r="X935" s="36"/>
      <c r="Y935" s="36"/>
      <c r="Z935" s="36"/>
      <c r="AA935" s="36"/>
      <c r="AB935" s="36"/>
      <c r="AC935" s="36"/>
      <c r="AD935" s="36"/>
      <c r="AE935" s="36"/>
      <c r="AF935" s="36"/>
      <c r="AG935" s="36"/>
      <c r="AH935" s="36"/>
      <c r="AI935" s="36"/>
    </row>
    <row r="936" spans="1:35" ht="15.75" hidden="1" customHeight="1" thickBot="1">
      <c r="A936" s="214" t="s">
        <v>0</v>
      </c>
      <c r="B936" s="52" t="s">
        <v>152</v>
      </c>
      <c r="C936" s="52" t="s">
        <v>6</v>
      </c>
      <c r="D936" s="280" t="s">
        <v>9</v>
      </c>
      <c r="E936" s="281"/>
      <c r="F936" s="282" t="s">
        <v>166</v>
      </c>
      <c r="G936" s="283"/>
      <c r="H936" s="284"/>
      <c r="I936" s="214" t="s">
        <v>0</v>
      </c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  <c r="X936" s="36"/>
      <c r="Y936" s="36"/>
      <c r="Z936" s="36"/>
      <c r="AA936" s="36"/>
      <c r="AB936" s="36"/>
      <c r="AC936" s="36"/>
      <c r="AD936" s="36"/>
      <c r="AE936" s="36"/>
      <c r="AF936" s="36"/>
      <c r="AG936" s="36"/>
      <c r="AH936" s="36"/>
      <c r="AI936" s="36"/>
    </row>
    <row r="937" spans="1:35" ht="15.75" hidden="1" customHeight="1" thickBot="1">
      <c r="A937" s="214" t="s">
        <v>0</v>
      </c>
      <c r="B937" s="276">
        <v>1</v>
      </c>
      <c r="C937" s="349"/>
      <c r="D937" s="123" t="s">
        <v>156</v>
      </c>
      <c r="E937" s="124">
        <v>0.6</v>
      </c>
      <c r="F937" s="58">
        <v>10</v>
      </c>
      <c r="G937" s="59" t="s">
        <v>164</v>
      </c>
      <c r="H937" s="60">
        <v>115</v>
      </c>
      <c r="I937" s="214" t="s">
        <v>0</v>
      </c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  <c r="X937" s="36"/>
      <c r="Y937" s="36"/>
      <c r="Z937" s="36"/>
      <c r="AA937" s="36"/>
      <c r="AB937" s="36"/>
      <c r="AC937" s="36"/>
      <c r="AD937" s="36"/>
      <c r="AE937" s="36"/>
      <c r="AF937" s="36"/>
      <c r="AG937" s="36"/>
      <c r="AH937" s="36"/>
      <c r="AI937" s="36"/>
    </row>
    <row r="938" spans="1:35" ht="15" hidden="1" customHeight="1">
      <c r="A938" s="214" t="s">
        <v>0</v>
      </c>
      <c r="B938" s="277"/>
      <c r="C938" s="355"/>
      <c r="D938" s="314"/>
      <c r="E938" s="307">
        <f>IF(D938=0,0,VLOOKUP($D938,$F937:$H946,3,FALSE)*$E937)</f>
        <v>0</v>
      </c>
      <c r="F938" s="62">
        <v>9</v>
      </c>
      <c r="G938" s="63" t="s">
        <v>164</v>
      </c>
      <c r="H938" s="64">
        <f>H937-5</f>
        <v>110</v>
      </c>
      <c r="I938" s="214" t="s">
        <v>0</v>
      </c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  <c r="X938" s="36"/>
      <c r="Y938" s="36"/>
      <c r="Z938" s="36"/>
      <c r="AA938" s="36"/>
      <c r="AB938" s="36"/>
      <c r="AC938" s="36"/>
      <c r="AD938" s="36"/>
      <c r="AE938" s="36"/>
      <c r="AF938" s="36"/>
      <c r="AG938" s="36"/>
      <c r="AH938" s="36"/>
      <c r="AI938" s="36"/>
    </row>
    <row r="939" spans="1:35" ht="15" hidden="1" customHeight="1">
      <c r="A939" s="214" t="s">
        <v>0</v>
      </c>
      <c r="B939" s="277"/>
      <c r="C939" s="355"/>
      <c r="D939" s="315"/>
      <c r="E939" s="308"/>
      <c r="F939" s="62">
        <v>8</v>
      </c>
      <c r="G939" s="63" t="s">
        <v>164</v>
      </c>
      <c r="H939" s="64">
        <f t="shared" ref="H939:H946" si="68">H938-5</f>
        <v>105</v>
      </c>
      <c r="I939" s="214" t="s">
        <v>0</v>
      </c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  <c r="X939" s="36"/>
      <c r="Y939" s="36"/>
      <c r="Z939" s="36"/>
      <c r="AA939" s="36"/>
      <c r="AB939" s="36"/>
      <c r="AC939" s="36"/>
      <c r="AD939" s="36"/>
      <c r="AE939" s="36"/>
      <c r="AF939" s="36"/>
      <c r="AG939" s="36"/>
      <c r="AH939" s="36"/>
      <c r="AI939" s="36"/>
    </row>
    <row r="940" spans="1:35" ht="15" hidden="1" customHeight="1">
      <c r="A940" s="214" t="s">
        <v>0</v>
      </c>
      <c r="B940" s="277"/>
      <c r="C940" s="355"/>
      <c r="D940" s="315"/>
      <c r="E940" s="308"/>
      <c r="F940" s="62">
        <v>7</v>
      </c>
      <c r="G940" s="63" t="s">
        <v>164</v>
      </c>
      <c r="H940" s="64">
        <f t="shared" si="68"/>
        <v>100</v>
      </c>
      <c r="I940" s="214" t="s">
        <v>0</v>
      </c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  <c r="X940" s="36"/>
      <c r="Y940" s="36"/>
      <c r="Z940" s="36"/>
      <c r="AA940" s="36"/>
      <c r="AB940" s="36"/>
      <c r="AC940" s="36"/>
      <c r="AD940" s="36"/>
      <c r="AE940" s="36"/>
      <c r="AF940" s="36"/>
      <c r="AG940" s="36"/>
      <c r="AH940" s="36"/>
      <c r="AI940" s="36"/>
    </row>
    <row r="941" spans="1:35" ht="15" hidden="1" customHeight="1">
      <c r="A941" s="214" t="s">
        <v>0</v>
      </c>
      <c r="B941" s="277"/>
      <c r="C941" s="355"/>
      <c r="D941" s="315"/>
      <c r="E941" s="308"/>
      <c r="F941" s="62">
        <v>6</v>
      </c>
      <c r="G941" s="63" t="s">
        <v>164</v>
      </c>
      <c r="H941" s="64">
        <f t="shared" si="68"/>
        <v>95</v>
      </c>
      <c r="I941" s="214" t="s">
        <v>0</v>
      </c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  <c r="X941" s="36"/>
      <c r="Y941" s="36"/>
      <c r="Z941" s="36"/>
      <c r="AA941" s="36"/>
      <c r="AB941" s="36"/>
      <c r="AC941" s="36"/>
      <c r="AD941" s="36"/>
      <c r="AE941" s="36"/>
      <c r="AF941" s="36"/>
      <c r="AG941" s="36"/>
      <c r="AH941" s="36"/>
      <c r="AI941" s="36"/>
    </row>
    <row r="942" spans="1:35" ht="15" hidden="1" customHeight="1">
      <c r="A942" s="214" t="s">
        <v>0</v>
      </c>
      <c r="B942" s="277"/>
      <c r="C942" s="355"/>
      <c r="D942" s="315"/>
      <c r="E942" s="308"/>
      <c r="F942" s="62">
        <v>5</v>
      </c>
      <c r="G942" s="63" t="s">
        <v>164</v>
      </c>
      <c r="H942" s="64">
        <f t="shared" si="68"/>
        <v>90</v>
      </c>
      <c r="I942" s="214" t="s">
        <v>0</v>
      </c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  <c r="X942" s="36"/>
      <c r="Y942" s="36"/>
      <c r="Z942" s="36"/>
      <c r="AA942" s="36"/>
      <c r="AB942" s="36"/>
      <c r="AC942" s="36"/>
      <c r="AD942" s="36"/>
      <c r="AE942" s="36"/>
      <c r="AF942" s="36"/>
      <c r="AG942" s="36"/>
      <c r="AH942" s="36"/>
      <c r="AI942" s="36"/>
    </row>
    <row r="943" spans="1:35" ht="15" hidden="1" customHeight="1">
      <c r="A943" s="214" t="s">
        <v>0</v>
      </c>
      <c r="B943" s="277"/>
      <c r="C943" s="355"/>
      <c r="D943" s="315"/>
      <c r="E943" s="308"/>
      <c r="F943" s="62">
        <v>4</v>
      </c>
      <c r="G943" s="63" t="s">
        <v>164</v>
      </c>
      <c r="H943" s="64">
        <f t="shared" si="68"/>
        <v>85</v>
      </c>
      <c r="I943" s="214" t="s">
        <v>0</v>
      </c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  <c r="X943" s="36"/>
      <c r="Y943" s="36"/>
      <c r="Z943" s="36"/>
      <c r="AA943" s="36"/>
      <c r="AB943" s="36"/>
      <c r="AC943" s="36"/>
      <c r="AD943" s="36"/>
      <c r="AE943" s="36"/>
      <c r="AF943" s="36"/>
      <c r="AG943" s="36"/>
      <c r="AH943" s="36"/>
      <c r="AI943" s="36"/>
    </row>
    <row r="944" spans="1:35" ht="15.75" hidden="1" customHeight="1" thickBot="1">
      <c r="A944" s="214" t="s">
        <v>0</v>
      </c>
      <c r="B944" s="278"/>
      <c r="C944" s="350"/>
      <c r="D944" s="315"/>
      <c r="E944" s="308"/>
      <c r="F944" s="62">
        <v>3</v>
      </c>
      <c r="G944" s="63" t="s">
        <v>164</v>
      </c>
      <c r="H944" s="64">
        <f t="shared" si="68"/>
        <v>80</v>
      </c>
      <c r="I944" s="214" t="s">
        <v>0</v>
      </c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  <c r="X944" s="36"/>
      <c r="Y944" s="36"/>
      <c r="Z944" s="36"/>
      <c r="AA944" s="36"/>
      <c r="AB944" s="36"/>
      <c r="AC944" s="36"/>
      <c r="AD944" s="36"/>
      <c r="AE944" s="36"/>
      <c r="AF944" s="36"/>
      <c r="AG944" s="36"/>
      <c r="AH944" s="36"/>
      <c r="AI944" s="36"/>
    </row>
    <row r="945" spans="1:35" ht="15" hidden="1" customHeight="1">
      <c r="A945" s="214" t="s">
        <v>0</v>
      </c>
      <c r="B945" s="274" t="s">
        <v>158</v>
      </c>
      <c r="C945" s="349"/>
      <c r="D945" s="315"/>
      <c r="E945" s="308"/>
      <c r="F945" s="62">
        <v>2</v>
      </c>
      <c r="G945" s="63" t="s">
        <v>164</v>
      </c>
      <c r="H945" s="64">
        <f t="shared" si="68"/>
        <v>75</v>
      </c>
      <c r="I945" s="214" t="s">
        <v>0</v>
      </c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  <c r="X945" s="36"/>
      <c r="Y945" s="36"/>
      <c r="Z945" s="36"/>
      <c r="AA945" s="36"/>
      <c r="AB945" s="36"/>
      <c r="AC945" s="36"/>
      <c r="AD945" s="36"/>
      <c r="AE945" s="36"/>
      <c r="AF945" s="36"/>
      <c r="AG945" s="36"/>
      <c r="AH945" s="36"/>
      <c r="AI945" s="36"/>
    </row>
    <row r="946" spans="1:35" ht="15.75" hidden="1" customHeight="1" thickBot="1">
      <c r="A946" s="214" t="s">
        <v>0</v>
      </c>
      <c r="B946" s="275"/>
      <c r="C946" s="350"/>
      <c r="D946" s="316"/>
      <c r="E946" s="309"/>
      <c r="F946" s="67">
        <v>1</v>
      </c>
      <c r="G946" s="68" t="s">
        <v>164</v>
      </c>
      <c r="H946" s="69">
        <f t="shared" si="68"/>
        <v>70</v>
      </c>
      <c r="I946" s="214" t="s">
        <v>0</v>
      </c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  <c r="X946" s="36"/>
      <c r="Y946" s="36"/>
      <c r="Z946" s="36"/>
      <c r="AA946" s="36"/>
      <c r="AB946" s="36"/>
      <c r="AC946" s="36"/>
      <c r="AD946" s="36"/>
      <c r="AE946" s="36"/>
      <c r="AF946" s="36"/>
      <c r="AG946" s="36"/>
      <c r="AH946" s="36"/>
      <c r="AI946" s="36"/>
    </row>
    <row r="947" spans="1:35" ht="15.75" hidden="1" customHeight="1" thickBot="1">
      <c r="A947" s="214" t="s">
        <v>0</v>
      </c>
      <c r="B947" s="276">
        <v>2</v>
      </c>
      <c r="C947" s="349"/>
      <c r="D947" s="123" t="s">
        <v>156</v>
      </c>
      <c r="E947" s="124">
        <v>0.6</v>
      </c>
      <c r="F947" s="58">
        <v>10</v>
      </c>
      <c r="G947" s="59" t="s">
        <v>164</v>
      </c>
      <c r="H947" s="60">
        <v>115</v>
      </c>
      <c r="I947" s="214" t="s">
        <v>0</v>
      </c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  <c r="X947" s="36"/>
      <c r="Y947" s="36"/>
      <c r="Z947" s="36"/>
      <c r="AA947" s="36"/>
      <c r="AB947" s="36"/>
      <c r="AC947" s="36"/>
      <c r="AD947" s="36"/>
      <c r="AE947" s="36"/>
      <c r="AF947" s="36"/>
      <c r="AG947" s="36"/>
      <c r="AH947" s="36"/>
      <c r="AI947" s="36"/>
    </row>
    <row r="948" spans="1:35" ht="15" hidden="1" customHeight="1">
      <c r="A948" s="214" t="s">
        <v>0</v>
      </c>
      <c r="B948" s="277"/>
      <c r="C948" s="355"/>
      <c r="D948" s="314"/>
      <c r="E948" s="307">
        <f>IF(D948=0,0,VLOOKUP($D948,$F947:$H956,3,FALSE)*$E947)</f>
        <v>0</v>
      </c>
      <c r="F948" s="62">
        <v>9</v>
      </c>
      <c r="G948" s="63" t="s">
        <v>164</v>
      </c>
      <c r="H948" s="64">
        <f>H947-5</f>
        <v>110</v>
      </c>
      <c r="I948" s="214" t="s">
        <v>0</v>
      </c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  <c r="X948" s="36"/>
      <c r="Y948" s="36"/>
      <c r="Z948" s="36"/>
      <c r="AA948" s="36"/>
      <c r="AB948" s="36"/>
      <c r="AC948" s="36"/>
      <c r="AD948" s="36"/>
      <c r="AE948" s="36"/>
      <c r="AF948" s="36"/>
      <c r="AG948" s="36"/>
      <c r="AH948" s="36"/>
      <c r="AI948" s="36"/>
    </row>
    <row r="949" spans="1:35" ht="15" hidden="1" customHeight="1">
      <c r="A949" s="214" t="s">
        <v>0</v>
      </c>
      <c r="B949" s="277"/>
      <c r="C949" s="355"/>
      <c r="D949" s="315"/>
      <c r="E949" s="308"/>
      <c r="F949" s="62">
        <v>8</v>
      </c>
      <c r="G949" s="63" t="s">
        <v>164</v>
      </c>
      <c r="H949" s="64">
        <f t="shared" ref="H949:H956" si="69">H948-5</f>
        <v>105</v>
      </c>
      <c r="I949" s="214" t="s">
        <v>0</v>
      </c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  <c r="X949" s="36"/>
      <c r="Y949" s="36"/>
      <c r="Z949" s="36"/>
      <c r="AA949" s="36"/>
      <c r="AB949" s="36"/>
      <c r="AC949" s="36"/>
      <c r="AD949" s="36"/>
      <c r="AE949" s="36"/>
      <c r="AF949" s="36"/>
      <c r="AG949" s="36"/>
      <c r="AH949" s="36"/>
      <c r="AI949" s="36"/>
    </row>
    <row r="950" spans="1:35" ht="15" hidden="1" customHeight="1">
      <c r="A950" s="214" t="s">
        <v>0</v>
      </c>
      <c r="B950" s="277"/>
      <c r="C950" s="355"/>
      <c r="D950" s="315"/>
      <c r="E950" s="308"/>
      <c r="F950" s="62">
        <v>7</v>
      </c>
      <c r="G950" s="63" t="s">
        <v>164</v>
      </c>
      <c r="H950" s="64">
        <f t="shared" si="69"/>
        <v>100</v>
      </c>
      <c r="I950" s="214" t="s">
        <v>0</v>
      </c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  <c r="X950" s="36"/>
      <c r="Y950" s="36"/>
      <c r="Z950" s="36"/>
      <c r="AA950" s="36"/>
      <c r="AB950" s="36"/>
      <c r="AC950" s="36"/>
      <c r="AD950" s="36"/>
      <c r="AE950" s="36"/>
      <c r="AF950" s="36"/>
      <c r="AG950" s="36"/>
      <c r="AH950" s="36"/>
      <c r="AI950" s="36"/>
    </row>
    <row r="951" spans="1:35" ht="15" hidden="1" customHeight="1">
      <c r="A951" s="214" t="s">
        <v>0</v>
      </c>
      <c r="B951" s="277"/>
      <c r="C951" s="355"/>
      <c r="D951" s="315"/>
      <c r="E951" s="308"/>
      <c r="F951" s="62">
        <v>6</v>
      </c>
      <c r="G951" s="63" t="s">
        <v>164</v>
      </c>
      <c r="H951" s="64">
        <f t="shared" si="69"/>
        <v>95</v>
      </c>
      <c r="I951" s="214" t="s">
        <v>0</v>
      </c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  <c r="X951" s="36"/>
      <c r="Y951" s="36"/>
      <c r="Z951" s="36"/>
      <c r="AA951" s="36"/>
      <c r="AB951" s="36"/>
      <c r="AC951" s="36"/>
      <c r="AD951" s="36"/>
      <c r="AE951" s="36"/>
      <c r="AF951" s="36"/>
      <c r="AG951" s="36"/>
      <c r="AH951" s="36"/>
      <c r="AI951" s="36"/>
    </row>
    <row r="952" spans="1:35" ht="15" hidden="1" customHeight="1">
      <c r="A952" s="214" t="s">
        <v>0</v>
      </c>
      <c r="B952" s="277"/>
      <c r="C952" s="355"/>
      <c r="D952" s="315"/>
      <c r="E952" s="308"/>
      <c r="F952" s="62">
        <v>5</v>
      </c>
      <c r="G952" s="63" t="s">
        <v>164</v>
      </c>
      <c r="H952" s="64">
        <f t="shared" si="69"/>
        <v>90</v>
      </c>
      <c r="I952" s="214" t="s">
        <v>0</v>
      </c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  <c r="X952" s="36"/>
      <c r="Y952" s="36"/>
      <c r="Z952" s="36"/>
      <c r="AA952" s="36"/>
      <c r="AB952" s="36"/>
      <c r="AC952" s="36"/>
      <c r="AD952" s="36"/>
      <c r="AE952" s="36"/>
      <c r="AF952" s="36"/>
      <c r="AG952" s="36"/>
      <c r="AH952" s="36"/>
      <c r="AI952" s="36"/>
    </row>
    <row r="953" spans="1:35" ht="15" hidden="1" customHeight="1">
      <c r="A953" s="214" t="s">
        <v>0</v>
      </c>
      <c r="B953" s="277"/>
      <c r="C953" s="355"/>
      <c r="D953" s="315"/>
      <c r="E953" s="308"/>
      <c r="F953" s="62">
        <v>4</v>
      </c>
      <c r="G953" s="63" t="s">
        <v>164</v>
      </c>
      <c r="H953" s="64">
        <f t="shared" si="69"/>
        <v>85</v>
      </c>
      <c r="I953" s="214" t="s">
        <v>0</v>
      </c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  <c r="X953" s="36"/>
      <c r="Y953" s="36"/>
      <c r="Z953" s="36"/>
      <c r="AA953" s="36"/>
      <c r="AB953" s="36"/>
      <c r="AC953" s="36"/>
      <c r="AD953" s="36"/>
      <c r="AE953" s="36"/>
      <c r="AF953" s="36"/>
      <c r="AG953" s="36"/>
      <c r="AH953" s="36"/>
      <c r="AI953" s="36"/>
    </row>
    <row r="954" spans="1:35" ht="15.75" hidden="1" customHeight="1" thickBot="1">
      <c r="A954" s="214" t="s">
        <v>0</v>
      </c>
      <c r="B954" s="278"/>
      <c r="C954" s="350"/>
      <c r="D954" s="315"/>
      <c r="E954" s="308"/>
      <c r="F954" s="62">
        <v>3</v>
      </c>
      <c r="G954" s="63" t="s">
        <v>164</v>
      </c>
      <c r="H954" s="64">
        <f t="shared" si="69"/>
        <v>80</v>
      </c>
      <c r="I954" s="214" t="s">
        <v>0</v>
      </c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  <c r="X954" s="36"/>
      <c r="Y954" s="36"/>
      <c r="Z954" s="36"/>
      <c r="AA954" s="36"/>
      <c r="AB954" s="36"/>
      <c r="AC954" s="36"/>
      <c r="AD954" s="36"/>
      <c r="AE954" s="36"/>
      <c r="AF954" s="36"/>
      <c r="AG954" s="36"/>
      <c r="AH954" s="36"/>
      <c r="AI954" s="36"/>
    </row>
    <row r="955" spans="1:35" ht="15" hidden="1" customHeight="1">
      <c r="A955" s="214" t="s">
        <v>0</v>
      </c>
      <c r="B955" s="274" t="s">
        <v>158</v>
      </c>
      <c r="C955" s="349"/>
      <c r="D955" s="315"/>
      <c r="E955" s="308"/>
      <c r="F955" s="62">
        <v>2</v>
      </c>
      <c r="G955" s="63" t="s">
        <v>164</v>
      </c>
      <c r="H955" s="64">
        <f t="shared" si="69"/>
        <v>75</v>
      </c>
      <c r="I955" s="214" t="s">
        <v>0</v>
      </c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  <c r="X955" s="36"/>
      <c r="Y955" s="36"/>
      <c r="Z955" s="36"/>
      <c r="AA955" s="36"/>
      <c r="AB955" s="36"/>
      <c r="AC955" s="36"/>
      <c r="AD955" s="36"/>
      <c r="AE955" s="36"/>
      <c r="AF955" s="36"/>
      <c r="AG955" s="36"/>
      <c r="AH955" s="36"/>
      <c r="AI955" s="36"/>
    </row>
    <row r="956" spans="1:35" ht="15.75" hidden="1" customHeight="1" thickBot="1">
      <c r="A956" s="214" t="s">
        <v>0</v>
      </c>
      <c r="B956" s="275"/>
      <c r="C956" s="350"/>
      <c r="D956" s="316"/>
      <c r="E956" s="309"/>
      <c r="F956" s="67">
        <v>1</v>
      </c>
      <c r="G956" s="68" t="s">
        <v>164</v>
      </c>
      <c r="H956" s="69">
        <f t="shared" si="69"/>
        <v>70</v>
      </c>
      <c r="I956" s="214" t="s">
        <v>0</v>
      </c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  <c r="X956" s="36"/>
      <c r="Y956" s="36"/>
      <c r="Z956" s="36"/>
      <c r="AA956" s="36"/>
      <c r="AB956" s="36"/>
      <c r="AC956" s="36"/>
      <c r="AD956" s="36"/>
      <c r="AE956" s="36"/>
      <c r="AF956" s="36"/>
      <c r="AG956" s="36"/>
      <c r="AH956" s="36"/>
      <c r="AI956" s="36"/>
    </row>
    <row r="957" spans="1:35" ht="15.75" hidden="1" customHeight="1" thickBot="1">
      <c r="A957" s="214" t="s">
        <v>0</v>
      </c>
      <c r="B957" s="276">
        <v>3</v>
      </c>
      <c r="C957" s="349"/>
      <c r="D957" s="123" t="s">
        <v>156</v>
      </c>
      <c r="E957" s="124">
        <v>0.6</v>
      </c>
      <c r="F957" s="58">
        <v>10</v>
      </c>
      <c r="G957" s="59" t="s">
        <v>164</v>
      </c>
      <c r="H957" s="60">
        <v>115</v>
      </c>
      <c r="I957" s="214" t="s">
        <v>0</v>
      </c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  <c r="X957" s="36"/>
      <c r="Y957" s="36"/>
      <c r="Z957" s="36"/>
      <c r="AA957" s="36"/>
      <c r="AB957" s="36"/>
      <c r="AC957" s="36"/>
      <c r="AD957" s="36"/>
      <c r="AE957" s="36"/>
      <c r="AF957" s="36"/>
      <c r="AG957" s="36"/>
      <c r="AH957" s="36"/>
      <c r="AI957" s="36"/>
    </row>
    <row r="958" spans="1:35" ht="15" hidden="1" customHeight="1">
      <c r="A958" s="214" t="s">
        <v>0</v>
      </c>
      <c r="B958" s="277"/>
      <c r="C958" s="355"/>
      <c r="D958" s="314"/>
      <c r="E958" s="307">
        <f>IF(D958=0,0,VLOOKUP($D958,$F957:$H966,3,FALSE)*$E957)</f>
        <v>0</v>
      </c>
      <c r="F958" s="62">
        <v>9</v>
      </c>
      <c r="G958" s="63" t="s">
        <v>164</v>
      </c>
      <c r="H958" s="64">
        <f>H957-5</f>
        <v>110</v>
      </c>
      <c r="I958" s="214" t="s">
        <v>0</v>
      </c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  <c r="X958" s="36"/>
      <c r="Y958" s="36"/>
      <c r="Z958" s="36"/>
      <c r="AA958" s="36"/>
      <c r="AB958" s="36"/>
      <c r="AC958" s="36"/>
      <c r="AD958" s="36"/>
      <c r="AE958" s="36"/>
      <c r="AF958" s="36"/>
      <c r="AG958" s="36"/>
      <c r="AH958" s="36"/>
      <c r="AI958" s="36"/>
    </row>
    <row r="959" spans="1:35" ht="15" hidden="1" customHeight="1">
      <c r="A959" s="214" t="s">
        <v>0</v>
      </c>
      <c r="B959" s="277"/>
      <c r="C959" s="355"/>
      <c r="D959" s="315"/>
      <c r="E959" s="308"/>
      <c r="F959" s="62">
        <v>8</v>
      </c>
      <c r="G959" s="63" t="s">
        <v>164</v>
      </c>
      <c r="H959" s="64">
        <f t="shared" ref="H959:H966" si="70">H958-5</f>
        <v>105</v>
      </c>
      <c r="I959" s="214" t="s">
        <v>0</v>
      </c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  <c r="X959" s="36"/>
      <c r="Y959" s="36"/>
      <c r="Z959" s="36"/>
      <c r="AA959" s="36"/>
      <c r="AB959" s="36"/>
      <c r="AC959" s="36"/>
      <c r="AD959" s="36"/>
      <c r="AE959" s="36"/>
      <c r="AF959" s="36"/>
      <c r="AG959" s="36"/>
      <c r="AH959" s="36"/>
      <c r="AI959" s="36"/>
    </row>
    <row r="960" spans="1:35" ht="15" hidden="1" customHeight="1">
      <c r="A960" s="214" t="s">
        <v>0</v>
      </c>
      <c r="B960" s="277"/>
      <c r="C960" s="355"/>
      <c r="D960" s="315"/>
      <c r="E960" s="308"/>
      <c r="F960" s="62">
        <v>7</v>
      </c>
      <c r="G960" s="63" t="s">
        <v>164</v>
      </c>
      <c r="H960" s="64">
        <f t="shared" si="70"/>
        <v>100</v>
      </c>
      <c r="I960" s="214" t="s">
        <v>0</v>
      </c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  <c r="X960" s="36"/>
      <c r="Y960" s="36"/>
      <c r="Z960" s="36"/>
      <c r="AA960" s="36"/>
      <c r="AB960" s="36"/>
      <c r="AC960" s="36"/>
      <c r="AD960" s="36"/>
      <c r="AE960" s="36"/>
      <c r="AF960" s="36"/>
      <c r="AG960" s="36"/>
      <c r="AH960" s="36"/>
      <c r="AI960" s="36"/>
    </row>
    <row r="961" spans="1:35" ht="15" hidden="1" customHeight="1">
      <c r="A961" s="214" t="s">
        <v>0</v>
      </c>
      <c r="B961" s="277"/>
      <c r="C961" s="355"/>
      <c r="D961" s="315"/>
      <c r="E961" s="308"/>
      <c r="F961" s="62">
        <v>6</v>
      </c>
      <c r="G961" s="63" t="s">
        <v>164</v>
      </c>
      <c r="H961" s="64">
        <f t="shared" si="70"/>
        <v>95</v>
      </c>
      <c r="I961" s="214" t="s">
        <v>0</v>
      </c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  <c r="X961" s="36"/>
      <c r="Y961" s="36"/>
      <c r="Z961" s="36"/>
      <c r="AA961" s="36"/>
      <c r="AB961" s="36"/>
      <c r="AC961" s="36"/>
      <c r="AD961" s="36"/>
      <c r="AE961" s="36"/>
      <c r="AF961" s="36"/>
      <c r="AG961" s="36"/>
      <c r="AH961" s="36"/>
      <c r="AI961" s="36"/>
    </row>
    <row r="962" spans="1:35" ht="15" hidden="1" customHeight="1">
      <c r="A962" s="214" t="s">
        <v>0</v>
      </c>
      <c r="B962" s="277"/>
      <c r="C962" s="355"/>
      <c r="D962" s="315"/>
      <c r="E962" s="308"/>
      <c r="F962" s="62">
        <v>5</v>
      </c>
      <c r="G962" s="63" t="s">
        <v>164</v>
      </c>
      <c r="H962" s="64">
        <f t="shared" si="70"/>
        <v>90</v>
      </c>
      <c r="I962" s="214" t="s">
        <v>0</v>
      </c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  <c r="X962" s="36"/>
      <c r="Y962" s="36"/>
      <c r="Z962" s="36"/>
      <c r="AA962" s="36"/>
      <c r="AB962" s="36"/>
      <c r="AC962" s="36"/>
      <c r="AD962" s="36"/>
      <c r="AE962" s="36"/>
      <c r="AF962" s="36"/>
      <c r="AG962" s="36"/>
      <c r="AH962" s="36"/>
      <c r="AI962" s="36"/>
    </row>
    <row r="963" spans="1:35" ht="15" hidden="1" customHeight="1">
      <c r="A963" s="214" t="s">
        <v>0</v>
      </c>
      <c r="B963" s="277"/>
      <c r="C963" s="355"/>
      <c r="D963" s="315"/>
      <c r="E963" s="308"/>
      <c r="F963" s="62">
        <v>4</v>
      </c>
      <c r="G963" s="63" t="s">
        <v>164</v>
      </c>
      <c r="H963" s="64">
        <f t="shared" si="70"/>
        <v>85</v>
      </c>
      <c r="I963" s="214" t="s">
        <v>0</v>
      </c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  <c r="X963" s="36"/>
      <c r="Y963" s="36"/>
      <c r="Z963" s="36"/>
      <c r="AA963" s="36"/>
      <c r="AB963" s="36"/>
      <c r="AC963" s="36"/>
      <c r="AD963" s="36"/>
      <c r="AE963" s="36"/>
      <c r="AF963" s="36"/>
      <c r="AG963" s="36"/>
      <c r="AH963" s="36"/>
      <c r="AI963" s="36"/>
    </row>
    <row r="964" spans="1:35" ht="15.75" hidden="1" customHeight="1" thickBot="1">
      <c r="A964" s="214" t="s">
        <v>0</v>
      </c>
      <c r="B964" s="278"/>
      <c r="C964" s="350"/>
      <c r="D964" s="315"/>
      <c r="E964" s="308"/>
      <c r="F964" s="62">
        <v>3</v>
      </c>
      <c r="G964" s="63" t="s">
        <v>164</v>
      </c>
      <c r="H964" s="64">
        <f t="shared" si="70"/>
        <v>80</v>
      </c>
      <c r="I964" s="214" t="s">
        <v>0</v>
      </c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  <c r="X964" s="36"/>
      <c r="Y964" s="36"/>
      <c r="Z964" s="36"/>
      <c r="AA964" s="36"/>
      <c r="AB964" s="36"/>
      <c r="AC964" s="36"/>
      <c r="AD964" s="36"/>
      <c r="AE964" s="36"/>
      <c r="AF964" s="36"/>
      <c r="AG964" s="36"/>
      <c r="AH964" s="36"/>
      <c r="AI964" s="36"/>
    </row>
    <row r="965" spans="1:35" ht="15" hidden="1" customHeight="1">
      <c r="A965" s="214" t="s">
        <v>0</v>
      </c>
      <c r="B965" s="274" t="s">
        <v>158</v>
      </c>
      <c r="C965" s="349"/>
      <c r="D965" s="315"/>
      <c r="E965" s="308"/>
      <c r="F965" s="62">
        <v>2</v>
      </c>
      <c r="G965" s="63" t="s">
        <v>164</v>
      </c>
      <c r="H965" s="64">
        <f t="shared" si="70"/>
        <v>75</v>
      </c>
      <c r="I965" s="214" t="s">
        <v>0</v>
      </c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  <c r="X965" s="36"/>
      <c r="Y965" s="36"/>
      <c r="Z965" s="36"/>
      <c r="AA965" s="36"/>
      <c r="AB965" s="36"/>
      <c r="AC965" s="36"/>
      <c r="AD965" s="36"/>
      <c r="AE965" s="36"/>
      <c r="AF965" s="36"/>
      <c r="AG965" s="36"/>
      <c r="AH965" s="36"/>
      <c r="AI965" s="36"/>
    </row>
    <row r="966" spans="1:35" ht="15.75" hidden="1" customHeight="1" thickBot="1">
      <c r="A966" s="214" t="s">
        <v>0</v>
      </c>
      <c r="B966" s="275"/>
      <c r="C966" s="350"/>
      <c r="D966" s="316"/>
      <c r="E966" s="309"/>
      <c r="F966" s="67">
        <v>1</v>
      </c>
      <c r="G966" s="68" t="s">
        <v>164</v>
      </c>
      <c r="H966" s="69">
        <f t="shared" si="70"/>
        <v>70</v>
      </c>
      <c r="I966" s="214" t="s">
        <v>0</v>
      </c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  <c r="X966" s="36"/>
      <c r="Y966" s="36"/>
      <c r="Z966" s="36"/>
      <c r="AA966" s="36"/>
      <c r="AB966" s="36"/>
      <c r="AC966" s="36"/>
      <c r="AD966" s="36"/>
      <c r="AE966" s="36"/>
      <c r="AF966" s="36"/>
      <c r="AG966" s="36"/>
      <c r="AH966" s="36"/>
      <c r="AI966" s="36"/>
    </row>
    <row r="967" spans="1:35" ht="15.75" hidden="1" customHeight="1" thickBot="1">
      <c r="A967" s="214" t="s">
        <v>0</v>
      </c>
      <c r="B967" s="276">
        <v>4</v>
      </c>
      <c r="C967" s="349"/>
      <c r="D967" s="123" t="s">
        <v>156</v>
      </c>
      <c r="E967" s="124">
        <v>0.6</v>
      </c>
      <c r="F967" s="58">
        <v>10</v>
      </c>
      <c r="G967" s="59" t="s">
        <v>164</v>
      </c>
      <c r="H967" s="60">
        <v>115</v>
      </c>
      <c r="I967" s="214" t="s">
        <v>0</v>
      </c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  <c r="X967" s="36"/>
      <c r="Y967" s="36"/>
      <c r="Z967" s="36"/>
      <c r="AA967" s="36"/>
      <c r="AB967" s="36"/>
      <c r="AC967" s="36"/>
      <c r="AD967" s="36"/>
      <c r="AE967" s="36"/>
      <c r="AF967" s="36"/>
      <c r="AG967" s="36"/>
      <c r="AH967" s="36"/>
      <c r="AI967" s="36"/>
    </row>
    <row r="968" spans="1:35" ht="15" hidden="1" customHeight="1">
      <c r="A968" s="214" t="s">
        <v>0</v>
      </c>
      <c r="B968" s="277"/>
      <c r="C968" s="355"/>
      <c r="D968" s="314"/>
      <c r="E968" s="307">
        <f>IF(D968=0,0,VLOOKUP($D968,$F967:$H976,3,FALSE)*$E967)</f>
        <v>0</v>
      </c>
      <c r="F968" s="62">
        <v>9</v>
      </c>
      <c r="G968" s="63" t="s">
        <v>164</v>
      </c>
      <c r="H968" s="64">
        <f>H967-5</f>
        <v>110</v>
      </c>
      <c r="I968" s="214" t="s">
        <v>0</v>
      </c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  <c r="X968" s="36"/>
      <c r="Y968" s="36"/>
      <c r="Z968" s="36"/>
      <c r="AA968" s="36"/>
      <c r="AB968" s="36"/>
      <c r="AC968" s="36"/>
      <c r="AD968" s="36"/>
      <c r="AE968" s="36"/>
      <c r="AF968" s="36"/>
      <c r="AG968" s="36"/>
      <c r="AH968" s="36"/>
      <c r="AI968" s="36"/>
    </row>
    <row r="969" spans="1:35" ht="15" hidden="1" customHeight="1">
      <c r="A969" s="214" t="s">
        <v>0</v>
      </c>
      <c r="B969" s="277"/>
      <c r="C969" s="355"/>
      <c r="D969" s="315"/>
      <c r="E969" s="308"/>
      <c r="F969" s="62">
        <v>8</v>
      </c>
      <c r="G969" s="63" t="s">
        <v>164</v>
      </c>
      <c r="H969" s="64">
        <f t="shared" ref="H969:H976" si="71">H968-5</f>
        <v>105</v>
      </c>
      <c r="I969" s="214" t="s">
        <v>0</v>
      </c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  <c r="X969" s="36"/>
      <c r="Y969" s="36"/>
      <c r="Z969" s="36"/>
      <c r="AA969" s="36"/>
      <c r="AB969" s="36"/>
      <c r="AC969" s="36"/>
      <c r="AD969" s="36"/>
      <c r="AE969" s="36"/>
      <c r="AF969" s="36"/>
      <c r="AG969" s="36"/>
      <c r="AH969" s="36"/>
      <c r="AI969" s="36"/>
    </row>
    <row r="970" spans="1:35" ht="15" hidden="1" customHeight="1">
      <c r="A970" s="214" t="s">
        <v>0</v>
      </c>
      <c r="B970" s="277"/>
      <c r="C970" s="355"/>
      <c r="D970" s="315"/>
      <c r="E970" s="308"/>
      <c r="F970" s="62">
        <v>7</v>
      </c>
      <c r="G970" s="63" t="s">
        <v>164</v>
      </c>
      <c r="H970" s="64">
        <f t="shared" si="71"/>
        <v>100</v>
      </c>
      <c r="I970" s="214" t="s">
        <v>0</v>
      </c>
      <c r="J970" s="36"/>
      <c r="K970" s="36"/>
      <c r="L970" s="36"/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  <c r="X970" s="36"/>
      <c r="Y970" s="36"/>
      <c r="Z970" s="36"/>
      <c r="AA970" s="36"/>
      <c r="AB970" s="36"/>
      <c r="AC970" s="36"/>
      <c r="AD970" s="36"/>
      <c r="AE970" s="36"/>
      <c r="AF970" s="36"/>
      <c r="AG970" s="36"/>
      <c r="AH970" s="36"/>
      <c r="AI970" s="36"/>
    </row>
    <row r="971" spans="1:35" ht="15" hidden="1" customHeight="1">
      <c r="A971" s="214" t="s">
        <v>0</v>
      </c>
      <c r="B971" s="277"/>
      <c r="C971" s="355"/>
      <c r="D971" s="315"/>
      <c r="E971" s="308"/>
      <c r="F971" s="62">
        <v>6</v>
      </c>
      <c r="G971" s="63" t="s">
        <v>164</v>
      </c>
      <c r="H971" s="64">
        <f t="shared" si="71"/>
        <v>95</v>
      </c>
      <c r="I971" s="214" t="s">
        <v>0</v>
      </c>
      <c r="J971" s="36"/>
      <c r="K971" s="36"/>
      <c r="L971" s="36"/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  <c r="X971" s="36"/>
      <c r="Y971" s="36"/>
      <c r="Z971" s="36"/>
      <c r="AA971" s="36"/>
      <c r="AB971" s="36"/>
      <c r="AC971" s="36"/>
      <c r="AD971" s="36"/>
      <c r="AE971" s="36"/>
      <c r="AF971" s="36"/>
      <c r="AG971" s="36"/>
      <c r="AH971" s="36"/>
      <c r="AI971" s="36"/>
    </row>
    <row r="972" spans="1:35" ht="15" hidden="1" customHeight="1">
      <c r="A972" s="214" t="s">
        <v>0</v>
      </c>
      <c r="B972" s="277"/>
      <c r="C972" s="355"/>
      <c r="D972" s="315"/>
      <c r="E972" s="308"/>
      <c r="F972" s="62">
        <v>5</v>
      </c>
      <c r="G972" s="63" t="s">
        <v>164</v>
      </c>
      <c r="H972" s="64">
        <f t="shared" si="71"/>
        <v>90</v>
      </c>
      <c r="I972" s="214" t="s">
        <v>0</v>
      </c>
      <c r="J972" s="36"/>
      <c r="K972" s="36"/>
      <c r="L972" s="36"/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  <c r="X972" s="36"/>
      <c r="Y972" s="36"/>
      <c r="Z972" s="36"/>
      <c r="AA972" s="36"/>
      <c r="AB972" s="36"/>
      <c r="AC972" s="36"/>
      <c r="AD972" s="36"/>
      <c r="AE972" s="36"/>
      <c r="AF972" s="36"/>
      <c r="AG972" s="36"/>
      <c r="AH972" s="36"/>
      <c r="AI972" s="36"/>
    </row>
    <row r="973" spans="1:35" ht="15" hidden="1" customHeight="1">
      <c r="A973" s="214" t="s">
        <v>0</v>
      </c>
      <c r="B973" s="277"/>
      <c r="C973" s="355"/>
      <c r="D973" s="315"/>
      <c r="E973" s="308"/>
      <c r="F973" s="62">
        <v>4</v>
      </c>
      <c r="G973" s="63" t="s">
        <v>164</v>
      </c>
      <c r="H973" s="64">
        <f t="shared" si="71"/>
        <v>85</v>
      </c>
      <c r="I973" s="214" t="s">
        <v>0</v>
      </c>
      <c r="J973" s="36"/>
      <c r="K973" s="36"/>
      <c r="L973" s="36"/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  <c r="X973" s="36"/>
      <c r="Y973" s="36"/>
      <c r="Z973" s="36"/>
      <c r="AA973" s="36"/>
      <c r="AB973" s="36"/>
      <c r="AC973" s="36"/>
      <c r="AD973" s="36"/>
      <c r="AE973" s="36"/>
      <c r="AF973" s="36"/>
      <c r="AG973" s="36"/>
      <c r="AH973" s="36"/>
      <c r="AI973" s="36"/>
    </row>
    <row r="974" spans="1:35" ht="15.75" hidden="1" customHeight="1" thickBot="1">
      <c r="A974" s="214" t="s">
        <v>0</v>
      </c>
      <c r="B974" s="278"/>
      <c r="C974" s="350"/>
      <c r="D974" s="315"/>
      <c r="E974" s="308"/>
      <c r="F974" s="62">
        <v>3</v>
      </c>
      <c r="G974" s="63" t="s">
        <v>164</v>
      </c>
      <c r="H974" s="64">
        <f t="shared" si="71"/>
        <v>80</v>
      </c>
      <c r="I974" s="214" t="s">
        <v>0</v>
      </c>
      <c r="J974" s="36"/>
      <c r="K974" s="36"/>
      <c r="L974" s="36"/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  <c r="X974" s="36"/>
      <c r="Y974" s="36"/>
      <c r="Z974" s="36"/>
      <c r="AA974" s="36"/>
      <c r="AB974" s="36"/>
      <c r="AC974" s="36"/>
      <c r="AD974" s="36"/>
      <c r="AE974" s="36"/>
      <c r="AF974" s="36"/>
      <c r="AG974" s="36"/>
      <c r="AH974" s="36"/>
      <c r="AI974" s="36"/>
    </row>
    <row r="975" spans="1:35" ht="15" hidden="1" customHeight="1">
      <c r="A975" s="214" t="s">
        <v>0</v>
      </c>
      <c r="B975" s="274" t="s">
        <v>158</v>
      </c>
      <c r="C975" s="349"/>
      <c r="D975" s="315"/>
      <c r="E975" s="308"/>
      <c r="F975" s="62">
        <v>2</v>
      </c>
      <c r="G975" s="63" t="s">
        <v>164</v>
      </c>
      <c r="H975" s="64">
        <f t="shared" si="71"/>
        <v>75</v>
      </c>
      <c r="I975" s="214" t="s">
        <v>0</v>
      </c>
      <c r="J975" s="36"/>
      <c r="K975" s="36"/>
      <c r="L975" s="36"/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  <c r="X975" s="36"/>
      <c r="Y975" s="36"/>
      <c r="Z975" s="36"/>
      <c r="AA975" s="36"/>
      <c r="AB975" s="36"/>
      <c r="AC975" s="36"/>
      <c r="AD975" s="36"/>
      <c r="AE975" s="36"/>
      <c r="AF975" s="36"/>
      <c r="AG975" s="36"/>
      <c r="AH975" s="36"/>
      <c r="AI975" s="36"/>
    </row>
    <row r="976" spans="1:35" ht="15.75" hidden="1" customHeight="1" thickBot="1">
      <c r="A976" s="214" t="s">
        <v>0</v>
      </c>
      <c r="B976" s="275"/>
      <c r="C976" s="350"/>
      <c r="D976" s="316"/>
      <c r="E976" s="309"/>
      <c r="F976" s="67">
        <v>1</v>
      </c>
      <c r="G976" s="68" t="s">
        <v>164</v>
      </c>
      <c r="H976" s="69">
        <f t="shared" si="71"/>
        <v>70</v>
      </c>
      <c r="I976" s="214" t="s">
        <v>0</v>
      </c>
      <c r="J976" s="36"/>
      <c r="K976" s="36"/>
      <c r="L976" s="36"/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  <c r="X976" s="36"/>
      <c r="Y976" s="36"/>
      <c r="Z976" s="36"/>
      <c r="AA976" s="36"/>
      <c r="AB976" s="36"/>
      <c r="AC976" s="36"/>
      <c r="AD976" s="36"/>
      <c r="AE976" s="36"/>
      <c r="AF976" s="36"/>
      <c r="AG976" s="36"/>
      <c r="AH976" s="36"/>
      <c r="AI976" s="36"/>
    </row>
    <row r="977" spans="1:35" ht="15.75" hidden="1" customHeight="1" thickBot="1">
      <c r="A977" s="214" t="s">
        <v>0</v>
      </c>
      <c r="B977" s="279">
        <v>5</v>
      </c>
      <c r="C977" s="349"/>
      <c r="D977" s="123" t="s">
        <v>156</v>
      </c>
      <c r="E977" s="124">
        <v>0.6</v>
      </c>
      <c r="F977" s="70">
        <v>10</v>
      </c>
      <c r="G977" s="71" t="s">
        <v>164</v>
      </c>
      <c r="H977" s="72">
        <v>115</v>
      </c>
      <c r="I977" s="214" t="s">
        <v>0</v>
      </c>
      <c r="J977" s="36"/>
      <c r="K977" s="36"/>
      <c r="L977" s="36"/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  <c r="X977" s="36"/>
      <c r="Y977" s="36"/>
      <c r="Z977" s="36"/>
      <c r="AA977" s="36"/>
      <c r="AB977" s="36"/>
      <c r="AC977" s="36"/>
      <c r="AD977" s="36"/>
      <c r="AE977" s="36"/>
      <c r="AF977" s="36"/>
      <c r="AG977" s="36"/>
      <c r="AH977" s="36"/>
      <c r="AI977" s="36"/>
    </row>
    <row r="978" spans="1:35" ht="15" hidden="1" customHeight="1">
      <c r="A978" s="214" t="s">
        <v>0</v>
      </c>
      <c r="B978" s="277"/>
      <c r="C978" s="355"/>
      <c r="D978" s="314"/>
      <c r="E978" s="307">
        <f>IF(D978=0,0,VLOOKUP($D978,$F977:$H986,3,FALSE)*$E977)</f>
        <v>0</v>
      </c>
      <c r="F978" s="62">
        <v>9</v>
      </c>
      <c r="G978" s="63" t="s">
        <v>164</v>
      </c>
      <c r="H978" s="64">
        <f>H977-5</f>
        <v>110</v>
      </c>
      <c r="I978" s="214" t="s">
        <v>0</v>
      </c>
      <c r="J978" s="36"/>
      <c r="K978" s="36"/>
      <c r="L978" s="36"/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  <c r="X978" s="36"/>
      <c r="Y978" s="36"/>
      <c r="Z978" s="36"/>
      <c r="AA978" s="36"/>
      <c r="AB978" s="36"/>
      <c r="AC978" s="36"/>
      <c r="AD978" s="36"/>
      <c r="AE978" s="36"/>
      <c r="AF978" s="36"/>
      <c r="AG978" s="36"/>
      <c r="AH978" s="36"/>
      <c r="AI978" s="36"/>
    </row>
    <row r="979" spans="1:35" ht="15" hidden="1" customHeight="1">
      <c r="A979" s="214" t="s">
        <v>0</v>
      </c>
      <c r="B979" s="277"/>
      <c r="C979" s="355"/>
      <c r="D979" s="315"/>
      <c r="E979" s="308"/>
      <c r="F979" s="62">
        <v>8</v>
      </c>
      <c r="G979" s="63" t="s">
        <v>164</v>
      </c>
      <c r="H979" s="64">
        <f t="shared" ref="H979:H986" si="72">H978-5</f>
        <v>105</v>
      </c>
      <c r="I979" s="214" t="s">
        <v>0</v>
      </c>
      <c r="J979" s="36"/>
      <c r="K979" s="36"/>
      <c r="L979" s="36"/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  <c r="X979" s="36"/>
      <c r="Y979" s="36"/>
      <c r="Z979" s="36"/>
      <c r="AA979" s="36"/>
      <c r="AB979" s="36"/>
      <c r="AC979" s="36"/>
      <c r="AD979" s="36"/>
      <c r="AE979" s="36"/>
      <c r="AF979" s="36"/>
      <c r="AG979" s="36"/>
      <c r="AH979" s="36"/>
      <c r="AI979" s="36"/>
    </row>
    <row r="980" spans="1:35" ht="15" hidden="1" customHeight="1">
      <c r="A980" s="214" t="s">
        <v>0</v>
      </c>
      <c r="B980" s="277"/>
      <c r="C980" s="355"/>
      <c r="D980" s="315"/>
      <c r="E980" s="308"/>
      <c r="F980" s="62">
        <v>7</v>
      </c>
      <c r="G980" s="63" t="s">
        <v>164</v>
      </c>
      <c r="H980" s="64">
        <f t="shared" si="72"/>
        <v>100</v>
      </c>
      <c r="I980" s="214" t="s">
        <v>0</v>
      </c>
      <c r="J980" s="36"/>
      <c r="K980" s="36"/>
      <c r="L980" s="36"/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  <c r="X980" s="36"/>
      <c r="Y980" s="36"/>
      <c r="Z980" s="36"/>
      <c r="AA980" s="36"/>
      <c r="AB980" s="36"/>
      <c r="AC980" s="36"/>
      <c r="AD980" s="36"/>
      <c r="AE980" s="36"/>
      <c r="AF980" s="36"/>
      <c r="AG980" s="36"/>
      <c r="AH980" s="36"/>
      <c r="AI980" s="36"/>
    </row>
    <row r="981" spans="1:35" ht="15" hidden="1" customHeight="1">
      <c r="A981" s="214" t="s">
        <v>0</v>
      </c>
      <c r="B981" s="277"/>
      <c r="C981" s="355"/>
      <c r="D981" s="315"/>
      <c r="E981" s="308"/>
      <c r="F981" s="62">
        <v>6</v>
      </c>
      <c r="G981" s="63" t="s">
        <v>164</v>
      </c>
      <c r="H981" s="64">
        <f t="shared" si="72"/>
        <v>95</v>
      </c>
      <c r="I981" s="214" t="s">
        <v>0</v>
      </c>
      <c r="J981" s="36"/>
      <c r="K981" s="36"/>
      <c r="L981" s="36"/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  <c r="X981" s="36"/>
      <c r="Y981" s="36"/>
      <c r="Z981" s="36"/>
      <c r="AA981" s="36"/>
      <c r="AB981" s="36"/>
      <c r="AC981" s="36"/>
      <c r="AD981" s="36"/>
      <c r="AE981" s="36"/>
      <c r="AF981" s="36"/>
      <c r="AG981" s="36"/>
      <c r="AH981" s="36"/>
      <c r="AI981" s="36"/>
    </row>
    <row r="982" spans="1:35" ht="15" hidden="1" customHeight="1">
      <c r="A982" s="214" t="s">
        <v>0</v>
      </c>
      <c r="B982" s="277"/>
      <c r="C982" s="355"/>
      <c r="D982" s="315"/>
      <c r="E982" s="308"/>
      <c r="F982" s="62">
        <v>5</v>
      </c>
      <c r="G982" s="63" t="s">
        <v>164</v>
      </c>
      <c r="H982" s="64">
        <f t="shared" si="72"/>
        <v>90</v>
      </c>
      <c r="I982" s="214" t="s">
        <v>0</v>
      </c>
      <c r="J982" s="36"/>
      <c r="K982" s="36"/>
      <c r="L982" s="36"/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  <c r="X982" s="36"/>
      <c r="Y982" s="36"/>
      <c r="Z982" s="36"/>
      <c r="AA982" s="36"/>
      <c r="AB982" s="36"/>
      <c r="AC982" s="36"/>
      <c r="AD982" s="36"/>
      <c r="AE982" s="36"/>
      <c r="AF982" s="36"/>
      <c r="AG982" s="36"/>
      <c r="AH982" s="36"/>
      <c r="AI982" s="36"/>
    </row>
    <row r="983" spans="1:35" ht="15" hidden="1" customHeight="1">
      <c r="A983" s="214" t="s">
        <v>0</v>
      </c>
      <c r="B983" s="277"/>
      <c r="C983" s="355"/>
      <c r="D983" s="315"/>
      <c r="E983" s="308"/>
      <c r="F983" s="62">
        <v>4</v>
      </c>
      <c r="G983" s="63" t="s">
        <v>164</v>
      </c>
      <c r="H983" s="64">
        <f t="shared" si="72"/>
        <v>85</v>
      </c>
      <c r="I983" s="214" t="s">
        <v>0</v>
      </c>
      <c r="J983" s="36"/>
      <c r="K983" s="36"/>
      <c r="L983" s="36"/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  <c r="X983" s="36"/>
      <c r="Y983" s="36"/>
      <c r="Z983" s="36"/>
      <c r="AA983" s="36"/>
      <c r="AB983" s="36"/>
      <c r="AC983" s="36"/>
      <c r="AD983" s="36"/>
      <c r="AE983" s="36"/>
      <c r="AF983" s="36"/>
      <c r="AG983" s="36"/>
      <c r="AH983" s="36"/>
      <c r="AI983" s="36"/>
    </row>
    <row r="984" spans="1:35" ht="15.75" hidden="1" customHeight="1" thickBot="1">
      <c r="A984" s="214" t="s">
        <v>0</v>
      </c>
      <c r="B984" s="278"/>
      <c r="C984" s="350"/>
      <c r="D984" s="315"/>
      <c r="E984" s="308"/>
      <c r="F984" s="62">
        <v>3</v>
      </c>
      <c r="G984" s="63" t="s">
        <v>164</v>
      </c>
      <c r="H984" s="64">
        <f t="shared" si="72"/>
        <v>80</v>
      </c>
      <c r="I984" s="214" t="s">
        <v>0</v>
      </c>
      <c r="J984" s="36"/>
      <c r="K984" s="36"/>
      <c r="L984" s="36"/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  <c r="X984" s="36"/>
      <c r="Y984" s="36"/>
      <c r="Z984" s="36"/>
      <c r="AA984" s="36"/>
      <c r="AB984" s="36"/>
      <c r="AC984" s="36"/>
      <c r="AD984" s="36"/>
      <c r="AE984" s="36"/>
      <c r="AF984" s="36"/>
      <c r="AG984" s="36"/>
      <c r="AH984" s="36"/>
      <c r="AI984" s="36"/>
    </row>
    <row r="985" spans="1:35" ht="15" hidden="1" customHeight="1">
      <c r="A985" s="214" t="s">
        <v>0</v>
      </c>
      <c r="B985" s="274" t="s">
        <v>158</v>
      </c>
      <c r="C985" s="349"/>
      <c r="D985" s="315"/>
      <c r="E985" s="308"/>
      <c r="F985" s="62">
        <v>2</v>
      </c>
      <c r="G985" s="63" t="s">
        <v>164</v>
      </c>
      <c r="H985" s="64">
        <f t="shared" si="72"/>
        <v>75</v>
      </c>
      <c r="I985" s="214" t="s">
        <v>0</v>
      </c>
      <c r="J985" s="36"/>
      <c r="K985" s="36"/>
      <c r="L985" s="36"/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  <c r="X985" s="36"/>
      <c r="Y985" s="36"/>
      <c r="Z985" s="36"/>
      <c r="AA985" s="36"/>
      <c r="AB985" s="36"/>
      <c r="AC985" s="36"/>
      <c r="AD985" s="36"/>
      <c r="AE985" s="36"/>
      <c r="AF985" s="36"/>
      <c r="AG985" s="36"/>
      <c r="AH985" s="36"/>
      <c r="AI985" s="36"/>
    </row>
    <row r="986" spans="1:35" ht="15.75" hidden="1" customHeight="1" thickBot="1">
      <c r="A986" s="214" t="s">
        <v>0</v>
      </c>
      <c r="B986" s="275"/>
      <c r="C986" s="350"/>
      <c r="D986" s="316"/>
      <c r="E986" s="309"/>
      <c r="F986" s="67">
        <v>1</v>
      </c>
      <c r="G986" s="68" t="s">
        <v>164</v>
      </c>
      <c r="H986" s="69">
        <f t="shared" si="72"/>
        <v>70</v>
      </c>
      <c r="I986" s="214" t="s">
        <v>0</v>
      </c>
      <c r="J986" s="36"/>
      <c r="K986" s="36"/>
      <c r="L986" s="36"/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  <c r="X986" s="36"/>
      <c r="Y986" s="36"/>
      <c r="Z986" s="36"/>
      <c r="AA986" s="36"/>
      <c r="AB986" s="36"/>
      <c r="AC986" s="36"/>
      <c r="AD986" s="36"/>
      <c r="AE986" s="36"/>
      <c r="AF986" s="36"/>
      <c r="AG986" s="36"/>
      <c r="AH986" s="36"/>
      <c r="AI986" s="36"/>
    </row>
    <row r="987" spans="1:35" ht="15.75" hidden="1" customHeight="1" thickBot="1">
      <c r="A987" s="214" t="s">
        <v>0</v>
      </c>
      <c r="B987" s="276">
        <v>6</v>
      </c>
      <c r="C987" s="349"/>
      <c r="D987" s="123" t="s">
        <v>156</v>
      </c>
      <c r="E987" s="124">
        <v>0.6</v>
      </c>
      <c r="F987" s="58">
        <v>10</v>
      </c>
      <c r="G987" s="59" t="s">
        <v>164</v>
      </c>
      <c r="H987" s="60">
        <v>115</v>
      </c>
      <c r="I987" s="214" t="s">
        <v>0</v>
      </c>
      <c r="J987" s="36"/>
      <c r="K987" s="36"/>
      <c r="L987" s="36"/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  <c r="X987" s="36"/>
      <c r="Y987" s="36"/>
      <c r="Z987" s="36"/>
      <c r="AA987" s="36"/>
      <c r="AB987" s="36"/>
      <c r="AC987" s="36"/>
      <c r="AD987" s="36"/>
      <c r="AE987" s="36"/>
      <c r="AF987" s="36"/>
      <c r="AG987" s="36"/>
      <c r="AH987" s="36"/>
      <c r="AI987" s="36"/>
    </row>
    <row r="988" spans="1:35" ht="15" hidden="1" customHeight="1">
      <c r="A988" s="214" t="s">
        <v>0</v>
      </c>
      <c r="B988" s="277"/>
      <c r="C988" s="355"/>
      <c r="D988" s="314"/>
      <c r="E988" s="307">
        <f>IF(D988=0,0,VLOOKUP($D988,$F987:$H996,3,FALSE)*$E987)</f>
        <v>0</v>
      </c>
      <c r="F988" s="62">
        <v>9</v>
      </c>
      <c r="G988" s="63" t="s">
        <v>164</v>
      </c>
      <c r="H988" s="64">
        <f>H987-5</f>
        <v>110</v>
      </c>
      <c r="I988" s="214" t="s">
        <v>0</v>
      </c>
      <c r="J988" s="36"/>
      <c r="K988" s="36"/>
      <c r="L988" s="36"/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  <c r="X988" s="36"/>
      <c r="Y988" s="36"/>
      <c r="Z988" s="36"/>
      <c r="AA988" s="36"/>
      <c r="AB988" s="36"/>
      <c r="AC988" s="36"/>
      <c r="AD988" s="36"/>
      <c r="AE988" s="36"/>
      <c r="AF988" s="36"/>
      <c r="AG988" s="36"/>
      <c r="AH988" s="36"/>
      <c r="AI988" s="36"/>
    </row>
    <row r="989" spans="1:35" ht="15" hidden="1" customHeight="1">
      <c r="A989" s="214" t="s">
        <v>0</v>
      </c>
      <c r="B989" s="277"/>
      <c r="C989" s="355"/>
      <c r="D989" s="315"/>
      <c r="E989" s="308"/>
      <c r="F989" s="62">
        <v>8</v>
      </c>
      <c r="G989" s="63" t="s">
        <v>164</v>
      </c>
      <c r="H989" s="64">
        <f t="shared" ref="H989:H996" si="73">H988-5</f>
        <v>105</v>
      </c>
      <c r="I989" s="214" t="s">
        <v>0</v>
      </c>
      <c r="J989" s="36"/>
      <c r="K989" s="36"/>
      <c r="L989" s="36"/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  <c r="X989" s="36"/>
      <c r="Y989" s="36"/>
      <c r="Z989" s="36"/>
      <c r="AA989" s="36"/>
      <c r="AB989" s="36"/>
      <c r="AC989" s="36"/>
      <c r="AD989" s="36"/>
      <c r="AE989" s="36"/>
      <c r="AF989" s="36"/>
      <c r="AG989" s="36"/>
      <c r="AH989" s="36"/>
      <c r="AI989" s="36"/>
    </row>
    <row r="990" spans="1:35" ht="15" hidden="1" customHeight="1">
      <c r="A990" s="214" t="s">
        <v>0</v>
      </c>
      <c r="B990" s="277"/>
      <c r="C990" s="355"/>
      <c r="D990" s="315"/>
      <c r="E990" s="308"/>
      <c r="F990" s="62">
        <v>7</v>
      </c>
      <c r="G990" s="63" t="s">
        <v>164</v>
      </c>
      <c r="H990" s="64">
        <f t="shared" si="73"/>
        <v>100</v>
      </c>
      <c r="I990" s="214" t="s">
        <v>0</v>
      </c>
      <c r="J990" s="36"/>
      <c r="K990" s="36"/>
      <c r="L990" s="36"/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  <c r="X990" s="36"/>
      <c r="Y990" s="36"/>
      <c r="Z990" s="36"/>
      <c r="AA990" s="36"/>
      <c r="AB990" s="36"/>
      <c r="AC990" s="36"/>
      <c r="AD990" s="36"/>
      <c r="AE990" s="36"/>
      <c r="AF990" s="36"/>
      <c r="AG990" s="36"/>
      <c r="AH990" s="36"/>
      <c r="AI990" s="36"/>
    </row>
    <row r="991" spans="1:35" ht="15" hidden="1" customHeight="1">
      <c r="A991" s="214" t="s">
        <v>0</v>
      </c>
      <c r="B991" s="277"/>
      <c r="C991" s="355"/>
      <c r="D991" s="315"/>
      <c r="E991" s="308"/>
      <c r="F991" s="62">
        <v>6</v>
      </c>
      <c r="G991" s="63" t="s">
        <v>164</v>
      </c>
      <c r="H991" s="64">
        <f t="shared" si="73"/>
        <v>95</v>
      </c>
      <c r="I991" s="214" t="s">
        <v>0</v>
      </c>
      <c r="J991" s="36"/>
      <c r="K991" s="36"/>
      <c r="L991" s="36"/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  <c r="X991" s="36"/>
      <c r="Y991" s="36"/>
      <c r="Z991" s="36"/>
      <c r="AA991" s="36"/>
      <c r="AB991" s="36"/>
      <c r="AC991" s="36"/>
      <c r="AD991" s="36"/>
      <c r="AE991" s="36"/>
      <c r="AF991" s="36"/>
      <c r="AG991" s="36"/>
      <c r="AH991" s="36"/>
      <c r="AI991" s="36"/>
    </row>
    <row r="992" spans="1:35" ht="15" hidden="1" customHeight="1">
      <c r="A992" s="214" t="s">
        <v>0</v>
      </c>
      <c r="B992" s="277"/>
      <c r="C992" s="355"/>
      <c r="D992" s="315"/>
      <c r="E992" s="308"/>
      <c r="F992" s="62">
        <v>5</v>
      </c>
      <c r="G992" s="63" t="s">
        <v>164</v>
      </c>
      <c r="H992" s="64">
        <f t="shared" si="73"/>
        <v>90</v>
      </c>
      <c r="I992" s="214" t="s">
        <v>0</v>
      </c>
      <c r="J992" s="36"/>
      <c r="K992" s="36"/>
      <c r="L992" s="36"/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  <c r="X992" s="36"/>
      <c r="Y992" s="36"/>
      <c r="Z992" s="36"/>
      <c r="AA992" s="36"/>
      <c r="AB992" s="36"/>
      <c r="AC992" s="36"/>
      <c r="AD992" s="36"/>
      <c r="AE992" s="36"/>
      <c r="AF992" s="36"/>
      <c r="AG992" s="36"/>
      <c r="AH992" s="36"/>
      <c r="AI992" s="36"/>
    </row>
    <row r="993" spans="1:35" ht="15" hidden="1" customHeight="1">
      <c r="A993" s="214" t="s">
        <v>0</v>
      </c>
      <c r="B993" s="277"/>
      <c r="C993" s="355"/>
      <c r="D993" s="315"/>
      <c r="E993" s="308"/>
      <c r="F993" s="62">
        <v>4</v>
      </c>
      <c r="G993" s="63" t="s">
        <v>164</v>
      </c>
      <c r="H993" s="64">
        <f t="shared" si="73"/>
        <v>85</v>
      </c>
      <c r="I993" s="214" t="s">
        <v>0</v>
      </c>
      <c r="J993" s="36"/>
      <c r="K993" s="36"/>
      <c r="L993" s="36"/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  <c r="X993" s="36"/>
      <c r="Y993" s="36"/>
      <c r="Z993" s="36"/>
      <c r="AA993" s="36"/>
      <c r="AB993" s="36"/>
      <c r="AC993" s="36"/>
      <c r="AD993" s="36"/>
      <c r="AE993" s="36"/>
      <c r="AF993" s="36"/>
      <c r="AG993" s="36"/>
      <c r="AH993" s="36"/>
      <c r="AI993" s="36"/>
    </row>
    <row r="994" spans="1:35" ht="15.75" hidden="1" customHeight="1" thickBot="1">
      <c r="A994" s="214" t="s">
        <v>0</v>
      </c>
      <c r="B994" s="278"/>
      <c r="C994" s="350"/>
      <c r="D994" s="315"/>
      <c r="E994" s="308"/>
      <c r="F994" s="62">
        <v>3</v>
      </c>
      <c r="G994" s="63" t="s">
        <v>164</v>
      </c>
      <c r="H994" s="64">
        <f t="shared" si="73"/>
        <v>80</v>
      </c>
      <c r="I994" s="214" t="s">
        <v>0</v>
      </c>
      <c r="J994" s="36"/>
      <c r="K994" s="36"/>
      <c r="L994" s="36"/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  <c r="X994" s="36"/>
      <c r="Y994" s="36"/>
      <c r="Z994" s="36"/>
      <c r="AA994" s="36"/>
      <c r="AB994" s="36"/>
      <c r="AC994" s="36"/>
      <c r="AD994" s="36"/>
      <c r="AE994" s="36"/>
      <c r="AF994" s="36"/>
      <c r="AG994" s="36"/>
      <c r="AH994" s="36"/>
      <c r="AI994" s="36"/>
    </row>
    <row r="995" spans="1:35" ht="15" hidden="1" customHeight="1">
      <c r="A995" s="214" t="s">
        <v>0</v>
      </c>
      <c r="B995" s="274" t="s">
        <v>158</v>
      </c>
      <c r="C995" s="349"/>
      <c r="D995" s="315"/>
      <c r="E995" s="308"/>
      <c r="F995" s="62">
        <v>2</v>
      </c>
      <c r="G995" s="63" t="s">
        <v>164</v>
      </c>
      <c r="H995" s="64">
        <f t="shared" si="73"/>
        <v>75</v>
      </c>
      <c r="I995" s="214" t="s">
        <v>0</v>
      </c>
      <c r="J995" s="36"/>
      <c r="K995" s="36"/>
      <c r="L995" s="36"/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  <c r="X995" s="36"/>
      <c r="Y995" s="36"/>
      <c r="Z995" s="36"/>
      <c r="AA995" s="36"/>
      <c r="AB995" s="36"/>
      <c r="AC995" s="36"/>
      <c r="AD995" s="36"/>
      <c r="AE995" s="36"/>
      <c r="AF995" s="36"/>
      <c r="AG995" s="36"/>
      <c r="AH995" s="36"/>
      <c r="AI995" s="36"/>
    </row>
    <row r="996" spans="1:35" ht="15.75" hidden="1" customHeight="1" thickBot="1">
      <c r="A996" s="214" t="s">
        <v>0</v>
      </c>
      <c r="B996" s="275"/>
      <c r="C996" s="350"/>
      <c r="D996" s="316"/>
      <c r="E996" s="309"/>
      <c r="F996" s="67">
        <v>1</v>
      </c>
      <c r="G996" s="68" t="s">
        <v>164</v>
      </c>
      <c r="H996" s="69">
        <f t="shared" si="73"/>
        <v>70</v>
      </c>
      <c r="I996" s="214" t="s">
        <v>0</v>
      </c>
      <c r="J996" s="36"/>
      <c r="K996" s="36"/>
      <c r="L996" s="36"/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  <c r="X996" s="36"/>
      <c r="Y996" s="36"/>
      <c r="Z996" s="36"/>
      <c r="AA996" s="36"/>
      <c r="AB996" s="36"/>
      <c r="AC996" s="36"/>
      <c r="AD996" s="36"/>
      <c r="AE996" s="36"/>
      <c r="AF996" s="36"/>
      <c r="AG996" s="36"/>
      <c r="AH996" s="36"/>
      <c r="AI996" s="36"/>
    </row>
    <row r="997" spans="1:35" ht="15.75" hidden="1" customHeight="1" thickBot="1">
      <c r="A997" s="214" t="s">
        <v>0</v>
      </c>
      <c r="B997" s="276">
        <v>7</v>
      </c>
      <c r="C997" s="349"/>
      <c r="D997" s="123" t="s">
        <v>156</v>
      </c>
      <c r="E997" s="124">
        <v>0.6</v>
      </c>
      <c r="F997" s="58">
        <v>10</v>
      </c>
      <c r="G997" s="59" t="s">
        <v>164</v>
      </c>
      <c r="H997" s="60">
        <v>115</v>
      </c>
      <c r="I997" s="214" t="s">
        <v>0</v>
      </c>
      <c r="J997" s="36"/>
      <c r="K997" s="36"/>
      <c r="L997" s="36"/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  <c r="X997" s="36"/>
      <c r="Y997" s="36"/>
      <c r="Z997" s="36"/>
      <c r="AA997" s="36"/>
      <c r="AB997" s="36"/>
      <c r="AC997" s="36"/>
      <c r="AD997" s="36"/>
      <c r="AE997" s="36"/>
      <c r="AF997" s="36"/>
      <c r="AG997" s="36"/>
      <c r="AH997" s="36"/>
      <c r="AI997" s="36"/>
    </row>
    <row r="998" spans="1:35" ht="15" hidden="1" customHeight="1">
      <c r="A998" s="214" t="s">
        <v>0</v>
      </c>
      <c r="B998" s="277"/>
      <c r="C998" s="355"/>
      <c r="D998" s="314"/>
      <c r="E998" s="307">
        <f>IF(D998=0,0,VLOOKUP($D998,$F997:$H1006,3,FALSE)*$E997)</f>
        <v>0</v>
      </c>
      <c r="F998" s="62">
        <v>9</v>
      </c>
      <c r="G998" s="63" t="s">
        <v>164</v>
      </c>
      <c r="H998" s="64">
        <f>H997-5</f>
        <v>110</v>
      </c>
      <c r="I998" s="214" t="s">
        <v>0</v>
      </c>
      <c r="J998" s="36"/>
      <c r="K998" s="36"/>
      <c r="L998" s="36"/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  <c r="X998" s="36"/>
      <c r="Y998" s="36"/>
      <c r="Z998" s="36"/>
      <c r="AA998" s="36"/>
      <c r="AB998" s="36"/>
      <c r="AC998" s="36"/>
      <c r="AD998" s="36"/>
      <c r="AE998" s="36"/>
      <c r="AF998" s="36"/>
      <c r="AG998" s="36"/>
      <c r="AH998" s="36"/>
      <c r="AI998" s="36"/>
    </row>
    <row r="999" spans="1:35" ht="15" hidden="1" customHeight="1">
      <c r="A999" s="214" t="s">
        <v>0</v>
      </c>
      <c r="B999" s="277"/>
      <c r="C999" s="355"/>
      <c r="D999" s="315"/>
      <c r="E999" s="308"/>
      <c r="F999" s="62">
        <v>8</v>
      </c>
      <c r="G999" s="63" t="s">
        <v>164</v>
      </c>
      <c r="H999" s="64">
        <f t="shared" ref="H999:H1006" si="74">H998-5</f>
        <v>105</v>
      </c>
      <c r="I999" s="214" t="s">
        <v>0</v>
      </c>
      <c r="J999" s="36"/>
      <c r="K999" s="36"/>
      <c r="L999" s="36"/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  <c r="X999" s="36"/>
      <c r="Y999" s="36"/>
      <c r="Z999" s="36"/>
      <c r="AA999" s="36"/>
      <c r="AB999" s="36"/>
      <c r="AC999" s="36"/>
      <c r="AD999" s="36"/>
      <c r="AE999" s="36"/>
      <c r="AF999" s="36"/>
      <c r="AG999" s="36"/>
      <c r="AH999" s="36"/>
      <c r="AI999" s="36"/>
    </row>
    <row r="1000" spans="1:35" ht="15" hidden="1" customHeight="1">
      <c r="A1000" s="214" t="s">
        <v>0</v>
      </c>
      <c r="B1000" s="277"/>
      <c r="C1000" s="355"/>
      <c r="D1000" s="315"/>
      <c r="E1000" s="308"/>
      <c r="F1000" s="62">
        <v>7</v>
      </c>
      <c r="G1000" s="63" t="s">
        <v>164</v>
      </c>
      <c r="H1000" s="64">
        <f t="shared" si="74"/>
        <v>100</v>
      </c>
      <c r="I1000" s="214" t="s">
        <v>0</v>
      </c>
      <c r="J1000" s="36"/>
      <c r="K1000" s="36"/>
      <c r="L1000" s="36"/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  <c r="X1000" s="36"/>
      <c r="Y1000" s="36"/>
      <c r="Z1000" s="36"/>
      <c r="AA1000" s="36"/>
      <c r="AB1000" s="36"/>
      <c r="AC1000" s="36"/>
      <c r="AD1000" s="36"/>
      <c r="AE1000" s="36"/>
      <c r="AF1000" s="36"/>
      <c r="AG1000" s="36"/>
      <c r="AH1000" s="36"/>
      <c r="AI1000" s="36"/>
    </row>
    <row r="1001" spans="1:35" ht="15" hidden="1" customHeight="1">
      <c r="A1001" s="214" t="s">
        <v>0</v>
      </c>
      <c r="B1001" s="277"/>
      <c r="C1001" s="355"/>
      <c r="D1001" s="315"/>
      <c r="E1001" s="308"/>
      <c r="F1001" s="62">
        <v>6</v>
      </c>
      <c r="G1001" s="63" t="s">
        <v>164</v>
      </c>
      <c r="H1001" s="64">
        <f t="shared" si="74"/>
        <v>95</v>
      </c>
      <c r="I1001" s="214" t="s">
        <v>0</v>
      </c>
      <c r="J1001" s="36"/>
      <c r="K1001" s="36"/>
      <c r="L1001" s="36"/>
      <c r="M1001" s="36"/>
      <c r="N1001" s="36"/>
      <c r="O1001" s="36"/>
      <c r="P1001" s="36"/>
      <c r="Q1001" s="36"/>
      <c r="R1001" s="36"/>
      <c r="S1001" s="36"/>
      <c r="T1001" s="36"/>
      <c r="U1001" s="36"/>
      <c r="V1001" s="36"/>
      <c r="W1001" s="36"/>
      <c r="X1001" s="36"/>
      <c r="Y1001" s="36"/>
      <c r="Z1001" s="36"/>
      <c r="AA1001" s="36"/>
      <c r="AB1001" s="36"/>
      <c r="AC1001" s="36"/>
      <c r="AD1001" s="36"/>
      <c r="AE1001" s="36"/>
      <c r="AF1001" s="36"/>
      <c r="AG1001" s="36"/>
      <c r="AH1001" s="36"/>
      <c r="AI1001" s="36"/>
    </row>
    <row r="1002" spans="1:35" ht="15" hidden="1" customHeight="1">
      <c r="A1002" s="214" t="s">
        <v>0</v>
      </c>
      <c r="B1002" s="277"/>
      <c r="C1002" s="355"/>
      <c r="D1002" s="315"/>
      <c r="E1002" s="308"/>
      <c r="F1002" s="62">
        <v>5</v>
      </c>
      <c r="G1002" s="63" t="s">
        <v>164</v>
      </c>
      <c r="H1002" s="64">
        <f t="shared" si="74"/>
        <v>90</v>
      </c>
      <c r="I1002" s="214" t="s">
        <v>0</v>
      </c>
      <c r="J1002" s="36"/>
      <c r="K1002" s="36"/>
      <c r="L1002" s="36"/>
      <c r="M1002" s="36"/>
      <c r="N1002" s="36"/>
      <c r="O1002" s="36"/>
      <c r="P1002" s="36"/>
      <c r="Q1002" s="36"/>
      <c r="R1002" s="36"/>
      <c r="S1002" s="36"/>
      <c r="T1002" s="36"/>
      <c r="U1002" s="36"/>
      <c r="V1002" s="36"/>
      <c r="W1002" s="36"/>
      <c r="X1002" s="36"/>
      <c r="Y1002" s="36"/>
      <c r="Z1002" s="36"/>
      <c r="AA1002" s="36"/>
      <c r="AB1002" s="36"/>
      <c r="AC1002" s="36"/>
      <c r="AD1002" s="36"/>
      <c r="AE1002" s="36"/>
      <c r="AF1002" s="36"/>
      <c r="AG1002" s="36"/>
      <c r="AH1002" s="36"/>
      <c r="AI1002" s="36"/>
    </row>
    <row r="1003" spans="1:35" ht="15" hidden="1" customHeight="1">
      <c r="A1003" s="214" t="s">
        <v>0</v>
      </c>
      <c r="B1003" s="277"/>
      <c r="C1003" s="355"/>
      <c r="D1003" s="315"/>
      <c r="E1003" s="308"/>
      <c r="F1003" s="62">
        <v>4</v>
      </c>
      <c r="G1003" s="63" t="s">
        <v>164</v>
      </c>
      <c r="H1003" s="64">
        <f t="shared" si="74"/>
        <v>85</v>
      </c>
      <c r="I1003" s="214" t="s">
        <v>0</v>
      </c>
      <c r="J1003" s="36"/>
      <c r="K1003" s="36"/>
      <c r="L1003" s="36"/>
      <c r="M1003" s="36"/>
      <c r="N1003" s="36"/>
      <c r="O1003" s="36"/>
      <c r="P1003" s="36"/>
      <c r="Q1003" s="36"/>
      <c r="R1003" s="36"/>
      <c r="S1003" s="36"/>
      <c r="T1003" s="36"/>
      <c r="U1003" s="36"/>
      <c r="V1003" s="36"/>
      <c r="W1003" s="36"/>
      <c r="X1003" s="36"/>
      <c r="Y1003" s="36"/>
      <c r="Z1003" s="36"/>
      <c r="AA1003" s="36"/>
      <c r="AB1003" s="36"/>
      <c r="AC1003" s="36"/>
      <c r="AD1003" s="36"/>
      <c r="AE1003" s="36"/>
      <c r="AF1003" s="36"/>
      <c r="AG1003" s="36"/>
      <c r="AH1003" s="36"/>
      <c r="AI1003" s="36"/>
    </row>
    <row r="1004" spans="1:35" ht="15.75" hidden="1" customHeight="1" thickBot="1">
      <c r="A1004" s="214" t="s">
        <v>0</v>
      </c>
      <c r="B1004" s="278"/>
      <c r="C1004" s="350"/>
      <c r="D1004" s="315"/>
      <c r="E1004" s="308"/>
      <c r="F1004" s="62">
        <v>3</v>
      </c>
      <c r="G1004" s="63" t="s">
        <v>164</v>
      </c>
      <c r="H1004" s="64">
        <f t="shared" si="74"/>
        <v>80</v>
      </c>
      <c r="I1004" s="214" t="s">
        <v>0</v>
      </c>
      <c r="J1004" s="36"/>
      <c r="K1004" s="36"/>
      <c r="L1004" s="36"/>
      <c r="M1004" s="36"/>
      <c r="N1004" s="36"/>
      <c r="O1004" s="36"/>
      <c r="P1004" s="36"/>
      <c r="Q1004" s="36"/>
      <c r="R1004" s="36"/>
      <c r="S1004" s="36"/>
      <c r="T1004" s="36"/>
      <c r="U1004" s="36"/>
      <c r="V1004" s="36"/>
      <c r="W1004" s="36"/>
      <c r="X1004" s="36"/>
      <c r="Y1004" s="36"/>
      <c r="Z1004" s="36"/>
      <c r="AA1004" s="36"/>
      <c r="AB1004" s="36"/>
      <c r="AC1004" s="36"/>
      <c r="AD1004" s="36"/>
      <c r="AE1004" s="36"/>
      <c r="AF1004" s="36"/>
      <c r="AG1004" s="36"/>
      <c r="AH1004" s="36"/>
      <c r="AI1004" s="36"/>
    </row>
    <row r="1005" spans="1:35" ht="15" hidden="1" customHeight="1">
      <c r="A1005" s="214" t="s">
        <v>0</v>
      </c>
      <c r="B1005" s="274" t="s">
        <v>158</v>
      </c>
      <c r="C1005" s="349"/>
      <c r="D1005" s="315"/>
      <c r="E1005" s="308"/>
      <c r="F1005" s="62">
        <v>2</v>
      </c>
      <c r="G1005" s="63" t="s">
        <v>164</v>
      </c>
      <c r="H1005" s="64">
        <f t="shared" si="74"/>
        <v>75</v>
      </c>
      <c r="I1005" s="214" t="s">
        <v>0</v>
      </c>
      <c r="J1005" s="36"/>
      <c r="K1005" s="36"/>
      <c r="L1005" s="36"/>
      <c r="M1005" s="36"/>
      <c r="N1005" s="36"/>
      <c r="O1005" s="36"/>
      <c r="P1005" s="36"/>
      <c r="Q1005" s="36"/>
      <c r="R1005" s="36"/>
      <c r="S1005" s="36"/>
      <c r="T1005" s="36"/>
      <c r="U1005" s="36"/>
      <c r="V1005" s="36"/>
      <c r="W1005" s="36"/>
      <c r="X1005" s="36"/>
      <c r="Y1005" s="36"/>
      <c r="Z1005" s="36"/>
      <c r="AA1005" s="36"/>
      <c r="AB1005" s="36"/>
      <c r="AC1005" s="36"/>
      <c r="AD1005" s="36"/>
      <c r="AE1005" s="36"/>
      <c r="AF1005" s="36"/>
      <c r="AG1005" s="36"/>
      <c r="AH1005" s="36"/>
      <c r="AI1005" s="36"/>
    </row>
    <row r="1006" spans="1:35" ht="15.75" hidden="1" customHeight="1" thickBot="1">
      <c r="A1006" s="214" t="s">
        <v>0</v>
      </c>
      <c r="B1006" s="275"/>
      <c r="C1006" s="350"/>
      <c r="D1006" s="316"/>
      <c r="E1006" s="309"/>
      <c r="F1006" s="67">
        <v>1</v>
      </c>
      <c r="G1006" s="68" t="s">
        <v>164</v>
      </c>
      <c r="H1006" s="69">
        <f t="shared" si="74"/>
        <v>70</v>
      </c>
      <c r="I1006" s="214" t="s">
        <v>0</v>
      </c>
      <c r="J1006" s="36"/>
      <c r="K1006" s="36"/>
      <c r="L1006" s="36"/>
      <c r="M1006" s="36"/>
      <c r="N1006" s="36"/>
      <c r="O1006" s="36"/>
      <c r="P1006" s="36"/>
      <c r="Q1006" s="36"/>
      <c r="R1006" s="36"/>
      <c r="S1006" s="36"/>
      <c r="T1006" s="36"/>
      <c r="U1006" s="36"/>
      <c r="V1006" s="36"/>
      <c r="W1006" s="36"/>
      <c r="X1006" s="36"/>
      <c r="Y1006" s="36"/>
      <c r="Z1006" s="36"/>
      <c r="AA1006" s="36"/>
      <c r="AB1006" s="36"/>
      <c r="AC1006" s="36"/>
      <c r="AD1006" s="36"/>
      <c r="AE1006" s="36"/>
      <c r="AF1006" s="36"/>
      <c r="AG1006" s="36"/>
      <c r="AH1006" s="36"/>
      <c r="AI1006" s="36"/>
    </row>
    <row r="1007" spans="1:35" ht="15.75" hidden="1" customHeight="1" thickBot="1">
      <c r="A1007" s="214" t="s">
        <v>0</v>
      </c>
      <c r="B1007" s="276">
        <v>8</v>
      </c>
      <c r="C1007" s="349"/>
      <c r="D1007" s="123" t="s">
        <v>156</v>
      </c>
      <c r="E1007" s="124">
        <v>0.6</v>
      </c>
      <c r="F1007" s="58">
        <v>10</v>
      </c>
      <c r="G1007" s="59" t="s">
        <v>164</v>
      </c>
      <c r="H1007" s="60">
        <v>115</v>
      </c>
      <c r="I1007" s="214" t="s">
        <v>0</v>
      </c>
      <c r="J1007" s="36"/>
      <c r="K1007" s="36"/>
      <c r="L1007" s="36"/>
      <c r="M1007" s="36"/>
      <c r="N1007" s="36"/>
      <c r="O1007" s="36"/>
      <c r="P1007" s="36"/>
      <c r="Q1007" s="36"/>
      <c r="R1007" s="36"/>
      <c r="S1007" s="36"/>
      <c r="T1007" s="36"/>
      <c r="U1007" s="36"/>
      <c r="V1007" s="36"/>
      <c r="W1007" s="36"/>
      <c r="X1007" s="36"/>
      <c r="Y1007" s="36"/>
      <c r="Z1007" s="36"/>
      <c r="AA1007" s="36"/>
      <c r="AB1007" s="36"/>
      <c r="AC1007" s="36"/>
      <c r="AD1007" s="36"/>
      <c r="AE1007" s="36"/>
      <c r="AF1007" s="36"/>
      <c r="AG1007" s="36"/>
      <c r="AH1007" s="36"/>
      <c r="AI1007" s="36"/>
    </row>
    <row r="1008" spans="1:35" ht="15" hidden="1" customHeight="1">
      <c r="A1008" s="214" t="s">
        <v>0</v>
      </c>
      <c r="B1008" s="277"/>
      <c r="C1008" s="355"/>
      <c r="D1008" s="314"/>
      <c r="E1008" s="307">
        <f>IF(D1008=0,0,VLOOKUP($D1008,$F1007:$H1016,3,FALSE)*$E1007)</f>
        <v>0</v>
      </c>
      <c r="F1008" s="62">
        <v>9</v>
      </c>
      <c r="G1008" s="63" t="s">
        <v>164</v>
      </c>
      <c r="H1008" s="64">
        <f>H1007-5</f>
        <v>110</v>
      </c>
      <c r="I1008" s="214" t="s">
        <v>0</v>
      </c>
      <c r="J1008" s="36"/>
      <c r="K1008" s="36"/>
      <c r="L1008" s="36"/>
      <c r="M1008" s="36"/>
      <c r="N1008" s="36"/>
      <c r="O1008" s="36"/>
      <c r="P1008" s="36"/>
      <c r="Q1008" s="36"/>
      <c r="R1008" s="36"/>
      <c r="S1008" s="36"/>
      <c r="T1008" s="36"/>
      <c r="U1008" s="36"/>
      <c r="V1008" s="36"/>
      <c r="W1008" s="36"/>
      <c r="X1008" s="36"/>
      <c r="Y1008" s="36"/>
      <c r="Z1008" s="36"/>
      <c r="AA1008" s="36"/>
      <c r="AB1008" s="36"/>
      <c r="AC1008" s="36"/>
      <c r="AD1008" s="36"/>
      <c r="AE1008" s="36"/>
      <c r="AF1008" s="36"/>
      <c r="AG1008" s="36"/>
      <c r="AH1008" s="36"/>
      <c r="AI1008" s="36"/>
    </row>
    <row r="1009" spans="1:35" ht="15" hidden="1" customHeight="1">
      <c r="A1009" s="214" t="s">
        <v>0</v>
      </c>
      <c r="B1009" s="277"/>
      <c r="C1009" s="355"/>
      <c r="D1009" s="315"/>
      <c r="E1009" s="308"/>
      <c r="F1009" s="62">
        <v>8</v>
      </c>
      <c r="G1009" s="63" t="s">
        <v>164</v>
      </c>
      <c r="H1009" s="64">
        <f t="shared" ref="H1009:H1016" si="75">H1008-5</f>
        <v>105</v>
      </c>
      <c r="I1009" s="214" t="s">
        <v>0</v>
      </c>
      <c r="J1009" s="36"/>
      <c r="K1009" s="36"/>
      <c r="L1009" s="36"/>
      <c r="M1009" s="36"/>
      <c r="N1009" s="36"/>
      <c r="O1009" s="36"/>
      <c r="P1009" s="36"/>
      <c r="Q1009" s="36"/>
      <c r="R1009" s="36"/>
      <c r="S1009" s="36"/>
      <c r="T1009" s="36"/>
      <c r="U1009" s="36"/>
      <c r="V1009" s="36"/>
      <c r="W1009" s="36"/>
      <c r="X1009" s="36"/>
      <c r="Y1009" s="36"/>
      <c r="Z1009" s="36"/>
      <c r="AA1009" s="36"/>
      <c r="AB1009" s="36"/>
      <c r="AC1009" s="36"/>
      <c r="AD1009" s="36"/>
      <c r="AE1009" s="36"/>
      <c r="AF1009" s="36"/>
      <c r="AG1009" s="36"/>
      <c r="AH1009" s="36"/>
      <c r="AI1009" s="36"/>
    </row>
    <row r="1010" spans="1:35" ht="15" hidden="1" customHeight="1">
      <c r="A1010" s="214" t="s">
        <v>0</v>
      </c>
      <c r="B1010" s="277"/>
      <c r="C1010" s="355"/>
      <c r="D1010" s="315"/>
      <c r="E1010" s="308"/>
      <c r="F1010" s="62">
        <v>7</v>
      </c>
      <c r="G1010" s="63" t="s">
        <v>164</v>
      </c>
      <c r="H1010" s="64">
        <f t="shared" si="75"/>
        <v>100</v>
      </c>
      <c r="I1010" s="214" t="s">
        <v>0</v>
      </c>
      <c r="J1010" s="36"/>
      <c r="K1010" s="36"/>
      <c r="L1010" s="36"/>
      <c r="M1010" s="36"/>
      <c r="N1010" s="36"/>
      <c r="O1010" s="36"/>
      <c r="P1010" s="36"/>
      <c r="Q1010" s="36"/>
      <c r="R1010" s="36"/>
      <c r="S1010" s="36"/>
      <c r="T1010" s="36"/>
      <c r="U1010" s="36"/>
      <c r="V1010" s="36"/>
      <c r="W1010" s="36"/>
      <c r="X1010" s="36"/>
      <c r="Y1010" s="36"/>
      <c r="Z1010" s="36"/>
      <c r="AA1010" s="36"/>
      <c r="AB1010" s="36"/>
      <c r="AC1010" s="36"/>
      <c r="AD1010" s="36"/>
      <c r="AE1010" s="36"/>
      <c r="AF1010" s="36"/>
      <c r="AG1010" s="36"/>
      <c r="AH1010" s="36"/>
      <c r="AI1010" s="36"/>
    </row>
    <row r="1011" spans="1:35" ht="15" hidden="1" customHeight="1">
      <c r="A1011" s="214" t="s">
        <v>0</v>
      </c>
      <c r="B1011" s="277"/>
      <c r="C1011" s="355"/>
      <c r="D1011" s="315"/>
      <c r="E1011" s="308"/>
      <c r="F1011" s="62">
        <v>6</v>
      </c>
      <c r="G1011" s="63" t="s">
        <v>164</v>
      </c>
      <c r="H1011" s="64">
        <f t="shared" si="75"/>
        <v>95</v>
      </c>
      <c r="I1011" s="214" t="s">
        <v>0</v>
      </c>
      <c r="J1011" s="36"/>
      <c r="K1011" s="36"/>
      <c r="L1011" s="36"/>
      <c r="M1011" s="36"/>
      <c r="N1011" s="36"/>
      <c r="O1011" s="36"/>
      <c r="P1011" s="36"/>
      <c r="Q1011" s="36"/>
      <c r="R1011" s="36"/>
      <c r="S1011" s="36"/>
      <c r="T1011" s="36"/>
      <c r="U1011" s="36"/>
      <c r="V1011" s="36"/>
      <c r="W1011" s="36"/>
      <c r="X1011" s="36"/>
      <c r="Y1011" s="36"/>
      <c r="Z1011" s="36"/>
      <c r="AA1011" s="36"/>
      <c r="AB1011" s="36"/>
      <c r="AC1011" s="36"/>
      <c r="AD1011" s="36"/>
      <c r="AE1011" s="36"/>
      <c r="AF1011" s="36"/>
      <c r="AG1011" s="36"/>
      <c r="AH1011" s="36"/>
      <c r="AI1011" s="36"/>
    </row>
    <row r="1012" spans="1:35" ht="15" hidden="1" customHeight="1">
      <c r="A1012" s="214" t="s">
        <v>0</v>
      </c>
      <c r="B1012" s="277"/>
      <c r="C1012" s="355"/>
      <c r="D1012" s="315"/>
      <c r="E1012" s="308"/>
      <c r="F1012" s="62">
        <v>5</v>
      </c>
      <c r="G1012" s="63" t="s">
        <v>164</v>
      </c>
      <c r="H1012" s="64">
        <f t="shared" si="75"/>
        <v>90</v>
      </c>
      <c r="I1012" s="214" t="s">
        <v>0</v>
      </c>
      <c r="J1012" s="36"/>
      <c r="K1012" s="36"/>
      <c r="L1012" s="36"/>
      <c r="M1012" s="36"/>
      <c r="N1012" s="36"/>
      <c r="O1012" s="36"/>
      <c r="P1012" s="36"/>
      <c r="Q1012" s="36"/>
      <c r="R1012" s="36"/>
      <c r="S1012" s="36"/>
      <c r="T1012" s="36"/>
      <c r="U1012" s="36"/>
      <c r="V1012" s="36"/>
      <c r="W1012" s="36"/>
      <c r="X1012" s="36"/>
      <c r="Y1012" s="36"/>
      <c r="Z1012" s="36"/>
      <c r="AA1012" s="36"/>
      <c r="AB1012" s="36"/>
      <c r="AC1012" s="36"/>
      <c r="AD1012" s="36"/>
      <c r="AE1012" s="36"/>
      <c r="AF1012" s="36"/>
      <c r="AG1012" s="36"/>
      <c r="AH1012" s="36"/>
      <c r="AI1012" s="36"/>
    </row>
    <row r="1013" spans="1:35" ht="15" hidden="1" customHeight="1">
      <c r="A1013" s="214" t="s">
        <v>0</v>
      </c>
      <c r="B1013" s="277"/>
      <c r="C1013" s="355"/>
      <c r="D1013" s="315"/>
      <c r="E1013" s="308"/>
      <c r="F1013" s="62">
        <v>4</v>
      </c>
      <c r="G1013" s="63" t="s">
        <v>164</v>
      </c>
      <c r="H1013" s="64">
        <f t="shared" si="75"/>
        <v>85</v>
      </c>
      <c r="I1013" s="214" t="s">
        <v>0</v>
      </c>
      <c r="J1013" s="36"/>
      <c r="K1013" s="36"/>
      <c r="L1013" s="36"/>
      <c r="M1013" s="36"/>
      <c r="N1013" s="36"/>
      <c r="O1013" s="36"/>
      <c r="P1013" s="36"/>
      <c r="Q1013" s="36"/>
      <c r="R1013" s="36"/>
      <c r="S1013" s="36"/>
      <c r="T1013" s="36"/>
      <c r="U1013" s="36"/>
      <c r="V1013" s="36"/>
      <c r="W1013" s="36"/>
      <c r="X1013" s="36"/>
      <c r="Y1013" s="36"/>
      <c r="Z1013" s="36"/>
      <c r="AA1013" s="36"/>
      <c r="AB1013" s="36"/>
      <c r="AC1013" s="36"/>
      <c r="AD1013" s="36"/>
      <c r="AE1013" s="36"/>
      <c r="AF1013" s="36"/>
      <c r="AG1013" s="36"/>
      <c r="AH1013" s="36"/>
      <c r="AI1013" s="36"/>
    </row>
    <row r="1014" spans="1:35" ht="15.75" hidden="1" customHeight="1" thickBot="1">
      <c r="A1014" s="214" t="s">
        <v>0</v>
      </c>
      <c r="B1014" s="278"/>
      <c r="C1014" s="350"/>
      <c r="D1014" s="315"/>
      <c r="E1014" s="308"/>
      <c r="F1014" s="62">
        <v>3</v>
      </c>
      <c r="G1014" s="63" t="s">
        <v>164</v>
      </c>
      <c r="H1014" s="64">
        <f t="shared" si="75"/>
        <v>80</v>
      </c>
      <c r="I1014" s="214" t="s">
        <v>0</v>
      </c>
      <c r="J1014" s="36"/>
      <c r="K1014" s="36"/>
      <c r="L1014" s="36"/>
      <c r="M1014" s="36"/>
      <c r="N1014" s="36"/>
      <c r="O1014" s="36"/>
      <c r="P1014" s="36"/>
      <c r="Q1014" s="36"/>
      <c r="R1014" s="36"/>
      <c r="S1014" s="36"/>
      <c r="T1014" s="36"/>
      <c r="U1014" s="36"/>
      <c r="V1014" s="36"/>
      <c r="W1014" s="36"/>
      <c r="X1014" s="36"/>
      <c r="Y1014" s="36"/>
      <c r="Z1014" s="36"/>
      <c r="AA1014" s="36"/>
      <c r="AB1014" s="36"/>
      <c r="AC1014" s="36"/>
      <c r="AD1014" s="36"/>
      <c r="AE1014" s="36"/>
      <c r="AF1014" s="36"/>
      <c r="AG1014" s="36"/>
      <c r="AH1014" s="36"/>
      <c r="AI1014" s="36"/>
    </row>
    <row r="1015" spans="1:35" ht="15" hidden="1" customHeight="1">
      <c r="A1015" s="214" t="s">
        <v>0</v>
      </c>
      <c r="B1015" s="274" t="s">
        <v>158</v>
      </c>
      <c r="C1015" s="349"/>
      <c r="D1015" s="315"/>
      <c r="E1015" s="308"/>
      <c r="F1015" s="62">
        <v>2</v>
      </c>
      <c r="G1015" s="63" t="s">
        <v>164</v>
      </c>
      <c r="H1015" s="64">
        <f t="shared" si="75"/>
        <v>75</v>
      </c>
      <c r="I1015" s="214" t="s">
        <v>0</v>
      </c>
      <c r="J1015" s="36"/>
      <c r="K1015" s="36"/>
      <c r="L1015" s="36"/>
      <c r="M1015" s="36"/>
      <c r="N1015" s="36"/>
      <c r="O1015" s="36"/>
      <c r="P1015" s="36"/>
      <c r="Q1015" s="36"/>
      <c r="R1015" s="36"/>
      <c r="S1015" s="36"/>
      <c r="T1015" s="36"/>
      <c r="U1015" s="36"/>
      <c r="V1015" s="36"/>
      <c r="W1015" s="36"/>
      <c r="X1015" s="36"/>
      <c r="Y1015" s="36"/>
      <c r="Z1015" s="36"/>
      <c r="AA1015" s="36"/>
      <c r="AB1015" s="36"/>
      <c r="AC1015" s="36"/>
      <c r="AD1015" s="36"/>
      <c r="AE1015" s="36"/>
      <c r="AF1015" s="36"/>
      <c r="AG1015" s="36"/>
      <c r="AH1015" s="36"/>
      <c r="AI1015" s="36"/>
    </row>
    <row r="1016" spans="1:35" ht="15.75" hidden="1" customHeight="1" thickBot="1">
      <c r="A1016" s="214" t="s">
        <v>0</v>
      </c>
      <c r="B1016" s="275"/>
      <c r="C1016" s="350"/>
      <c r="D1016" s="316"/>
      <c r="E1016" s="309"/>
      <c r="F1016" s="67">
        <v>1</v>
      </c>
      <c r="G1016" s="68" t="s">
        <v>164</v>
      </c>
      <c r="H1016" s="69">
        <f t="shared" si="75"/>
        <v>70</v>
      </c>
      <c r="I1016" s="214" t="s">
        <v>0</v>
      </c>
      <c r="J1016" s="36"/>
      <c r="K1016" s="36"/>
      <c r="L1016" s="36"/>
      <c r="M1016" s="36"/>
      <c r="N1016" s="36"/>
      <c r="O1016" s="36"/>
      <c r="P1016" s="36"/>
      <c r="Q1016" s="36"/>
      <c r="R1016" s="36"/>
      <c r="S1016" s="36"/>
      <c r="T1016" s="36"/>
      <c r="U1016" s="36"/>
      <c r="V1016" s="36"/>
      <c r="W1016" s="36"/>
      <c r="X1016" s="36"/>
      <c r="Y1016" s="36"/>
      <c r="Z1016" s="36"/>
      <c r="AA1016" s="36"/>
      <c r="AB1016" s="36"/>
      <c r="AC1016" s="36"/>
      <c r="AD1016" s="36"/>
      <c r="AE1016" s="36"/>
      <c r="AF1016" s="36"/>
      <c r="AG1016" s="36"/>
      <c r="AH1016" s="36"/>
      <c r="AI1016" s="36"/>
    </row>
    <row r="1017" spans="1:35" ht="15.75" hidden="1" customHeight="1" thickBot="1">
      <c r="A1017" s="214" t="s">
        <v>0</v>
      </c>
      <c r="B1017" s="276">
        <v>9</v>
      </c>
      <c r="C1017" s="349"/>
      <c r="D1017" s="123" t="s">
        <v>156</v>
      </c>
      <c r="E1017" s="124">
        <v>0.6</v>
      </c>
      <c r="F1017" s="58">
        <v>10</v>
      </c>
      <c r="G1017" s="59" t="s">
        <v>164</v>
      </c>
      <c r="H1017" s="60">
        <v>115</v>
      </c>
      <c r="I1017" s="214" t="s">
        <v>0</v>
      </c>
      <c r="J1017" s="36"/>
      <c r="K1017" s="36"/>
      <c r="L1017" s="36"/>
      <c r="M1017" s="36"/>
      <c r="N1017" s="36"/>
      <c r="O1017" s="36"/>
      <c r="P1017" s="36"/>
      <c r="Q1017" s="36"/>
      <c r="R1017" s="36"/>
      <c r="S1017" s="36"/>
      <c r="T1017" s="36"/>
      <c r="U1017" s="36"/>
      <c r="V1017" s="36"/>
      <c r="W1017" s="36"/>
      <c r="X1017" s="36"/>
      <c r="Y1017" s="36"/>
      <c r="Z1017" s="36"/>
      <c r="AA1017" s="36"/>
      <c r="AB1017" s="36"/>
      <c r="AC1017" s="36"/>
      <c r="AD1017" s="36"/>
      <c r="AE1017" s="36"/>
      <c r="AF1017" s="36"/>
      <c r="AG1017" s="36"/>
      <c r="AH1017" s="36"/>
      <c r="AI1017" s="36"/>
    </row>
    <row r="1018" spans="1:35" ht="15" hidden="1" customHeight="1">
      <c r="A1018" s="214" t="s">
        <v>0</v>
      </c>
      <c r="B1018" s="277"/>
      <c r="C1018" s="355"/>
      <c r="D1018" s="314"/>
      <c r="E1018" s="307">
        <f>IF(D1018=0,0,VLOOKUP($D1018,$F1017:$H1026,3,FALSE)*$E1017)</f>
        <v>0</v>
      </c>
      <c r="F1018" s="62">
        <v>9</v>
      </c>
      <c r="G1018" s="63" t="s">
        <v>164</v>
      </c>
      <c r="H1018" s="64">
        <f>H1017-5</f>
        <v>110</v>
      </c>
      <c r="I1018" s="214" t="s">
        <v>0</v>
      </c>
      <c r="J1018" s="36"/>
      <c r="K1018" s="36"/>
      <c r="L1018" s="36"/>
      <c r="M1018" s="36"/>
      <c r="N1018" s="36"/>
      <c r="O1018" s="36"/>
      <c r="P1018" s="36"/>
      <c r="Q1018" s="36"/>
      <c r="R1018" s="36"/>
      <c r="S1018" s="36"/>
      <c r="T1018" s="36"/>
      <c r="U1018" s="36"/>
      <c r="V1018" s="36"/>
      <c r="W1018" s="36"/>
      <c r="X1018" s="36"/>
      <c r="Y1018" s="36"/>
      <c r="Z1018" s="36"/>
      <c r="AA1018" s="36"/>
      <c r="AB1018" s="36"/>
      <c r="AC1018" s="36"/>
      <c r="AD1018" s="36"/>
      <c r="AE1018" s="36"/>
      <c r="AF1018" s="36"/>
      <c r="AG1018" s="36"/>
      <c r="AH1018" s="36"/>
      <c r="AI1018" s="36"/>
    </row>
    <row r="1019" spans="1:35" ht="15" hidden="1" customHeight="1">
      <c r="A1019" s="214" t="s">
        <v>0</v>
      </c>
      <c r="B1019" s="277"/>
      <c r="C1019" s="355"/>
      <c r="D1019" s="315"/>
      <c r="E1019" s="308"/>
      <c r="F1019" s="62">
        <v>8</v>
      </c>
      <c r="G1019" s="63" t="s">
        <v>164</v>
      </c>
      <c r="H1019" s="64">
        <f t="shared" ref="H1019:H1026" si="76">H1018-5</f>
        <v>105</v>
      </c>
      <c r="I1019" s="214" t="s">
        <v>0</v>
      </c>
      <c r="J1019" s="36"/>
      <c r="K1019" s="36"/>
      <c r="L1019" s="36"/>
      <c r="M1019" s="36"/>
      <c r="N1019" s="36"/>
      <c r="O1019" s="36"/>
      <c r="P1019" s="36"/>
      <c r="Q1019" s="36"/>
      <c r="R1019" s="36"/>
      <c r="S1019" s="36"/>
      <c r="T1019" s="36"/>
      <c r="U1019" s="36"/>
      <c r="V1019" s="36"/>
      <c r="W1019" s="36"/>
      <c r="X1019" s="36"/>
      <c r="Y1019" s="36"/>
      <c r="Z1019" s="36"/>
      <c r="AA1019" s="36"/>
      <c r="AB1019" s="36"/>
      <c r="AC1019" s="36"/>
      <c r="AD1019" s="36"/>
      <c r="AE1019" s="36"/>
      <c r="AF1019" s="36"/>
      <c r="AG1019" s="36"/>
      <c r="AH1019" s="36"/>
      <c r="AI1019" s="36"/>
    </row>
    <row r="1020" spans="1:35" ht="15" hidden="1" customHeight="1">
      <c r="A1020" s="214" t="s">
        <v>0</v>
      </c>
      <c r="B1020" s="277"/>
      <c r="C1020" s="355"/>
      <c r="D1020" s="315"/>
      <c r="E1020" s="308"/>
      <c r="F1020" s="62">
        <v>7</v>
      </c>
      <c r="G1020" s="63" t="s">
        <v>164</v>
      </c>
      <c r="H1020" s="64">
        <f t="shared" si="76"/>
        <v>100</v>
      </c>
      <c r="I1020" s="214" t="s">
        <v>0</v>
      </c>
      <c r="J1020" s="36"/>
      <c r="K1020" s="36"/>
      <c r="L1020" s="36"/>
      <c r="M1020" s="36"/>
      <c r="N1020" s="36"/>
      <c r="O1020" s="36"/>
      <c r="P1020" s="36"/>
      <c r="Q1020" s="36"/>
      <c r="R1020" s="36"/>
      <c r="S1020" s="36"/>
      <c r="T1020" s="36"/>
      <c r="U1020" s="36"/>
      <c r="V1020" s="36"/>
      <c r="W1020" s="36"/>
      <c r="X1020" s="36"/>
      <c r="Y1020" s="36"/>
      <c r="Z1020" s="36"/>
      <c r="AA1020" s="36"/>
      <c r="AB1020" s="36"/>
      <c r="AC1020" s="36"/>
      <c r="AD1020" s="36"/>
      <c r="AE1020" s="36"/>
      <c r="AF1020" s="36"/>
      <c r="AG1020" s="36"/>
      <c r="AH1020" s="36"/>
      <c r="AI1020" s="36"/>
    </row>
    <row r="1021" spans="1:35" ht="15" hidden="1" customHeight="1">
      <c r="A1021" s="214" t="s">
        <v>0</v>
      </c>
      <c r="B1021" s="277"/>
      <c r="C1021" s="355"/>
      <c r="D1021" s="315"/>
      <c r="E1021" s="308"/>
      <c r="F1021" s="62">
        <v>6</v>
      </c>
      <c r="G1021" s="63" t="s">
        <v>164</v>
      </c>
      <c r="H1021" s="64">
        <f t="shared" si="76"/>
        <v>95</v>
      </c>
      <c r="I1021" s="214" t="s">
        <v>0</v>
      </c>
      <c r="J1021" s="36"/>
      <c r="K1021" s="36"/>
      <c r="L1021" s="36"/>
      <c r="M1021" s="36"/>
      <c r="N1021" s="36"/>
      <c r="O1021" s="36"/>
      <c r="P1021" s="36"/>
      <c r="Q1021" s="36"/>
      <c r="R1021" s="36"/>
      <c r="S1021" s="36"/>
      <c r="T1021" s="36"/>
      <c r="U1021" s="36"/>
      <c r="V1021" s="36"/>
      <c r="W1021" s="36"/>
      <c r="X1021" s="36"/>
      <c r="Y1021" s="36"/>
      <c r="Z1021" s="36"/>
      <c r="AA1021" s="36"/>
      <c r="AB1021" s="36"/>
      <c r="AC1021" s="36"/>
      <c r="AD1021" s="36"/>
      <c r="AE1021" s="36"/>
      <c r="AF1021" s="36"/>
      <c r="AG1021" s="36"/>
      <c r="AH1021" s="36"/>
      <c r="AI1021" s="36"/>
    </row>
    <row r="1022" spans="1:35" ht="15" hidden="1" customHeight="1">
      <c r="A1022" s="214" t="s">
        <v>0</v>
      </c>
      <c r="B1022" s="277"/>
      <c r="C1022" s="355"/>
      <c r="D1022" s="315"/>
      <c r="E1022" s="308"/>
      <c r="F1022" s="62">
        <v>5</v>
      </c>
      <c r="G1022" s="63" t="s">
        <v>164</v>
      </c>
      <c r="H1022" s="64">
        <f t="shared" si="76"/>
        <v>90</v>
      </c>
      <c r="I1022" s="214" t="s">
        <v>0</v>
      </c>
      <c r="J1022" s="36"/>
      <c r="K1022" s="36"/>
      <c r="L1022" s="36"/>
      <c r="M1022" s="36"/>
      <c r="N1022" s="36"/>
      <c r="O1022" s="36"/>
      <c r="P1022" s="36"/>
      <c r="Q1022" s="36"/>
      <c r="R1022" s="36"/>
      <c r="S1022" s="36"/>
      <c r="T1022" s="36"/>
      <c r="U1022" s="36"/>
      <c r="V1022" s="36"/>
      <c r="W1022" s="36"/>
      <c r="X1022" s="36"/>
      <c r="Y1022" s="36"/>
      <c r="Z1022" s="36"/>
      <c r="AA1022" s="36"/>
      <c r="AB1022" s="36"/>
      <c r="AC1022" s="36"/>
      <c r="AD1022" s="36"/>
      <c r="AE1022" s="36"/>
      <c r="AF1022" s="36"/>
      <c r="AG1022" s="36"/>
      <c r="AH1022" s="36"/>
      <c r="AI1022" s="36"/>
    </row>
    <row r="1023" spans="1:35" ht="15" hidden="1" customHeight="1">
      <c r="A1023" s="214" t="s">
        <v>0</v>
      </c>
      <c r="B1023" s="277"/>
      <c r="C1023" s="355"/>
      <c r="D1023" s="315"/>
      <c r="E1023" s="308"/>
      <c r="F1023" s="62">
        <v>4</v>
      </c>
      <c r="G1023" s="63" t="s">
        <v>164</v>
      </c>
      <c r="H1023" s="64">
        <f t="shared" si="76"/>
        <v>85</v>
      </c>
      <c r="I1023" s="214" t="s">
        <v>0</v>
      </c>
      <c r="J1023" s="36"/>
      <c r="K1023" s="36"/>
      <c r="L1023" s="36"/>
      <c r="M1023" s="36"/>
      <c r="N1023" s="36"/>
      <c r="O1023" s="36"/>
      <c r="P1023" s="36"/>
      <c r="Q1023" s="36"/>
      <c r="R1023" s="36"/>
      <c r="S1023" s="36"/>
      <c r="T1023" s="36"/>
      <c r="U1023" s="36"/>
      <c r="V1023" s="36"/>
      <c r="W1023" s="36"/>
      <c r="X1023" s="36"/>
      <c r="Y1023" s="36"/>
      <c r="Z1023" s="36"/>
      <c r="AA1023" s="36"/>
      <c r="AB1023" s="36"/>
      <c r="AC1023" s="36"/>
      <c r="AD1023" s="36"/>
      <c r="AE1023" s="36"/>
      <c r="AF1023" s="36"/>
      <c r="AG1023" s="36"/>
      <c r="AH1023" s="36"/>
      <c r="AI1023" s="36"/>
    </row>
    <row r="1024" spans="1:35" ht="15.75" hidden="1" customHeight="1" thickBot="1">
      <c r="A1024" s="214" t="s">
        <v>0</v>
      </c>
      <c r="B1024" s="278"/>
      <c r="C1024" s="350"/>
      <c r="D1024" s="315"/>
      <c r="E1024" s="308"/>
      <c r="F1024" s="62">
        <v>3</v>
      </c>
      <c r="G1024" s="63" t="s">
        <v>164</v>
      </c>
      <c r="H1024" s="64">
        <f t="shared" si="76"/>
        <v>80</v>
      </c>
      <c r="I1024" s="214" t="s">
        <v>0</v>
      </c>
      <c r="J1024" s="36"/>
      <c r="K1024" s="36"/>
      <c r="L1024" s="36"/>
      <c r="M1024" s="36"/>
      <c r="N1024" s="36"/>
      <c r="O1024" s="36"/>
      <c r="P1024" s="36"/>
      <c r="Q1024" s="36"/>
      <c r="R1024" s="36"/>
      <c r="S1024" s="36"/>
      <c r="T1024" s="36"/>
      <c r="U1024" s="36"/>
      <c r="V1024" s="36"/>
      <c r="W1024" s="36"/>
      <c r="X1024" s="36"/>
      <c r="Y1024" s="36"/>
      <c r="Z1024" s="36"/>
      <c r="AA1024" s="36"/>
      <c r="AB1024" s="36"/>
      <c r="AC1024" s="36"/>
      <c r="AD1024" s="36"/>
      <c r="AE1024" s="36"/>
      <c r="AF1024" s="36"/>
      <c r="AG1024" s="36"/>
      <c r="AH1024" s="36"/>
      <c r="AI1024" s="36"/>
    </row>
    <row r="1025" spans="1:35" ht="15" hidden="1" customHeight="1">
      <c r="A1025" s="214" t="s">
        <v>0</v>
      </c>
      <c r="B1025" s="274" t="s">
        <v>158</v>
      </c>
      <c r="C1025" s="349"/>
      <c r="D1025" s="315"/>
      <c r="E1025" s="308"/>
      <c r="F1025" s="62">
        <v>2</v>
      </c>
      <c r="G1025" s="63" t="s">
        <v>164</v>
      </c>
      <c r="H1025" s="64">
        <f t="shared" si="76"/>
        <v>75</v>
      </c>
      <c r="I1025" s="214" t="s">
        <v>0</v>
      </c>
      <c r="J1025" s="36"/>
      <c r="K1025" s="36"/>
      <c r="L1025" s="36"/>
      <c r="M1025" s="36"/>
      <c r="N1025" s="36"/>
      <c r="O1025" s="36"/>
      <c r="P1025" s="36"/>
      <c r="Q1025" s="36"/>
      <c r="R1025" s="36"/>
      <c r="S1025" s="36"/>
      <c r="T1025" s="36"/>
      <c r="U1025" s="36"/>
      <c r="V1025" s="36"/>
      <c r="W1025" s="36"/>
      <c r="X1025" s="36"/>
      <c r="Y1025" s="36"/>
      <c r="Z1025" s="36"/>
      <c r="AA1025" s="36"/>
      <c r="AB1025" s="36"/>
      <c r="AC1025" s="36"/>
      <c r="AD1025" s="36"/>
      <c r="AE1025" s="36"/>
      <c r="AF1025" s="36"/>
      <c r="AG1025" s="36"/>
      <c r="AH1025" s="36"/>
      <c r="AI1025" s="36"/>
    </row>
    <row r="1026" spans="1:35" ht="15.75" hidden="1" customHeight="1" thickBot="1">
      <c r="A1026" s="214" t="s">
        <v>0</v>
      </c>
      <c r="B1026" s="275"/>
      <c r="C1026" s="350"/>
      <c r="D1026" s="316"/>
      <c r="E1026" s="309"/>
      <c r="F1026" s="67">
        <v>1</v>
      </c>
      <c r="G1026" s="68" t="s">
        <v>164</v>
      </c>
      <c r="H1026" s="69">
        <f t="shared" si="76"/>
        <v>70</v>
      </c>
      <c r="I1026" s="214" t="s">
        <v>0</v>
      </c>
      <c r="J1026" s="36"/>
      <c r="K1026" s="36"/>
      <c r="L1026" s="36"/>
      <c r="M1026" s="36"/>
      <c r="N1026" s="36"/>
      <c r="O1026" s="36"/>
      <c r="P1026" s="36"/>
      <c r="Q1026" s="36"/>
      <c r="R1026" s="36"/>
      <c r="S1026" s="36"/>
      <c r="T1026" s="36"/>
      <c r="U1026" s="36"/>
      <c r="V1026" s="36"/>
      <c r="W1026" s="36"/>
      <c r="X1026" s="36"/>
      <c r="Y1026" s="36"/>
      <c r="Z1026" s="36"/>
      <c r="AA1026" s="36"/>
      <c r="AB1026" s="36"/>
      <c r="AC1026" s="36"/>
      <c r="AD1026" s="36"/>
      <c r="AE1026" s="36"/>
      <c r="AF1026" s="36"/>
      <c r="AG1026" s="36"/>
      <c r="AH1026" s="36"/>
      <c r="AI1026" s="36"/>
    </row>
    <row r="1027" spans="1:35" ht="15.75" hidden="1" customHeight="1" thickBot="1">
      <c r="A1027" s="214" t="s">
        <v>0</v>
      </c>
      <c r="B1027" s="279">
        <v>10</v>
      </c>
      <c r="C1027" s="349"/>
      <c r="D1027" s="123" t="s">
        <v>156</v>
      </c>
      <c r="E1027" s="124">
        <v>0.6</v>
      </c>
      <c r="F1027" s="70">
        <v>10</v>
      </c>
      <c r="G1027" s="71" t="s">
        <v>164</v>
      </c>
      <c r="H1027" s="72">
        <v>115</v>
      </c>
      <c r="I1027" s="214" t="s">
        <v>0</v>
      </c>
      <c r="J1027" s="36"/>
      <c r="K1027" s="36"/>
      <c r="L1027" s="36"/>
      <c r="M1027" s="36"/>
      <c r="N1027" s="36"/>
      <c r="O1027" s="36"/>
      <c r="P1027" s="36"/>
      <c r="Q1027" s="36"/>
      <c r="R1027" s="36"/>
      <c r="S1027" s="36"/>
      <c r="T1027" s="36"/>
      <c r="U1027" s="36"/>
      <c r="V1027" s="36"/>
      <c r="W1027" s="36"/>
      <c r="X1027" s="36"/>
      <c r="Y1027" s="36"/>
      <c r="Z1027" s="36"/>
      <c r="AA1027" s="36"/>
      <c r="AB1027" s="36"/>
      <c r="AC1027" s="36"/>
      <c r="AD1027" s="36"/>
      <c r="AE1027" s="36"/>
      <c r="AF1027" s="36"/>
      <c r="AG1027" s="36"/>
      <c r="AH1027" s="36"/>
      <c r="AI1027" s="36"/>
    </row>
    <row r="1028" spans="1:35" ht="15" hidden="1" customHeight="1">
      <c r="A1028" s="214" t="s">
        <v>0</v>
      </c>
      <c r="B1028" s="277"/>
      <c r="C1028" s="355"/>
      <c r="D1028" s="314"/>
      <c r="E1028" s="307">
        <f>IF(D1028=0,0,VLOOKUP($D1028,$F1027:$H1036,3,FALSE)*$E1027)</f>
        <v>0</v>
      </c>
      <c r="F1028" s="62">
        <v>9</v>
      </c>
      <c r="G1028" s="63" t="s">
        <v>164</v>
      </c>
      <c r="H1028" s="64">
        <f>H1027-5</f>
        <v>110</v>
      </c>
      <c r="I1028" s="214" t="s">
        <v>0</v>
      </c>
      <c r="J1028" s="36"/>
      <c r="K1028" s="36"/>
      <c r="L1028" s="36"/>
      <c r="M1028" s="36"/>
      <c r="N1028" s="36"/>
      <c r="O1028" s="36"/>
      <c r="P1028" s="36"/>
      <c r="Q1028" s="36"/>
      <c r="R1028" s="36"/>
      <c r="S1028" s="36"/>
      <c r="T1028" s="36"/>
      <c r="U1028" s="36"/>
      <c r="V1028" s="36"/>
      <c r="W1028" s="36"/>
      <c r="X1028" s="36"/>
      <c r="Y1028" s="36"/>
      <c r="Z1028" s="36"/>
      <c r="AA1028" s="36"/>
      <c r="AB1028" s="36"/>
      <c r="AC1028" s="36"/>
      <c r="AD1028" s="36"/>
      <c r="AE1028" s="36"/>
      <c r="AF1028" s="36"/>
      <c r="AG1028" s="36"/>
      <c r="AH1028" s="36"/>
      <c r="AI1028" s="36"/>
    </row>
    <row r="1029" spans="1:35" ht="15" hidden="1" customHeight="1">
      <c r="A1029" s="214" t="s">
        <v>0</v>
      </c>
      <c r="B1029" s="277"/>
      <c r="C1029" s="355"/>
      <c r="D1029" s="315"/>
      <c r="E1029" s="308"/>
      <c r="F1029" s="62">
        <v>8</v>
      </c>
      <c r="G1029" s="63" t="s">
        <v>164</v>
      </c>
      <c r="H1029" s="64">
        <f t="shared" ref="H1029:H1036" si="77">H1028-5</f>
        <v>105</v>
      </c>
      <c r="I1029" s="214" t="s">
        <v>0</v>
      </c>
      <c r="J1029" s="36"/>
      <c r="K1029" s="36"/>
      <c r="L1029" s="36"/>
      <c r="M1029" s="36"/>
      <c r="N1029" s="36"/>
      <c r="O1029" s="36"/>
      <c r="P1029" s="36"/>
      <c r="Q1029" s="36"/>
      <c r="R1029" s="36"/>
      <c r="S1029" s="36"/>
      <c r="T1029" s="36"/>
      <c r="U1029" s="36"/>
      <c r="V1029" s="36"/>
      <c r="W1029" s="36"/>
      <c r="X1029" s="36"/>
      <c r="Y1029" s="36"/>
      <c r="Z1029" s="36"/>
      <c r="AA1029" s="36"/>
      <c r="AB1029" s="36"/>
      <c r="AC1029" s="36"/>
      <c r="AD1029" s="36"/>
      <c r="AE1029" s="36"/>
      <c r="AF1029" s="36"/>
      <c r="AG1029" s="36"/>
      <c r="AH1029" s="36"/>
      <c r="AI1029" s="36"/>
    </row>
    <row r="1030" spans="1:35" ht="15" hidden="1" customHeight="1">
      <c r="A1030" s="214" t="s">
        <v>0</v>
      </c>
      <c r="B1030" s="277"/>
      <c r="C1030" s="355"/>
      <c r="D1030" s="315"/>
      <c r="E1030" s="308"/>
      <c r="F1030" s="62">
        <v>7</v>
      </c>
      <c r="G1030" s="63" t="s">
        <v>164</v>
      </c>
      <c r="H1030" s="64">
        <f t="shared" si="77"/>
        <v>100</v>
      </c>
      <c r="I1030" s="214" t="s">
        <v>0</v>
      </c>
      <c r="J1030" s="36"/>
      <c r="K1030" s="36"/>
      <c r="L1030" s="36"/>
      <c r="M1030" s="36"/>
      <c r="N1030" s="36"/>
      <c r="O1030" s="36"/>
      <c r="P1030" s="36"/>
      <c r="Q1030" s="36"/>
      <c r="R1030" s="36"/>
      <c r="S1030" s="36"/>
      <c r="T1030" s="36"/>
      <c r="U1030" s="36"/>
      <c r="V1030" s="36"/>
      <c r="W1030" s="36"/>
      <c r="X1030" s="36"/>
      <c r="Y1030" s="36"/>
      <c r="Z1030" s="36"/>
      <c r="AA1030" s="36"/>
      <c r="AB1030" s="36"/>
      <c r="AC1030" s="36"/>
      <c r="AD1030" s="36"/>
      <c r="AE1030" s="36"/>
      <c r="AF1030" s="36"/>
      <c r="AG1030" s="36"/>
      <c r="AH1030" s="36"/>
      <c r="AI1030" s="36"/>
    </row>
    <row r="1031" spans="1:35" ht="15" hidden="1" customHeight="1">
      <c r="A1031" s="214" t="s">
        <v>0</v>
      </c>
      <c r="B1031" s="277"/>
      <c r="C1031" s="355"/>
      <c r="D1031" s="315"/>
      <c r="E1031" s="308"/>
      <c r="F1031" s="62">
        <v>6</v>
      </c>
      <c r="G1031" s="63" t="s">
        <v>164</v>
      </c>
      <c r="H1031" s="64">
        <f t="shared" si="77"/>
        <v>95</v>
      </c>
      <c r="I1031" s="214" t="s">
        <v>0</v>
      </c>
      <c r="J1031" s="36"/>
      <c r="K1031" s="36"/>
      <c r="L1031" s="36"/>
      <c r="M1031" s="36"/>
      <c r="N1031" s="36"/>
      <c r="O1031" s="36"/>
      <c r="P1031" s="36"/>
      <c r="Q1031" s="36"/>
      <c r="R1031" s="36"/>
      <c r="S1031" s="36"/>
      <c r="T1031" s="36"/>
      <c r="U1031" s="36"/>
      <c r="V1031" s="36"/>
      <c r="W1031" s="36"/>
      <c r="X1031" s="36"/>
      <c r="Y1031" s="36"/>
      <c r="Z1031" s="36"/>
      <c r="AA1031" s="36"/>
      <c r="AB1031" s="36"/>
      <c r="AC1031" s="36"/>
      <c r="AD1031" s="36"/>
      <c r="AE1031" s="36"/>
      <c r="AF1031" s="36"/>
      <c r="AG1031" s="36"/>
      <c r="AH1031" s="36"/>
      <c r="AI1031" s="36"/>
    </row>
    <row r="1032" spans="1:35" ht="15" hidden="1" customHeight="1">
      <c r="A1032" s="214" t="s">
        <v>0</v>
      </c>
      <c r="B1032" s="277"/>
      <c r="C1032" s="355"/>
      <c r="D1032" s="315"/>
      <c r="E1032" s="308"/>
      <c r="F1032" s="62">
        <v>5</v>
      </c>
      <c r="G1032" s="63" t="s">
        <v>164</v>
      </c>
      <c r="H1032" s="64">
        <f t="shared" si="77"/>
        <v>90</v>
      </c>
      <c r="I1032" s="214" t="s">
        <v>0</v>
      </c>
      <c r="J1032" s="36"/>
      <c r="K1032" s="36"/>
      <c r="L1032" s="36"/>
      <c r="M1032" s="36"/>
      <c r="N1032" s="36"/>
      <c r="O1032" s="36"/>
      <c r="P1032" s="36"/>
      <c r="Q1032" s="36"/>
      <c r="R1032" s="36"/>
      <c r="S1032" s="36"/>
      <c r="T1032" s="36"/>
      <c r="U1032" s="36"/>
      <c r="V1032" s="36"/>
      <c r="W1032" s="36"/>
      <c r="X1032" s="36"/>
      <c r="Y1032" s="36"/>
      <c r="Z1032" s="36"/>
      <c r="AA1032" s="36"/>
      <c r="AB1032" s="36"/>
      <c r="AC1032" s="36"/>
      <c r="AD1032" s="36"/>
      <c r="AE1032" s="36"/>
      <c r="AF1032" s="36"/>
      <c r="AG1032" s="36"/>
      <c r="AH1032" s="36"/>
      <c r="AI1032" s="36"/>
    </row>
    <row r="1033" spans="1:35" ht="15" hidden="1" customHeight="1">
      <c r="A1033" s="214" t="s">
        <v>0</v>
      </c>
      <c r="B1033" s="277"/>
      <c r="C1033" s="355"/>
      <c r="D1033" s="315"/>
      <c r="E1033" s="308"/>
      <c r="F1033" s="62">
        <v>4</v>
      </c>
      <c r="G1033" s="63" t="s">
        <v>164</v>
      </c>
      <c r="H1033" s="64">
        <f t="shared" si="77"/>
        <v>85</v>
      </c>
      <c r="I1033" s="214" t="s">
        <v>0</v>
      </c>
      <c r="J1033" s="36"/>
      <c r="K1033" s="36"/>
      <c r="L1033" s="36"/>
      <c r="M1033" s="36"/>
      <c r="N1033" s="36"/>
      <c r="O1033" s="36"/>
      <c r="P1033" s="36"/>
      <c r="Q1033" s="36"/>
      <c r="R1033" s="36"/>
      <c r="S1033" s="36"/>
      <c r="T1033" s="36"/>
      <c r="U1033" s="36"/>
      <c r="V1033" s="36"/>
      <c r="W1033" s="36"/>
      <c r="X1033" s="36"/>
      <c r="Y1033" s="36"/>
      <c r="Z1033" s="36"/>
      <c r="AA1033" s="36"/>
      <c r="AB1033" s="36"/>
      <c r="AC1033" s="36"/>
      <c r="AD1033" s="36"/>
      <c r="AE1033" s="36"/>
      <c r="AF1033" s="36"/>
      <c r="AG1033" s="36"/>
      <c r="AH1033" s="36"/>
      <c r="AI1033" s="36"/>
    </row>
    <row r="1034" spans="1:35" ht="15.75" hidden="1" customHeight="1" thickBot="1">
      <c r="A1034" s="214" t="s">
        <v>0</v>
      </c>
      <c r="B1034" s="278"/>
      <c r="C1034" s="350"/>
      <c r="D1034" s="315"/>
      <c r="E1034" s="308"/>
      <c r="F1034" s="62">
        <v>3</v>
      </c>
      <c r="G1034" s="63" t="s">
        <v>164</v>
      </c>
      <c r="H1034" s="64">
        <f t="shared" si="77"/>
        <v>80</v>
      </c>
      <c r="I1034" s="214" t="s">
        <v>0</v>
      </c>
      <c r="J1034" s="36"/>
      <c r="K1034" s="36"/>
      <c r="L1034" s="36"/>
      <c r="M1034" s="36"/>
      <c r="N1034" s="36"/>
      <c r="O1034" s="36"/>
      <c r="P1034" s="36"/>
      <c r="Q1034" s="36"/>
      <c r="R1034" s="36"/>
      <c r="S1034" s="36"/>
      <c r="T1034" s="36"/>
      <c r="U1034" s="36"/>
      <c r="V1034" s="36"/>
      <c r="W1034" s="36"/>
      <c r="X1034" s="36"/>
      <c r="Y1034" s="36"/>
      <c r="Z1034" s="36"/>
      <c r="AA1034" s="36"/>
      <c r="AB1034" s="36"/>
      <c r="AC1034" s="36"/>
      <c r="AD1034" s="36"/>
      <c r="AE1034" s="36"/>
      <c r="AF1034" s="36"/>
      <c r="AG1034" s="36"/>
      <c r="AH1034" s="36"/>
      <c r="AI1034" s="36"/>
    </row>
    <row r="1035" spans="1:35" ht="15" hidden="1" customHeight="1">
      <c r="A1035" s="214" t="s">
        <v>0</v>
      </c>
      <c r="B1035" s="274" t="s">
        <v>158</v>
      </c>
      <c r="C1035" s="349"/>
      <c r="D1035" s="315"/>
      <c r="E1035" s="308"/>
      <c r="F1035" s="62">
        <v>2</v>
      </c>
      <c r="G1035" s="63" t="s">
        <v>164</v>
      </c>
      <c r="H1035" s="64">
        <f t="shared" si="77"/>
        <v>75</v>
      </c>
      <c r="I1035" s="214" t="s">
        <v>0</v>
      </c>
      <c r="J1035" s="36"/>
      <c r="K1035" s="36"/>
      <c r="L1035" s="36"/>
      <c r="M1035" s="36"/>
      <c r="N1035" s="36"/>
      <c r="O1035" s="36"/>
      <c r="P1035" s="36"/>
      <c r="Q1035" s="36"/>
      <c r="R1035" s="36"/>
      <c r="S1035" s="36"/>
      <c r="T1035" s="36"/>
      <c r="U1035" s="36"/>
      <c r="V1035" s="36"/>
      <c r="W1035" s="36"/>
      <c r="X1035" s="36"/>
      <c r="Y1035" s="36"/>
      <c r="Z1035" s="36"/>
      <c r="AA1035" s="36"/>
      <c r="AB1035" s="36"/>
      <c r="AC1035" s="36"/>
      <c r="AD1035" s="36"/>
      <c r="AE1035" s="36"/>
      <c r="AF1035" s="36"/>
      <c r="AG1035" s="36"/>
      <c r="AH1035" s="36"/>
      <c r="AI1035" s="36"/>
    </row>
    <row r="1036" spans="1:35" ht="15.75" hidden="1" customHeight="1" thickBot="1">
      <c r="A1036" s="214" t="s">
        <v>0</v>
      </c>
      <c r="B1036" s="275"/>
      <c r="C1036" s="350"/>
      <c r="D1036" s="316"/>
      <c r="E1036" s="309"/>
      <c r="F1036" s="67">
        <v>1</v>
      </c>
      <c r="G1036" s="68" t="s">
        <v>164</v>
      </c>
      <c r="H1036" s="69">
        <f t="shared" si="77"/>
        <v>70</v>
      </c>
      <c r="I1036" s="214" t="s">
        <v>0</v>
      </c>
      <c r="J1036" s="36"/>
      <c r="K1036" s="36"/>
      <c r="L1036" s="36"/>
      <c r="M1036" s="36"/>
      <c r="N1036" s="36"/>
      <c r="O1036" s="36"/>
      <c r="P1036" s="36"/>
      <c r="Q1036" s="36"/>
      <c r="R1036" s="36"/>
      <c r="S1036" s="36"/>
      <c r="T1036" s="36"/>
      <c r="U1036" s="36"/>
      <c r="V1036" s="36"/>
      <c r="W1036" s="36"/>
      <c r="X1036" s="36"/>
      <c r="Y1036" s="36"/>
      <c r="Z1036" s="36"/>
      <c r="AA1036" s="36"/>
      <c r="AB1036" s="36"/>
      <c r="AC1036" s="36"/>
      <c r="AD1036" s="36"/>
      <c r="AE1036" s="36"/>
      <c r="AF1036" s="36"/>
      <c r="AG1036" s="36"/>
      <c r="AH1036" s="36"/>
      <c r="AI1036" s="36"/>
    </row>
    <row r="1037" spans="1:35" ht="15" hidden="1" customHeight="1">
      <c r="A1037" s="214" t="s">
        <v>0</v>
      </c>
      <c r="B1037" s="214" t="s">
        <v>0</v>
      </c>
      <c r="C1037" s="214" t="s">
        <v>0</v>
      </c>
      <c r="D1037" s="214" t="s">
        <v>0</v>
      </c>
      <c r="E1037" s="214" t="s">
        <v>0</v>
      </c>
      <c r="F1037" s="214" t="s">
        <v>0</v>
      </c>
      <c r="G1037" s="214" t="s">
        <v>0</v>
      </c>
      <c r="H1037" s="214" t="s">
        <v>0</v>
      </c>
      <c r="I1037" s="214" t="s">
        <v>0</v>
      </c>
      <c r="J1037" s="36"/>
      <c r="K1037" s="36"/>
      <c r="L1037" s="36"/>
      <c r="M1037" s="36"/>
      <c r="N1037" s="36"/>
      <c r="O1037" s="36"/>
      <c r="P1037" s="36"/>
      <c r="Q1037" s="36"/>
      <c r="R1037" s="36"/>
      <c r="S1037" s="36"/>
      <c r="T1037" s="36"/>
      <c r="U1037" s="36"/>
      <c r="V1037" s="36"/>
      <c r="W1037" s="36"/>
      <c r="X1037" s="36"/>
      <c r="Y1037" s="36"/>
      <c r="Z1037" s="36"/>
      <c r="AA1037" s="36"/>
      <c r="AB1037" s="36"/>
      <c r="AC1037" s="36"/>
      <c r="AD1037" s="36"/>
      <c r="AE1037" s="36"/>
      <c r="AF1037" s="36"/>
      <c r="AG1037" s="36"/>
      <c r="AH1037" s="36"/>
      <c r="AI1037" s="36"/>
    </row>
    <row r="1038" spans="1:35" ht="29.25" hidden="1" customHeight="1" thickBot="1">
      <c r="A1038" s="36"/>
      <c r="B1038" s="36"/>
      <c r="C1038" s="36"/>
      <c r="D1038" s="36"/>
      <c r="E1038" s="36"/>
      <c r="F1038" s="36"/>
      <c r="G1038" s="36"/>
      <c r="H1038" s="36"/>
      <c r="I1038" s="36"/>
      <c r="J1038" s="36"/>
      <c r="K1038" s="36"/>
      <c r="L1038" s="36"/>
      <c r="M1038" s="36"/>
      <c r="N1038" s="36"/>
      <c r="O1038" s="36"/>
      <c r="P1038" s="36"/>
      <c r="Q1038" s="36"/>
      <c r="R1038" s="36"/>
      <c r="S1038" s="36"/>
      <c r="T1038" s="36"/>
      <c r="U1038" s="36"/>
      <c r="V1038" s="36"/>
      <c r="W1038" s="36"/>
      <c r="X1038" s="36"/>
      <c r="Y1038" s="36"/>
      <c r="Z1038" s="36"/>
      <c r="AA1038" s="36"/>
      <c r="AB1038" s="36"/>
      <c r="AC1038" s="36"/>
      <c r="AD1038" s="36"/>
      <c r="AE1038" s="36"/>
      <c r="AF1038" s="36"/>
      <c r="AG1038" s="36"/>
      <c r="AH1038" s="36"/>
      <c r="AI1038" s="36"/>
    </row>
    <row r="1039" spans="1:35" ht="15" hidden="1" customHeight="1">
      <c r="A1039" s="36"/>
      <c r="B1039" s="48" t="s">
        <v>180</v>
      </c>
      <c r="C1039" s="49"/>
      <c r="D1039" s="49"/>
      <c r="E1039" s="49"/>
      <c r="F1039" s="49"/>
      <c r="G1039" s="328" t="s">
        <v>8</v>
      </c>
      <c r="H1039" s="328"/>
      <c r="I1039" s="329"/>
      <c r="J1039" s="36"/>
      <c r="K1039" s="36"/>
      <c r="L1039" s="36"/>
      <c r="M1039" s="36"/>
      <c r="N1039" s="36"/>
      <c r="O1039" s="36">
        <v>9</v>
      </c>
      <c r="P1039" s="36"/>
      <c r="Q1039" s="36"/>
      <c r="R1039" s="36"/>
      <c r="S1039" s="36"/>
      <c r="T1039" s="36"/>
      <c r="U1039" s="36"/>
      <c r="V1039" s="36"/>
      <c r="W1039" s="36"/>
      <c r="X1039" s="36"/>
      <c r="Y1039" s="36"/>
      <c r="Z1039" s="36"/>
      <c r="AA1039" s="36"/>
      <c r="AB1039" s="36"/>
      <c r="AC1039" s="36"/>
      <c r="AD1039" s="36"/>
      <c r="AE1039" s="36"/>
      <c r="AF1039" s="36"/>
      <c r="AG1039" s="36"/>
      <c r="AH1039" s="36"/>
      <c r="AI1039" s="36"/>
    </row>
    <row r="1040" spans="1:35" ht="15.75" hidden="1" customHeight="1" thickBot="1">
      <c r="A1040" s="36"/>
      <c r="B1040" s="50"/>
      <c r="C1040" s="51"/>
      <c r="D1040" s="51"/>
      <c r="E1040" s="51"/>
      <c r="F1040" s="51"/>
      <c r="G1040" s="336"/>
      <c r="H1040" s="337"/>
      <c r="I1040" s="338"/>
      <c r="J1040" s="36"/>
      <c r="K1040" s="36"/>
      <c r="L1040" s="36"/>
      <c r="M1040" s="36"/>
      <c r="N1040" s="36"/>
      <c r="O1040" s="36"/>
      <c r="P1040" s="36"/>
      <c r="Q1040" s="36"/>
      <c r="R1040" s="36"/>
      <c r="S1040" s="36"/>
      <c r="T1040" s="36"/>
      <c r="U1040" s="36"/>
      <c r="V1040" s="36"/>
      <c r="W1040" s="36"/>
      <c r="X1040" s="36"/>
      <c r="Y1040" s="36"/>
      <c r="Z1040" s="36"/>
      <c r="AA1040" s="36"/>
      <c r="AB1040" s="36"/>
      <c r="AC1040" s="36"/>
      <c r="AD1040" s="36"/>
      <c r="AE1040" s="36"/>
      <c r="AF1040" s="36"/>
      <c r="AG1040" s="36"/>
      <c r="AH1040" s="36"/>
      <c r="AI1040" s="36"/>
    </row>
    <row r="1041" spans="1:35" ht="15.75" hidden="1" customHeight="1" thickBot="1">
      <c r="A1041" s="212" t="s">
        <v>0</v>
      </c>
      <c r="B1041" s="36"/>
      <c r="C1041" s="36"/>
      <c r="D1041" s="36"/>
      <c r="E1041" s="36"/>
      <c r="F1041" s="36"/>
      <c r="G1041" s="36"/>
      <c r="H1041" s="36"/>
      <c r="I1041" s="212" t="s">
        <v>0</v>
      </c>
      <c r="J1041" s="36"/>
      <c r="K1041" s="36"/>
      <c r="L1041" s="36"/>
      <c r="M1041" s="36"/>
      <c r="N1041" s="36"/>
      <c r="O1041" s="36"/>
      <c r="P1041" s="36"/>
      <c r="Q1041" s="36"/>
      <c r="R1041" s="36"/>
      <c r="S1041" s="36"/>
      <c r="T1041" s="36"/>
      <c r="U1041" s="36"/>
      <c r="V1041" s="36"/>
      <c r="W1041" s="36"/>
      <c r="X1041" s="36"/>
      <c r="Y1041" s="36"/>
      <c r="Z1041" s="36"/>
      <c r="AA1041" s="36"/>
      <c r="AB1041" s="36"/>
      <c r="AC1041" s="36"/>
      <c r="AD1041" s="36"/>
      <c r="AE1041" s="36"/>
      <c r="AF1041" s="36"/>
      <c r="AG1041" s="36"/>
      <c r="AH1041" s="36"/>
      <c r="AI1041" s="36"/>
    </row>
    <row r="1042" spans="1:35" ht="15.75" hidden="1" customHeight="1" thickBot="1">
      <c r="A1042" s="212" t="s">
        <v>0</v>
      </c>
      <c r="B1042" s="52" t="s">
        <v>152</v>
      </c>
      <c r="C1042" s="52" t="s">
        <v>153</v>
      </c>
      <c r="D1042" s="280" t="s">
        <v>9</v>
      </c>
      <c r="E1042" s="281"/>
      <c r="F1042" s="282" t="s">
        <v>154</v>
      </c>
      <c r="G1042" s="283"/>
      <c r="H1042" s="284"/>
      <c r="I1042" s="212" t="s">
        <v>0</v>
      </c>
      <c r="J1042" s="36"/>
      <c r="K1042" s="290" t="s">
        <v>155</v>
      </c>
      <c r="L1042" s="291"/>
      <c r="M1042" s="292"/>
      <c r="N1042" s="36"/>
      <c r="O1042" s="36"/>
      <c r="P1042" s="36"/>
      <c r="Q1042" s="36"/>
      <c r="R1042" s="36"/>
      <c r="S1042" s="36"/>
      <c r="T1042" s="36"/>
      <c r="U1042" s="36"/>
      <c r="V1042" s="36"/>
      <c r="W1042" s="36"/>
      <c r="X1042" s="36"/>
      <c r="Y1042" s="36"/>
      <c r="Z1042" s="36"/>
      <c r="AA1042" s="36"/>
      <c r="AB1042" s="36"/>
      <c r="AC1042" s="36"/>
      <c r="AD1042" s="36"/>
      <c r="AE1042" s="36"/>
      <c r="AF1042" s="36"/>
      <c r="AG1042" s="36"/>
      <c r="AH1042" s="36"/>
      <c r="AI1042" s="36"/>
    </row>
    <row r="1043" spans="1:35" ht="15.75" hidden="1" customHeight="1" thickBot="1">
      <c r="A1043" s="212" t="s">
        <v>0</v>
      </c>
      <c r="B1043" s="276">
        <v>1</v>
      </c>
      <c r="C1043" s="349"/>
      <c r="D1043" s="123" t="s">
        <v>156</v>
      </c>
      <c r="E1043" s="124">
        <v>0.6</v>
      </c>
      <c r="F1043" s="58">
        <v>10</v>
      </c>
      <c r="G1043" s="59" t="s">
        <v>164</v>
      </c>
      <c r="H1043" s="60">
        <v>115</v>
      </c>
      <c r="I1043" s="212" t="s">
        <v>0</v>
      </c>
      <c r="J1043" s="36"/>
      <c r="K1043" s="130" t="s">
        <v>153</v>
      </c>
      <c r="L1043" s="131" t="s">
        <v>9</v>
      </c>
      <c r="M1043" s="132" t="s">
        <v>158</v>
      </c>
      <c r="N1043" s="36"/>
      <c r="O1043" s="36"/>
      <c r="P1043" s="36"/>
      <c r="Q1043" s="36"/>
      <c r="R1043" s="36"/>
      <c r="S1043" s="36"/>
      <c r="T1043" s="36"/>
      <c r="U1043" s="36"/>
      <c r="V1043" s="36"/>
      <c r="W1043" s="36"/>
      <c r="X1043" s="36"/>
      <c r="Y1043" s="36"/>
      <c r="Z1043" s="36"/>
      <c r="AA1043" s="36"/>
      <c r="AB1043" s="36"/>
      <c r="AC1043" s="36"/>
      <c r="AD1043" s="36"/>
      <c r="AE1043" s="36"/>
      <c r="AF1043" s="36"/>
      <c r="AG1043" s="36"/>
      <c r="AH1043" s="36"/>
      <c r="AI1043" s="36"/>
    </row>
    <row r="1044" spans="1:35" ht="15" hidden="1" customHeight="1">
      <c r="A1044" s="212" t="s">
        <v>0</v>
      </c>
      <c r="B1044" s="277"/>
      <c r="C1044" s="355"/>
      <c r="D1044" s="314"/>
      <c r="E1044" s="307">
        <f>IF(D1044=0,0,VLOOKUP($D1044,$F1043:$H1052,3,FALSE)*$E1043)</f>
        <v>0</v>
      </c>
      <c r="F1044" s="62">
        <v>9</v>
      </c>
      <c r="G1044" s="63" t="s">
        <v>164</v>
      </c>
      <c r="H1044" s="64">
        <f>H1043-5</f>
        <v>110</v>
      </c>
      <c r="I1044" s="212" t="s">
        <v>0</v>
      </c>
      <c r="J1044" s="36"/>
      <c r="K1044" s="133">
        <v>1</v>
      </c>
      <c r="L1044" s="134">
        <f>E1044</f>
        <v>0</v>
      </c>
      <c r="M1044" s="381">
        <f>SUM(L1044:L1048)</f>
        <v>0</v>
      </c>
      <c r="N1044" s="36"/>
      <c r="O1044" s="36"/>
      <c r="P1044" s="36"/>
      <c r="Q1044" s="36"/>
      <c r="R1044" s="36"/>
      <c r="S1044" s="36"/>
      <c r="T1044" s="36"/>
      <c r="U1044" s="36"/>
      <c r="V1044" s="36"/>
      <c r="W1044" s="36"/>
      <c r="X1044" s="36"/>
      <c r="Y1044" s="36"/>
      <c r="Z1044" s="36"/>
      <c r="AA1044" s="36"/>
      <c r="AB1044" s="36"/>
      <c r="AC1044" s="36"/>
      <c r="AD1044" s="36"/>
      <c r="AE1044" s="36"/>
      <c r="AF1044" s="36"/>
      <c r="AG1044" s="36"/>
      <c r="AH1044" s="36"/>
      <c r="AI1044" s="36"/>
    </row>
    <row r="1045" spans="1:35" ht="15" hidden="1" customHeight="1">
      <c r="A1045" s="212" t="s">
        <v>0</v>
      </c>
      <c r="B1045" s="277"/>
      <c r="C1045" s="355"/>
      <c r="D1045" s="315"/>
      <c r="E1045" s="308"/>
      <c r="F1045" s="62">
        <v>8</v>
      </c>
      <c r="G1045" s="63" t="s">
        <v>164</v>
      </c>
      <c r="H1045" s="64">
        <f t="shared" ref="H1045:H1052" si="78">H1044-5</f>
        <v>105</v>
      </c>
      <c r="I1045" s="212" t="s">
        <v>0</v>
      </c>
      <c r="J1045" s="36"/>
      <c r="K1045" s="135">
        <v>2</v>
      </c>
      <c r="L1045" s="136">
        <f>E1054</f>
        <v>0</v>
      </c>
      <c r="M1045" s="381"/>
      <c r="N1045" s="36"/>
      <c r="O1045" s="36"/>
      <c r="P1045" s="36"/>
      <c r="Q1045" s="36"/>
      <c r="R1045" s="36"/>
      <c r="S1045" s="36"/>
      <c r="T1045" s="36"/>
      <c r="U1045" s="36"/>
      <c r="V1045" s="36"/>
      <c r="W1045" s="36"/>
      <c r="X1045" s="36"/>
      <c r="Y1045" s="36"/>
      <c r="Z1045" s="36"/>
      <c r="AA1045" s="36"/>
      <c r="AB1045" s="36"/>
      <c r="AC1045" s="36"/>
      <c r="AD1045" s="36"/>
      <c r="AE1045" s="36"/>
      <c r="AF1045" s="36"/>
      <c r="AG1045" s="36"/>
      <c r="AH1045" s="36"/>
      <c r="AI1045" s="36"/>
    </row>
    <row r="1046" spans="1:35" ht="15" hidden="1" customHeight="1">
      <c r="A1046" s="212" t="s">
        <v>0</v>
      </c>
      <c r="B1046" s="277"/>
      <c r="C1046" s="355"/>
      <c r="D1046" s="315"/>
      <c r="E1046" s="308"/>
      <c r="F1046" s="62">
        <v>7</v>
      </c>
      <c r="G1046" s="63" t="s">
        <v>164</v>
      </c>
      <c r="H1046" s="64">
        <f t="shared" si="78"/>
        <v>100</v>
      </c>
      <c r="I1046" s="212" t="s">
        <v>0</v>
      </c>
      <c r="J1046" s="36"/>
      <c r="K1046" s="135">
        <v>3</v>
      </c>
      <c r="L1046" s="136">
        <f>E1064</f>
        <v>0</v>
      </c>
      <c r="M1046" s="381"/>
      <c r="N1046" s="36"/>
      <c r="O1046" s="36"/>
      <c r="P1046" s="36"/>
      <c r="Q1046" s="36"/>
      <c r="R1046" s="36"/>
      <c r="S1046" s="36"/>
      <c r="T1046" s="36"/>
      <c r="U1046" s="36"/>
      <c r="V1046" s="36"/>
      <c r="W1046" s="36"/>
      <c r="X1046" s="36"/>
      <c r="Y1046" s="36"/>
      <c r="Z1046" s="36"/>
      <c r="AA1046" s="36"/>
      <c r="AB1046" s="36"/>
      <c r="AC1046" s="36"/>
      <c r="AD1046" s="36"/>
      <c r="AE1046" s="36"/>
      <c r="AF1046" s="36"/>
      <c r="AG1046" s="36"/>
      <c r="AH1046" s="36"/>
      <c r="AI1046" s="36"/>
    </row>
    <row r="1047" spans="1:35" ht="15" hidden="1" customHeight="1">
      <c r="A1047" s="212" t="s">
        <v>0</v>
      </c>
      <c r="B1047" s="277"/>
      <c r="C1047" s="355"/>
      <c r="D1047" s="315"/>
      <c r="E1047" s="308"/>
      <c r="F1047" s="62">
        <v>6</v>
      </c>
      <c r="G1047" s="63" t="s">
        <v>164</v>
      </c>
      <c r="H1047" s="64">
        <f t="shared" si="78"/>
        <v>95</v>
      </c>
      <c r="I1047" s="212" t="s">
        <v>0</v>
      </c>
      <c r="J1047" s="36"/>
      <c r="K1047" s="135">
        <v>4</v>
      </c>
      <c r="L1047" s="136">
        <f>E1074</f>
        <v>0</v>
      </c>
      <c r="M1047" s="381"/>
      <c r="N1047" s="36"/>
      <c r="O1047" s="36"/>
      <c r="P1047" s="36"/>
      <c r="Q1047" s="36"/>
      <c r="R1047" s="36"/>
      <c r="S1047" s="36"/>
      <c r="T1047" s="36"/>
      <c r="U1047" s="36"/>
      <c r="V1047" s="36"/>
      <c r="W1047" s="36"/>
      <c r="X1047" s="36"/>
      <c r="Y1047" s="36"/>
      <c r="Z1047" s="36"/>
      <c r="AA1047" s="36"/>
      <c r="AB1047" s="36"/>
      <c r="AC1047" s="36"/>
      <c r="AD1047" s="36"/>
      <c r="AE1047" s="36"/>
      <c r="AF1047" s="36"/>
      <c r="AG1047" s="36"/>
      <c r="AH1047" s="36"/>
      <c r="AI1047" s="36"/>
    </row>
    <row r="1048" spans="1:35" ht="15.75" hidden="1" customHeight="1" thickBot="1">
      <c r="A1048" s="212" t="s">
        <v>0</v>
      </c>
      <c r="B1048" s="277"/>
      <c r="C1048" s="355"/>
      <c r="D1048" s="315"/>
      <c r="E1048" s="308"/>
      <c r="F1048" s="62">
        <v>5</v>
      </c>
      <c r="G1048" s="63" t="s">
        <v>164</v>
      </c>
      <c r="H1048" s="64">
        <f t="shared" si="78"/>
        <v>90</v>
      </c>
      <c r="I1048" s="212" t="s">
        <v>0</v>
      </c>
      <c r="J1048" s="36"/>
      <c r="K1048" s="137">
        <v>5</v>
      </c>
      <c r="L1048" s="138">
        <f>E1084</f>
        <v>0</v>
      </c>
      <c r="M1048" s="382"/>
      <c r="N1048" s="36"/>
      <c r="O1048" s="36"/>
      <c r="P1048" s="36"/>
      <c r="Q1048" s="36"/>
      <c r="R1048" s="36"/>
      <c r="S1048" s="36"/>
      <c r="T1048" s="36"/>
      <c r="U1048" s="36"/>
      <c r="V1048" s="36"/>
      <c r="W1048" s="36"/>
      <c r="X1048" s="36"/>
      <c r="Y1048" s="36"/>
      <c r="Z1048" s="36"/>
      <c r="AA1048" s="36"/>
      <c r="AB1048" s="36"/>
      <c r="AC1048" s="36"/>
      <c r="AD1048" s="36"/>
      <c r="AE1048" s="36"/>
      <c r="AF1048" s="36"/>
      <c r="AG1048" s="36"/>
      <c r="AH1048" s="36"/>
      <c r="AI1048" s="36"/>
    </row>
    <row r="1049" spans="1:35" ht="15.75" hidden="1" customHeight="1" thickBot="1">
      <c r="A1049" s="212" t="s">
        <v>0</v>
      </c>
      <c r="B1049" s="277"/>
      <c r="C1049" s="355"/>
      <c r="D1049" s="315"/>
      <c r="E1049" s="308"/>
      <c r="F1049" s="62">
        <v>4</v>
      </c>
      <c r="G1049" s="63" t="s">
        <v>164</v>
      </c>
      <c r="H1049" s="64">
        <f t="shared" si="78"/>
        <v>85</v>
      </c>
      <c r="I1049" s="212" t="s">
        <v>0</v>
      </c>
      <c r="J1049" s="36"/>
      <c r="K1049" s="36"/>
      <c r="L1049" s="36"/>
      <c r="M1049" s="36"/>
      <c r="N1049" s="36"/>
      <c r="O1049" s="36"/>
      <c r="P1049" s="36"/>
      <c r="Q1049" s="36"/>
      <c r="R1049" s="36"/>
      <c r="S1049" s="36"/>
      <c r="T1049" s="36"/>
      <c r="U1049" s="36"/>
      <c r="V1049" s="36"/>
      <c r="W1049" s="36"/>
      <c r="X1049" s="36"/>
      <c r="Y1049" s="36"/>
      <c r="Z1049" s="36"/>
      <c r="AA1049" s="36"/>
      <c r="AB1049" s="36"/>
      <c r="AC1049" s="36"/>
      <c r="AD1049" s="36"/>
      <c r="AE1049" s="36"/>
      <c r="AF1049" s="36"/>
      <c r="AG1049" s="36"/>
      <c r="AH1049" s="36"/>
      <c r="AI1049" s="36"/>
    </row>
    <row r="1050" spans="1:35" ht="15.75" hidden="1" customHeight="1" thickBot="1">
      <c r="A1050" s="212" t="s">
        <v>0</v>
      </c>
      <c r="B1050" s="278"/>
      <c r="C1050" s="350"/>
      <c r="D1050" s="315"/>
      <c r="E1050" s="308"/>
      <c r="F1050" s="62">
        <v>3</v>
      </c>
      <c r="G1050" s="63" t="s">
        <v>164</v>
      </c>
      <c r="H1050" s="64">
        <f t="shared" si="78"/>
        <v>80</v>
      </c>
      <c r="I1050" s="212" t="s">
        <v>0</v>
      </c>
      <c r="J1050" s="36"/>
      <c r="K1050" s="293" t="s">
        <v>93</v>
      </c>
      <c r="L1050" s="294"/>
      <c r="M1050" s="295"/>
      <c r="N1050" s="36"/>
      <c r="O1050" s="36"/>
      <c r="P1050" s="36"/>
      <c r="Q1050" s="36"/>
      <c r="R1050" s="36"/>
      <c r="S1050" s="36"/>
      <c r="T1050" s="36"/>
      <c r="U1050" s="36"/>
      <c r="V1050" s="36"/>
      <c r="W1050" s="36"/>
      <c r="X1050" s="36"/>
      <c r="Y1050" s="36"/>
      <c r="Z1050" s="36"/>
      <c r="AA1050" s="36"/>
      <c r="AB1050" s="36"/>
      <c r="AC1050" s="36"/>
      <c r="AD1050" s="36"/>
      <c r="AE1050" s="36"/>
      <c r="AF1050" s="36"/>
      <c r="AG1050" s="36"/>
      <c r="AH1050" s="36"/>
      <c r="AI1050" s="36"/>
    </row>
    <row r="1051" spans="1:35" ht="15.75" hidden="1" customHeight="1" thickBot="1">
      <c r="A1051" s="212" t="s">
        <v>0</v>
      </c>
      <c r="B1051" s="274" t="s">
        <v>158</v>
      </c>
      <c r="C1051" s="349"/>
      <c r="D1051" s="315"/>
      <c r="E1051" s="308"/>
      <c r="F1051" s="62">
        <v>2</v>
      </c>
      <c r="G1051" s="63" t="s">
        <v>164</v>
      </c>
      <c r="H1051" s="64">
        <f t="shared" si="78"/>
        <v>75</v>
      </c>
      <c r="I1051" s="212" t="s">
        <v>0</v>
      </c>
      <c r="J1051" s="36"/>
      <c r="K1051" s="139" t="s">
        <v>6</v>
      </c>
      <c r="L1051" s="140" t="s">
        <v>9</v>
      </c>
      <c r="M1051" s="141" t="s">
        <v>158</v>
      </c>
      <c r="N1051" s="36"/>
      <c r="O1051" s="36"/>
      <c r="P1051" s="36"/>
      <c r="Q1051" s="36"/>
      <c r="R1051" s="36"/>
      <c r="S1051" s="36"/>
      <c r="T1051" s="36"/>
      <c r="U1051" s="36"/>
      <c r="V1051" s="36"/>
      <c r="W1051" s="36"/>
      <c r="X1051" s="36"/>
      <c r="Y1051" s="36"/>
      <c r="Z1051" s="36"/>
      <c r="AA1051" s="36"/>
      <c r="AB1051" s="36"/>
      <c r="AC1051" s="36"/>
      <c r="AD1051" s="36"/>
      <c r="AE1051" s="36"/>
      <c r="AF1051" s="36"/>
      <c r="AG1051" s="36"/>
      <c r="AH1051" s="36"/>
      <c r="AI1051" s="36"/>
    </row>
    <row r="1052" spans="1:35" ht="15.75" hidden="1" customHeight="1" thickBot="1">
      <c r="A1052" s="212" t="s">
        <v>0</v>
      </c>
      <c r="B1052" s="275"/>
      <c r="C1052" s="350"/>
      <c r="D1052" s="316"/>
      <c r="E1052" s="309"/>
      <c r="F1052" s="67">
        <v>1</v>
      </c>
      <c r="G1052" s="68" t="s">
        <v>164</v>
      </c>
      <c r="H1052" s="69">
        <f t="shared" si="78"/>
        <v>70</v>
      </c>
      <c r="I1052" s="212" t="s">
        <v>0</v>
      </c>
      <c r="J1052" s="36"/>
      <c r="K1052" s="133">
        <v>1</v>
      </c>
      <c r="L1052" s="134">
        <f>E1098</f>
        <v>0</v>
      </c>
      <c r="M1052" s="383">
        <f>SUM(L1052:L1061)</f>
        <v>0</v>
      </c>
      <c r="N1052" s="36"/>
      <c r="O1052" s="36"/>
      <c r="P1052" s="36"/>
      <c r="Q1052" s="36"/>
      <c r="R1052" s="36"/>
      <c r="S1052" s="36"/>
      <c r="T1052" s="36"/>
      <c r="U1052" s="36"/>
      <c r="V1052" s="36"/>
      <c r="W1052" s="36"/>
      <c r="X1052" s="36"/>
      <c r="Y1052" s="36"/>
      <c r="Z1052" s="36"/>
      <c r="AA1052" s="36"/>
      <c r="AB1052" s="36"/>
      <c r="AC1052" s="36"/>
      <c r="AD1052" s="36"/>
      <c r="AE1052" s="36"/>
      <c r="AF1052" s="36"/>
      <c r="AG1052" s="36"/>
      <c r="AH1052" s="36"/>
      <c r="AI1052" s="36"/>
    </row>
    <row r="1053" spans="1:35" ht="15.75" hidden="1" customHeight="1" thickBot="1">
      <c r="A1053" s="212" t="s">
        <v>0</v>
      </c>
      <c r="B1053" s="276">
        <v>2</v>
      </c>
      <c r="C1053" s="349"/>
      <c r="D1053" s="123" t="s">
        <v>156</v>
      </c>
      <c r="E1053" s="124">
        <v>0.6</v>
      </c>
      <c r="F1053" s="58">
        <v>10</v>
      </c>
      <c r="G1053" s="59" t="s">
        <v>164</v>
      </c>
      <c r="H1053" s="60">
        <v>115</v>
      </c>
      <c r="I1053" s="212" t="s">
        <v>0</v>
      </c>
      <c r="J1053" s="36"/>
      <c r="K1053" s="135">
        <v>2</v>
      </c>
      <c r="L1053" s="136">
        <f>E1108</f>
        <v>0</v>
      </c>
      <c r="M1053" s="381"/>
      <c r="N1053" s="36"/>
      <c r="O1053" s="36"/>
      <c r="P1053" s="36"/>
      <c r="Q1053" s="36"/>
      <c r="R1053" s="36"/>
      <c r="S1053" s="36"/>
      <c r="T1053" s="36"/>
      <c r="U1053" s="36"/>
      <c r="V1053" s="36"/>
      <c r="W1053" s="36"/>
      <c r="X1053" s="36"/>
      <c r="Y1053" s="36"/>
      <c r="Z1053" s="36"/>
      <c r="AA1053" s="36"/>
      <c r="AB1053" s="36"/>
      <c r="AC1053" s="36"/>
      <c r="AD1053" s="36"/>
      <c r="AE1053" s="36"/>
      <c r="AF1053" s="36"/>
      <c r="AG1053" s="36"/>
      <c r="AH1053" s="36"/>
      <c r="AI1053" s="36"/>
    </row>
    <row r="1054" spans="1:35" ht="15" hidden="1" customHeight="1">
      <c r="A1054" s="212" t="s">
        <v>0</v>
      </c>
      <c r="B1054" s="277"/>
      <c r="C1054" s="355"/>
      <c r="D1054" s="314"/>
      <c r="E1054" s="307">
        <f>IF(D1054=0,0,VLOOKUP($D1054,$F1053:$H1062,3,FALSE)*$E1053)</f>
        <v>0</v>
      </c>
      <c r="F1054" s="62">
        <v>9</v>
      </c>
      <c r="G1054" s="63" t="s">
        <v>164</v>
      </c>
      <c r="H1054" s="64">
        <f>H1053-5</f>
        <v>110</v>
      </c>
      <c r="I1054" s="212" t="s">
        <v>0</v>
      </c>
      <c r="J1054" s="36"/>
      <c r="K1054" s="135">
        <v>3</v>
      </c>
      <c r="L1054" s="136">
        <f>E1118</f>
        <v>0</v>
      </c>
      <c r="M1054" s="381"/>
      <c r="N1054" s="36"/>
      <c r="O1054" s="36"/>
      <c r="P1054" s="36"/>
      <c r="Q1054" s="36"/>
      <c r="R1054" s="36"/>
      <c r="S1054" s="36"/>
      <c r="T1054" s="36"/>
      <c r="U1054" s="36"/>
      <c r="V1054" s="36"/>
      <c r="W1054" s="36"/>
      <c r="X1054" s="36"/>
      <c r="Y1054" s="36"/>
      <c r="Z1054" s="36"/>
      <c r="AA1054" s="36"/>
      <c r="AB1054" s="36"/>
      <c r="AC1054" s="36"/>
      <c r="AD1054" s="36"/>
      <c r="AE1054" s="36"/>
      <c r="AF1054" s="36"/>
      <c r="AG1054" s="36"/>
      <c r="AH1054" s="36"/>
      <c r="AI1054" s="36"/>
    </row>
    <row r="1055" spans="1:35" ht="15" hidden="1" customHeight="1">
      <c r="A1055" s="212" t="s">
        <v>0</v>
      </c>
      <c r="B1055" s="277"/>
      <c r="C1055" s="355"/>
      <c r="D1055" s="315"/>
      <c r="E1055" s="308"/>
      <c r="F1055" s="62">
        <v>8</v>
      </c>
      <c r="G1055" s="63" t="s">
        <v>164</v>
      </c>
      <c r="H1055" s="64">
        <f t="shared" ref="H1055:H1062" si="79">H1054-5</f>
        <v>105</v>
      </c>
      <c r="I1055" s="212" t="s">
        <v>0</v>
      </c>
      <c r="J1055" s="36"/>
      <c r="K1055" s="135">
        <v>4</v>
      </c>
      <c r="L1055" s="136">
        <f>E1128</f>
        <v>0</v>
      </c>
      <c r="M1055" s="381"/>
      <c r="N1055" s="36"/>
      <c r="O1055" s="36"/>
      <c r="P1055" s="36"/>
      <c r="Q1055" s="36"/>
      <c r="R1055" s="36"/>
      <c r="S1055" s="36"/>
      <c r="T1055" s="36"/>
      <c r="U1055" s="36"/>
      <c r="V1055" s="36"/>
      <c r="W1055" s="36"/>
      <c r="X1055" s="36"/>
      <c r="Y1055" s="36"/>
      <c r="Z1055" s="36"/>
      <c r="AA1055" s="36"/>
      <c r="AB1055" s="36"/>
      <c r="AC1055" s="36"/>
      <c r="AD1055" s="36"/>
      <c r="AE1055" s="36"/>
      <c r="AF1055" s="36"/>
      <c r="AG1055" s="36"/>
      <c r="AH1055" s="36"/>
      <c r="AI1055" s="36"/>
    </row>
    <row r="1056" spans="1:35" ht="15" hidden="1" customHeight="1">
      <c r="A1056" s="212" t="s">
        <v>0</v>
      </c>
      <c r="B1056" s="277"/>
      <c r="C1056" s="355"/>
      <c r="D1056" s="315"/>
      <c r="E1056" s="308"/>
      <c r="F1056" s="62">
        <v>7</v>
      </c>
      <c r="G1056" s="63" t="s">
        <v>164</v>
      </c>
      <c r="H1056" s="64">
        <f t="shared" si="79"/>
        <v>100</v>
      </c>
      <c r="I1056" s="212" t="s">
        <v>0</v>
      </c>
      <c r="J1056" s="36"/>
      <c r="K1056" s="135">
        <v>5</v>
      </c>
      <c r="L1056" s="136">
        <f>E1138</f>
        <v>0</v>
      </c>
      <c r="M1056" s="381"/>
      <c r="N1056" s="36"/>
      <c r="O1056" s="36"/>
      <c r="P1056" s="36"/>
      <c r="Q1056" s="36"/>
      <c r="R1056" s="36"/>
      <c r="S1056" s="36"/>
      <c r="T1056" s="36"/>
      <c r="U1056" s="36"/>
      <c r="V1056" s="36"/>
      <c r="W1056" s="36"/>
      <c r="X1056" s="36"/>
      <c r="Y1056" s="36"/>
      <c r="Z1056" s="36"/>
      <c r="AA1056" s="36"/>
      <c r="AB1056" s="36"/>
      <c r="AC1056" s="36"/>
      <c r="AD1056" s="36"/>
      <c r="AE1056" s="36"/>
      <c r="AF1056" s="36"/>
      <c r="AG1056" s="36"/>
      <c r="AH1056" s="36"/>
      <c r="AI1056" s="36"/>
    </row>
    <row r="1057" spans="1:35" ht="15" hidden="1" customHeight="1">
      <c r="A1057" s="212" t="s">
        <v>0</v>
      </c>
      <c r="B1057" s="277"/>
      <c r="C1057" s="355"/>
      <c r="D1057" s="315"/>
      <c r="E1057" s="308"/>
      <c r="F1057" s="62">
        <v>6</v>
      </c>
      <c r="G1057" s="63" t="s">
        <v>164</v>
      </c>
      <c r="H1057" s="64">
        <f t="shared" si="79"/>
        <v>95</v>
      </c>
      <c r="I1057" s="212" t="s">
        <v>0</v>
      </c>
      <c r="J1057" s="36"/>
      <c r="K1057" s="133">
        <v>6</v>
      </c>
      <c r="L1057" s="136">
        <f>E1148</f>
        <v>0</v>
      </c>
      <c r="M1057" s="381"/>
      <c r="N1057" s="36"/>
      <c r="O1057" s="36"/>
      <c r="P1057" s="36"/>
      <c r="Q1057" s="36"/>
      <c r="R1057" s="36"/>
      <c r="S1057" s="36"/>
      <c r="T1057" s="36"/>
      <c r="U1057" s="36"/>
      <c r="V1057" s="36"/>
      <c r="W1057" s="36"/>
      <c r="X1057" s="36"/>
      <c r="Y1057" s="36"/>
      <c r="Z1057" s="36"/>
      <c r="AA1057" s="36"/>
      <c r="AB1057" s="36"/>
      <c r="AC1057" s="36"/>
      <c r="AD1057" s="36"/>
      <c r="AE1057" s="36"/>
      <c r="AF1057" s="36"/>
      <c r="AG1057" s="36"/>
      <c r="AH1057" s="36"/>
      <c r="AI1057" s="36"/>
    </row>
    <row r="1058" spans="1:35" ht="15" hidden="1" customHeight="1">
      <c r="A1058" s="212" t="s">
        <v>0</v>
      </c>
      <c r="B1058" s="277"/>
      <c r="C1058" s="355"/>
      <c r="D1058" s="315"/>
      <c r="E1058" s="308"/>
      <c r="F1058" s="62">
        <v>5</v>
      </c>
      <c r="G1058" s="63" t="s">
        <v>164</v>
      </c>
      <c r="H1058" s="64">
        <f t="shared" si="79"/>
        <v>90</v>
      </c>
      <c r="I1058" s="212" t="s">
        <v>0</v>
      </c>
      <c r="J1058" s="36"/>
      <c r="K1058" s="135">
        <v>7</v>
      </c>
      <c r="L1058" s="136">
        <f>E1158</f>
        <v>0</v>
      </c>
      <c r="M1058" s="381"/>
      <c r="N1058" s="36"/>
      <c r="O1058" s="36"/>
      <c r="P1058" s="36"/>
      <c r="Q1058" s="36"/>
      <c r="R1058" s="36"/>
      <c r="S1058" s="36"/>
      <c r="T1058" s="36"/>
      <c r="U1058" s="36"/>
      <c r="V1058" s="36"/>
      <c r="W1058" s="36"/>
      <c r="X1058" s="36"/>
      <c r="Y1058" s="36"/>
      <c r="Z1058" s="36"/>
      <c r="AA1058" s="36"/>
      <c r="AB1058" s="36"/>
      <c r="AC1058" s="36"/>
      <c r="AD1058" s="36"/>
      <c r="AE1058" s="36"/>
      <c r="AF1058" s="36"/>
      <c r="AG1058" s="36"/>
      <c r="AH1058" s="36"/>
      <c r="AI1058" s="36"/>
    </row>
    <row r="1059" spans="1:35" ht="15" hidden="1" customHeight="1">
      <c r="A1059" s="212" t="s">
        <v>0</v>
      </c>
      <c r="B1059" s="277"/>
      <c r="C1059" s="355"/>
      <c r="D1059" s="315"/>
      <c r="E1059" s="308"/>
      <c r="F1059" s="62">
        <v>4</v>
      </c>
      <c r="G1059" s="63" t="s">
        <v>164</v>
      </c>
      <c r="H1059" s="64">
        <f t="shared" si="79"/>
        <v>85</v>
      </c>
      <c r="I1059" s="212" t="s">
        <v>0</v>
      </c>
      <c r="J1059" s="36"/>
      <c r="K1059" s="135">
        <v>8</v>
      </c>
      <c r="L1059" s="136">
        <f>E1168</f>
        <v>0</v>
      </c>
      <c r="M1059" s="381"/>
      <c r="N1059" s="36"/>
      <c r="O1059" s="36"/>
      <c r="P1059" s="36"/>
      <c r="Q1059" s="36"/>
      <c r="R1059" s="36"/>
      <c r="S1059" s="36"/>
      <c r="T1059" s="36"/>
      <c r="U1059" s="36"/>
      <c r="V1059" s="36"/>
      <c r="W1059" s="36"/>
      <c r="X1059" s="36"/>
      <c r="Y1059" s="36"/>
      <c r="Z1059" s="36"/>
      <c r="AA1059" s="36"/>
      <c r="AB1059" s="36"/>
      <c r="AC1059" s="36"/>
      <c r="AD1059" s="36"/>
      <c r="AE1059" s="36"/>
      <c r="AF1059" s="36"/>
      <c r="AG1059" s="36"/>
      <c r="AH1059" s="36"/>
      <c r="AI1059" s="36"/>
    </row>
    <row r="1060" spans="1:35" ht="15.75" hidden="1" customHeight="1" thickBot="1">
      <c r="A1060" s="212" t="s">
        <v>0</v>
      </c>
      <c r="B1060" s="278"/>
      <c r="C1060" s="350"/>
      <c r="D1060" s="315"/>
      <c r="E1060" s="308"/>
      <c r="F1060" s="62">
        <v>3</v>
      </c>
      <c r="G1060" s="63" t="s">
        <v>164</v>
      </c>
      <c r="H1060" s="64">
        <f t="shared" si="79"/>
        <v>80</v>
      </c>
      <c r="I1060" s="212" t="s">
        <v>0</v>
      </c>
      <c r="J1060" s="36"/>
      <c r="K1060" s="135">
        <v>9</v>
      </c>
      <c r="L1060" s="136">
        <f>E1178</f>
        <v>0</v>
      </c>
      <c r="M1060" s="381"/>
      <c r="N1060" s="36"/>
      <c r="O1060" s="36"/>
      <c r="P1060" s="36"/>
      <c r="Q1060" s="36"/>
      <c r="R1060" s="36"/>
      <c r="S1060" s="36"/>
      <c r="T1060" s="36"/>
      <c r="U1060" s="36"/>
      <c r="V1060" s="36"/>
      <c r="W1060" s="36"/>
      <c r="X1060" s="36"/>
      <c r="Y1060" s="36"/>
      <c r="Z1060" s="36"/>
      <c r="AA1060" s="36"/>
      <c r="AB1060" s="36"/>
      <c r="AC1060" s="36"/>
      <c r="AD1060" s="36"/>
      <c r="AE1060" s="36"/>
      <c r="AF1060" s="36"/>
      <c r="AG1060" s="36"/>
      <c r="AH1060" s="36"/>
      <c r="AI1060" s="36"/>
    </row>
    <row r="1061" spans="1:35" ht="15.75" hidden="1" customHeight="1" thickBot="1">
      <c r="A1061" s="212" t="s">
        <v>0</v>
      </c>
      <c r="B1061" s="274" t="s">
        <v>158</v>
      </c>
      <c r="C1061" s="349"/>
      <c r="D1061" s="315"/>
      <c r="E1061" s="308"/>
      <c r="F1061" s="62">
        <v>2</v>
      </c>
      <c r="G1061" s="63" t="s">
        <v>164</v>
      </c>
      <c r="H1061" s="64">
        <f t="shared" si="79"/>
        <v>75</v>
      </c>
      <c r="I1061" s="212" t="s">
        <v>0</v>
      </c>
      <c r="J1061" s="36"/>
      <c r="K1061" s="137">
        <v>10</v>
      </c>
      <c r="L1061" s="138">
        <f>E1188</f>
        <v>0</v>
      </c>
      <c r="M1061" s="382"/>
      <c r="N1061" s="36"/>
      <c r="O1061" s="36"/>
      <c r="P1061" s="36"/>
      <c r="Q1061" s="36"/>
      <c r="R1061" s="36"/>
      <c r="S1061" s="36"/>
      <c r="T1061" s="36"/>
      <c r="U1061" s="36"/>
      <c r="V1061" s="36"/>
      <c r="W1061" s="36"/>
      <c r="X1061" s="36"/>
      <c r="Y1061" s="36"/>
      <c r="Z1061" s="36"/>
      <c r="AA1061" s="36"/>
      <c r="AB1061" s="36"/>
      <c r="AC1061" s="36"/>
      <c r="AD1061" s="36"/>
      <c r="AE1061" s="36"/>
      <c r="AF1061" s="36"/>
      <c r="AG1061" s="36"/>
      <c r="AH1061" s="36"/>
      <c r="AI1061" s="36"/>
    </row>
    <row r="1062" spans="1:35" ht="15.75" hidden="1" customHeight="1" thickBot="1">
      <c r="A1062" s="212" t="s">
        <v>0</v>
      </c>
      <c r="B1062" s="275"/>
      <c r="C1062" s="350"/>
      <c r="D1062" s="316"/>
      <c r="E1062" s="309"/>
      <c r="F1062" s="67">
        <v>1</v>
      </c>
      <c r="G1062" s="68" t="s">
        <v>164</v>
      </c>
      <c r="H1062" s="69">
        <f t="shared" si="79"/>
        <v>70</v>
      </c>
      <c r="I1062" s="212" t="s">
        <v>0</v>
      </c>
      <c r="J1062" s="36"/>
      <c r="K1062" s="36"/>
      <c r="L1062" s="36"/>
      <c r="M1062" s="36"/>
      <c r="N1062" s="36"/>
      <c r="O1062" s="36"/>
      <c r="P1062" s="36"/>
      <c r="Q1062" s="36"/>
      <c r="R1062" s="36"/>
      <c r="S1062" s="36"/>
      <c r="T1062" s="36"/>
      <c r="U1062" s="36"/>
      <c r="V1062" s="36"/>
      <c r="W1062" s="36"/>
      <c r="X1062" s="36"/>
      <c r="Y1062" s="36"/>
      <c r="Z1062" s="36"/>
      <c r="AA1062" s="36"/>
      <c r="AB1062" s="36"/>
      <c r="AC1062" s="36"/>
      <c r="AD1062" s="36"/>
      <c r="AE1062" s="36"/>
      <c r="AF1062" s="36"/>
      <c r="AG1062" s="36"/>
      <c r="AH1062" s="36"/>
      <c r="AI1062" s="36"/>
    </row>
    <row r="1063" spans="1:35" ht="15.75" hidden="1" customHeight="1" thickBot="1">
      <c r="A1063" s="212" t="s">
        <v>0</v>
      </c>
      <c r="B1063" s="276">
        <v>3</v>
      </c>
      <c r="C1063" s="349"/>
      <c r="D1063" s="123" t="s">
        <v>156</v>
      </c>
      <c r="E1063" s="124">
        <v>0.6</v>
      </c>
      <c r="F1063" s="58">
        <v>10</v>
      </c>
      <c r="G1063" s="59" t="s">
        <v>164</v>
      </c>
      <c r="H1063" s="60">
        <v>115</v>
      </c>
      <c r="I1063" s="212" t="s">
        <v>0</v>
      </c>
      <c r="J1063" s="36"/>
      <c r="K1063" s="36"/>
      <c r="L1063" s="36"/>
      <c r="M1063" s="36"/>
      <c r="N1063" s="36"/>
      <c r="O1063" s="36"/>
      <c r="P1063" s="36"/>
      <c r="Q1063" s="36"/>
      <c r="R1063" s="36"/>
      <c r="S1063" s="36"/>
      <c r="T1063" s="36"/>
      <c r="U1063" s="36"/>
      <c r="V1063" s="36"/>
      <c r="W1063" s="36"/>
      <c r="X1063" s="36"/>
      <c r="Y1063" s="36"/>
      <c r="Z1063" s="36"/>
      <c r="AA1063" s="36"/>
      <c r="AB1063" s="36"/>
      <c r="AC1063" s="36"/>
      <c r="AD1063" s="36"/>
      <c r="AE1063" s="36"/>
      <c r="AF1063" s="36"/>
      <c r="AG1063" s="36"/>
      <c r="AH1063" s="36"/>
      <c r="AI1063" s="36"/>
    </row>
    <row r="1064" spans="1:35" ht="15" hidden="1" customHeight="1">
      <c r="A1064" s="212" t="s">
        <v>0</v>
      </c>
      <c r="B1064" s="277"/>
      <c r="C1064" s="355"/>
      <c r="D1064" s="314"/>
      <c r="E1064" s="307">
        <f>IF(D1064=0,0,VLOOKUP($D1064,$F1063:$H1072,3,FALSE)*$E1063)</f>
        <v>0</v>
      </c>
      <c r="F1064" s="62">
        <v>9</v>
      </c>
      <c r="G1064" s="63" t="s">
        <v>164</v>
      </c>
      <c r="H1064" s="64">
        <f>H1063-5</f>
        <v>110</v>
      </c>
      <c r="I1064" s="212" t="s">
        <v>0</v>
      </c>
      <c r="J1064" s="36"/>
      <c r="K1064" s="36"/>
      <c r="L1064" s="36"/>
      <c r="M1064" s="36"/>
      <c r="N1064" s="36"/>
      <c r="O1064" s="36"/>
      <c r="P1064" s="36"/>
      <c r="Q1064" s="36"/>
      <c r="R1064" s="36"/>
      <c r="S1064" s="36"/>
      <c r="T1064" s="36"/>
      <c r="U1064" s="36"/>
      <c r="V1064" s="36"/>
      <c r="W1064" s="36"/>
      <c r="X1064" s="36"/>
      <c r="Y1064" s="36"/>
      <c r="Z1064" s="36"/>
      <c r="AA1064" s="36"/>
      <c r="AB1064" s="36"/>
      <c r="AC1064" s="36"/>
      <c r="AD1064" s="36"/>
      <c r="AE1064" s="36"/>
      <c r="AF1064" s="36"/>
      <c r="AG1064" s="36"/>
      <c r="AH1064" s="36"/>
      <c r="AI1064" s="36"/>
    </row>
    <row r="1065" spans="1:35" ht="15" hidden="1" customHeight="1">
      <c r="A1065" s="212" t="s">
        <v>0</v>
      </c>
      <c r="B1065" s="277"/>
      <c r="C1065" s="355"/>
      <c r="D1065" s="315"/>
      <c r="E1065" s="308"/>
      <c r="F1065" s="62">
        <v>8</v>
      </c>
      <c r="G1065" s="63" t="s">
        <v>164</v>
      </c>
      <c r="H1065" s="64">
        <f t="shared" ref="H1065:H1072" si="80">H1064-5</f>
        <v>105</v>
      </c>
      <c r="I1065" s="212" t="s">
        <v>0</v>
      </c>
      <c r="J1065" s="36"/>
      <c r="K1065" s="36"/>
      <c r="L1065" s="36"/>
      <c r="M1065" s="36"/>
      <c r="N1065" s="36"/>
      <c r="O1065" s="36"/>
      <c r="P1065" s="36"/>
      <c r="Q1065" s="36"/>
      <c r="R1065" s="36"/>
      <c r="S1065" s="36"/>
      <c r="T1065" s="36"/>
      <c r="U1065" s="36"/>
      <c r="V1065" s="36"/>
      <c r="W1065" s="36"/>
      <c r="X1065" s="36"/>
      <c r="Y1065" s="36"/>
      <c r="Z1065" s="36"/>
      <c r="AA1065" s="36"/>
      <c r="AB1065" s="36"/>
      <c r="AC1065" s="36"/>
      <c r="AD1065" s="36"/>
      <c r="AE1065" s="36"/>
      <c r="AF1065" s="36"/>
      <c r="AG1065" s="36"/>
      <c r="AH1065" s="36"/>
      <c r="AI1065" s="36"/>
    </row>
    <row r="1066" spans="1:35" ht="15" hidden="1" customHeight="1">
      <c r="A1066" s="212" t="s">
        <v>0</v>
      </c>
      <c r="B1066" s="277"/>
      <c r="C1066" s="355"/>
      <c r="D1066" s="315"/>
      <c r="E1066" s="308"/>
      <c r="F1066" s="62">
        <v>7</v>
      </c>
      <c r="G1066" s="63" t="s">
        <v>164</v>
      </c>
      <c r="H1066" s="64">
        <f t="shared" si="80"/>
        <v>100</v>
      </c>
      <c r="I1066" s="212" t="s">
        <v>0</v>
      </c>
      <c r="J1066" s="36"/>
      <c r="K1066" s="36"/>
      <c r="L1066" s="36"/>
      <c r="M1066" s="36"/>
      <c r="N1066" s="36"/>
      <c r="O1066" s="36"/>
      <c r="P1066" s="36"/>
      <c r="Q1066" s="36"/>
      <c r="R1066" s="36"/>
      <c r="S1066" s="36"/>
      <c r="T1066" s="36"/>
      <c r="U1066" s="36"/>
      <c r="V1066" s="36"/>
      <c r="W1066" s="36"/>
      <c r="X1066" s="36"/>
      <c r="Y1066" s="36"/>
      <c r="Z1066" s="36"/>
      <c r="AA1066" s="36"/>
      <c r="AB1066" s="36"/>
      <c r="AC1066" s="36"/>
      <c r="AD1066" s="36"/>
      <c r="AE1066" s="36"/>
      <c r="AF1066" s="36"/>
      <c r="AG1066" s="36"/>
      <c r="AH1066" s="36"/>
      <c r="AI1066" s="36"/>
    </row>
    <row r="1067" spans="1:35" ht="15" hidden="1" customHeight="1">
      <c r="A1067" s="212" t="s">
        <v>0</v>
      </c>
      <c r="B1067" s="277"/>
      <c r="C1067" s="355"/>
      <c r="D1067" s="315"/>
      <c r="E1067" s="308"/>
      <c r="F1067" s="62">
        <v>6</v>
      </c>
      <c r="G1067" s="63" t="s">
        <v>164</v>
      </c>
      <c r="H1067" s="64">
        <f t="shared" si="80"/>
        <v>95</v>
      </c>
      <c r="I1067" s="212" t="s">
        <v>0</v>
      </c>
      <c r="J1067" s="36"/>
      <c r="K1067" s="36"/>
      <c r="L1067" s="36"/>
      <c r="M1067" s="36"/>
      <c r="N1067" s="36"/>
      <c r="O1067" s="36"/>
      <c r="P1067" s="36"/>
      <c r="Q1067" s="36"/>
      <c r="R1067" s="36"/>
      <c r="S1067" s="36"/>
      <c r="T1067" s="36"/>
      <c r="U1067" s="36"/>
      <c r="V1067" s="36"/>
      <c r="W1067" s="36"/>
      <c r="X1067" s="36"/>
      <c r="Y1067" s="36"/>
      <c r="Z1067" s="36"/>
      <c r="AA1067" s="36"/>
      <c r="AB1067" s="36"/>
      <c r="AC1067" s="36"/>
      <c r="AD1067" s="36"/>
      <c r="AE1067" s="36"/>
      <c r="AF1067" s="36"/>
      <c r="AG1067" s="36"/>
      <c r="AH1067" s="36"/>
      <c r="AI1067" s="36"/>
    </row>
    <row r="1068" spans="1:35" ht="15" hidden="1" customHeight="1">
      <c r="A1068" s="212" t="s">
        <v>0</v>
      </c>
      <c r="B1068" s="277"/>
      <c r="C1068" s="355"/>
      <c r="D1068" s="315"/>
      <c r="E1068" s="308"/>
      <c r="F1068" s="62">
        <v>5</v>
      </c>
      <c r="G1068" s="63" t="s">
        <v>164</v>
      </c>
      <c r="H1068" s="64">
        <f t="shared" si="80"/>
        <v>90</v>
      </c>
      <c r="I1068" s="212" t="s">
        <v>0</v>
      </c>
      <c r="J1068" s="36"/>
      <c r="K1068" s="36"/>
      <c r="L1068" s="36"/>
      <c r="M1068" s="36"/>
      <c r="N1068" s="36"/>
      <c r="O1068" s="36"/>
      <c r="P1068" s="36"/>
      <c r="Q1068" s="36"/>
      <c r="R1068" s="36"/>
      <c r="S1068" s="36"/>
      <c r="T1068" s="36"/>
      <c r="U1068" s="36"/>
      <c r="V1068" s="36"/>
      <c r="W1068" s="36"/>
      <c r="X1068" s="36"/>
      <c r="Y1068" s="36"/>
      <c r="Z1068" s="36"/>
      <c r="AA1068" s="36"/>
      <c r="AB1068" s="36"/>
      <c r="AC1068" s="36"/>
      <c r="AD1068" s="36"/>
      <c r="AE1068" s="36"/>
      <c r="AF1068" s="36"/>
      <c r="AG1068" s="36"/>
      <c r="AH1068" s="36"/>
      <c r="AI1068" s="36"/>
    </row>
    <row r="1069" spans="1:35" ht="15" hidden="1" customHeight="1">
      <c r="A1069" s="212" t="s">
        <v>0</v>
      </c>
      <c r="B1069" s="277"/>
      <c r="C1069" s="355"/>
      <c r="D1069" s="315"/>
      <c r="E1069" s="308"/>
      <c r="F1069" s="62">
        <v>4</v>
      </c>
      <c r="G1069" s="63" t="s">
        <v>164</v>
      </c>
      <c r="H1069" s="64">
        <f t="shared" si="80"/>
        <v>85</v>
      </c>
      <c r="I1069" s="212" t="s">
        <v>0</v>
      </c>
      <c r="J1069" s="36"/>
      <c r="K1069" s="36"/>
      <c r="L1069" s="36"/>
      <c r="M1069" s="36"/>
      <c r="N1069" s="36"/>
      <c r="O1069" s="36"/>
      <c r="P1069" s="36"/>
      <c r="Q1069" s="36"/>
      <c r="R1069" s="36"/>
      <c r="S1069" s="36"/>
      <c r="T1069" s="36"/>
      <c r="U1069" s="36"/>
      <c r="V1069" s="36"/>
      <c r="W1069" s="36"/>
      <c r="X1069" s="36"/>
      <c r="Y1069" s="36"/>
      <c r="Z1069" s="36"/>
      <c r="AA1069" s="36"/>
      <c r="AB1069" s="36"/>
      <c r="AC1069" s="36"/>
      <c r="AD1069" s="36"/>
      <c r="AE1069" s="36"/>
      <c r="AF1069" s="36"/>
      <c r="AG1069" s="36"/>
      <c r="AH1069" s="36"/>
      <c r="AI1069" s="36"/>
    </row>
    <row r="1070" spans="1:35" ht="15.75" hidden="1" customHeight="1" thickBot="1">
      <c r="A1070" s="212" t="s">
        <v>0</v>
      </c>
      <c r="B1070" s="278"/>
      <c r="C1070" s="350"/>
      <c r="D1070" s="315"/>
      <c r="E1070" s="308"/>
      <c r="F1070" s="62">
        <v>3</v>
      </c>
      <c r="G1070" s="63" t="s">
        <v>164</v>
      </c>
      <c r="H1070" s="64">
        <f t="shared" si="80"/>
        <v>80</v>
      </c>
      <c r="I1070" s="212" t="s">
        <v>0</v>
      </c>
      <c r="J1070" s="36"/>
      <c r="K1070" s="36"/>
      <c r="L1070" s="36"/>
      <c r="M1070" s="36"/>
      <c r="N1070" s="36"/>
      <c r="O1070" s="36"/>
      <c r="P1070" s="36"/>
      <c r="Q1070" s="36"/>
      <c r="R1070" s="36"/>
      <c r="S1070" s="36"/>
      <c r="T1070" s="36"/>
      <c r="U1070" s="36"/>
      <c r="V1070" s="36"/>
      <c r="W1070" s="36"/>
      <c r="X1070" s="36"/>
      <c r="Y1070" s="36"/>
      <c r="Z1070" s="36"/>
      <c r="AA1070" s="36"/>
      <c r="AB1070" s="36"/>
      <c r="AC1070" s="36"/>
      <c r="AD1070" s="36"/>
      <c r="AE1070" s="36"/>
      <c r="AF1070" s="36"/>
      <c r="AG1070" s="36"/>
      <c r="AH1070" s="36"/>
      <c r="AI1070" s="36"/>
    </row>
    <row r="1071" spans="1:35" ht="51" hidden="1" customHeight="1">
      <c r="A1071" s="212" t="s">
        <v>0</v>
      </c>
      <c r="B1071" s="274" t="s">
        <v>158</v>
      </c>
      <c r="C1071" s="349"/>
      <c r="D1071" s="315"/>
      <c r="E1071" s="308"/>
      <c r="F1071" s="62">
        <v>2</v>
      </c>
      <c r="G1071" s="63" t="s">
        <v>164</v>
      </c>
      <c r="H1071" s="64">
        <f t="shared" si="80"/>
        <v>75</v>
      </c>
      <c r="I1071" s="212" t="s">
        <v>0</v>
      </c>
      <c r="J1071" s="36"/>
      <c r="K1071" s="36"/>
      <c r="L1071" s="36"/>
      <c r="M1071" s="36"/>
      <c r="N1071" s="36"/>
      <c r="O1071" s="36"/>
      <c r="P1071" s="36"/>
      <c r="Q1071" s="36"/>
      <c r="R1071" s="36"/>
      <c r="S1071" s="36"/>
      <c r="T1071" s="36"/>
      <c r="U1071" s="36"/>
      <c r="V1071" s="36"/>
      <c r="W1071" s="36"/>
      <c r="X1071" s="36"/>
      <c r="Y1071" s="36"/>
      <c r="Z1071" s="36"/>
      <c r="AA1071" s="36"/>
      <c r="AB1071" s="36"/>
      <c r="AC1071" s="36"/>
      <c r="AD1071" s="36"/>
      <c r="AE1071" s="36"/>
      <c r="AF1071" s="36"/>
      <c r="AG1071" s="36"/>
      <c r="AH1071" s="36"/>
      <c r="AI1071" s="36"/>
    </row>
    <row r="1072" spans="1:35" ht="51" hidden="1" customHeight="1" thickBot="1">
      <c r="A1072" s="212" t="s">
        <v>0</v>
      </c>
      <c r="B1072" s="275"/>
      <c r="C1072" s="350"/>
      <c r="D1072" s="316"/>
      <c r="E1072" s="309"/>
      <c r="F1072" s="67">
        <v>1</v>
      </c>
      <c r="G1072" s="68" t="s">
        <v>164</v>
      </c>
      <c r="H1072" s="69">
        <f t="shared" si="80"/>
        <v>70</v>
      </c>
      <c r="I1072" s="212" t="s">
        <v>0</v>
      </c>
      <c r="J1072" s="36"/>
      <c r="K1072" s="36"/>
      <c r="L1072" s="36"/>
      <c r="M1072" s="36"/>
      <c r="N1072" s="36"/>
      <c r="O1072" s="36"/>
      <c r="P1072" s="36"/>
      <c r="Q1072" s="36"/>
      <c r="R1072" s="36"/>
      <c r="S1072" s="36"/>
      <c r="T1072" s="36"/>
      <c r="U1072" s="36"/>
      <c r="V1072" s="36"/>
      <c r="W1072" s="36"/>
      <c r="X1072" s="36"/>
      <c r="Y1072" s="36"/>
      <c r="Z1072" s="36"/>
      <c r="AA1072" s="36"/>
      <c r="AB1072" s="36"/>
      <c r="AC1072" s="36"/>
      <c r="AD1072" s="36"/>
      <c r="AE1072" s="36"/>
      <c r="AF1072" s="36"/>
      <c r="AG1072" s="36"/>
      <c r="AH1072" s="36"/>
      <c r="AI1072" s="36"/>
    </row>
    <row r="1073" spans="1:35" ht="15.75" hidden="1" customHeight="1" thickBot="1">
      <c r="A1073" s="212" t="s">
        <v>0</v>
      </c>
      <c r="B1073" s="276">
        <v>4</v>
      </c>
      <c r="C1073" s="349"/>
      <c r="D1073" s="123" t="s">
        <v>156</v>
      </c>
      <c r="E1073" s="124">
        <v>0.6</v>
      </c>
      <c r="F1073" s="58">
        <v>10</v>
      </c>
      <c r="G1073" s="59" t="s">
        <v>164</v>
      </c>
      <c r="H1073" s="60">
        <v>115</v>
      </c>
      <c r="I1073" s="212" t="s">
        <v>0</v>
      </c>
      <c r="J1073" s="36"/>
      <c r="K1073" s="36"/>
      <c r="L1073" s="36"/>
      <c r="M1073" s="36"/>
      <c r="N1073" s="36"/>
      <c r="O1073" s="36"/>
      <c r="P1073" s="36"/>
      <c r="Q1073" s="36"/>
      <c r="R1073" s="36"/>
      <c r="S1073" s="36"/>
      <c r="T1073" s="36"/>
      <c r="U1073" s="36"/>
      <c r="V1073" s="36"/>
      <c r="W1073" s="36"/>
      <c r="X1073" s="36"/>
      <c r="Y1073" s="36"/>
      <c r="Z1073" s="36"/>
      <c r="AA1073" s="36"/>
      <c r="AB1073" s="36"/>
      <c r="AC1073" s="36"/>
      <c r="AD1073" s="36"/>
      <c r="AE1073" s="36"/>
      <c r="AF1073" s="36"/>
      <c r="AG1073" s="36"/>
      <c r="AH1073" s="36"/>
      <c r="AI1073" s="36"/>
    </row>
    <row r="1074" spans="1:35" ht="15" hidden="1" customHeight="1">
      <c r="A1074" s="212" t="s">
        <v>0</v>
      </c>
      <c r="B1074" s="277"/>
      <c r="C1074" s="355"/>
      <c r="D1074" s="314"/>
      <c r="E1074" s="307">
        <f>IF(D1074=0,0,VLOOKUP($D1074,$F1073:$H1082,3,FALSE)*$E1073)</f>
        <v>0</v>
      </c>
      <c r="F1074" s="62">
        <v>9</v>
      </c>
      <c r="G1074" s="63" t="s">
        <v>164</v>
      </c>
      <c r="H1074" s="64">
        <f>H1073-5</f>
        <v>110</v>
      </c>
      <c r="I1074" s="212" t="s">
        <v>0</v>
      </c>
      <c r="J1074" s="36"/>
      <c r="K1074" s="36"/>
      <c r="L1074" s="36"/>
      <c r="M1074" s="36"/>
      <c r="N1074" s="36"/>
      <c r="O1074" s="36"/>
      <c r="P1074" s="36"/>
      <c r="Q1074" s="36"/>
      <c r="R1074" s="36"/>
      <c r="S1074" s="36"/>
      <c r="T1074" s="36"/>
      <c r="U1074" s="36"/>
      <c r="V1074" s="36"/>
      <c r="W1074" s="36"/>
      <c r="X1074" s="36"/>
      <c r="Y1074" s="36"/>
      <c r="Z1074" s="36"/>
      <c r="AA1074" s="36"/>
      <c r="AB1074" s="36"/>
      <c r="AC1074" s="36"/>
      <c r="AD1074" s="36"/>
      <c r="AE1074" s="36"/>
      <c r="AF1074" s="36"/>
      <c r="AG1074" s="36"/>
      <c r="AH1074" s="36"/>
      <c r="AI1074" s="36"/>
    </row>
    <row r="1075" spans="1:35" ht="15" hidden="1" customHeight="1">
      <c r="A1075" s="212" t="s">
        <v>0</v>
      </c>
      <c r="B1075" s="277"/>
      <c r="C1075" s="355"/>
      <c r="D1075" s="315"/>
      <c r="E1075" s="308"/>
      <c r="F1075" s="62">
        <v>8</v>
      </c>
      <c r="G1075" s="63" t="s">
        <v>164</v>
      </c>
      <c r="H1075" s="64">
        <f t="shared" ref="H1075:H1082" si="81">H1074-5</f>
        <v>105</v>
      </c>
      <c r="I1075" s="212" t="s">
        <v>0</v>
      </c>
      <c r="J1075" s="36"/>
      <c r="K1075" s="36"/>
      <c r="L1075" s="36"/>
      <c r="M1075" s="36"/>
      <c r="N1075" s="36"/>
      <c r="O1075" s="36"/>
      <c r="P1075" s="36"/>
      <c r="Q1075" s="36"/>
      <c r="R1075" s="36"/>
      <c r="S1075" s="36"/>
      <c r="T1075" s="36"/>
      <c r="U1075" s="36"/>
      <c r="V1075" s="36"/>
      <c r="W1075" s="36"/>
      <c r="X1075" s="36"/>
      <c r="Y1075" s="36"/>
      <c r="Z1075" s="36"/>
      <c r="AA1075" s="36"/>
      <c r="AB1075" s="36"/>
      <c r="AC1075" s="36"/>
      <c r="AD1075" s="36"/>
      <c r="AE1075" s="36"/>
      <c r="AF1075" s="36"/>
      <c r="AG1075" s="36"/>
      <c r="AH1075" s="36"/>
      <c r="AI1075" s="36"/>
    </row>
    <row r="1076" spans="1:35" ht="15" hidden="1" customHeight="1">
      <c r="A1076" s="212" t="s">
        <v>0</v>
      </c>
      <c r="B1076" s="277"/>
      <c r="C1076" s="355"/>
      <c r="D1076" s="315"/>
      <c r="E1076" s="308"/>
      <c r="F1076" s="62">
        <v>7</v>
      </c>
      <c r="G1076" s="63" t="s">
        <v>164</v>
      </c>
      <c r="H1076" s="64">
        <f t="shared" si="81"/>
        <v>100</v>
      </c>
      <c r="I1076" s="212" t="s">
        <v>0</v>
      </c>
      <c r="J1076" s="36"/>
      <c r="K1076" s="36"/>
      <c r="L1076" s="36"/>
      <c r="M1076" s="36"/>
      <c r="N1076" s="36"/>
      <c r="O1076" s="36"/>
      <c r="P1076" s="36"/>
      <c r="Q1076" s="36"/>
      <c r="R1076" s="36"/>
      <c r="S1076" s="36"/>
      <c r="T1076" s="36"/>
      <c r="U1076" s="36"/>
      <c r="V1076" s="36"/>
      <c r="W1076" s="36"/>
      <c r="X1076" s="36"/>
      <c r="Y1076" s="36"/>
      <c r="Z1076" s="36"/>
      <c r="AA1076" s="36"/>
      <c r="AB1076" s="36"/>
      <c r="AC1076" s="36"/>
      <c r="AD1076" s="36"/>
      <c r="AE1076" s="36"/>
      <c r="AF1076" s="36"/>
      <c r="AG1076" s="36"/>
      <c r="AH1076" s="36"/>
      <c r="AI1076" s="36"/>
    </row>
    <row r="1077" spans="1:35" ht="15" hidden="1" customHeight="1">
      <c r="A1077" s="212" t="s">
        <v>0</v>
      </c>
      <c r="B1077" s="277"/>
      <c r="C1077" s="355"/>
      <c r="D1077" s="315"/>
      <c r="E1077" s="308"/>
      <c r="F1077" s="62">
        <v>6</v>
      </c>
      <c r="G1077" s="63" t="s">
        <v>164</v>
      </c>
      <c r="H1077" s="64">
        <f t="shared" si="81"/>
        <v>95</v>
      </c>
      <c r="I1077" s="212" t="s">
        <v>0</v>
      </c>
      <c r="J1077" s="36"/>
      <c r="K1077" s="36"/>
      <c r="L1077" s="36"/>
      <c r="M1077" s="36"/>
      <c r="N1077" s="36"/>
      <c r="O1077" s="36"/>
      <c r="P1077" s="36"/>
      <c r="Q1077" s="36"/>
      <c r="R1077" s="36"/>
      <c r="S1077" s="36"/>
      <c r="T1077" s="36"/>
      <c r="U1077" s="36"/>
      <c r="V1077" s="36"/>
      <c r="W1077" s="36"/>
      <c r="X1077" s="36"/>
      <c r="Y1077" s="36"/>
      <c r="Z1077" s="36"/>
      <c r="AA1077" s="36"/>
      <c r="AB1077" s="36"/>
      <c r="AC1077" s="36"/>
      <c r="AD1077" s="36"/>
      <c r="AE1077" s="36"/>
      <c r="AF1077" s="36"/>
      <c r="AG1077" s="36"/>
      <c r="AH1077" s="36"/>
      <c r="AI1077" s="36"/>
    </row>
    <row r="1078" spans="1:35" ht="15" hidden="1" customHeight="1">
      <c r="A1078" s="212" t="s">
        <v>0</v>
      </c>
      <c r="B1078" s="277"/>
      <c r="C1078" s="355"/>
      <c r="D1078" s="315"/>
      <c r="E1078" s="308"/>
      <c r="F1078" s="62">
        <v>5</v>
      </c>
      <c r="G1078" s="63" t="s">
        <v>164</v>
      </c>
      <c r="H1078" s="64">
        <f t="shared" si="81"/>
        <v>90</v>
      </c>
      <c r="I1078" s="212" t="s">
        <v>0</v>
      </c>
      <c r="J1078" s="36"/>
      <c r="K1078" s="36"/>
      <c r="L1078" s="36"/>
      <c r="M1078" s="36"/>
      <c r="N1078" s="36"/>
      <c r="O1078" s="36"/>
      <c r="P1078" s="36"/>
      <c r="Q1078" s="36"/>
      <c r="R1078" s="36"/>
      <c r="S1078" s="36"/>
      <c r="T1078" s="36"/>
      <c r="U1078" s="36"/>
      <c r="V1078" s="36"/>
      <c r="W1078" s="36"/>
      <c r="X1078" s="36"/>
      <c r="Y1078" s="36"/>
      <c r="Z1078" s="36"/>
      <c r="AA1078" s="36"/>
      <c r="AB1078" s="36"/>
      <c r="AC1078" s="36"/>
      <c r="AD1078" s="36"/>
      <c r="AE1078" s="36"/>
      <c r="AF1078" s="36"/>
      <c r="AG1078" s="36"/>
      <c r="AH1078" s="36"/>
      <c r="AI1078" s="36"/>
    </row>
    <row r="1079" spans="1:35" ht="15" hidden="1" customHeight="1">
      <c r="A1079" s="212" t="s">
        <v>0</v>
      </c>
      <c r="B1079" s="277"/>
      <c r="C1079" s="355"/>
      <c r="D1079" s="315"/>
      <c r="E1079" s="308"/>
      <c r="F1079" s="62">
        <v>4</v>
      </c>
      <c r="G1079" s="63" t="s">
        <v>164</v>
      </c>
      <c r="H1079" s="64">
        <f t="shared" si="81"/>
        <v>85</v>
      </c>
      <c r="I1079" s="212" t="s">
        <v>0</v>
      </c>
      <c r="J1079" s="36"/>
      <c r="K1079" s="36"/>
      <c r="L1079" s="36"/>
      <c r="M1079" s="36"/>
      <c r="N1079" s="36"/>
      <c r="O1079" s="36"/>
      <c r="P1079" s="36"/>
      <c r="Q1079" s="36"/>
      <c r="R1079" s="36"/>
      <c r="S1079" s="36"/>
      <c r="T1079" s="36"/>
      <c r="U1079" s="36"/>
      <c r="V1079" s="36"/>
      <c r="W1079" s="36"/>
      <c r="X1079" s="36"/>
      <c r="Y1079" s="36"/>
      <c r="Z1079" s="36"/>
      <c r="AA1079" s="36"/>
      <c r="AB1079" s="36"/>
      <c r="AC1079" s="36"/>
      <c r="AD1079" s="36"/>
      <c r="AE1079" s="36"/>
      <c r="AF1079" s="36"/>
      <c r="AG1079" s="36"/>
      <c r="AH1079" s="36"/>
      <c r="AI1079" s="36"/>
    </row>
    <row r="1080" spans="1:35" ht="15.75" hidden="1" customHeight="1" thickBot="1">
      <c r="A1080" s="212" t="s">
        <v>0</v>
      </c>
      <c r="B1080" s="278"/>
      <c r="C1080" s="350"/>
      <c r="D1080" s="315"/>
      <c r="E1080" s="308"/>
      <c r="F1080" s="62">
        <v>3</v>
      </c>
      <c r="G1080" s="63" t="s">
        <v>164</v>
      </c>
      <c r="H1080" s="64">
        <f t="shared" si="81"/>
        <v>80</v>
      </c>
      <c r="I1080" s="212" t="s">
        <v>0</v>
      </c>
      <c r="J1080" s="36"/>
      <c r="K1080" s="36"/>
      <c r="L1080" s="36"/>
      <c r="M1080" s="36"/>
      <c r="N1080" s="36"/>
      <c r="O1080" s="36"/>
      <c r="P1080" s="36"/>
      <c r="Q1080" s="36"/>
      <c r="R1080" s="36"/>
      <c r="S1080" s="36"/>
      <c r="T1080" s="36"/>
      <c r="U1080" s="36"/>
      <c r="V1080" s="36"/>
      <c r="W1080" s="36"/>
      <c r="X1080" s="36"/>
      <c r="Y1080" s="36"/>
      <c r="Z1080" s="36"/>
      <c r="AA1080" s="36"/>
      <c r="AB1080" s="36"/>
      <c r="AC1080" s="36"/>
      <c r="AD1080" s="36"/>
      <c r="AE1080" s="36"/>
      <c r="AF1080" s="36"/>
      <c r="AG1080" s="36"/>
      <c r="AH1080" s="36"/>
      <c r="AI1080" s="36"/>
    </row>
    <row r="1081" spans="1:35" ht="15" hidden="1" customHeight="1">
      <c r="A1081" s="212" t="s">
        <v>0</v>
      </c>
      <c r="B1081" s="274" t="s">
        <v>158</v>
      </c>
      <c r="C1081" s="349"/>
      <c r="D1081" s="315"/>
      <c r="E1081" s="308"/>
      <c r="F1081" s="62">
        <v>2</v>
      </c>
      <c r="G1081" s="63" t="s">
        <v>164</v>
      </c>
      <c r="H1081" s="64">
        <f t="shared" si="81"/>
        <v>75</v>
      </c>
      <c r="I1081" s="212" t="s">
        <v>0</v>
      </c>
      <c r="J1081" s="36"/>
      <c r="K1081" s="36"/>
      <c r="L1081" s="36"/>
      <c r="M1081" s="36"/>
      <c r="N1081" s="36"/>
      <c r="O1081" s="36"/>
      <c r="P1081" s="36"/>
      <c r="Q1081" s="36"/>
      <c r="R1081" s="36"/>
      <c r="S1081" s="36"/>
      <c r="T1081" s="36"/>
      <c r="U1081" s="36"/>
      <c r="V1081" s="36"/>
      <c r="W1081" s="36"/>
      <c r="X1081" s="36"/>
      <c r="Y1081" s="36"/>
      <c r="Z1081" s="36"/>
      <c r="AA1081" s="36"/>
      <c r="AB1081" s="36"/>
      <c r="AC1081" s="36"/>
      <c r="AD1081" s="36"/>
      <c r="AE1081" s="36"/>
      <c r="AF1081" s="36"/>
      <c r="AG1081" s="36"/>
      <c r="AH1081" s="36"/>
      <c r="AI1081" s="36"/>
    </row>
    <row r="1082" spans="1:35" ht="15.75" hidden="1" customHeight="1" thickBot="1">
      <c r="A1082" s="212" t="s">
        <v>0</v>
      </c>
      <c r="B1082" s="275"/>
      <c r="C1082" s="350"/>
      <c r="D1082" s="316"/>
      <c r="E1082" s="309"/>
      <c r="F1082" s="67">
        <v>1</v>
      </c>
      <c r="G1082" s="68" t="s">
        <v>164</v>
      </c>
      <c r="H1082" s="69">
        <f t="shared" si="81"/>
        <v>70</v>
      </c>
      <c r="I1082" s="212" t="s">
        <v>0</v>
      </c>
      <c r="J1082" s="36"/>
      <c r="K1082" s="36"/>
      <c r="L1082" s="36"/>
      <c r="M1082" s="36"/>
      <c r="N1082" s="36"/>
      <c r="O1082" s="36"/>
      <c r="P1082" s="36"/>
      <c r="Q1082" s="36"/>
      <c r="R1082" s="36"/>
      <c r="S1082" s="36"/>
      <c r="T1082" s="36"/>
      <c r="U1082" s="36"/>
      <c r="V1082" s="36"/>
      <c r="W1082" s="36"/>
      <c r="X1082" s="36"/>
      <c r="Y1082" s="36"/>
      <c r="Z1082" s="36"/>
      <c r="AA1082" s="36"/>
      <c r="AB1082" s="36"/>
      <c r="AC1082" s="36"/>
      <c r="AD1082" s="36"/>
      <c r="AE1082" s="36"/>
      <c r="AF1082" s="36"/>
      <c r="AG1082" s="36"/>
      <c r="AH1082" s="36"/>
      <c r="AI1082" s="36"/>
    </row>
    <row r="1083" spans="1:35" ht="15.75" hidden="1" customHeight="1" thickBot="1">
      <c r="A1083" s="212" t="s">
        <v>0</v>
      </c>
      <c r="B1083" s="279">
        <v>5</v>
      </c>
      <c r="C1083" s="349"/>
      <c r="D1083" s="123" t="s">
        <v>156</v>
      </c>
      <c r="E1083" s="124">
        <v>0.6</v>
      </c>
      <c r="F1083" s="70">
        <v>10</v>
      </c>
      <c r="G1083" s="71" t="s">
        <v>164</v>
      </c>
      <c r="H1083" s="72">
        <v>115</v>
      </c>
      <c r="I1083" s="212" t="s">
        <v>0</v>
      </c>
      <c r="J1083" s="36"/>
      <c r="K1083" s="36"/>
      <c r="L1083" s="36"/>
      <c r="M1083" s="36"/>
      <c r="N1083" s="36"/>
      <c r="O1083" s="36"/>
      <c r="P1083" s="36"/>
      <c r="Q1083" s="36"/>
      <c r="R1083" s="36"/>
      <c r="S1083" s="36"/>
      <c r="T1083" s="36"/>
      <c r="U1083" s="36"/>
      <c r="V1083" s="36"/>
      <c r="W1083" s="36"/>
      <c r="X1083" s="36"/>
      <c r="Y1083" s="36"/>
      <c r="Z1083" s="36"/>
      <c r="AA1083" s="36"/>
      <c r="AB1083" s="36"/>
      <c r="AC1083" s="36"/>
      <c r="AD1083" s="36"/>
      <c r="AE1083" s="36"/>
      <c r="AF1083" s="36"/>
      <c r="AG1083" s="36"/>
      <c r="AH1083" s="36"/>
      <c r="AI1083" s="36"/>
    </row>
    <row r="1084" spans="1:35" ht="15" hidden="1" customHeight="1">
      <c r="A1084" s="212" t="s">
        <v>0</v>
      </c>
      <c r="B1084" s="277"/>
      <c r="C1084" s="355"/>
      <c r="D1084" s="314"/>
      <c r="E1084" s="307">
        <f>IF(D1084=0,0,VLOOKUP($D1084,$F1083:$H1092,3,FALSE)*$E1083)</f>
        <v>0</v>
      </c>
      <c r="F1084" s="62">
        <v>9</v>
      </c>
      <c r="G1084" s="63" t="s">
        <v>164</v>
      </c>
      <c r="H1084" s="64">
        <f>H1083-5</f>
        <v>110</v>
      </c>
      <c r="I1084" s="212" t="s">
        <v>0</v>
      </c>
      <c r="J1084" s="36"/>
      <c r="K1084" s="36"/>
      <c r="L1084" s="36"/>
      <c r="M1084" s="36"/>
      <c r="N1084" s="36"/>
      <c r="O1084" s="36"/>
      <c r="P1084" s="36"/>
      <c r="Q1084" s="36"/>
      <c r="R1084" s="36"/>
      <c r="S1084" s="36"/>
      <c r="T1084" s="36"/>
      <c r="U1084" s="36"/>
      <c r="V1084" s="36"/>
      <c r="W1084" s="36"/>
      <c r="X1084" s="36"/>
      <c r="Y1084" s="36"/>
      <c r="Z1084" s="36"/>
      <c r="AA1084" s="36"/>
      <c r="AB1084" s="36"/>
      <c r="AC1084" s="36"/>
      <c r="AD1084" s="36"/>
      <c r="AE1084" s="36"/>
      <c r="AF1084" s="36"/>
      <c r="AG1084" s="36"/>
      <c r="AH1084" s="36"/>
      <c r="AI1084" s="36"/>
    </row>
    <row r="1085" spans="1:35" ht="15" hidden="1" customHeight="1">
      <c r="A1085" s="212" t="s">
        <v>0</v>
      </c>
      <c r="B1085" s="277"/>
      <c r="C1085" s="355"/>
      <c r="D1085" s="315"/>
      <c r="E1085" s="308"/>
      <c r="F1085" s="62">
        <v>8</v>
      </c>
      <c r="G1085" s="63" t="s">
        <v>164</v>
      </c>
      <c r="H1085" s="64">
        <f t="shared" ref="H1085:H1092" si="82">H1084-5</f>
        <v>105</v>
      </c>
      <c r="I1085" s="212" t="s">
        <v>0</v>
      </c>
      <c r="J1085" s="36"/>
      <c r="K1085" s="36"/>
      <c r="L1085" s="36"/>
      <c r="M1085" s="36"/>
      <c r="N1085" s="36"/>
      <c r="O1085" s="36"/>
      <c r="P1085" s="36"/>
      <c r="Q1085" s="36"/>
      <c r="R1085" s="36"/>
      <c r="S1085" s="36"/>
      <c r="T1085" s="36"/>
      <c r="U1085" s="36"/>
      <c r="V1085" s="36"/>
      <c r="W1085" s="36"/>
      <c r="X1085" s="36"/>
      <c r="Y1085" s="36"/>
      <c r="Z1085" s="36"/>
      <c r="AA1085" s="36"/>
      <c r="AB1085" s="36"/>
      <c r="AC1085" s="36"/>
      <c r="AD1085" s="36"/>
      <c r="AE1085" s="36"/>
      <c r="AF1085" s="36"/>
      <c r="AG1085" s="36"/>
      <c r="AH1085" s="36"/>
      <c r="AI1085" s="36"/>
    </row>
    <row r="1086" spans="1:35" ht="15" hidden="1" customHeight="1">
      <c r="A1086" s="212" t="s">
        <v>0</v>
      </c>
      <c r="B1086" s="277"/>
      <c r="C1086" s="355"/>
      <c r="D1086" s="315"/>
      <c r="E1086" s="308"/>
      <c r="F1086" s="62">
        <v>7</v>
      </c>
      <c r="G1086" s="63" t="s">
        <v>164</v>
      </c>
      <c r="H1086" s="64">
        <f t="shared" si="82"/>
        <v>100</v>
      </c>
      <c r="I1086" s="212" t="s">
        <v>0</v>
      </c>
      <c r="J1086" s="36"/>
      <c r="K1086" s="36"/>
      <c r="L1086" s="36"/>
      <c r="M1086" s="36"/>
      <c r="N1086" s="36"/>
      <c r="O1086" s="36"/>
      <c r="P1086" s="36"/>
      <c r="Q1086" s="36"/>
      <c r="R1086" s="36"/>
      <c r="S1086" s="36"/>
      <c r="T1086" s="36"/>
      <c r="U1086" s="36"/>
      <c r="V1086" s="36"/>
      <c r="W1086" s="36"/>
      <c r="X1086" s="36"/>
      <c r="Y1086" s="36"/>
      <c r="Z1086" s="36"/>
      <c r="AA1086" s="36"/>
      <c r="AB1086" s="36"/>
      <c r="AC1086" s="36"/>
      <c r="AD1086" s="36"/>
      <c r="AE1086" s="36"/>
      <c r="AF1086" s="36"/>
      <c r="AG1086" s="36"/>
      <c r="AH1086" s="36"/>
      <c r="AI1086" s="36"/>
    </row>
    <row r="1087" spans="1:35" ht="15" hidden="1" customHeight="1">
      <c r="A1087" s="212" t="s">
        <v>0</v>
      </c>
      <c r="B1087" s="277"/>
      <c r="C1087" s="355"/>
      <c r="D1087" s="315"/>
      <c r="E1087" s="308"/>
      <c r="F1087" s="62">
        <v>6</v>
      </c>
      <c r="G1087" s="63" t="s">
        <v>164</v>
      </c>
      <c r="H1087" s="64">
        <f t="shared" si="82"/>
        <v>95</v>
      </c>
      <c r="I1087" s="212" t="s">
        <v>0</v>
      </c>
      <c r="J1087" s="36"/>
      <c r="K1087" s="36"/>
      <c r="L1087" s="36"/>
      <c r="M1087" s="36"/>
      <c r="N1087" s="36"/>
      <c r="O1087" s="36"/>
      <c r="P1087" s="36"/>
      <c r="Q1087" s="36"/>
      <c r="R1087" s="36"/>
      <c r="S1087" s="36"/>
      <c r="T1087" s="36"/>
      <c r="U1087" s="36"/>
      <c r="V1087" s="36"/>
      <c r="W1087" s="36"/>
      <c r="X1087" s="36"/>
      <c r="Y1087" s="36"/>
      <c r="Z1087" s="36"/>
      <c r="AA1087" s="36"/>
      <c r="AB1087" s="36"/>
      <c r="AC1087" s="36"/>
      <c r="AD1087" s="36"/>
      <c r="AE1087" s="36"/>
      <c r="AF1087" s="36"/>
      <c r="AG1087" s="36"/>
      <c r="AH1087" s="36"/>
      <c r="AI1087" s="36"/>
    </row>
    <row r="1088" spans="1:35" ht="15" hidden="1" customHeight="1">
      <c r="A1088" s="212" t="s">
        <v>0</v>
      </c>
      <c r="B1088" s="277"/>
      <c r="C1088" s="355"/>
      <c r="D1088" s="315"/>
      <c r="E1088" s="308"/>
      <c r="F1088" s="62">
        <v>5</v>
      </c>
      <c r="G1088" s="63" t="s">
        <v>164</v>
      </c>
      <c r="H1088" s="64">
        <f t="shared" si="82"/>
        <v>90</v>
      </c>
      <c r="I1088" s="212" t="s">
        <v>0</v>
      </c>
      <c r="J1088" s="36"/>
      <c r="K1088" s="36"/>
      <c r="L1088" s="36"/>
      <c r="M1088" s="36"/>
      <c r="N1088" s="36"/>
      <c r="O1088" s="36"/>
      <c r="P1088" s="36"/>
      <c r="Q1088" s="36"/>
      <c r="R1088" s="36"/>
      <c r="S1088" s="36"/>
      <c r="T1088" s="36"/>
      <c r="U1088" s="36"/>
      <c r="V1088" s="36"/>
      <c r="W1088" s="36"/>
      <c r="X1088" s="36"/>
      <c r="Y1088" s="36"/>
      <c r="Z1088" s="36"/>
      <c r="AA1088" s="36"/>
      <c r="AB1088" s="36"/>
      <c r="AC1088" s="36"/>
      <c r="AD1088" s="36"/>
      <c r="AE1088" s="36"/>
      <c r="AF1088" s="36"/>
      <c r="AG1088" s="36"/>
      <c r="AH1088" s="36"/>
      <c r="AI1088" s="36"/>
    </row>
    <row r="1089" spans="1:35" ht="15" hidden="1" customHeight="1">
      <c r="A1089" s="212" t="s">
        <v>0</v>
      </c>
      <c r="B1089" s="277"/>
      <c r="C1089" s="355"/>
      <c r="D1089" s="315"/>
      <c r="E1089" s="308"/>
      <c r="F1089" s="62">
        <v>4</v>
      </c>
      <c r="G1089" s="63" t="s">
        <v>164</v>
      </c>
      <c r="H1089" s="64">
        <f t="shared" si="82"/>
        <v>85</v>
      </c>
      <c r="I1089" s="212" t="s">
        <v>0</v>
      </c>
      <c r="J1089" s="36"/>
      <c r="K1089" s="36"/>
      <c r="L1089" s="36"/>
      <c r="M1089" s="36"/>
      <c r="N1089" s="36"/>
      <c r="O1089" s="36"/>
      <c r="P1089" s="36"/>
      <c r="Q1089" s="36"/>
      <c r="R1089" s="36"/>
      <c r="S1089" s="36"/>
      <c r="T1089" s="36"/>
      <c r="U1089" s="36"/>
      <c r="V1089" s="36"/>
      <c r="W1089" s="36"/>
      <c r="X1089" s="36"/>
      <c r="Y1089" s="36"/>
      <c r="Z1089" s="36"/>
      <c r="AA1089" s="36"/>
      <c r="AB1089" s="36"/>
      <c r="AC1089" s="36"/>
      <c r="AD1089" s="36"/>
      <c r="AE1089" s="36"/>
      <c r="AF1089" s="36"/>
      <c r="AG1089" s="36"/>
      <c r="AH1089" s="36"/>
      <c r="AI1089" s="36"/>
    </row>
    <row r="1090" spans="1:35" ht="15.75" hidden="1" customHeight="1" thickBot="1">
      <c r="A1090" s="212" t="s">
        <v>0</v>
      </c>
      <c r="B1090" s="278"/>
      <c r="C1090" s="350"/>
      <c r="D1090" s="315"/>
      <c r="E1090" s="308"/>
      <c r="F1090" s="62">
        <v>3</v>
      </c>
      <c r="G1090" s="63" t="s">
        <v>164</v>
      </c>
      <c r="H1090" s="64">
        <f t="shared" si="82"/>
        <v>80</v>
      </c>
      <c r="I1090" s="212" t="s">
        <v>0</v>
      </c>
      <c r="J1090" s="36"/>
      <c r="K1090" s="36"/>
      <c r="L1090" s="36"/>
      <c r="M1090" s="36"/>
      <c r="N1090" s="36"/>
      <c r="O1090" s="36"/>
      <c r="P1090" s="36"/>
      <c r="Q1090" s="36"/>
      <c r="R1090" s="36"/>
      <c r="S1090" s="36"/>
      <c r="T1090" s="36"/>
      <c r="U1090" s="36"/>
      <c r="V1090" s="36"/>
      <c r="W1090" s="36"/>
      <c r="X1090" s="36"/>
      <c r="Y1090" s="36"/>
      <c r="Z1090" s="36"/>
      <c r="AA1090" s="36"/>
      <c r="AB1090" s="36"/>
      <c r="AC1090" s="36"/>
      <c r="AD1090" s="36"/>
      <c r="AE1090" s="36"/>
      <c r="AF1090" s="36"/>
      <c r="AG1090" s="36"/>
      <c r="AH1090" s="36"/>
      <c r="AI1090" s="36"/>
    </row>
    <row r="1091" spans="1:35" ht="15" hidden="1" customHeight="1">
      <c r="A1091" s="212" t="s">
        <v>0</v>
      </c>
      <c r="B1091" s="274" t="s">
        <v>158</v>
      </c>
      <c r="C1091" s="349"/>
      <c r="D1091" s="315"/>
      <c r="E1091" s="308"/>
      <c r="F1091" s="62">
        <v>2</v>
      </c>
      <c r="G1091" s="63" t="s">
        <v>164</v>
      </c>
      <c r="H1091" s="64">
        <f t="shared" si="82"/>
        <v>75</v>
      </c>
      <c r="I1091" s="212" t="s">
        <v>0</v>
      </c>
      <c r="J1091" s="36"/>
      <c r="K1091" s="36"/>
      <c r="L1091" s="36"/>
      <c r="M1091" s="36"/>
      <c r="N1091" s="36"/>
      <c r="O1091" s="36"/>
      <c r="P1091" s="36"/>
      <c r="Q1091" s="36"/>
      <c r="R1091" s="36"/>
      <c r="S1091" s="36"/>
      <c r="T1091" s="36"/>
      <c r="U1091" s="36"/>
      <c r="V1091" s="36"/>
      <c r="W1091" s="36"/>
      <c r="X1091" s="36"/>
      <c r="Y1091" s="36"/>
      <c r="Z1091" s="36"/>
      <c r="AA1091" s="36"/>
      <c r="AB1091" s="36"/>
      <c r="AC1091" s="36"/>
      <c r="AD1091" s="36"/>
      <c r="AE1091" s="36"/>
      <c r="AF1091" s="36"/>
      <c r="AG1091" s="36"/>
      <c r="AH1091" s="36"/>
      <c r="AI1091" s="36"/>
    </row>
    <row r="1092" spans="1:35" ht="15.75" hidden="1" customHeight="1" thickBot="1">
      <c r="A1092" s="212" t="s">
        <v>0</v>
      </c>
      <c r="B1092" s="275"/>
      <c r="C1092" s="350"/>
      <c r="D1092" s="316"/>
      <c r="E1092" s="309"/>
      <c r="F1092" s="67">
        <v>1</v>
      </c>
      <c r="G1092" s="68" t="s">
        <v>164</v>
      </c>
      <c r="H1092" s="69">
        <f t="shared" si="82"/>
        <v>70</v>
      </c>
      <c r="I1092" s="212" t="s">
        <v>0</v>
      </c>
      <c r="J1092" s="36"/>
      <c r="K1092" s="36"/>
      <c r="L1092" s="36"/>
      <c r="M1092" s="36"/>
      <c r="N1092" s="36"/>
      <c r="O1092" s="36"/>
      <c r="P1092" s="36"/>
      <c r="Q1092" s="36"/>
      <c r="R1092" s="36"/>
      <c r="S1092" s="36"/>
      <c r="T1092" s="36"/>
      <c r="U1092" s="36"/>
      <c r="V1092" s="36"/>
      <c r="W1092" s="36"/>
      <c r="X1092" s="36"/>
      <c r="Y1092" s="36"/>
      <c r="Z1092" s="36"/>
      <c r="AA1092" s="36"/>
      <c r="AB1092" s="36"/>
      <c r="AC1092" s="36"/>
      <c r="AD1092" s="36"/>
      <c r="AE1092" s="36"/>
      <c r="AF1092" s="36"/>
      <c r="AG1092" s="36"/>
      <c r="AH1092" s="36"/>
      <c r="AI1092" s="36"/>
    </row>
    <row r="1093" spans="1:35" ht="15.75" hidden="1" customHeight="1" thickBot="1">
      <c r="A1093" s="212" t="s">
        <v>0</v>
      </c>
      <c r="B1093" s="212" t="s">
        <v>0</v>
      </c>
      <c r="C1093" s="212" t="s">
        <v>0</v>
      </c>
      <c r="D1093" s="212" t="s">
        <v>0</v>
      </c>
      <c r="E1093" s="212" t="s">
        <v>0</v>
      </c>
      <c r="F1093" s="212" t="s">
        <v>0</v>
      </c>
      <c r="G1093" s="212" t="s">
        <v>0</v>
      </c>
      <c r="H1093" s="212" t="s">
        <v>0</v>
      </c>
      <c r="I1093" s="212" t="s">
        <v>0</v>
      </c>
      <c r="J1093" s="36"/>
      <c r="K1093" s="36"/>
      <c r="L1093" s="36"/>
      <c r="M1093" s="36"/>
      <c r="N1093" s="36"/>
      <c r="O1093" s="36"/>
      <c r="P1093" s="36"/>
      <c r="Q1093" s="36"/>
      <c r="R1093" s="36"/>
      <c r="S1093" s="36"/>
      <c r="T1093" s="36"/>
      <c r="U1093" s="36"/>
      <c r="V1093" s="36"/>
      <c r="W1093" s="36"/>
      <c r="X1093" s="36"/>
      <c r="Y1093" s="36"/>
      <c r="Z1093" s="36"/>
      <c r="AA1093" s="36"/>
      <c r="AB1093" s="36"/>
      <c r="AC1093" s="36"/>
      <c r="AD1093" s="36"/>
      <c r="AE1093" s="36"/>
      <c r="AF1093" s="36"/>
      <c r="AG1093" s="36"/>
      <c r="AH1093" s="36"/>
      <c r="AI1093" s="36"/>
    </row>
    <row r="1094" spans="1:35" ht="15" hidden="1" customHeight="1">
      <c r="A1094" s="214" t="s">
        <v>0</v>
      </c>
      <c r="B1094" s="119" t="s">
        <v>181</v>
      </c>
      <c r="C1094" s="120"/>
      <c r="D1094" s="120"/>
      <c r="E1094" s="120"/>
      <c r="F1094" s="120"/>
      <c r="G1094" s="339" t="s">
        <v>8</v>
      </c>
      <c r="H1094" s="340"/>
      <c r="I1094" s="341"/>
      <c r="J1094" s="36"/>
      <c r="K1094" s="36"/>
      <c r="L1094" s="36"/>
      <c r="M1094" s="36"/>
      <c r="N1094" s="36"/>
      <c r="O1094" s="36"/>
      <c r="P1094" s="36"/>
      <c r="Q1094" s="36"/>
      <c r="R1094" s="36"/>
      <c r="S1094" s="36"/>
      <c r="T1094" s="36"/>
      <c r="U1094" s="36"/>
      <c r="V1094" s="36"/>
      <c r="W1094" s="36"/>
      <c r="X1094" s="36"/>
      <c r="Y1094" s="36"/>
      <c r="Z1094" s="36"/>
      <c r="AA1094" s="36"/>
      <c r="AB1094" s="36"/>
      <c r="AC1094" s="36"/>
      <c r="AD1094" s="36"/>
      <c r="AE1094" s="36"/>
      <c r="AF1094" s="36"/>
      <c r="AG1094" s="36"/>
      <c r="AH1094" s="36"/>
      <c r="AI1094" s="36"/>
    </row>
    <row r="1095" spans="1:35" ht="15.75" hidden="1" customHeight="1" thickBot="1">
      <c r="A1095" s="214" t="s">
        <v>0</v>
      </c>
      <c r="B1095" s="121"/>
      <c r="C1095" s="122"/>
      <c r="D1095" s="122"/>
      <c r="E1095" s="122"/>
      <c r="F1095" s="122"/>
      <c r="G1095" s="343"/>
      <c r="H1095" s="344"/>
      <c r="I1095" s="345"/>
      <c r="J1095" s="36"/>
      <c r="K1095" s="36"/>
      <c r="L1095" s="36"/>
      <c r="M1095" s="36"/>
      <c r="N1095" s="36"/>
      <c r="O1095" s="36"/>
      <c r="P1095" s="36"/>
      <c r="Q1095" s="36"/>
      <c r="R1095" s="36"/>
      <c r="S1095" s="36"/>
      <c r="T1095" s="36"/>
      <c r="U1095" s="36"/>
      <c r="V1095" s="36"/>
      <c r="W1095" s="36"/>
      <c r="X1095" s="36"/>
      <c r="Y1095" s="36"/>
      <c r="Z1095" s="36"/>
      <c r="AA1095" s="36"/>
      <c r="AB1095" s="36"/>
      <c r="AC1095" s="36"/>
      <c r="AD1095" s="36"/>
      <c r="AE1095" s="36"/>
      <c r="AF1095" s="36"/>
      <c r="AG1095" s="36"/>
      <c r="AH1095" s="36"/>
      <c r="AI1095" s="36"/>
    </row>
    <row r="1096" spans="1:35" ht="15.75" hidden="1" customHeight="1" thickBot="1">
      <c r="A1096" s="214" t="s">
        <v>0</v>
      </c>
      <c r="B1096" s="52" t="s">
        <v>152</v>
      </c>
      <c r="C1096" s="52" t="s">
        <v>6</v>
      </c>
      <c r="D1096" s="280" t="s">
        <v>9</v>
      </c>
      <c r="E1096" s="281"/>
      <c r="F1096" s="282" t="s">
        <v>166</v>
      </c>
      <c r="G1096" s="283"/>
      <c r="H1096" s="284"/>
      <c r="I1096" s="214" t="s">
        <v>0</v>
      </c>
      <c r="J1096" s="36"/>
      <c r="K1096" s="36"/>
      <c r="L1096" s="36"/>
      <c r="M1096" s="36"/>
      <c r="N1096" s="36"/>
      <c r="O1096" s="36"/>
      <c r="P1096" s="36"/>
      <c r="Q1096" s="36"/>
      <c r="R1096" s="36"/>
      <c r="S1096" s="36"/>
      <c r="T1096" s="36"/>
      <c r="U1096" s="36"/>
      <c r="V1096" s="36"/>
      <c r="W1096" s="36"/>
      <c r="X1096" s="36"/>
      <c r="Y1096" s="36"/>
      <c r="Z1096" s="36"/>
      <c r="AA1096" s="36"/>
      <c r="AB1096" s="36"/>
      <c r="AC1096" s="36"/>
      <c r="AD1096" s="36"/>
      <c r="AE1096" s="36"/>
      <c r="AF1096" s="36"/>
      <c r="AG1096" s="36"/>
      <c r="AH1096" s="36"/>
      <c r="AI1096" s="36"/>
    </row>
    <row r="1097" spans="1:35" ht="15.75" hidden="1" customHeight="1" thickBot="1">
      <c r="A1097" s="214" t="s">
        <v>0</v>
      </c>
      <c r="B1097" s="276">
        <v>1</v>
      </c>
      <c r="C1097" s="349"/>
      <c r="D1097" s="123" t="s">
        <v>156</v>
      </c>
      <c r="E1097" s="124">
        <v>0.6</v>
      </c>
      <c r="F1097" s="58">
        <v>10</v>
      </c>
      <c r="G1097" s="59" t="s">
        <v>164</v>
      </c>
      <c r="H1097" s="60">
        <v>115</v>
      </c>
      <c r="I1097" s="214" t="s">
        <v>0</v>
      </c>
      <c r="J1097" s="36"/>
      <c r="K1097" s="36"/>
      <c r="L1097" s="36"/>
      <c r="M1097" s="36"/>
      <c r="N1097" s="36"/>
      <c r="O1097" s="36"/>
      <c r="P1097" s="36"/>
      <c r="Q1097" s="36"/>
      <c r="R1097" s="36"/>
      <c r="S1097" s="36"/>
      <c r="T1097" s="36"/>
      <c r="U1097" s="36"/>
      <c r="V1097" s="36"/>
      <c r="W1097" s="36"/>
      <c r="X1097" s="36"/>
      <c r="Y1097" s="36"/>
      <c r="Z1097" s="36"/>
      <c r="AA1097" s="36"/>
      <c r="AB1097" s="36"/>
      <c r="AC1097" s="36"/>
      <c r="AD1097" s="36"/>
      <c r="AE1097" s="36"/>
      <c r="AF1097" s="36"/>
      <c r="AG1097" s="36"/>
      <c r="AH1097" s="36"/>
      <c r="AI1097" s="36"/>
    </row>
    <row r="1098" spans="1:35" ht="15" hidden="1" customHeight="1">
      <c r="A1098" s="214" t="s">
        <v>0</v>
      </c>
      <c r="B1098" s="277"/>
      <c r="C1098" s="355"/>
      <c r="D1098" s="314"/>
      <c r="E1098" s="307">
        <f>IF(D1098=0,0,VLOOKUP($D1098,$F1097:$H1106,3,FALSE)*$E1097)</f>
        <v>0</v>
      </c>
      <c r="F1098" s="62">
        <v>9</v>
      </c>
      <c r="G1098" s="63" t="s">
        <v>164</v>
      </c>
      <c r="H1098" s="64">
        <f>H1097-5</f>
        <v>110</v>
      </c>
      <c r="I1098" s="214" t="s">
        <v>0</v>
      </c>
      <c r="J1098" s="36"/>
      <c r="K1098" s="36"/>
      <c r="L1098" s="36"/>
      <c r="M1098" s="36"/>
      <c r="N1098" s="36"/>
      <c r="O1098" s="36"/>
      <c r="P1098" s="36"/>
      <c r="Q1098" s="36"/>
      <c r="R1098" s="36"/>
      <c r="S1098" s="36"/>
      <c r="T1098" s="36"/>
      <c r="U1098" s="36"/>
      <c r="V1098" s="36"/>
      <c r="W1098" s="36"/>
      <c r="X1098" s="36"/>
      <c r="Y1098" s="36"/>
      <c r="Z1098" s="36"/>
      <c r="AA1098" s="36"/>
      <c r="AB1098" s="36"/>
      <c r="AC1098" s="36"/>
      <c r="AD1098" s="36"/>
      <c r="AE1098" s="36"/>
      <c r="AF1098" s="36"/>
      <c r="AG1098" s="36"/>
      <c r="AH1098" s="36"/>
      <c r="AI1098" s="36"/>
    </row>
    <row r="1099" spans="1:35" ht="15" hidden="1" customHeight="1">
      <c r="A1099" s="214" t="s">
        <v>0</v>
      </c>
      <c r="B1099" s="277"/>
      <c r="C1099" s="355"/>
      <c r="D1099" s="315"/>
      <c r="E1099" s="308"/>
      <c r="F1099" s="62">
        <v>8</v>
      </c>
      <c r="G1099" s="63" t="s">
        <v>164</v>
      </c>
      <c r="H1099" s="64">
        <f t="shared" ref="H1099:H1106" si="83">H1098-5</f>
        <v>105</v>
      </c>
      <c r="I1099" s="214" t="s">
        <v>0</v>
      </c>
      <c r="J1099" s="36"/>
      <c r="K1099" s="36"/>
      <c r="L1099" s="36"/>
      <c r="M1099" s="36"/>
      <c r="N1099" s="36"/>
      <c r="O1099" s="36"/>
      <c r="P1099" s="36"/>
      <c r="Q1099" s="36"/>
      <c r="R1099" s="36"/>
      <c r="S1099" s="36"/>
      <c r="T1099" s="36"/>
      <c r="U1099" s="36"/>
      <c r="V1099" s="36"/>
      <c r="W1099" s="36"/>
      <c r="X1099" s="36"/>
      <c r="Y1099" s="36"/>
      <c r="Z1099" s="36"/>
      <c r="AA1099" s="36"/>
      <c r="AB1099" s="36"/>
      <c r="AC1099" s="36"/>
      <c r="AD1099" s="36"/>
      <c r="AE1099" s="36"/>
      <c r="AF1099" s="36"/>
      <c r="AG1099" s="36"/>
      <c r="AH1099" s="36"/>
      <c r="AI1099" s="36"/>
    </row>
    <row r="1100" spans="1:35" ht="15" hidden="1" customHeight="1">
      <c r="A1100" s="214" t="s">
        <v>0</v>
      </c>
      <c r="B1100" s="277"/>
      <c r="C1100" s="355"/>
      <c r="D1100" s="315"/>
      <c r="E1100" s="308"/>
      <c r="F1100" s="62">
        <v>7</v>
      </c>
      <c r="G1100" s="63" t="s">
        <v>164</v>
      </c>
      <c r="H1100" s="64">
        <f t="shared" si="83"/>
        <v>100</v>
      </c>
      <c r="I1100" s="214" t="s">
        <v>0</v>
      </c>
      <c r="J1100" s="36"/>
      <c r="K1100" s="36"/>
      <c r="L1100" s="36"/>
      <c r="M1100" s="36"/>
      <c r="N1100" s="36"/>
      <c r="O1100" s="36"/>
      <c r="P1100" s="36"/>
      <c r="Q1100" s="36"/>
      <c r="R1100" s="36"/>
      <c r="S1100" s="36"/>
      <c r="T1100" s="36"/>
      <c r="U1100" s="36"/>
      <c r="V1100" s="36"/>
      <c r="W1100" s="36"/>
      <c r="X1100" s="36"/>
      <c r="Y1100" s="36"/>
      <c r="Z1100" s="36"/>
      <c r="AA1100" s="36"/>
      <c r="AB1100" s="36"/>
      <c r="AC1100" s="36"/>
      <c r="AD1100" s="36"/>
      <c r="AE1100" s="36"/>
      <c r="AF1100" s="36"/>
      <c r="AG1100" s="36"/>
      <c r="AH1100" s="36"/>
      <c r="AI1100" s="36"/>
    </row>
    <row r="1101" spans="1:35" ht="15" hidden="1" customHeight="1">
      <c r="A1101" s="214" t="s">
        <v>0</v>
      </c>
      <c r="B1101" s="277"/>
      <c r="C1101" s="355"/>
      <c r="D1101" s="315"/>
      <c r="E1101" s="308"/>
      <c r="F1101" s="62">
        <v>6</v>
      </c>
      <c r="G1101" s="63" t="s">
        <v>164</v>
      </c>
      <c r="H1101" s="64">
        <f t="shared" si="83"/>
        <v>95</v>
      </c>
      <c r="I1101" s="214" t="s">
        <v>0</v>
      </c>
      <c r="J1101" s="36"/>
      <c r="K1101" s="36"/>
      <c r="L1101" s="36"/>
      <c r="M1101" s="36"/>
      <c r="N1101" s="36"/>
      <c r="O1101" s="36"/>
      <c r="P1101" s="36"/>
      <c r="Q1101" s="36"/>
      <c r="R1101" s="36"/>
      <c r="S1101" s="36"/>
      <c r="T1101" s="36"/>
      <c r="U1101" s="36"/>
      <c r="V1101" s="36"/>
      <c r="W1101" s="36"/>
      <c r="X1101" s="36"/>
      <c r="Y1101" s="36"/>
      <c r="Z1101" s="36"/>
      <c r="AA1101" s="36"/>
      <c r="AB1101" s="36"/>
      <c r="AC1101" s="36"/>
      <c r="AD1101" s="36"/>
      <c r="AE1101" s="36"/>
      <c r="AF1101" s="36"/>
      <c r="AG1101" s="36"/>
      <c r="AH1101" s="36"/>
      <c r="AI1101" s="36"/>
    </row>
    <row r="1102" spans="1:35" ht="15" hidden="1" customHeight="1">
      <c r="A1102" s="214" t="s">
        <v>0</v>
      </c>
      <c r="B1102" s="277"/>
      <c r="C1102" s="355"/>
      <c r="D1102" s="315"/>
      <c r="E1102" s="308"/>
      <c r="F1102" s="62">
        <v>5</v>
      </c>
      <c r="G1102" s="63" t="s">
        <v>164</v>
      </c>
      <c r="H1102" s="64">
        <f t="shared" si="83"/>
        <v>90</v>
      </c>
      <c r="I1102" s="214" t="s">
        <v>0</v>
      </c>
      <c r="J1102" s="36"/>
      <c r="K1102" s="36"/>
      <c r="L1102" s="36"/>
      <c r="M1102" s="36"/>
      <c r="N1102" s="36"/>
      <c r="O1102" s="36"/>
      <c r="P1102" s="36"/>
      <c r="Q1102" s="36"/>
      <c r="R1102" s="36"/>
      <c r="S1102" s="36"/>
      <c r="T1102" s="36"/>
      <c r="U1102" s="36"/>
      <c r="V1102" s="36"/>
      <c r="W1102" s="36"/>
      <c r="X1102" s="36"/>
      <c r="Y1102" s="36"/>
      <c r="Z1102" s="36"/>
      <c r="AA1102" s="36"/>
      <c r="AB1102" s="36"/>
      <c r="AC1102" s="36"/>
      <c r="AD1102" s="36"/>
      <c r="AE1102" s="36"/>
      <c r="AF1102" s="36"/>
      <c r="AG1102" s="36"/>
      <c r="AH1102" s="36"/>
      <c r="AI1102" s="36"/>
    </row>
    <row r="1103" spans="1:35" ht="15" hidden="1" customHeight="1">
      <c r="A1103" s="214" t="s">
        <v>0</v>
      </c>
      <c r="B1103" s="277"/>
      <c r="C1103" s="355"/>
      <c r="D1103" s="315"/>
      <c r="E1103" s="308"/>
      <c r="F1103" s="62">
        <v>4</v>
      </c>
      <c r="G1103" s="63" t="s">
        <v>164</v>
      </c>
      <c r="H1103" s="64">
        <f t="shared" si="83"/>
        <v>85</v>
      </c>
      <c r="I1103" s="214" t="s">
        <v>0</v>
      </c>
      <c r="J1103" s="36"/>
      <c r="K1103" s="36"/>
      <c r="L1103" s="36"/>
      <c r="M1103" s="36"/>
      <c r="N1103" s="36"/>
      <c r="O1103" s="36"/>
      <c r="P1103" s="36"/>
      <c r="Q1103" s="36"/>
      <c r="R1103" s="36"/>
      <c r="S1103" s="36"/>
      <c r="T1103" s="36"/>
      <c r="U1103" s="36"/>
      <c r="V1103" s="36"/>
      <c r="W1103" s="36"/>
      <c r="X1103" s="36"/>
      <c r="Y1103" s="36"/>
      <c r="Z1103" s="36"/>
      <c r="AA1103" s="36"/>
      <c r="AB1103" s="36"/>
      <c r="AC1103" s="36"/>
      <c r="AD1103" s="36"/>
      <c r="AE1103" s="36"/>
      <c r="AF1103" s="36"/>
      <c r="AG1103" s="36"/>
      <c r="AH1103" s="36"/>
      <c r="AI1103" s="36"/>
    </row>
    <row r="1104" spans="1:35" ht="15.75" hidden="1" customHeight="1" thickBot="1">
      <c r="A1104" s="214" t="s">
        <v>0</v>
      </c>
      <c r="B1104" s="278"/>
      <c r="C1104" s="350"/>
      <c r="D1104" s="315"/>
      <c r="E1104" s="308"/>
      <c r="F1104" s="62">
        <v>3</v>
      </c>
      <c r="G1104" s="63" t="s">
        <v>164</v>
      </c>
      <c r="H1104" s="64">
        <f t="shared" si="83"/>
        <v>80</v>
      </c>
      <c r="I1104" s="214" t="s">
        <v>0</v>
      </c>
      <c r="J1104" s="36"/>
      <c r="K1104" s="36"/>
      <c r="L1104" s="36"/>
      <c r="M1104" s="36"/>
      <c r="N1104" s="36"/>
      <c r="O1104" s="36"/>
      <c r="P1104" s="36"/>
      <c r="Q1104" s="36"/>
      <c r="R1104" s="36"/>
      <c r="S1104" s="36"/>
      <c r="T1104" s="36"/>
      <c r="U1104" s="36"/>
      <c r="V1104" s="36"/>
      <c r="W1104" s="36"/>
      <c r="X1104" s="36"/>
      <c r="Y1104" s="36"/>
      <c r="Z1104" s="36"/>
      <c r="AA1104" s="36"/>
      <c r="AB1104" s="36"/>
      <c r="AC1104" s="36"/>
      <c r="AD1104" s="36"/>
      <c r="AE1104" s="36"/>
      <c r="AF1104" s="36"/>
      <c r="AG1104" s="36"/>
      <c r="AH1104" s="36"/>
      <c r="AI1104" s="36"/>
    </row>
    <row r="1105" spans="1:35" ht="15" hidden="1" customHeight="1">
      <c r="A1105" s="214" t="s">
        <v>0</v>
      </c>
      <c r="B1105" s="274" t="s">
        <v>158</v>
      </c>
      <c r="C1105" s="349"/>
      <c r="D1105" s="315"/>
      <c r="E1105" s="308"/>
      <c r="F1105" s="62">
        <v>2</v>
      </c>
      <c r="G1105" s="63" t="s">
        <v>164</v>
      </c>
      <c r="H1105" s="64">
        <f t="shared" si="83"/>
        <v>75</v>
      </c>
      <c r="I1105" s="214" t="s">
        <v>0</v>
      </c>
      <c r="J1105" s="36"/>
      <c r="K1105" s="36"/>
      <c r="L1105" s="36"/>
      <c r="M1105" s="36"/>
      <c r="N1105" s="36"/>
      <c r="O1105" s="36"/>
      <c r="P1105" s="36"/>
      <c r="Q1105" s="36"/>
      <c r="R1105" s="36"/>
      <c r="S1105" s="36"/>
      <c r="T1105" s="36"/>
      <c r="U1105" s="36"/>
      <c r="V1105" s="36"/>
      <c r="W1105" s="36"/>
      <c r="X1105" s="36"/>
      <c r="Y1105" s="36"/>
      <c r="Z1105" s="36"/>
      <c r="AA1105" s="36"/>
      <c r="AB1105" s="36"/>
      <c r="AC1105" s="36"/>
      <c r="AD1105" s="36"/>
      <c r="AE1105" s="36"/>
      <c r="AF1105" s="36"/>
      <c r="AG1105" s="36"/>
      <c r="AH1105" s="36"/>
      <c r="AI1105" s="36"/>
    </row>
    <row r="1106" spans="1:35" ht="15.75" hidden="1" customHeight="1" thickBot="1">
      <c r="A1106" s="214" t="s">
        <v>0</v>
      </c>
      <c r="B1106" s="275"/>
      <c r="C1106" s="350"/>
      <c r="D1106" s="316"/>
      <c r="E1106" s="309"/>
      <c r="F1106" s="67">
        <v>1</v>
      </c>
      <c r="G1106" s="68" t="s">
        <v>164</v>
      </c>
      <c r="H1106" s="69">
        <f t="shared" si="83"/>
        <v>70</v>
      </c>
      <c r="I1106" s="214" t="s">
        <v>0</v>
      </c>
      <c r="J1106" s="36"/>
      <c r="K1106" s="36"/>
      <c r="L1106" s="36"/>
      <c r="M1106" s="36"/>
      <c r="N1106" s="36"/>
      <c r="O1106" s="36"/>
      <c r="P1106" s="36"/>
      <c r="Q1106" s="36"/>
      <c r="R1106" s="36"/>
      <c r="S1106" s="36"/>
      <c r="T1106" s="36"/>
      <c r="U1106" s="36"/>
      <c r="V1106" s="36"/>
      <c r="W1106" s="36"/>
      <c r="X1106" s="36"/>
      <c r="Y1106" s="36"/>
      <c r="Z1106" s="36"/>
      <c r="AA1106" s="36"/>
      <c r="AB1106" s="36"/>
      <c r="AC1106" s="36"/>
      <c r="AD1106" s="36"/>
      <c r="AE1106" s="36"/>
      <c r="AF1106" s="36"/>
      <c r="AG1106" s="36"/>
      <c r="AH1106" s="36"/>
      <c r="AI1106" s="36"/>
    </row>
    <row r="1107" spans="1:35" ht="15.75" hidden="1" customHeight="1" thickBot="1">
      <c r="A1107" s="214" t="s">
        <v>0</v>
      </c>
      <c r="B1107" s="276">
        <v>2</v>
      </c>
      <c r="C1107" s="349"/>
      <c r="D1107" s="123" t="s">
        <v>156</v>
      </c>
      <c r="E1107" s="124">
        <v>0.6</v>
      </c>
      <c r="F1107" s="58">
        <v>10</v>
      </c>
      <c r="G1107" s="59" t="s">
        <v>164</v>
      </c>
      <c r="H1107" s="60">
        <v>115</v>
      </c>
      <c r="I1107" s="214" t="s">
        <v>0</v>
      </c>
      <c r="J1107" s="36"/>
      <c r="K1107" s="36"/>
      <c r="L1107" s="36"/>
      <c r="M1107" s="36"/>
      <c r="N1107" s="36"/>
      <c r="O1107" s="36"/>
      <c r="P1107" s="36"/>
      <c r="Q1107" s="36"/>
      <c r="R1107" s="36"/>
      <c r="S1107" s="36"/>
      <c r="T1107" s="36"/>
      <c r="U1107" s="36"/>
      <c r="V1107" s="36"/>
      <c r="W1107" s="36"/>
      <c r="X1107" s="36"/>
      <c r="Y1107" s="36"/>
      <c r="Z1107" s="36"/>
      <c r="AA1107" s="36"/>
      <c r="AB1107" s="36"/>
      <c r="AC1107" s="36"/>
      <c r="AD1107" s="36"/>
      <c r="AE1107" s="36"/>
      <c r="AF1107" s="36"/>
      <c r="AG1107" s="36"/>
      <c r="AH1107" s="36"/>
      <c r="AI1107" s="36"/>
    </row>
    <row r="1108" spans="1:35" ht="15" hidden="1" customHeight="1">
      <c r="A1108" s="214" t="s">
        <v>0</v>
      </c>
      <c r="B1108" s="277"/>
      <c r="C1108" s="355"/>
      <c r="D1108" s="314"/>
      <c r="E1108" s="307">
        <f>IF(D1108=0,0,VLOOKUP($D1108,$F1107:$H1116,3,FALSE)*$E1107)</f>
        <v>0</v>
      </c>
      <c r="F1108" s="62">
        <v>9</v>
      </c>
      <c r="G1108" s="63" t="s">
        <v>164</v>
      </c>
      <c r="H1108" s="64">
        <f>H1107-5</f>
        <v>110</v>
      </c>
      <c r="I1108" s="214" t="s">
        <v>0</v>
      </c>
      <c r="J1108" s="36"/>
      <c r="K1108" s="36"/>
      <c r="L1108" s="36"/>
      <c r="M1108" s="36"/>
      <c r="N1108" s="36"/>
      <c r="O1108" s="36"/>
      <c r="P1108" s="36"/>
      <c r="Q1108" s="36"/>
      <c r="R1108" s="36"/>
      <c r="S1108" s="36"/>
      <c r="T1108" s="36"/>
      <c r="U1108" s="36"/>
      <c r="V1108" s="36"/>
      <c r="W1108" s="36"/>
      <c r="X1108" s="36"/>
      <c r="Y1108" s="36"/>
      <c r="Z1108" s="36"/>
      <c r="AA1108" s="36"/>
      <c r="AB1108" s="36"/>
      <c r="AC1108" s="36"/>
      <c r="AD1108" s="36"/>
      <c r="AE1108" s="36"/>
      <c r="AF1108" s="36"/>
      <c r="AG1108" s="36"/>
      <c r="AH1108" s="36"/>
      <c r="AI1108" s="36"/>
    </row>
    <row r="1109" spans="1:35" ht="15" hidden="1" customHeight="1">
      <c r="A1109" s="214" t="s">
        <v>0</v>
      </c>
      <c r="B1109" s="277"/>
      <c r="C1109" s="355"/>
      <c r="D1109" s="315"/>
      <c r="E1109" s="308"/>
      <c r="F1109" s="62">
        <v>8</v>
      </c>
      <c r="G1109" s="63" t="s">
        <v>164</v>
      </c>
      <c r="H1109" s="64">
        <f t="shared" ref="H1109:H1116" si="84">H1108-5</f>
        <v>105</v>
      </c>
      <c r="I1109" s="214" t="s">
        <v>0</v>
      </c>
      <c r="J1109" s="36"/>
      <c r="K1109" s="36"/>
      <c r="L1109" s="36"/>
      <c r="M1109" s="36"/>
      <c r="N1109" s="36"/>
      <c r="O1109" s="36"/>
      <c r="P1109" s="36"/>
      <c r="Q1109" s="36"/>
      <c r="R1109" s="36"/>
      <c r="S1109" s="36"/>
      <c r="T1109" s="36"/>
      <c r="U1109" s="36"/>
      <c r="V1109" s="36"/>
      <c r="W1109" s="36"/>
      <c r="X1109" s="36"/>
      <c r="Y1109" s="36"/>
      <c r="Z1109" s="36"/>
      <c r="AA1109" s="36"/>
      <c r="AB1109" s="36"/>
      <c r="AC1109" s="36"/>
      <c r="AD1109" s="36"/>
      <c r="AE1109" s="36"/>
      <c r="AF1109" s="36"/>
      <c r="AG1109" s="36"/>
      <c r="AH1109" s="36"/>
      <c r="AI1109" s="36"/>
    </row>
    <row r="1110" spans="1:35" ht="15" hidden="1" customHeight="1">
      <c r="A1110" s="214" t="s">
        <v>0</v>
      </c>
      <c r="B1110" s="277"/>
      <c r="C1110" s="355"/>
      <c r="D1110" s="315"/>
      <c r="E1110" s="308"/>
      <c r="F1110" s="62">
        <v>7</v>
      </c>
      <c r="G1110" s="63" t="s">
        <v>164</v>
      </c>
      <c r="H1110" s="64">
        <f t="shared" si="84"/>
        <v>100</v>
      </c>
      <c r="I1110" s="214" t="s">
        <v>0</v>
      </c>
      <c r="J1110" s="36"/>
      <c r="K1110" s="36"/>
      <c r="L1110" s="36"/>
      <c r="M1110" s="36"/>
      <c r="N1110" s="36"/>
      <c r="O1110" s="36"/>
      <c r="P1110" s="36"/>
      <c r="Q1110" s="36"/>
      <c r="R1110" s="36"/>
      <c r="S1110" s="36"/>
      <c r="T1110" s="36"/>
      <c r="U1110" s="36"/>
      <c r="V1110" s="36"/>
      <c r="W1110" s="36"/>
      <c r="X1110" s="36"/>
      <c r="Y1110" s="36"/>
      <c r="Z1110" s="36"/>
      <c r="AA1110" s="36"/>
      <c r="AB1110" s="36"/>
      <c r="AC1110" s="36"/>
      <c r="AD1110" s="36"/>
      <c r="AE1110" s="36"/>
      <c r="AF1110" s="36"/>
      <c r="AG1110" s="36"/>
      <c r="AH1110" s="36"/>
      <c r="AI1110" s="36"/>
    </row>
    <row r="1111" spans="1:35" ht="15" hidden="1" customHeight="1">
      <c r="A1111" s="214" t="s">
        <v>0</v>
      </c>
      <c r="B1111" s="277"/>
      <c r="C1111" s="355"/>
      <c r="D1111" s="315"/>
      <c r="E1111" s="308"/>
      <c r="F1111" s="62">
        <v>6</v>
      </c>
      <c r="G1111" s="63" t="s">
        <v>164</v>
      </c>
      <c r="H1111" s="64">
        <f t="shared" si="84"/>
        <v>95</v>
      </c>
      <c r="I1111" s="214" t="s">
        <v>0</v>
      </c>
      <c r="J1111" s="36"/>
      <c r="K1111" s="36"/>
      <c r="L1111" s="36"/>
      <c r="M1111" s="36"/>
      <c r="N1111" s="36"/>
      <c r="O1111" s="36"/>
      <c r="P1111" s="36"/>
      <c r="Q1111" s="36"/>
      <c r="R1111" s="36"/>
      <c r="S1111" s="36"/>
      <c r="T1111" s="36"/>
      <c r="U1111" s="36"/>
      <c r="V1111" s="36"/>
      <c r="W1111" s="36"/>
      <c r="X1111" s="36"/>
      <c r="Y1111" s="36"/>
      <c r="Z1111" s="36"/>
      <c r="AA1111" s="36"/>
      <c r="AB1111" s="36"/>
      <c r="AC1111" s="36"/>
      <c r="AD1111" s="36"/>
      <c r="AE1111" s="36"/>
      <c r="AF1111" s="36"/>
      <c r="AG1111" s="36"/>
      <c r="AH1111" s="36"/>
      <c r="AI1111" s="36"/>
    </row>
    <row r="1112" spans="1:35" ht="15" hidden="1" customHeight="1">
      <c r="A1112" s="214" t="s">
        <v>0</v>
      </c>
      <c r="B1112" s="277"/>
      <c r="C1112" s="355"/>
      <c r="D1112" s="315"/>
      <c r="E1112" s="308"/>
      <c r="F1112" s="62">
        <v>5</v>
      </c>
      <c r="G1112" s="63" t="s">
        <v>164</v>
      </c>
      <c r="H1112" s="64">
        <f t="shared" si="84"/>
        <v>90</v>
      </c>
      <c r="I1112" s="214" t="s">
        <v>0</v>
      </c>
      <c r="J1112" s="36"/>
      <c r="K1112" s="36"/>
      <c r="L1112" s="36"/>
      <c r="M1112" s="36"/>
      <c r="N1112" s="36"/>
      <c r="O1112" s="36"/>
      <c r="P1112" s="36"/>
      <c r="Q1112" s="36"/>
      <c r="R1112" s="36"/>
      <c r="S1112" s="36"/>
      <c r="T1112" s="36"/>
      <c r="U1112" s="36"/>
      <c r="V1112" s="36"/>
      <c r="W1112" s="36"/>
      <c r="X1112" s="36"/>
      <c r="Y1112" s="36"/>
      <c r="Z1112" s="36"/>
      <c r="AA1112" s="36"/>
      <c r="AB1112" s="36"/>
      <c r="AC1112" s="36"/>
      <c r="AD1112" s="36"/>
      <c r="AE1112" s="36"/>
      <c r="AF1112" s="36"/>
      <c r="AG1112" s="36"/>
      <c r="AH1112" s="36"/>
      <c r="AI1112" s="36"/>
    </row>
    <row r="1113" spans="1:35" ht="15" hidden="1" customHeight="1">
      <c r="A1113" s="214" t="s">
        <v>0</v>
      </c>
      <c r="B1113" s="277"/>
      <c r="C1113" s="355"/>
      <c r="D1113" s="315"/>
      <c r="E1113" s="308"/>
      <c r="F1113" s="62">
        <v>4</v>
      </c>
      <c r="G1113" s="63" t="s">
        <v>164</v>
      </c>
      <c r="H1113" s="64">
        <f t="shared" si="84"/>
        <v>85</v>
      </c>
      <c r="I1113" s="214" t="s">
        <v>0</v>
      </c>
      <c r="J1113" s="36"/>
      <c r="K1113" s="36"/>
      <c r="L1113" s="36"/>
      <c r="M1113" s="36"/>
      <c r="N1113" s="36"/>
      <c r="O1113" s="36"/>
      <c r="P1113" s="36"/>
      <c r="Q1113" s="36"/>
      <c r="R1113" s="36"/>
      <c r="S1113" s="36"/>
      <c r="T1113" s="36"/>
      <c r="U1113" s="36"/>
      <c r="V1113" s="36"/>
      <c r="W1113" s="36"/>
      <c r="X1113" s="36"/>
      <c r="Y1113" s="36"/>
      <c r="Z1113" s="36"/>
      <c r="AA1113" s="36"/>
      <c r="AB1113" s="36"/>
      <c r="AC1113" s="36"/>
      <c r="AD1113" s="36"/>
      <c r="AE1113" s="36"/>
      <c r="AF1113" s="36"/>
      <c r="AG1113" s="36"/>
      <c r="AH1113" s="36"/>
      <c r="AI1113" s="36"/>
    </row>
    <row r="1114" spans="1:35" ht="15.75" hidden="1" customHeight="1" thickBot="1">
      <c r="A1114" s="214" t="s">
        <v>0</v>
      </c>
      <c r="B1114" s="278"/>
      <c r="C1114" s="350"/>
      <c r="D1114" s="315"/>
      <c r="E1114" s="308"/>
      <c r="F1114" s="62">
        <v>3</v>
      </c>
      <c r="G1114" s="63" t="s">
        <v>164</v>
      </c>
      <c r="H1114" s="64">
        <f t="shared" si="84"/>
        <v>80</v>
      </c>
      <c r="I1114" s="214" t="s">
        <v>0</v>
      </c>
      <c r="J1114" s="36"/>
      <c r="K1114" s="36"/>
      <c r="L1114" s="36"/>
      <c r="M1114" s="36"/>
      <c r="N1114" s="36"/>
      <c r="O1114" s="36"/>
      <c r="P1114" s="36"/>
      <c r="Q1114" s="36"/>
      <c r="R1114" s="36"/>
      <c r="S1114" s="36"/>
      <c r="T1114" s="36"/>
      <c r="U1114" s="36"/>
      <c r="V1114" s="36"/>
      <c r="W1114" s="36"/>
      <c r="X1114" s="36"/>
      <c r="Y1114" s="36"/>
      <c r="Z1114" s="36"/>
      <c r="AA1114" s="36"/>
      <c r="AB1114" s="36"/>
      <c r="AC1114" s="36"/>
      <c r="AD1114" s="36"/>
      <c r="AE1114" s="36"/>
      <c r="AF1114" s="36"/>
      <c r="AG1114" s="36"/>
      <c r="AH1114" s="36"/>
      <c r="AI1114" s="36"/>
    </row>
    <row r="1115" spans="1:35" ht="15" hidden="1" customHeight="1">
      <c r="A1115" s="214" t="s">
        <v>0</v>
      </c>
      <c r="B1115" s="274" t="s">
        <v>158</v>
      </c>
      <c r="C1115" s="349"/>
      <c r="D1115" s="315"/>
      <c r="E1115" s="308"/>
      <c r="F1115" s="62">
        <v>2</v>
      </c>
      <c r="G1115" s="63" t="s">
        <v>164</v>
      </c>
      <c r="H1115" s="64">
        <f t="shared" si="84"/>
        <v>75</v>
      </c>
      <c r="I1115" s="214" t="s">
        <v>0</v>
      </c>
      <c r="J1115" s="36"/>
      <c r="K1115" s="36"/>
      <c r="L1115" s="36"/>
      <c r="M1115" s="36"/>
      <c r="N1115" s="36"/>
      <c r="O1115" s="36"/>
      <c r="P1115" s="36"/>
      <c r="Q1115" s="36"/>
      <c r="R1115" s="36"/>
      <c r="S1115" s="36"/>
      <c r="T1115" s="36"/>
      <c r="U1115" s="36"/>
      <c r="V1115" s="36"/>
      <c r="W1115" s="36"/>
      <c r="X1115" s="36"/>
      <c r="Y1115" s="36"/>
      <c r="Z1115" s="36"/>
      <c r="AA1115" s="36"/>
      <c r="AB1115" s="36"/>
      <c r="AC1115" s="36"/>
      <c r="AD1115" s="36"/>
      <c r="AE1115" s="36"/>
      <c r="AF1115" s="36"/>
      <c r="AG1115" s="36"/>
      <c r="AH1115" s="36"/>
      <c r="AI1115" s="36"/>
    </row>
    <row r="1116" spans="1:35" ht="15.75" hidden="1" customHeight="1" thickBot="1">
      <c r="A1116" s="214" t="s">
        <v>0</v>
      </c>
      <c r="B1116" s="275"/>
      <c r="C1116" s="350"/>
      <c r="D1116" s="316"/>
      <c r="E1116" s="309"/>
      <c r="F1116" s="67">
        <v>1</v>
      </c>
      <c r="G1116" s="68" t="s">
        <v>164</v>
      </c>
      <c r="H1116" s="69">
        <f t="shared" si="84"/>
        <v>70</v>
      </c>
      <c r="I1116" s="214" t="s">
        <v>0</v>
      </c>
      <c r="J1116" s="36"/>
      <c r="K1116" s="36"/>
      <c r="L1116" s="36"/>
      <c r="M1116" s="36"/>
      <c r="N1116" s="36"/>
      <c r="O1116" s="36"/>
      <c r="P1116" s="36"/>
      <c r="Q1116" s="36"/>
      <c r="R1116" s="36"/>
      <c r="S1116" s="36"/>
      <c r="T1116" s="36"/>
      <c r="U1116" s="36"/>
      <c r="V1116" s="36"/>
      <c r="W1116" s="36"/>
      <c r="X1116" s="36"/>
      <c r="Y1116" s="36"/>
      <c r="Z1116" s="36"/>
      <c r="AA1116" s="36"/>
      <c r="AB1116" s="36"/>
      <c r="AC1116" s="36"/>
      <c r="AD1116" s="36"/>
      <c r="AE1116" s="36"/>
      <c r="AF1116" s="36"/>
      <c r="AG1116" s="36"/>
      <c r="AH1116" s="36"/>
      <c r="AI1116" s="36"/>
    </row>
    <row r="1117" spans="1:35" ht="15.75" hidden="1" customHeight="1" thickBot="1">
      <c r="A1117" s="214" t="s">
        <v>0</v>
      </c>
      <c r="B1117" s="276">
        <v>3</v>
      </c>
      <c r="C1117" s="349"/>
      <c r="D1117" s="123" t="s">
        <v>156</v>
      </c>
      <c r="E1117" s="124">
        <v>0.6</v>
      </c>
      <c r="F1117" s="58">
        <v>10</v>
      </c>
      <c r="G1117" s="59" t="s">
        <v>164</v>
      </c>
      <c r="H1117" s="60">
        <v>115</v>
      </c>
      <c r="I1117" s="214" t="s">
        <v>0</v>
      </c>
      <c r="J1117" s="36"/>
      <c r="K1117" s="36"/>
      <c r="L1117" s="36"/>
      <c r="M1117" s="36"/>
      <c r="N1117" s="36"/>
      <c r="O1117" s="36"/>
      <c r="P1117" s="36"/>
      <c r="Q1117" s="36"/>
      <c r="R1117" s="36"/>
      <c r="S1117" s="36"/>
      <c r="T1117" s="36"/>
      <c r="U1117" s="36"/>
      <c r="V1117" s="36"/>
      <c r="W1117" s="36"/>
      <c r="X1117" s="36"/>
      <c r="Y1117" s="36"/>
      <c r="Z1117" s="36"/>
      <c r="AA1117" s="36"/>
      <c r="AB1117" s="36"/>
      <c r="AC1117" s="36"/>
      <c r="AD1117" s="36"/>
      <c r="AE1117" s="36"/>
      <c r="AF1117" s="36"/>
      <c r="AG1117" s="36"/>
      <c r="AH1117" s="36"/>
      <c r="AI1117" s="36"/>
    </row>
    <row r="1118" spans="1:35" ht="15" hidden="1" customHeight="1">
      <c r="A1118" s="214" t="s">
        <v>0</v>
      </c>
      <c r="B1118" s="277"/>
      <c r="C1118" s="355"/>
      <c r="D1118" s="314"/>
      <c r="E1118" s="307">
        <f>IF(D1118=0,0,VLOOKUP($D1118,$F1117:$H1126,3,FALSE)*$E1117)</f>
        <v>0</v>
      </c>
      <c r="F1118" s="62">
        <v>9</v>
      </c>
      <c r="G1118" s="63" t="s">
        <v>164</v>
      </c>
      <c r="H1118" s="64">
        <f>H1117-5</f>
        <v>110</v>
      </c>
      <c r="I1118" s="214" t="s">
        <v>0</v>
      </c>
      <c r="J1118" s="36"/>
      <c r="K1118" s="36"/>
      <c r="L1118" s="36"/>
      <c r="M1118" s="36"/>
      <c r="N1118" s="36"/>
      <c r="O1118" s="36"/>
      <c r="P1118" s="36"/>
      <c r="Q1118" s="36"/>
      <c r="R1118" s="36"/>
      <c r="S1118" s="36"/>
      <c r="T1118" s="36"/>
      <c r="U1118" s="36"/>
      <c r="V1118" s="36"/>
      <c r="W1118" s="36"/>
      <c r="X1118" s="36"/>
      <c r="Y1118" s="36"/>
      <c r="Z1118" s="36"/>
      <c r="AA1118" s="36"/>
      <c r="AB1118" s="36"/>
      <c r="AC1118" s="36"/>
      <c r="AD1118" s="36"/>
      <c r="AE1118" s="36"/>
      <c r="AF1118" s="36"/>
      <c r="AG1118" s="36"/>
      <c r="AH1118" s="36"/>
      <c r="AI1118" s="36"/>
    </row>
    <row r="1119" spans="1:35" ht="15" hidden="1" customHeight="1">
      <c r="A1119" s="214" t="s">
        <v>0</v>
      </c>
      <c r="B1119" s="277"/>
      <c r="C1119" s="355"/>
      <c r="D1119" s="315"/>
      <c r="E1119" s="308"/>
      <c r="F1119" s="62">
        <v>8</v>
      </c>
      <c r="G1119" s="63" t="s">
        <v>164</v>
      </c>
      <c r="H1119" s="64">
        <f t="shared" ref="H1119:H1126" si="85">H1118-5</f>
        <v>105</v>
      </c>
      <c r="I1119" s="214" t="s">
        <v>0</v>
      </c>
      <c r="J1119" s="36"/>
      <c r="K1119" s="36"/>
      <c r="L1119" s="36"/>
      <c r="M1119" s="36"/>
      <c r="N1119" s="36"/>
      <c r="O1119" s="36"/>
      <c r="P1119" s="36"/>
      <c r="Q1119" s="36"/>
      <c r="R1119" s="36"/>
      <c r="S1119" s="36"/>
      <c r="T1119" s="36"/>
      <c r="U1119" s="36"/>
      <c r="V1119" s="36"/>
      <c r="W1119" s="36"/>
      <c r="X1119" s="36"/>
      <c r="Y1119" s="36"/>
      <c r="Z1119" s="36"/>
      <c r="AA1119" s="36"/>
      <c r="AB1119" s="36"/>
      <c r="AC1119" s="36"/>
      <c r="AD1119" s="36"/>
      <c r="AE1119" s="36"/>
      <c r="AF1119" s="36"/>
      <c r="AG1119" s="36"/>
      <c r="AH1119" s="36"/>
      <c r="AI1119" s="36"/>
    </row>
    <row r="1120" spans="1:35" ht="15" hidden="1" customHeight="1">
      <c r="A1120" s="214" t="s">
        <v>0</v>
      </c>
      <c r="B1120" s="277"/>
      <c r="C1120" s="355"/>
      <c r="D1120" s="315"/>
      <c r="E1120" s="308"/>
      <c r="F1120" s="62">
        <v>7</v>
      </c>
      <c r="G1120" s="63" t="s">
        <v>164</v>
      </c>
      <c r="H1120" s="64">
        <f t="shared" si="85"/>
        <v>100</v>
      </c>
      <c r="I1120" s="214" t="s">
        <v>0</v>
      </c>
      <c r="J1120" s="36"/>
      <c r="K1120" s="36"/>
      <c r="L1120" s="36"/>
      <c r="M1120" s="36"/>
      <c r="N1120" s="36"/>
      <c r="O1120" s="36"/>
      <c r="P1120" s="36"/>
      <c r="Q1120" s="36"/>
      <c r="R1120" s="36"/>
      <c r="S1120" s="36"/>
      <c r="T1120" s="36"/>
      <c r="U1120" s="36"/>
      <c r="V1120" s="36"/>
      <c r="W1120" s="36"/>
      <c r="X1120" s="36"/>
      <c r="Y1120" s="36"/>
      <c r="Z1120" s="36"/>
      <c r="AA1120" s="36"/>
      <c r="AB1120" s="36"/>
      <c r="AC1120" s="36"/>
      <c r="AD1120" s="36"/>
      <c r="AE1120" s="36"/>
      <c r="AF1120" s="36"/>
      <c r="AG1120" s="36"/>
      <c r="AH1120" s="36"/>
      <c r="AI1120" s="36"/>
    </row>
    <row r="1121" spans="1:35" ht="15" hidden="1" customHeight="1">
      <c r="A1121" s="214" t="s">
        <v>0</v>
      </c>
      <c r="B1121" s="277"/>
      <c r="C1121" s="355"/>
      <c r="D1121" s="315"/>
      <c r="E1121" s="308"/>
      <c r="F1121" s="62">
        <v>6</v>
      </c>
      <c r="G1121" s="63" t="s">
        <v>164</v>
      </c>
      <c r="H1121" s="64">
        <f t="shared" si="85"/>
        <v>95</v>
      </c>
      <c r="I1121" s="214" t="s">
        <v>0</v>
      </c>
      <c r="J1121" s="36"/>
      <c r="K1121" s="36"/>
      <c r="L1121" s="36"/>
      <c r="M1121" s="36"/>
      <c r="N1121" s="36"/>
      <c r="O1121" s="36"/>
      <c r="P1121" s="36"/>
      <c r="Q1121" s="36"/>
      <c r="R1121" s="36"/>
      <c r="S1121" s="36"/>
      <c r="T1121" s="36"/>
      <c r="U1121" s="36"/>
      <c r="V1121" s="36"/>
      <c r="W1121" s="36"/>
      <c r="X1121" s="36"/>
      <c r="Y1121" s="36"/>
      <c r="Z1121" s="36"/>
      <c r="AA1121" s="36"/>
      <c r="AB1121" s="36"/>
      <c r="AC1121" s="36"/>
      <c r="AD1121" s="36"/>
      <c r="AE1121" s="36"/>
      <c r="AF1121" s="36"/>
      <c r="AG1121" s="36"/>
      <c r="AH1121" s="36"/>
      <c r="AI1121" s="36"/>
    </row>
    <row r="1122" spans="1:35" ht="15" hidden="1" customHeight="1">
      <c r="A1122" s="214" t="s">
        <v>0</v>
      </c>
      <c r="B1122" s="277"/>
      <c r="C1122" s="355"/>
      <c r="D1122" s="315"/>
      <c r="E1122" s="308"/>
      <c r="F1122" s="62">
        <v>5</v>
      </c>
      <c r="G1122" s="63" t="s">
        <v>164</v>
      </c>
      <c r="H1122" s="64">
        <f t="shared" si="85"/>
        <v>90</v>
      </c>
      <c r="I1122" s="214" t="s">
        <v>0</v>
      </c>
      <c r="J1122" s="36"/>
      <c r="K1122" s="36"/>
      <c r="L1122" s="36"/>
      <c r="M1122" s="36"/>
      <c r="N1122" s="36"/>
      <c r="O1122" s="36"/>
      <c r="P1122" s="36"/>
      <c r="Q1122" s="36"/>
      <c r="R1122" s="36"/>
      <c r="S1122" s="36"/>
      <c r="T1122" s="36"/>
      <c r="U1122" s="36"/>
      <c r="V1122" s="36"/>
      <c r="W1122" s="36"/>
      <c r="X1122" s="36"/>
      <c r="Y1122" s="36"/>
      <c r="Z1122" s="36"/>
      <c r="AA1122" s="36"/>
      <c r="AB1122" s="36"/>
      <c r="AC1122" s="36"/>
      <c r="AD1122" s="36"/>
      <c r="AE1122" s="36"/>
      <c r="AF1122" s="36"/>
      <c r="AG1122" s="36"/>
      <c r="AH1122" s="36"/>
      <c r="AI1122" s="36"/>
    </row>
    <row r="1123" spans="1:35" ht="15" hidden="1" customHeight="1">
      <c r="A1123" s="214" t="s">
        <v>0</v>
      </c>
      <c r="B1123" s="277"/>
      <c r="C1123" s="355"/>
      <c r="D1123" s="315"/>
      <c r="E1123" s="308"/>
      <c r="F1123" s="62">
        <v>4</v>
      </c>
      <c r="G1123" s="63" t="s">
        <v>164</v>
      </c>
      <c r="H1123" s="64">
        <f t="shared" si="85"/>
        <v>85</v>
      </c>
      <c r="I1123" s="214" t="s">
        <v>0</v>
      </c>
      <c r="J1123" s="36"/>
      <c r="K1123" s="36"/>
      <c r="L1123" s="36"/>
      <c r="M1123" s="36"/>
      <c r="N1123" s="36"/>
      <c r="O1123" s="36"/>
      <c r="P1123" s="36"/>
      <c r="Q1123" s="36"/>
      <c r="R1123" s="36"/>
      <c r="S1123" s="36"/>
      <c r="T1123" s="36"/>
      <c r="U1123" s="36"/>
      <c r="V1123" s="36"/>
      <c r="W1123" s="36"/>
      <c r="X1123" s="36"/>
      <c r="Y1123" s="36"/>
      <c r="Z1123" s="36"/>
      <c r="AA1123" s="36"/>
      <c r="AB1123" s="36"/>
      <c r="AC1123" s="36"/>
      <c r="AD1123" s="36"/>
      <c r="AE1123" s="36"/>
      <c r="AF1123" s="36"/>
      <c r="AG1123" s="36"/>
      <c r="AH1123" s="36"/>
      <c r="AI1123" s="36"/>
    </row>
    <row r="1124" spans="1:35" ht="15.75" hidden="1" customHeight="1" thickBot="1">
      <c r="A1124" s="214" t="s">
        <v>0</v>
      </c>
      <c r="B1124" s="278"/>
      <c r="C1124" s="350"/>
      <c r="D1124" s="315"/>
      <c r="E1124" s="308"/>
      <c r="F1124" s="62">
        <v>3</v>
      </c>
      <c r="G1124" s="63" t="s">
        <v>164</v>
      </c>
      <c r="H1124" s="64">
        <f t="shared" si="85"/>
        <v>80</v>
      </c>
      <c r="I1124" s="214" t="s">
        <v>0</v>
      </c>
      <c r="J1124" s="36"/>
      <c r="K1124" s="36"/>
      <c r="L1124" s="36"/>
      <c r="M1124" s="36"/>
      <c r="N1124" s="36"/>
      <c r="O1124" s="36"/>
      <c r="P1124" s="36"/>
      <c r="Q1124" s="36"/>
      <c r="R1124" s="36"/>
      <c r="S1124" s="36"/>
      <c r="T1124" s="36"/>
      <c r="U1124" s="36"/>
      <c r="V1124" s="36"/>
      <c r="W1124" s="36"/>
      <c r="X1124" s="36"/>
      <c r="Y1124" s="36"/>
      <c r="Z1124" s="36"/>
      <c r="AA1124" s="36"/>
      <c r="AB1124" s="36"/>
      <c r="AC1124" s="36"/>
      <c r="AD1124" s="36"/>
      <c r="AE1124" s="36"/>
      <c r="AF1124" s="36"/>
      <c r="AG1124" s="36"/>
      <c r="AH1124" s="36"/>
      <c r="AI1124" s="36"/>
    </row>
    <row r="1125" spans="1:35" ht="15" hidden="1" customHeight="1">
      <c r="A1125" s="214" t="s">
        <v>0</v>
      </c>
      <c r="B1125" s="274" t="s">
        <v>158</v>
      </c>
      <c r="C1125" s="349"/>
      <c r="D1125" s="315"/>
      <c r="E1125" s="308"/>
      <c r="F1125" s="62">
        <v>2</v>
      </c>
      <c r="G1125" s="63" t="s">
        <v>164</v>
      </c>
      <c r="H1125" s="64">
        <f t="shared" si="85"/>
        <v>75</v>
      </c>
      <c r="I1125" s="214" t="s">
        <v>0</v>
      </c>
      <c r="J1125" s="36"/>
      <c r="K1125" s="36"/>
      <c r="L1125" s="36"/>
      <c r="M1125" s="36"/>
      <c r="N1125" s="36"/>
      <c r="O1125" s="36"/>
      <c r="P1125" s="36"/>
      <c r="Q1125" s="36"/>
      <c r="R1125" s="36"/>
      <c r="S1125" s="36"/>
      <c r="T1125" s="36"/>
      <c r="U1125" s="36"/>
      <c r="V1125" s="36"/>
      <c r="W1125" s="36"/>
      <c r="X1125" s="36"/>
      <c r="Y1125" s="36"/>
      <c r="Z1125" s="36"/>
      <c r="AA1125" s="36"/>
      <c r="AB1125" s="36"/>
      <c r="AC1125" s="36"/>
      <c r="AD1125" s="36"/>
      <c r="AE1125" s="36"/>
      <c r="AF1125" s="36"/>
      <c r="AG1125" s="36"/>
      <c r="AH1125" s="36"/>
      <c r="AI1125" s="36"/>
    </row>
    <row r="1126" spans="1:35" ht="15.75" hidden="1" customHeight="1" thickBot="1">
      <c r="A1126" s="214" t="s">
        <v>0</v>
      </c>
      <c r="B1126" s="275"/>
      <c r="C1126" s="350"/>
      <c r="D1126" s="316"/>
      <c r="E1126" s="309"/>
      <c r="F1126" s="67">
        <v>1</v>
      </c>
      <c r="G1126" s="68" t="s">
        <v>164</v>
      </c>
      <c r="H1126" s="69">
        <f t="shared" si="85"/>
        <v>70</v>
      </c>
      <c r="I1126" s="214" t="s">
        <v>0</v>
      </c>
      <c r="J1126" s="36"/>
      <c r="K1126" s="36"/>
      <c r="L1126" s="36"/>
      <c r="M1126" s="36"/>
      <c r="N1126" s="36"/>
      <c r="O1126" s="36"/>
      <c r="P1126" s="36"/>
      <c r="Q1126" s="36"/>
      <c r="R1126" s="36"/>
      <c r="S1126" s="36"/>
      <c r="T1126" s="36"/>
      <c r="U1126" s="36"/>
      <c r="V1126" s="36"/>
      <c r="W1126" s="36"/>
      <c r="X1126" s="36"/>
      <c r="Y1126" s="36"/>
      <c r="Z1126" s="36"/>
      <c r="AA1126" s="36"/>
      <c r="AB1126" s="36"/>
      <c r="AC1126" s="36"/>
      <c r="AD1126" s="36"/>
      <c r="AE1126" s="36"/>
      <c r="AF1126" s="36"/>
      <c r="AG1126" s="36"/>
      <c r="AH1126" s="36"/>
      <c r="AI1126" s="36"/>
    </row>
    <row r="1127" spans="1:35" ht="15.75" hidden="1" customHeight="1" thickBot="1">
      <c r="A1127" s="214" t="s">
        <v>0</v>
      </c>
      <c r="B1127" s="276">
        <v>4</v>
      </c>
      <c r="C1127" s="349"/>
      <c r="D1127" s="123" t="s">
        <v>156</v>
      </c>
      <c r="E1127" s="124">
        <v>0.6</v>
      </c>
      <c r="F1127" s="58">
        <v>10</v>
      </c>
      <c r="G1127" s="59" t="s">
        <v>164</v>
      </c>
      <c r="H1127" s="60">
        <v>115</v>
      </c>
      <c r="I1127" s="214" t="s">
        <v>0</v>
      </c>
      <c r="J1127" s="36"/>
      <c r="K1127" s="36"/>
      <c r="L1127" s="36"/>
      <c r="M1127" s="36"/>
      <c r="N1127" s="36"/>
      <c r="O1127" s="36"/>
      <c r="P1127" s="36"/>
      <c r="Q1127" s="36"/>
      <c r="R1127" s="36"/>
      <c r="S1127" s="36"/>
      <c r="T1127" s="36"/>
      <c r="U1127" s="36"/>
      <c r="V1127" s="36"/>
      <c r="W1127" s="36"/>
      <c r="X1127" s="36"/>
      <c r="Y1127" s="36"/>
      <c r="Z1127" s="36"/>
      <c r="AA1127" s="36"/>
      <c r="AB1127" s="36"/>
      <c r="AC1127" s="36"/>
      <c r="AD1127" s="36"/>
      <c r="AE1127" s="36"/>
      <c r="AF1127" s="36"/>
      <c r="AG1127" s="36"/>
      <c r="AH1127" s="36"/>
      <c r="AI1127" s="36"/>
    </row>
    <row r="1128" spans="1:35" ht="15" hidden="1" customHeight="1">
      <c r="A1128" s="214" t="s">
        <v>0</v>
      </c>
      <c r="B1128" s="277"/>
      <c r="C1128" s="355"/>
      <c r="D1128" s="314"/>
      <c r="E1128" s="307">
        <f>IF(D1128=0,0,VLOOKUP($D1128,$F1127:$H1136,3,FALSE)*$E1127)</f>
        <v>0</v>
      </c>
      <c r="F1128" s="62">
        <v>9</v>
      </c>
      <c r="G1128" s="63" t="s">
        <v>164</v>
      </c>
      <c r="H1128" s="64">
        <f>H1127-5</f>
        <v>110</v>
      </c>
      <c r="I1128" s="214" t="s">
        <v>0</v>
      </c>
      <c r="J1128" s="36"/>
      <c r="K1128" s="36"/>
      <c r="L1128" s="36"/>
      <c r="M1128" s="36"/>
      <c r="N1128" s="36"/>
      <c r="O1128" s="36"/>
      <c r="P1128" s="36"/>
      <c r="Q1128" s="36"/>
      <c r="R1128" s="36"/>
      <c r="S1128" s="36"/>
      <c r="T1128" s="36"/>
      <c r="U1128" s="36"/>
      <c r="V1128" s="36"/>
      <c r="W1128" s="36"/>
      <c r="X1128" s="36"/>
      <c r="Y1128" s="36"/>
      <c r="Z1128" s="36"/>
      <c r="AA1128" s="36"/>
      <c r="AB1128" s="36"/>
      <c r="AC1128" s="36"/>
      <c r="AD1128" s="36"/>
      <c r="AE1128" s="36"/>
      <c r="AF1128" s="36"/>
      <c r="AG1128" s="36"/>
      <c r="AH1128" s="36"/>
      <c r="AI1128" s="36"/>
    </row>
    <row r="1129" spans="1:35" ht="15" hidden="1" customHeight="1">
      <c r="A1129" s="214" t="s">
        <v>0</v>
      </c>
      <c r="B1129" s="277"/>
      <c r="C1129" s="355"/>
      <c r="D1129" s="315"/>
      <c r="E1129" s="308"/>
      <c r="F1129" s="62">
        <v>8</v>
      </c>
      <c r="G1129" s="63" t="s">
        <v>164</v>
      </c>
      <c r="H1129" s="64">
        <f t="shared" ref="H1129:H1136" si="86">H1128-5</f>
        <v>105</v>
      </c>
      <c r="I1129" s="214" t="s">
        <v>0</v>
      </c>
      <c r="J1129" s="36"/>
      <c r="K1129" s="36"/>
      <c r="L1129" s="36"/>
      <c r="M1129" s="36"/>
      <c r="N1129" s="36"/>
      <c r="O1129" s="36"/>
      <c r="P1129" s="36"/>
      <c r="Q1129" s="36"/>
      <c r="R1129" s="36"/>
      <c r="S1129" s="36"/>
      <c r="T1129" s="36"/>
      <c r="U1129" s="36"/>
      <c r="V1129" s="36"/>
      <c r="W1129" s="36"/>
      <c r="X1129" s="36"/>
      <c r="Y1129" s="36"/>
      <c r="Z1129" s="36"/>
      <c r="AA1129" s="36"/>
      <c r="AB1129" s="36"/>
      <c r="AC1129" s="36"/>
      <c r="AD1129" s="36"/>
      <c r="AE1129" s="36"/>
      <c r="AF1129" s="36"/>
      <c r="AG1129" s="36"/>
      <c r="AH1129" s="36"/>
      <c r="AI1129" s="36"/>
    </row>
    <row r="1130" spans="1:35" ht="15" hidden="1" customHeight="1">
      <c r="A1130" s="214" t="s">
        <v>0</v>
      </c>
      <c r="B1130" s="277"/>
      <c r="C1130" s="355"/>
      <c r="D1130" s="315"/>
      <c r="E1130" s="308"/>
      <c r="F1130" s="62">
        <v>7</v>
      </c>
      <c r="G1130" s="63" t="s">
        <v>164</v>
      </c>
      <c r="H1130" s="64">
        <f t="shared" si="86"/>
        <v>100</v>
      </c>
      <c r="I1130" s="214" t="s">
        <v>0</v>
      </c>
      <c r="J1130" s="36"/>
      <c r="K1130" s="36"/>
      <c r="L1130" s="36"/>
      <c r="M1130" s="36"/>
      <c r="N1130" s="36"/>
      <c r="O1130" s="36"/>
      <c r="P1130" s="36"/>
      <c r="Q1130" s="36"/>
      <c r="R1130" s="36"/>
      <c r="S1130" s="36"/>
      <c r="T1130" s="36"/>
      <c r="U1130" s="36"/>
      <c r="V1130" s="36"/>
      <c r="W1130" s="36"/>
      <c r="X1130" s="36"/>
      <c r="Y1130" s="36"/>
      <c r="Z1130" s="36"/>
      <c r="AA1130" s="36"/>
      <c r="AB1130" s="36"/>
      <c r="AC1130" s="36"/>
      <c r="AD1130" s="36"/>
      <c r="AE1130" s="36"/>
      <c r="AF1130" s="36"/>
      <c r="AG1130" s="36"/>
      <c r="AH1130" s="36"/>
      <c r="AI1130" s="36"/>
    </row>
    <row r="1131" spans="1:35" ht="15" hidden="1" customHeight="1">
      <c r="A1131" s="214" t="s">
        <v>0</v>
      </c>
      <c r="B1131" s="277"/>
      <c r="C1131" s="355"/>
      <c r="D1131" s="315"/>
      <c r="E1131" s="308"/>
      <c r="F1131" s="62">
        <v>6</v>
      </c>
      <c r="G1131" s="63" t="s">
        <v>164</v>
      </c>
      <c r="H1131" s="64">
        <f t="shared" si="86"/>
        <v>95</v>
      </c>
      <c r="I1131" s="214" t="s">
        <v>0</v>
      </c>
      <c r="J1131" s="36"/>
      <c r="K1131" s="36"/>
      <c r="L1131" s="36"/>
      <c r="M1131" s="36"/>
      <c r="N1131" s="36"/>
      <c r="O1131" s="36"/>
      <c r="P1131" s="36"/>
      <c r="Q1131" s="36"/>
      <c r="R1131" s="36"/>
      <c r="S1131" s="36"/>
      <c r="T1131" s="36"/>
      <c r="U1131" s="36"/>
      <c r="V1131" s="36"/>
      <c r="W1131" s="36"/>
      <c r="X1131" s="36"/>
      <c r="Y1131" s="36"/>
      <c r="Z1131" s="36"/>
      <c r="AA1131" s="36"/>
      <c r="AB1131" s="36"/>
      <c r="AC1131" s="36"/>
      <c r="AD1131" s="36"/>
      <c r="AE1131" s="36"/>
      <c r="AF1131" s="36"/>
      <c r="AG1131" s="36"/>
      <c r="AH1131" s="36"/>
      <c r="AI1131" s="36"/>
    </row>
    <row r="1132" spans="1:35" ht="15" hidden="1" customHeight="1">
      <c r="A1132" s="214" t="s">
        <v>0</v>
      </c>
      <c r="B1132" s="277"/>
      <c r="C1132" s="355"/>
      <c r="D1132" s="315"/>
      <c r="E1132" s="308"/>
      <c r="F1132" s="62">
        <v>5</v>
      </c>
      <c r="G1132" s="63" t="s">
        <v>164</v>
      </c>
      <c r="H1132" s="64">
        <f t="shared" si="86"/>
        <v>90</v>
      </c>
      <c r="I1132" s="214" t="s">
        <v>0</v>
      </c>
      <c r="J1132" s="36"/>
      <c r="K1132" s="36"/>
      <c r="L1132" s="36"/>
      <c r="M1132" s="36"/>
      <c r="N1132" s="36"/>
      <c r="O1132" s="36"/>
      <c r="P1132" s="36"/>
      <c r="Q1132" s="36"/>
      <c r="R1132" s="36"/>
      <c r="S1132" s="36"/>
      <c r="T1132" s="36"/>
      <c r="U1132" s="36"/>
      <c r="V1132" s="36"/>
      <c r="W1132" s="36"/>
      <c r="X1132" s="36"/>
      <c r="Y1132" s="36"/>
      <c r="Z1132" s="36"/>
      <c r="AA1132" s="36"/>
      <c r="AB1132" s="36"/>
      <c r="AC1132" s="36"/>
      <c r="AD1132" s="36"/>
      <c r="AE1132" s="36"/>
      <c r="AF1132" s="36"/>
      <c r="AG1132" s="36"/>
      <c r="AH1132" s="36"/>
      <c r="AI1132" s="36"/>
    </row>
    <row r="1133" spans="1:35" ht="15" hidden="1" customHeight="1">
      <c r="A1133" s="214" t="s">
        <v>0</v>
      </c>
      <c r="B1133" s="277"/>
      <c r="C1133" s="355"/>
      <c r="D1133" s="315"/>
      <c r="E1133" s="308"/>
      <c r="F1133" s="62">
        <v>4</v>
      </c>
      <c r="G1133" s="63" t="s">
        <v>164</v>
      </c>
      <c r="H1133" s="64">
        <f t="shared" si="86"/>
        <v>85</v>
      </c>
      <c r="I1133" s="214" t="s">
        <v>0</v>
      </c>
      <c r="J1133" s="36"/>
      <c r="K1133" s="36"/>
      <c r="L1133" s="36"/>
      <c r="M1133" s="36"/>
      <c r="N1133" s="36"/>
      <c r="O1133" s="36"/>
      <c r="P1133" s="36"/>
      <c r="Q1133" s="36"/>
      <c r="R1133" s="36"/>
      <c r="S1133" s="36"/>
      <c r="T1133" s="36"/>
      <c r="U1133" s="36"/>
      <c r="V1133" s="36"/>
      <c r="W1133" s="36"/>
      <c r="X1133" s="36"/>
      <c r="Y1133" s="36"/>
      <c r="Z1133" s="36"/>
      <c r="AA1133" s="36"/>
      <c r="AB1133" s="36"/>
      <c r="AC1133" s="36"/>
      <c r="AD1133" s="36"/>
      <c r="AE1133" s="36"/>
      <c r="AF1133" s="36"/>
      <c r="AG1133" s="36"/>
      <c r="AH1133" s="36"/>
      <c r="AI1133" s="36"/>
    </row>
    <row r="1134" spans="1:35" ht="15.75" hidden="1" customHeight="1" thickBot="1">
      <c r="A1134" s="214" t="s">
        <v>0</v>
      </c>
      <c r="B1134" s="278"/>
      <c r="C1134" s="350"/>
      <c r="D1134" s="315"/>
      <c r="E1134" s="308"/>
      <c r="F1134" s="62">
        <v>3</v>
      </c>
      <c r="G1134" s="63" t="s">
        <v>164</v>
      </c>
      <c r="H1134" s="64">
        <f t="shared" si="86"/>
        <v>80</v>
      </c>
      <c r="I1134" s="214" t="s">
        <v>0</v>
      </c>
      <c r="J1134" s="36"/>
      <c r="K1134" s="36"/>
      <c r="L1134" s="36"/>
      <c r="M1134" s="36"/>
      <c r="N1134" s="36"/>
      <c r="O1134" s="36"/>
      <c r="P1134" s="36"/>
      <c r="Q1134" s="36"/>
      <c r="R1134" s="36"/>
      <c r="S1134" s="36"/>
      <c r="T1134" s="36"/>
      <c r="U1134" s="36"/>
      <c r="V1134" s="36"/>
      <c r="W1134" s="36"/>
      <c r="X1134" s="36"/>
      <c r="Y1134" s="36"/>
      <c r="Z1134" s="36"/>
      <c r="AA1134" s="36"/>
      <c r="AB1134" s="36"/>
      <c r="AC1134" s="36"/>
      <c r="AD1134" s="36"/>
      <c r="AE1134" s="36"/>
      <c r="AF1134" s="36"/>
      <c r="AG1134" s="36"/>
      <c r="AH1134" s="36"/>
      <c r="AI1134" s="36"/>
    </row>
    <row r="1135" spans="1:35" ht="15" hidden="1" customHeight="1">
      <c r="A1135" s="214" t="s">
        <v>0</v>
      </c>
      <c r="B1135" s="274" t="s">
        <v>158</v>
      </c>
      <c r="C1135" s="349"/>
      <c r="D1135" s="315"/>
      <c r="E1135" s="308"/>
      <c r="F1135" s="62">
        <v>2</v>
      </c>
      <c r="G1135" s="63" t="s">
        <v>164</v>
      </c>
      <c r="H1135" s="64">
        <f t="shared" si="86"/>
        <v>75</v>
      </c>
      <c r="I1135" s="214" t="s">
        <v>0</v>
      </c>
      <c r="J1135" s="36"/>
      <c r="K1135" s="36"/>
      <c r="L1135" s="36"/>
      <c r="M1135" s="36"/>
      <c r="N1135" s="36"/>
      <c r="O1135" s="36"/>
      <c r="P1135" s="36"/>
      <c r="Q1135" s="36"/>
      <c r="R1135" s="36"/>
      <c r="S1135" s="36"/>
      <c r="T1135" s="36"/>
      <c r="U1135" s="36"/>
      <c r="V1135" s="36"/>
      <c r="W1135" s="36"/>
      <c r="X1135" s="36"/>
      <c r="Y1135" s="36"/>
      <c r="Z1135" s="36"/>
      <c r="AA1135" s="36"/>
      <c r="AB1135" s="36"/>
      <c r="AC1135" s="36"/>
      <c r="AD1135" s="36"/>
      <c r="AE1135" s="36"/>
      <c r="AF1135" s="36"/>
      <c r="AG1135" s="36"/>
      <c r="AH1135" s="36"/>
      <c r="AI1135" s="36"/>
    </row>
    <row r="1136" spans="1:35" ht="15.75" hidden="1" customHeight="1" thickBot="1">
      <c r="A1136" s="214" t="s">
        <v>0</v>
      </c>
      <c r="B1136" s="275"/>
      <c r="C1136" s="350"/>
      <c r="D1136" s="316"/>
      <c r="E1136" s="309"/>
      <c r="F1136" s="67">
        <v>1</v>
      </c>
      <c r="G1136" s="68" t="s">
        <v>164</v>
      </c>
      <c r="H1136" s="69">
        <f t="shared" si="86"/>
        <v>70</v>
      </c>
      <c r="I1136" s="214" t="s">
        <v>0</v>
      </c>
      <c r="J1136" s="36"/>
      <c r="K1136" s="36"/>
      <c r="L1136" s="36"/>
      <c r="M1136" s="36"/>
      <c r="N1136" s="36"/>
      <c r="O1136" s="36"/>
      <c r="P1136" s="36"/>
      <c r="Q1136" s="36"/>
      <c r="R1136" s="36"/>
      <c r="S1136" s="36"/>
      <c r="T1136" s="36"/>
      <c r="U1136" s="36"/>
      <c r="V1136" s="36"/>
      <c r="W1136" s="36"/>
      <c r="X1136" s="36"/>
      <c r="Y1136" s="36"/>
      <c r="Z1136" s="36"/>
      <c r="AA1136" s="36"/>
      <c r="AB1136" s="36"/>
      <c r="AC1136" s="36"/>
      <c r="AD1136" s="36"/>
      <c r="AE1136" s="36"/>
      <c r="AF1136" s="36"/>
      <c r="AG1136" s="36"/>
      <c r="AH1136" s="36"/>
      <c r="AI1136" s="36"/>
    </row>
    <row r="1137" spans="1:35" ht="15.75" hidden="1" customHeight="1" thickBot="1">
      <c r="A1137" s="214" t="s">
        <v>0</v>
      </c>
      <c r="B1137" s="279">
        <v>5</v>
      </c>
      <c r="C1137" s="349"/>
      <c r="D1137" s="123" t="s">
        <v>156</v>
      </c>
      <c r="E1137" s="124">
        <v>0.6</v>
      </c>
      <c r="F1137" s="70">
        <v>10</v>
      </c>
      <c r="G1137" s="71" t="s">
        <v>164</v>
      </c>
      <c r="H1137" s="72">
        <v>115</v>
      </c>
      <c r="I1137" s="214" t="s">
        <v>0</v>
      </c>
      <c r="J1137" s="36"/>
      <c r="K1137" s="36"/>
      <c r="L1137" s="36"/>
      <c r="M1137" s="36"/>
      <c r="N1137" s="36"/>
      <c r="O1137" s="36"/>
      <c r="P1137" s="36"/>
      <c r="Q1137" s="36"/>
      <c r="R1137" s="36"/>
      <c r="S1137" s="36"/>
      <c r="T1137" s="36"/>
      <c r="U1137" s="36"/>
      <c r="V1137" s="36"/>
      <c r="W1137" s="36"/>
      <c r="X1137" s="36"/>
      <c r="Y1137" s="36"/>
      <c r="Z1137" s="36"/>
      <c r="AA1137" s="36"/>
      <c r="AB1137" s="36"/>
      <c r="AC1137" s="36"/>
      <c r="AD1137" s="36"/>
      <c r="AE1137" s="36"/>
      <c r="AF1137" s="36"/>
      <c r="AG1137" s="36"/>
      <c r="AH1137" s="36"/>
      <c r="AI1137" s="36"/>
    </row>
    <row r="1138" spans="1:35" ht="15" hidden="1" customHeight="1">
      <c r="A1138" s="214" t="s">
        <v>0</v>
      </c>
      <c r="B1138" s="277"/>
      <c r="C1138" s="355"/>
      <c r="D1138" s="314"/>
      <c r="E1138" s="307">
        <f>IF(D1138=0,0,VLOOKUP($D1138,$F1137:$H1146,3,FALSE)*$E1137)</f>
        <v>0</v>
      </c>
      <c r="F1138" s="62">
        <v>9</v>
      </c>
      <c r="G1138" s="63" t="s">
        <v>164</v>
      </c>
      <c r="H1138" s="64">
        <f>H1137-5</f>
        <v>110</v>
      </c>
      <c r="I1138" s="214" t="s">
        <v>0</v>
      </c>
      <c r="J1138" s="36"/>
      <c r="K1138" s="36"/>
      <c r="L1138" s="36"/>
      <c r="M1138" s="36"/>
      <c r="N1138" s="36"/>
      <c r="O1138" s="36"/>
      <c r="P1138" s="36"/>
      <c r="Q1138" s="36"/>
      <c r="R1138" s="36"/>
      <c r="S1138" s="36"/>
      <c r="T1138" s="36"/>
      <c r="U1138" s="36"/>
      <c r="V1138" s="36"/>
      <c r="W1138" s="36"/>
      <c r="X1138" s="36"/>
      <c r="Y1138" s="36"/>
      <c r="Z1138" s="36"/>
      <c r="AA1138" s="36"/>
      <c r="AB1138" s="36"/>
      <c r="AC1138" s="36"/>
      <c r="AD1138" s="36"/>
      <c r="AE1138" s="36"/>
      <c r="AF1138" s="36"/>
      <c r="AG1138" s="36"/>
      <c r="AH1138" s="36"/>
      <c r="AI1138" s="36"/>
    </row>
    <row r="1139" spans="1:35" ht="15" hidden="1" customHeight="1">
      <c r="A1139" s="214" t="s">
        <v>0</v>
      </c>
      <c r="B1139" s="277"/>
      <c r="C1139" s="355"/>
      <c r="D1139" s="315"/>
      <c r="E1139" s="308"/>
      <c r="F1139" s="62">
        <v>8</v>
      </c>
      <c r="G1139" s="63" t="s">
        <v>164</v>
      </c>
      <c r="H1139" s="64">
        <f t="shared" ref="H1139:H1146" si="87">H1138-5</f>
        <v>105</v>
      </c>
      <c r="I1139" s="214" t="s">
        <v>0</v>
      </c>
      <c r="J1139" s="36"/>
      <c r="K1139" s="36"/>
      <c r="L1139" s="36"/>
      <c r="M1139" s="36"/>
      <c r="N1139" s="36"/>
      <c r="O1139" s="36"/>
      <c r="P1139" s="36"/>
      <c r="Q1139" s="36"/>
      <c r="R1139" s="36"/>
      <c r="S1139" s="36"/>
      <c r="T1139" s="36"/>
      <c r="U1139" s="36"/>
      <c r="V1139" s="36"/>
      <c r="W1139" s="36"/>
      <c r="X1139" s="36"/>
      <c r="Y1139" s="36"/>
      <c r="Z1139" s="36"/>
      <c r="AA1139" s="36"/>
      <c r="AB1139" s="36"/>
      <c r="AC1139" s="36"/>
      <c r="AD1139" s="36"/>
      <c r="AE1139" s="36"/>
      <c r="AF1139" s="36"/>
      <c r="AG1139" s="36"/>
      <c r="AH1139" s="36"/>
      <c r="AI1139" s="36"/>
    </row>
    <row r="1140" spans="1:35" ht="15" hidden="1" customHeight="1">
      <c r="A1140" s="214" t="s">
        <v>0</v>
      </c>
      <c r="B1140" s="277"/>
      <c r="C1140" s="355"/>
      <c r="D1140" s="315"/>
      <c r="E1140" s="308"/>
      <c r="F1140" s="62">
        <v>7</v>
      </c>
      <c r="G1140" s="63" t="s">
        <v>164</v>
      </c>
      <c r="H1140" s="64">
        <f t="shared" si="87"/>
        <v>100</v>
      </c>
      <c r="I1140" s="214" t="s">
        <v>0</v>
      </c>
      <c r="J1140" s="36"/>
      <c r="K1140" s="36"/>
      <c r="L1140" s="36"/>
      <c r="M1140" s="36"/>
      <c r="N1140" s="36"/>
      <c r="O1140" s="36"/>
      <c r="P1140" s="36"/>
      <c r="Q1140" s="36"/>
      <c r="R1140" s="36"/>
      <c r="S1140" s="36"/>
      <c r="T1140" s="36"/>
      <c r="U1140" s="36"/>
      <c r="V1140" s="36"/>
      <c r="W1140" s="36"/>
      <c r="X1140" s="36"/>
      <c r="Y1140" s="36"/>
      <c r="Z1140" s="36"/>
      <c r="AA1140" s="36"/>
      <c r="AB1140" s="36"/>
      <c r="AC1140" s="36"/>
      <c r="AD1140" s="36"/>
      <c r="AE1140" s="36"/>
      <c r="AF1140" s="36"/>
      <c r="AG1140" s="36"/>
      <c r="AH1140" s="36"/>
      <c r="AI1140" s="36"/>
    </row>
    <row r="1141" spans="1:35" ht="15" hidden="1" customHeight="1">
      <c r="A1141" s="214" t="s">
        <v>0</v>
      </c>
      <c r="B1141" s="277"/>
      <c r="C1141" s="355"/>
      <c r="D1141" s="315"/>
      <c r="E1141" s="308"/>
      <c r="F1141" s="62">
        <v>6</v>
      </c>
      <c r="G1141" s="63" t="s">
        <v>164</v>
      </c>
      <c r="H1141" s="64">
        <f t="shared" si="87"/>
        <v>95</v>
      </c>
      <c r="I1141" s="214" t="s">
        <v>0</v>
      </c>
      <c r="J1141" s="36"/>
      <c r="K1141" s="36"/>
      <c r="L1141" s="36"/>
      <c r="M1141" s="36"/>
      <c r="N1141" s="36"/>
      <c r="O1141" s="36"/>
      <c r="P1141" s="36"/>
      <c r="Q1141" s="36"/>
      <c r="R1141" s="36"/>
      <c r="S1141" s="36"/>
      <c r="T1141" s="36"/>
      <c r="U1141" s="36"/>
      <c r="V1141" s="36"/>
      <c r="W1141" s="36"/>
      <c r="X1141" s="36"/>
      <c r="Y1141" s="36"/>
      <c r="Z1141" s="36"/>
      <c r="AA1141" s="36"/>
      <c r="AB1141" s="36"/>
      <c r="AC1141" s="36"/>
      <c r="AD1141" s="36"/>
      <c r="AE1141" s="36"/>
      <c r="AF1141" s="36"/>
      <c r="AG1141" s="36"/>
      <c r="AH1141" s="36"/>
      <c r="AI1141" s="36"/>
    </row>
    <row r="1142" spans="1:35" ht="15" hidden="1" customHeight="1">
      <c r="A1142" s="214" t="s">
        <v>0</v>
      </c>
      <c r="B1142" s="277"/>
      <c r="C1142" s="355"/>
      <c r="D1142" s="315"/>
      <c r="E1142" s="308"/>
      <c r="F1142" s="62">
        <v>5</v>
      </c>
      <c r="G1142" s="63" t="s">
        <v>164</v>
      </c>
      <c r="H1142" s="64">
        <f t="shared" si="87"/>
        <v>90</v>
      </c>
      <c r="I1142" s="214" t="s">
        <v>0</v>
      </c>
      <c r="J1142" s="36"/>
      <c r="K1142" s="36"/>
      <c r="L1142" s="36"/>
      <c r="M1142" s="36"/>
      <c r="N1142" s="36"/>
      <c r="O1142" s="36"/>
      <c r="P1142" s="36"/>
      <c r="Q1142" s="36"/>
      <c r="R1142" s="36"/>
      <c r="S1142" s="36"/>
      <c r="T1142" s="36"/>
      <c r="U1142" s="36"/>
      <c r="V1142" s="36"/>
      <c r="W1142" s="36"/>
      <c r="X1142" s="36"/>
      <c r="Y1142" s="36"/>
      <c r="Z1142" s="36"/>
      <c r="AA1142" s="36"/>
      <c r="AB1142" s="36"/>
      <c r="AC1142" s="36"/>
      <c r="AD1142" s="36"/>
      <c r="AE1142" s="36"/>
      <c r="AF1142" s="36"/>
      <c r="AG1142" s="36"/>
      <c r="AH1142" s="36"/>
      <c r="AI1142" s="36"/>
    </row>
    <row r="1143" spans="1:35" ht="15" hidden="1" customHeight="1">
      <c r="A1143" s="214" t="s">
        <v>0</v>
      </c>
      <c r="B1143" s="277"/>
      <c r="C1143" s="355"/>
      <c r="D1143" s="315"/>
      <c r="E1143" s="308"/>
      <c r="F1143" s="62">
        <v>4</v>
      </c>
      <c r="G1143" s="63" t="s">
        <v>164</v>
      </c>
      <c r="H1143" s="64">
        <f t="shared" si="87"/>
        <v>85</v>
      </c>
      <c r="I1143" s="214" t="s">
        <v>0</v>
      </c>
      <c r="J1143" s="36"/>
      <c r="K1143" s="36"/>
      <c r="L1143" s="36"/>
      <c r="M1143" s="36"/>
      <c r="N1143" s="36"/>
      <c r="O1143" s="36"/>
      <c r="P1143" s="36"/>
      <c r="Q1143" s="36"/>
      <c r="R1143" s="36"/>
      <c r="S1143" s="36"/>
      <c r="T1143" s="36"/>
      <c r="U1143" s="36"/>
      <c r="V1143" s="36"/>
      <c r="W1143" s="36"/>
      <c r="X1143" s="36"/>
      <c r="Y1143" s="36"/>
      <c r="Z1143" s="36"/>
      <c r="AA1143" s="36"/>
      <c r="AB1143" s="36"/>
      <c r="AC1143" s="36"/>
      <c r="AD1143" s="36"/>
      <c r="AE1143" s="36"/>
      <c r="AF1143" s="36"/>
      <c r="AG1143" s="36"/>
      <c r="AH1143" s="36"/>
      <c r="AI1143" s="36"/>
    </row>
    <row r="1144" spans="1:35" ht="15.75" hidden="1" customHeight="1" thickBot="1">
      <c r="A1144" s="214" t="s">
        <v>0</v>
      </c>
      <c r="B1144" s="278"/>
      <c r="C1144" s="350"/>
      <c r="D1144" s="315"/>
      <c r="E1144" s="308"/>
      <c r="F1144" s="62">
        <v>3</v>
      </c>
      <c r="G1144" s="63" t="s">
        <v>164</v>
      </c>
      <c r="H1144" s="64">
        <f t="shared" si="87"/>
        <v>80</v>
      </c>
      <c r="I1144" s="214" t="s">
        <v>0</v>
      </c>
      <c r="J1144" s="36"/>
      <c r="K1144" s="36"/>
      <c r="L1144" s="36"/>
      <c r="M1144" s="36"/>
      <c r="N1144" s="36"/>
      <c r="O1144" s="36"/>
      <c r="P1144" s="36"/>
      <c r="Q1144" s="36"/>
      <c r="R1144" s="36"/>
      <c r="S1144" s="36"/>
      <c r="T1144" s="36"/>
      <c r="U1144" s="36"/>
      <c r="V1144" s="36"/>
      <c r="W1144" s="36"/>
      <c r="X1144" s="36"/>
      <c r="Y1144" s="36"/>
      <c r="Z1144" s="36"/>
      <c r="AA1144" s="36"/>
      <c r="AB1144" s="36"/>
      <c r="AC1144" s="36"/>
      <c r="AD1144" s="36"/>
      <c r="AE1144" s="36"/>
      <c r="AF1144" s="36"/>
      <c r="AG1144" s="36"/>
      <c r="AH1144" s="36"/>
      <c r="AI1144" s="36"/>
    </row>
    <row r="1145" spans="1:35" ht="15" hidden="1" customHeight="1">
      <c r="A1145" s="214" t="s">
        <v>0</v>
      </c>
      <c r="B1145" s="274" t="s">
        <v>158</v>
      </c>
      <c r="C1145" s="349"/>
      <c r="D1145" s="315"/>
      <c r="E1145" s="308"/>
      <c r="F1145" s="62">
        <v>2</v>
      </c>
      <c r="G1145" s="63" t="s">
        <v>164</v>
      </c>
      <c r="H1145" s="64">
        <f t="shared" si="87"/>
        <v>75</v>
      </c>
      <c r="I1145" s="214" t="s">
        <v>0</v>
      </c>
      <c r="J1145" s="36"/>
      <c r="K1145" s="36"/>
      <c r="L1145" s="36"/>
      <c r="M1145" s="36"/>
      <c r="N1145" s="36"/>
      <c r="O1145" s="36"/>
      <c r="P1145" s="36"/>
      <c r="Q1145" s="36"/>
      <c r="R1145" s="36"/>
      <c r="S1145" s="36"/>
      <c r="T1145" s="36"/>
      <c r="U1145" s="36"/>
      <c r="V1145" s="36"/>
      <c r="W1145" s="36"/>
      <c r="X1145" s="36"/>
      <c r="Y1145" s="36"/>
      <c r="Z1145" s="36"/>
      <c r="AA1145" s="36"/>
      <c r="AB1145" s="36"/>
      <c r="AC1145" s="36"/>
      <c r="AD1145" s="36"/>
      <c r="AE1145" s="36"/>
      <c r="AF1145" s="36"/>
      <c r="AG1145" s="36"/>
      <c r="AH1145" s="36"/>
      <c r="AI1145" s="36"/>
    </row>
    <row r="1146" spans="1:35" ht="15.75" hidden="1" customHeight="1" thickBot="1">
      <c r="A1146" s="214" t="s">
        <v>0</v>
      </c>
      <c r="B1146" s="275"/>
      <c r="C1146" s="350"/>
      <c r="D1146" s="316"/>
      <c r="E1146" s="309"/>
      <c r="F1146" s="67">
        <v>1</v>
      </c>
      <c r="G1146" s="68" t="s">
        <v>164</v>
      </c>
      <c r="H1146" s="69">
        <f t="shared" si="87"/>
        <v>70</v>
      </c>
      <c r="I1146" s="214" t="s">
        <v>0</v>
      </c>
      <c r="J1146" s="36"/>
      <c r="K1146" s="36"/>
      <c r="L1146" s="36"/>
      <c r="M1146" s="36"/>
      <c r="N1146" s="36"/>
      <c r="O1146" s="36"/>
      <c r="P1146" s="36"/>
      <c r="Q1146" s="36"/>
      <c r="R1146" s="36"/>
      <c r="S1146" s="36"/>
      <c r="T1146" s="36"/>
      <c r="U1146" s="36"/>
      <c r="V1146" s="36"/>
      <c r="W1146" s="36"/>
      <c r="X1146" s="36"/>
      <c r="Y1146" s="36"/>
      <c r="Z1146" s="36"/>
      <c r="AA1146" s="36"/>
      <c r="AB1146" s="36"/>
      <c r="AC1146" s="36"/>
      <c r="AD1146" s="36"/>
      <c r="AE1146" s="36"/>
      <c r="AF1146" s="36"/>
      <c r="AG1146" s="36"/>
      <c r="AH1146" s="36"/>
      <c r="AI1146" s="36"/>
    </row>
    <row r="1147" spans="1:35" ht="15.75" hidden="1" customHeight="1" thickBot="1">
      <c r="A1147" s="214" t="s">
        <v>0</v>
      </c>
      <c r="B1147" s="276">
        <v>6</v>
      </c>
      <c r="C1147" s="349"/>
      <c r="D1147" s="123" t="s">
        <v>156</v>
      </c>
      <c r="E1147" s="124">
        <v>0.6</v>
      </c>
      <c r="F1147" s="58">
        <v>10</v>
      </c>
      <c r="G1147" s="59" t="s">
        <v>164</v>
      </c>
      <c r="H1147" s="60">
        <v>115</v>
      </c>
      <c r="I1147" s="214" t="s">
        <v>0</v>
      </c>
      <c r="J1147" s="36"/>
      <c r="K1147" s="36"/>
      <c r="L1147" s="36"/>
      <c r="M1147" s="36"/>
      <c r="N1147" s="36"/>
      <c r="O1147" s="36"/>
      <c r="P1147" s="36"/>
      <c r="Q1147" s="36"/>
      <c r="R1147" s="36"/>
      <c r="S1147" s="36"/>
      <c r="T1147" s="36"/>
      <c r="U1147" s="36"/>
      <c r="V1147" s="36"/>
      <c r="W1147" s="36"/>
      <c r="X1147" s="36"/>
      <c r="Y1147" s="36"/>
      <c r="Z1147" s="36"/>
      <c r="AA1147" s="36"/>
      <c r="AB1147" s="36"/>
      <c r="AC1147" s="36"/>
      <c r="AD1147" s="36"/>
      <c r="AE1147" s="36"/>
      <c r="AF1147" s="36"/>
      <c r="AG1147" s="36"/>
      <c r="AH1147" s="36"/>
      <c r="AI1147" s="36"/>
    </row>
    <row r="1148" spans="1:35" ht="15" hidden="1" customHeight="1">
      <c r="A1148" s="214" t="s">
        <v>0</v>
      </c>
      <c r="B1148" s="277"/>
      <c r="C1148" s="355"/>
      <c r="D1148" s="314"/>
      <c r="E1148" s="307">
        <f>IF(D1148=0,0,VLOOKUP($D1148,$F1147:$H1156,3,FALSE)*$E1147)</f>
        <v>0</v>
      </c>
      <c r="F1148" s="62">
        <v>9</v>
      </c>
      <c r="G1148" s="63" t="s">
        <v>164</v>
      </c>
      <c r="H1148" s="64">
        <f>H1147-5</f>
        <v>110</v>
      </c>
      <c r="I1148" s="214" t="s">
        <v>0</v>
      </c>
      <c r="J1148" s="36"/>
      <c r="K1148" s="36"/>
      <c r="L1148" s="36"/>
      <c r="M1148" s="36"/>
      <c r="N1148" s="36"/>
      <c r="O1148" s="36"/>
      <c r="P1148" s="36"/>
      <c r="Q1148" s="36"/>
      <c r="R1148" s="36"/>
      <c r="S1148" s="36"/>
      <c r="T1148" s="36"/>
      <c r="U1148" s="36"/>
      <c r="V1148" s="36"/>
      <c r="W1148" s="36"/>
      <c r="X1148" s="36"/>
      <c r="Y1148" s="36"/>
      <c r="Z1148" s="36"/>
      <c r="AA1148" s="36"/>
      <c r="AB1148" s="36"/>
      <c r="AC1148" s="36"/>
      <c r="AD1148" s="36"/>
      <c r="AE1148" s="36"/>
      <c r="AF1148" s="36"/>
      <c r="AG1148" s="36"/>
      <c r="AH1148" s="36"/>
      <c r="AI1148" s="36"/>
    </row>
    <row r="1149" spans="1:35" ht="15" hidden="1" customHeight="1">
      <c r="A1149" s="214" t="s">
        <v>0</v>
      </c>
      <c r="B1149" s="277"/>
      <c r="C1149" s="355"/>
      <c r="D1149" s="315"/>
      <c r="E1149" s="308"/>
      <c r="F1149" s="62">
        <v>8</v>
      </c>
      <c r="G1149" s="63" t="s">
        <v>164</v>
      </c>
      <c r="H1149" s="64">
        <f t="shared" ref="H1149:H1156" si="88">H1148-5</f>
        <v>105</v>
      </c>
      <c r="I1149" s="214" t="s">
        <v>0</v>
      </c>
      <c r="J1149" s="36"/>
      <c r="K1149" s="36"/>
      <c r="L1149" s="36"/>
      <c r="M1149" s="36"/>
      <c r="N1149" s="36"/>
      <c r="O1149" s="36"/>
      <c r="P1149" s="36"/>
      <c r="Q1149" s="36"/>
      <c r="R1149" s="36"/>
      <c r="S1149" s="36"/>
      <c r="T1149" s="36"/>
      <c r="U1149" s="36"/>
      <c r="V1149" s="36"/>
      <c r="W1149" s="36"/>
      <c r="X1149" s="36"/>
      <c r="Y1149" s="36"/>
      <c r="Z1149" s="36"/>
      <c r="AA1149" s="36"/>
      <c r="AB1149" s="36"/>
      <c r="AC1149" s="36"/>
      <c r="AD1149" s="36"/>
      <c r="AE1149" s="36"/>
      <c r="AF1149" s="36"/>
      <c r="AG1149" s="36"/>
      <c r="AH1149" s="36"/>
      <c r="AI1149" s="36"/>
    </row>
    <row r="1150" spans="1:35" ht="15" hidden="1" customHeight="1">
      <c r="A1150" s="214" t="s">
        <v>0</v>
      </c>
      <c r="B1150" s="277"/>
      <c r="C1150" s="355"/>
      <c r="D1150" s="315"/>
      <c r="E1150" s="308"/>
      <c r="F1150" s="62">
        <v>7</v>
      </c>
      <c r="G1150" s="63" t="s">
        <v>164</v>
      </c>
      <c r="H1150" s="64">
        <f t="shared" si="88"/>
        <v>100</v>
      </c>
      <c r="I1150" s="214" t="s">
        <v>0</v>
      </c>
      <c r="J1150" s="36"/>
      <c r="K1150" s="36"/>
      <c r="L1150" s="36"/>
      <c r="M1150" s="36"/>
      <c r="N1150" s="36"/>
      <c r="O1150" s="36"/>
      <c r="P1150" s="36"/>
      <c r="Q1150" s="36"/>
      <c r="R1150" s="36"/>
      <c r="S1150" s="36"/>
      <c r="T1150" s="36"/>
      <c r="U1150" s="36"/>
      <c r="V1150" s="36"/>
      <c r="W1150" s="36"/>
      <c r="X1150" s="36"/>
      <c r="Y1150" s="36"/>
      <c r="Z1150" s="36"/>
      <c r="AA1150" s="36"/>
      <c r="AB1150" s="36"/>
      <c r="AC1150" s="36"/>
      <c r="AD1150" s="36"/>
      <c r="AE1150" s="36"/>
      <c r="AF1150" s="36"/>
      <c r="AG1150" s="36"/>
      <c r="AH1150" s="36"/>
      <c r="AI1150" s="36"/>
    </row>
    <row r="1151" spans="1:35" ht="15" hidden="1" customHeight="1">
      <c r="A1151" s="214" t="s">
        <v>0</v>
      </c>
      <c r="B1151" s="277"/>
      <c r="C1151" s="355"/>
      <c r="D1151" s="315"/>
      <c r="E1151" s="308"/>
      <c r="F1151" s="62">
        <v>6</v>
      </c>
      <c r="G1151" s="63" t="s">
        <v>164</v>
      </c>
      <c r="H1151" s="64">
        <f t="shared" si="88"/>
        <v>95</v>
      </c>
      <c r="I1151" s="214" t="s">
        <v>0</v>
      </c>
      <c r="J1151" s="36"/>
      <c r="K1151" s="36"/>
      <c r="L1151" s="36"/>
      <c r="M1151" s="36"/>
      <c r="N1151" s="36"/>
      <c r="O1151" s="36"/>
      <c r="P1151" s="36"/>
      <c r="Q1151" s="36"/>
      <c r="R1151" s="36"/>
      <c r="S1151" s="36"/>
      <c r="T1151" s="36"/>
      <c r="U1151" s="36"/>
      <c r="V1151" s="36"/>
      <c r="W1151" s="36"/>
      <c r="X1151" s="36"/>
      <c r="Y1151" s="36"/>
      <c r="Z1151" s="36"/>
      <c r="AA1151" s="36"/>
      <c r="AB1151" s="36"/>
      <c r="AC1151" s="36"/>
      <c r="AD1151" s="36"/>
      <c r="AE1151" s="36"/>
      <c r="AF1151" s="36"/>
      <c r="AG1151" s="36"/>
      <c r="AH1151" s="36"/>
      <c r="AI1151" s="36"/>
    </row>
    <row r="1152" spans="1:35" ht="15" hidden="1" customHeight="1">
      <c r="A1152" s="214" t="s">
        <v>0</v>
      </c>
      <c r="B1152" s="277"/>
      <c r="C1152" s="355"/>
      <c r="D1152" s="315"/>
      <c r="E1152" s="308"/>
      <c r="F1152" s="62">
        <v>5</v>
      </c>
      <c r="G1152" s="63" t="s">
        <v>164</v>
      </c>
      <c r="H1152" s="64">
        <f t="shared" si="88"/>
        <v>90</v>
      </c>
      <c r="I1152" s="214" t="s">
        <v>0</v>
      </c>
      <c r="J1152" s="36"/>
      <c r="K1152" s="36"/>
      <c r="L1152" s="36"/>
      <c r="M1152" s="36"/>
      <c r="N1152" s="36"/>
      <c r="O1152" s="36"/>
      <c r="P1152" s="36"/>
      <c r="Q1152" s="36"/>
      <c r="R1152" s="36"/>
      <c r="S1152" s="36"/>
      <c r="T1152" s="36"/>
      <c r="U1152" s="36"/>
      <c r="V1152" s="36"/>
      <c r="W1152" s="36"/>
      <c r="X1152" s="36"/>
      <c r="Y1152" s="36"/>
      <c r="Z1152" s="36"/>
      <c r="AA1152" s="36"/>
      <c r="AB1152" s="36"/>
      <c r="AC1152" s="36"/>
      <c r="AD1152" s="36"/>
      <c r="AE1152" s="36"/>
      <c r="AF1152" s="36"/>
      <c r="AG1152" s="36"/>
      <c r="AH1152" s="36"/>
      <c r="AI1152" s="36"/>
    </row>
    <row r="1153" spans="1:35" ht="15" hidden="1" customHeight="1">
      <c r="A1153" s="214" t="s">
        <v>0</v>
      </c>
      <c r="B1153" s="277"/>
      <c r="C1153" s="355"/>
      <c r="D1153" s="315"/>
      <c r="E1153" s="308"/>
      <c r="F1153" s="62">
        <v>4</v>
      </c>
      <c r="G1153" s="63" t="s">
        <v>164</v>
      </c>
      <c r="H1153" s="64">
        <f t="shared" si="88"/>
        <v>85</v>
      </c>
      <c r="I1153" s="214" t="s">
        <v>0</v>
      </c>
      <c r="J1153" s="36"/>
      <c r="K1153" s="36"/>
      <c r="L1153" s="36"/>
      <c r="M1153" s="36"/>
      <c r="N1153" s="36"/>
      <c r="O1153" s="36"/>
      <c r="P1153" s="36"/>
      <c r="Q1153" s="36"/>
      <c r="R1153" s="36"/>
      <c r="S1153" s="36"/>
      <c r="T1153" s="36"/>
      <c r="U1153" s="36"/>
      <c r="V1153" s="36"/>
      <c r="W1153" s="36"/>
      <c r="X1153" s="36"/>
      <c r="Y1153" s="36"/>
      <c r="Z1153" s="36"/>
      <c r="AA1153" s="36"/>
      <c r="AB1153" s="36"/>
      <c r="AC1153" s="36"/>
      <c r="AD1153" s="36"/>
      <c r="AE1153" s="36"/>
      <c r="AF1153" s="36"/>
      <c r="AG1153" s="36"/>
      <c r="AH1153" s="36"/>
      <c r="AI1153" s="36"/>
    </row>
    <row r="1154" spans="1:35" ht="15.75" hidden="1" customHeight="1" thickBot="1">
      <c r="A1154" s="214" t="s">
        <v>0</v>
      </c>
      <c r="B1154" s="278"/>
      <c r="C1154" s="350"/>
      <c r="D1154" s="315"/>
      <c r="E1154" s="308"/>
      <c r="F1154" s="62">
        <v>3</v>
      </c>
      <c r="G1154" s="63" t="s">
        <v>164</v>
      </c>
      <c r="H1154" s="64">
        <f t="shared" si="88"/>
        <v>80</v>
      </c>
      <c r="I1154" s="214" t="s">
        <v>0</v>
      </c>
      <c r="J1154" s="36"/>
      <c r="K1154" s="36"/>
      <c r="L1154" s="36"/>
      <c r="M1154" s="36"/>
      <c r="N1154" s="36"/>
      <c r="O1154" s="36"/>
      <c r="P1154" s="36"/>
      <c r="Q1154" s="36"/>
      <c r="R1154" s="36"/>
      <c r="S1154" s="36"/>
      <c r="T1154" s="36"/>
      <c r="U1154" s="36"/>
      <c r="V1154" s="36"/>
      <c r="W1154" s="36"/>
      <c r="X1154" s="36"/>
      <c r="Y1154" s="36"/>
      <c r="Z1154" s="36"/>
      <c r="AA1154" s="36"/>
      <c r="AB1154" s="36"/>
      <c r="AC1154" s="36"/>
      <c r="AD1154" s="36"/>
      <c r="AE1154" s="36"/>
      <c r="AF1154" s="36"/>
      <c r="AG1154" s="36"/>
      <c r="AH1154" s="36"/>
      <c r="AI1154" s="36"/>
    </row>
    <row r="1155" spans="1:35" ht="15" hidden="1" customHeight="1">
      <c r="A1155" s="214" t="s">
        <v>0</v>
      </c>
      <c r="B1155" s="274" t="s">
        <v>158</v>
      </c>
      <c r="C1155" s="349"/>
      <c r="D1155" s="315"/>
      <c r="E1155" s="308"/>
      <c r="F1155" s="62">
        <v>2</v>
      </c>
      <c r="G1155" s="63" t="s">
        <v>164</v>
      </c>
      <c r="H1155" s="64">
        <f t="shared" si="88"/>
        <v>75</v>
      </c>
      <c r="I1155" s="214" t="s">
        <v>0</v>
      </c>
      <c r="J1155" s="36"/>
      <c r="K1155" s="36"/>
      <c r="L1155" s="36"/>
      <c r="M1155" s="36"/>
      <c r="N1155" s="36"/>
      <c r="O1155" s="36"/>
      <c r="P1155" s="36"/>
      <c r="Q1155" s="36"/>
      <c r="R1155" s="36"/>
      <c r="S1155" s="36"/>
      <c r="T1155" s="36"/>
      <c r="U1155" s="36"/>
      <c r="V1155" s="36"/>
      <c r="W1155" s="36"/>
      <c r="X1155" s="36"/>
      <c r="Y1155" s="36"/>
      <c r="Z1155" s="36"/>
      <c r="AA1155" s="36"/>
      <c r="AB1155" s="36"/>
      <c r="AC1155" s="36"/>
      <c r="AD1155" s="36"/>
      <c r="AE1155" s="36"/>
      <c r="AF1155" s="36"/>
      <c r="AG1155" s="36"/>
      <c r="AH1155" s="36"/>
      <c r="AI1155" s="36"/>
    </row>
    <row r="1156" spans="1:35" ht="15.75" hidden="1" customHeight="1" thickBot="1">
      <c r="A1156" s="214" t="s">
        <v>0</v>
      </c>
      <c r="B1156" s="275"/>
      <c r="C1156" s="350"/>
      <c r="D1156" s="316"/>
      <c r="E1156" s="309"/>
      <c r="F1156" s="67">
        <v>1</v>
      </c>
      <c r="G1156" s="68" t="s">
        <v>164</v>
      </c>
      <c r="H1156" s="69">
        <f t="shared" si="88"/>
        <v>70</v>
      </c>
      <c r="I1156" s="214" t="s">
        <v>0</v>
      </c>
      <c r="J1156" s="36"/>
      <c r="K1156" s="36"/>
      <c r="L1156" s="36"/>
      <c r="M1156" s="36"/>
      <c r="N1156" s="36"/>
      <c r="O1156" s="36"/>
      <c r="P1156" s="36"/>
      <c r="Q1156" s="36"/>
      <c r="R1156" s="36"/>
      <c r="S1156" s="36"/>
      <c r="T1156" s="36"/>
      <c r="U1156" s="36"/>
      <c r="V1156" s="36"/>
      <c r="W1156" s="36"/>
      <c r="X1156" s="36"/>
      <c r="Y1156" s="36"/>
      <c r="Z1156" s="36"/>
      <c r="AA1156" s="36"/>
      <c r="AB1156" s="36"/>
      <c r="AC1156" s="36"/>
      <c r="AD1156" s="36"/>
      <c r="AE1156" s="36"/>
      <c r="AF1156" s="36"/>
      <c r="AG1156" s="36"/>
      <c r="AH1156" s="36"/>
      <c r="AI1156" s="36"/>
    </row>
    <row r="1157" spans="1:35" ht="15.75" hidden="1" customHeight="1" thickBot="1">
      <c r="A1157" s="214" t="s">
        <v>0</v>
      </c>
      <c r="B1157" s="276">
        <v>7</v>
      </c>
      <c r="C1157" s="349"/>
      <c r="D1157" s="123" t="s">
        <v>156</v>
      </c>
      <c r="E1157" s="124">
        <v>0.6</v>
      </c>
      <c r="F1157" s="58">
        <v>10</v>
      </c>
      <c r="G1157" s="59" t="s">
        <v>164</v>
      </c>
      <c r="H1157" s="60">
        <v>115</v>
      </c>
      <c r="I1157" s="214" t="s">
        <v>0</v>
      </c>
      <c r="J1157" s="36"/>
      <c r="K1157" s="36"/>
      <c r="L1157" s="36"/>
      <c r="M1157" s="36"/>
      <c r="N1157" s="36"/>
      <c r="O1157" s="36"/>
      <c r="P1157" s="36"/>
      <c r="Q1157" s="36"/>
      <c r="R1157" s="36"/>
      <c r="S1157" s="36"/>
      <c r="T1157" s="36"/>
      <c r="U1157" s="36"/>
      <c r="V1157" s="36"/>
      <c r="W1157" s="36"/>
      <c r="X1157" s="36"/>
      <c r="Y1157" s="36"/>
      <c r="Z1157" s="36"/>
      <c r="AA1157" s="36"/>
      <c r="AB1157" s="36"/>
      <c r="AC1157" s="36"/>
      <c r="AD1157" s="36"/>
      <c r="AE1157" s="36"/>
      <c r="AF1157" s="36"/>
      <c r="AG1157" s="36"/>
      <c r="AH1157" s="36"/>
      <c r="AI1157" s="36"/>
    </row>
    <row r="1158" spans="1:35" ht="15" hidden="1" customHeight="1">
      <c r="A1158" s="214" t="s">
        <v>0</v>
      </c>
      <c r="B1158" s="277"/>
      <c r="C1158" s="355"/>
      <c r="D1158" s="314"/>
      <c r="E1158" s="307">
        <f>IF(D1158=0,0,VLOOKUP($D1158,$F1157:$H1166,3,FALSE)*$E1157)</f>
        <v>0</v>
      </c>
      <c r="F1158" s="62">
        <v>9</v>
      </c>
      <c r="G1158" s="63" t="s">
        <v>164</v>
      </c>
      <c r="H1158" s="64">
        <f>H1157-5</f>
        <v>110</v>
      </c>
      <c r="I1158" s="214" t="s">
        <v>0</v>
      </c>
      <c r="J1158" s="36"/>
      <c r="K1158" s="36"/>
      <c r="L1158" s="36"/>
      <c r="M1158" s="36"/>
      <c r="N1158" s="36"/>
      <c r="O1158" s="36"/>
      <c r="P1158" s="36"/>
      <c r="Q1158" s="36"/>
      <c r="R1158" s="36"/>
      <c r="S1158" s="36"/>
      <c r="T1158" s="36"/>
      <c r="U1158" s="36"/>
      <c r="V1158" s="36"/>
      <c r="W1158" s="36"/>
      <c r="X1158" s="36"/>
      <c r="Y1158" s="36"/>
      <c r="Z1158" s="36"/>
      <c r="AA1158" s="36"/>
      <c r="AB1158" s="36"/>
      <c r="AC1158" s="36"/>
      <c r="AD1158" s="36"/>
      <c r="AE1158" s="36"/>
      <c r="AF1158" s="36"/>
      <c r="AG1158" s="36"/>
      <c r="AH1158" s="36"/>
      <c r="AI1158" s="36"/>
    </row>
    <row r="1159" spans="1:35" ht="15" hidden="1" customHeight="1">
      <c r="A1159" s="214" t="s">
        <v>0</v>
      </c>
      <c r="B1159" s="277"/>
      <c r="C1159" s="355"/>
      <c r="D1159" s="315"/>
      <c r="E1159" s="308"/>
      <c r="F1159" s="62">
        <v>8</v>
      </c>
      <c r="G1159" s="63" t="s">
        <v>164</v>
      </c>
      <c r="H1159" s="64">
        <f t="shared" ref="H1159:H1166" si="89">H1158-5</f>
        <v>105</v>
      </c>
      <c r="I1159" s="214" t="s">
        <v>0</v>
      </c>
      <c r="J1159" s="36"/>
      <c r="K1159" s="36"/>
      <c r="L1159" s="36"/>
      <c r="M1159" s="36"/>
      <c r="N1159" s="36"/>
      <c r="O1159" s="36"/>
      <c r="P1159" s="36"/>
      <c r="Q1159" s="36"/>
      <c r="R1159" s="36"/>
      <c r="S1159" s="36"/>
      <c r="T1159" s="36"/>
      <c r="U1159" s="36"/>
      <c r="V1159" s="36"/>
      <c r="W1159" s="36"/>
      <c r="X1159" s="36"/>
      <c r="Y1159" s="36"/>
      <c r="Z1159" s="36"/>
      <c r="AA1159" s="36"/>
      <c r="AB1159" s="36"/>
      <c r="AC1159" s="36"/>
      <c r="AD1159" s="36"/>
      <c r="AE1159" s="36"/>
      <c r="AF1159" s="36"/>
      <c r="AG1159" s="36"/>
      <c r="AH1159" s="36"/>
      <c r="AI1159" s="36"/>
    </row>
    <row r="1160" spans="1:35" ht="15" hidden="1" customHeight="1">
      <c r="A1160" s="214" t="s">
        <v>0</v>
      </c>
      <c r="B1160" s="277"/>
      <c r="C1160" s="355"/>
      <c r="D1160" s="315"/>
      <c r="E1160" s="308"/>
      <c r="F1160" s="62">
        <v>7</v>
      </c>
      <c r="G1160" s="63" t="s">
        <v>164</v>
      </c>
      <c r="H1160" s="64">
        <f t="shared" si="89"/>
        <v>100</v>
      </c>
      <c r="I1160" s="214" t="s">
        <v>0</v>
      </c>
      <c r="J1160" s="36"/>
      <c r="K1160" s="36"/>
      <c r="L1160" s="36"/>
      <c r="M1160" s="36"/>
      <c r="N1160" s="36"/>
      <c r="O1160" s="36"/>
      <c r="P1160" s="36"/>
      <c r="Q1160" s="36"/>
      <c r="R1160" s="36"/>
      <c r="S1160" s="36"/>
      <c r="T1160" s="36"/>
      <c r="U1160" s="36"/>
      <c r="V1160" s="36"/>
      <c r="W1160" s="36"/>
      <c r="X1160" s="36"/>
      <c r="Y1160" s="36"/>
      <c r="Z1160" s="36"/>
      <c r="AA1160" s="36"/>
      <c r="AB1160" s="36"/>
      <c r="AC1160" s="36"/>
      <c r="AD1160" s="36"/>
      <c r="AE1160" s="36"/>
      <c r="AF1160" s="36"/>
      <c r="AG1160" s="36"/>
      <c r="AH1160" s="36"/>
      <c r="AI1160" s="36"/>
    </row>
    <row r="1161" spans="1:35" ht="15" hidden="1" customHeight="1">
      <c r="A1161" s="214" t="s">
        <v>0</v>
      </c>
      <c r="B1161" s="277"/>
      <c r="C1161" s="355"/>
      <c r="D1161" s="315"/>
      <c r="E1161" s="308"/>
      <c r="F1161" s="62">
        <v>6</v>
      </c>
      <c r="G1161" s="63" t="s">
        <v>164</v>
      </c>
      <c r="H1161" s="64">
        <f t="shared" si="89"/>
        <v>95</v>
      </c>
      <c r="I1161" s="214" t="s">
        <v>0</v>
      </c>
      <c r="J1161" s="36"/>
      <c r="K1161" s="36"/>
      <c r="L1161" s="36"/>
      <c r="M1161" s="36"/>
      <c r="N1161" s="36"/>
      <c r="O1161" s="36"/>
      <c r="P1161" s="36"/>
      <c r="Q1161" s="36"/>
      <c r="R1161" s="36"/>
      <c r="S1161" s="36"/>
      <c r="T1161" s="36"/>
      <c r="U1161" s="36"/>
      <c r="V1161" s="36"/>
      <c r="W1161" s="36"/>
      <c r="X1161" s="36"/>
      <c r="Y1161" s="36"/>
      <c r="Z1161" s="36"/>
      <c r="AA1161" s="36"/>
      <c r="AB1161" s="36"/>
      <c r="AC1161" s="36"/>
      <c r="AD1161" s="36"/>
      <c r="AE1161" s="36"/>
      <c r="AF1161" s="36"/>
      <c r="AG1161" s="36"/>
      <c r="AH1161" s="36"/>
      <c r="AI1161" s="36"/>
    </row>
    <row r="1162" spans="1:35" ht="15" hidden="1" customHeight="1">
      <c r="A1162" s="214" t="s">
        <v>0</v>
      </c>
      <c r="B1162" s="277"/>
      <c r="C1162" s="355"/>
      <c r="D1162" s="315"/>
      <c r="E1162" s="308"/>
      <c r="F1162" s="62">
        <v>5</v>
      </c>
      <c r="G1162" s="63" t="s">
        <v>164</v>
      </c>
      <c r="H1162" s="64">
        <f t="shared" si="89"/>
        <v>90</v>
      </c>
      <c r="I1162" s="214" t="s">
        <v>0</v>
      </c>
      <c r="J1162" s="36"/>
      <c r="K1162" s="36"/>
      <c r="L1162" s="36"/>
      <c r="M1162" s="36"/>
      <c r="N1162" s="36"/>
      <c r="O1162" s="36"/>
      <c r="P1162" s="36"/>
      <c r="Q1162" s="36"/>
      <c r="R1162" s="36"/>
      <c r="S1162" s="36"/>
      <c r="T1162" s="36"/>
      <c r="U1162" s="36"/>
      <c r="V1162" s="36"/>
      <c r="W1162" s="36"/>
      <c r="X1162" s="36"/>
      <c r="Y1162" s="36"/>
      <c r="Z1162" s="36"/>
      <c r="AA1162" s="36"/>
      <c r="AB1162" s="36"/>
      <c r="AC1162" s="36"/>
      <c r="AD1162" s="36"/>
      <c r="AE1162" s="36"/>
      <c r="AF1162" s="36"/>
      <c r="AG1162" s="36"/>
      <c r="AH1162" s="36"/>
      <c r="AI1162" s="36"/>
    </row>
    <row r="1163" spans="1:35" ht="15" hidden="1" customHeight="1">
      <c r="A1163" s="214" t="s">
        <v>0</v>
      </c>
      <c r="B1163" s="277"/>
      <c r="C1163" s="355"/>
      <c r="D1163" s="315"/>
      <c r="E1163" s="308"/>
      <c r="F1163" s="62">
        <v>4</v>
      </c>
      <c r="G1163" s="63" t="s">
        <v>164</v>
      </c>
      <c r="H1163" s="64">
        <f t="shared" si="89"/>
        <v>85</v>
      </c>
      <c r="I1163" s="214" t="s">
        <v>0</v>
      </c>
      <c r="J1163" s="36"/>
      <c r="K1163" s="36"/>
      <c r="L1163" s="36"/>
      <c r="M1163" s="36"/>
      <c r="N1163" s="36"/>
      <c r="O1163" s="36"/>
      <c r="P1163" s="36"/>
      <c r="Q1163" s="36"/>
      <c r="R1163" s="36"/>
      <c r="S1163" s="36"/>
      <c r="T1163" s="36"/>
      <c r="U1163" s="36"/>
      <c r="V1163" s="36"/>
      <c r="W1163" s="36"/>
      <c r="X1163" s="36"/>
      <c r="Y1163" s="36"/>
      <c r="Z1163" s="36"/>
      <c r="AA1163" s="36"/>
      <c r="AB1163" s="36"/>
      <c r="AC1163" s="36"/>
      <c r="AD1163" s="36"/>
      <c r="AE1163" s="36"/>
      <c r="AF1163" s="36"/>
      <c r="AG1163" s="36"/>
      <c r="AH1163" s="36"/>
      <c r="AI1163" s="36"/>
    </row>
    <row r="1164" spans="1:35" ht="15.75" hidden="1" customHeight="1" thickBot="1">
      <c r="A1164" s="214" t="s">
        <v>0</v>
      </c>
      <c r="B1164" s="278"/>
      <c r="C1164" s="350"/>
      <c r="D1164" s="315"/>
      <c r="E1164" s="308"/>
      <c r="F1164" s="62">
        <v>3</v>
      </c>
      <c r="G1164" s="63" t="s">
        <v>164</v>
      </c>
      <c r="H1164" s="64">
        <f t="shared" si="89"/>
        <v>80</v>
      </c>
      <c r="I1164" s="214" t="s">
        <v>0</v>
      </c>
      <c r="J1164" s="36"/>
      <c r="K1164" s="36"/>
      <c r="L1164" s="36"/>
      <c r="M1164" s="36"/>
      <c r="N1164" s="36"/>
      <c r="O1164" s="36"/>
      <c r="P1164" s="36"/>
      <c r="Q1164" s="36"/>
      <c r="R1164" s="36"/>
      <c r="S1164" s="36"/>
      <c r="T1164" s="36"/>
      <c r="U1164" s="36"/>
      <c r="V1164" s="36"/>
      <c r="W1164" s="36"/>
      <c r="X1164" s="36"/>
      <c r="Y1164" s="36"/>
      <c r="Z1164" s="36"/>
      <c r="AA1164" s="36"/>
      <c r="AB1164" s="36"/>
      <c r="AC1164" s="36"/>
      <c r="AD1164" s="36"/>
      <c r="AE1164" s="36"/>
      <c r="AF1164" s="36"/>
      <c r="AG1164" s="36"/>
      <c r="AH1164" s="36"/>
      <c r="AI1164" s="36"/>
    </row>
    <row r="1165" spans="1:35" ht="15" hidden="1" customHeight="1">
      <c r="A1165" s="214" t="s">
        <v>0</v>
      </c>
      <c r="B1165" s="274" t="s">
        <v>158</v>
      </c>
      <c r="C1165" s="349"/>
      <c r="D1165" s="315"/>
      <c r="E1165" s="308"/>
      <c r="F1165" s="62">
        <v>2</v>
      </c>
      <c r="G1165" s="63" t="s">
        <v>164</v>
      </c>
      <c r="H1165" s="64">
        <f t="shared" si="89"/>
        <v>75</v>
      </c>
      <c r="I1165" s="214" t="s">
        <v>0</v>
      </c>
      <c r="J1165" s="36"/>
      <c r="K1165" s="36"/>
      <c r="L1165" s="36"/>
      <c r="M1165" s="36"/>
      <c r="N1165" s="36"/>
      <c r="O1165" s="36"/>
      <c r="P1165" s="36"/>
      <c r="Q1165" s="36"/>
      <c r="R1165" s="36"/>
      <c r="S1165" s="36"/>
      <c r="T1165" s="36"/>
      <c r="U1165" s="36"/>
      <c r="V1165" s="36"/>
      <c r="W1165" s="36"/>
      <c r="X1165" s="36"/>
      <c r="Y1165" s="36"/>
      <c r="Z1165" s="36"/>
      <c r="AA1165" s="36"/>
      <c r="AB1165" s="36"/>
      <c r="AC1165" s="36"/>
      <c r="AD1165" s="36"/>
      <c r="AE1165" s="36"/>
      <c r="AF1165" s="36"/>
      <c r="AG1165" s="36"/>
      <c r="AH1165" s="36"/>
      <c r="AI1165" s="36"/>
    </row>
    <row r="1166" spans="1:35" ht="15.75" hidden="1" customHeight="1" thickBot="1">
      <c r="A1166" s="214" t="s">
        <v>0</v>
      </c>
      <c r="B1166" s="275"/>
      <c r="C1166" s="350"/>
      <c r="D1166" s="316"/>
      <c r="E1166" s="309"/>
      <c r="F1166" s="67">
        <v>1</v>
      </c>
      <c r="G1166" s="68" t="s">
        <v>164</v>
      </c>
      <c r="H1166" s="69">
        <f t="shared" si="89"/>
        <v>70</v>
      </c>
      <c r="I1166" s="214" t="s">
        <v>0</v>
      </c>
      <c r="J1166" s="36"/>
      <c r="K1166" s="36"/>
      <c r="L1166" s="36"/>
      <c r="M1166" s="36"/>
      <c r="N1166" s="36"/>
      <c r="O1166" s="36"/>
      <c r="P1166" s="36"/>
      <c r="Q1166" s="36"/>
      <c r="R1166" s="36"/>
      <c r="S1166" s="36"/>
      <c r="T1166" s="36"/>
      <c r="U1166" s="36"/>
      <c r="V1166" s="36"/>
      <c r="W1166" s="36"/>
      <c r="X1166" s="36"/>
      <c r="Y1166" s="36"/>
      <c r="Z1166" s="36"/>
      <c r="AA1166" s="36"/>
      <c r="AB1166" s="36"/>
      <c r="AC1166" s="36"/>
      <c r="AD1166" s="36"/>
      <c r="AE1166" s="36"/>
      <c r="AF1166" s="36"/>
      <c r="AG1166" s="36"/>
      <c r="AH1166" s="36"/>
      <c r="AI1166" s="36"/>
    </row>
    <row r="1167" spans="1:35" ht="15.75" hidden="1" customHeight="1" thickBot="1">
      <c r="A1167" s="214" t="s">
        <v>0</v>
      </c>
      <c r="B1167" s="276">
        <v>8</v>
      </c>
      <c r="C1167" s="349"/>
      <c r="D1167" s="123" t="s">
        <v>156</v>
      </c>
      <c r="E1167" s="124">
        <v>0.6</v>
      </c>
      <c r="F1167" s="58">
        <v>10</v>
      </c>
      <c r="G1167" s="59" t="s">
        <v>164</v>
      </c>
      <c r="H1167" s="60">
        <v>115</v>
      </c>
      <c r="I1167" s="214" t="s">
        <v>0</v>
      </c>
      <c r="J1167" s="36"/>
      <c r="K1167" s="36"/>
      <c r="L1167" s="36"/>
      <c r="M1167" s="36"/>
      <c r="N1167" s="36"/>
      <c r="O1167" s="36"/>
      <c r="P1167" s="36"/>
      <c r="Q1167" s="36"/>
      <c r="R1167" s="36"/>
      <c r="S1167" s="36"/>
      <c r="T1167" s="36"/>
      <c r="U1167" s="36"/>
      <c r="V1167" s="36"/>
      <c r="W1167" s="36"/>
      <c r="X1167" s="36"/>
      <c r="Y1167" s="36"/>
      <c r="Z1167" s="36"/>
      <c r="AA1167" s="36"/>
      <c r="AB1167" s="36"/>
      <c r="AC1167" s="36"/>
      <c r="AD1167" s="36"/>
      <c r="AE1167" s="36"/>
      <c r="AF1167" s="36"/>
      <c r="AG1167" s="36"/>
      <c r="AH1167" s="36"/>
      <c r="AI1167" s="36"/>
    </row>
    <row r="1168" spans="1:35" ht="15" hidden="1" customHeight="1">
      <c r="A1168" s="214" t="s">
        <v>0</v>
      </c>
      <c r="B1168" s="277"/>
      <c r="C1168" s="355"/>
      <c r="D1168" s="314"/>
      <c r="E1168" s="307">
        <f>IF(D1168=0,0,VLOOKUP($D1168,$F1167:$H1176,3,FALSE)*$E1167)</f>
        <v>0</v>
      </c>
      <c r="F1168" s="62">
        <v>9</v>
      </c>
      <c r="G1168" s="63" t="s">
        <v>164</v>
      </c>
      <c r="H1168" s="64">
        <f>H1167-5</f>
        <v>110</v>
      </c>
      <c r="I1168" s="214" t="s">
        <v>0</v>
      </c>
      <c r="J1168" s="36"/>
      <c r="K1168" s="36"/>
      <c r="L1168" s="36"/>
      <c r="M1168" s="36"/>
      <c r="N1168" s="36"/>
      <c r="O1168" s="36"/>
      <c r="P1168" s="36"/>
      <c r="Q1168" s="36"/>
      <c r="R1168" s="36"/>
      <c r="S1168" s="36"/>
      <c r="T1168" s="36"/>
      <c r="U1168" s="36"/>
      <c r="V1168" s="36"/>
      <c r="W1168" s="36"/>
      <c r="X1168" s="36"/>
      <c r="Y1168" s="36"/>
      <c r="Z1168" s="36"/>
      <c r="AA1168" s="36"/>
      <c r="AB1168" s="36"/>
      <c r="AC1168" s="36"/>
      <c r="AD1168" s="36"/>
      <c r="AE1168" s="36"/>
      <c r="AF1168" s="36"/>
      <c r="AG1168" s="36"/>
      <c r="AH1168" s="36"/>
      <c r="AI1168" s="36"/>
    </row>
    <row r="1169" spans="1:35" ht="15" hidden="1" customHeight="1">
      <c r="A1169" s="214" t="s">
        <v>0</v>
      </c>
      <c r="B1169" s="277"/>
      <c r="C1169" s="355"/>
      <c r="D1169" s="315"/>
      <c r="E1169" s="308"/>
      <c r="F1169" s="62">
        <v>8</v>
      </c>
      <c r="G1169" s="63" t="s">
        <v>164</v>
      </c>
      <c r="H1169" s="64">
        <f t="shared" ref="H1169:H1176" si="90">H1168-5</f>
        <v>105</v>
      </c>
      <c r="I1169" s="214" t="s">
        <v>0</v>
      </c>
      <c r="J1169" s="36"/>
      <c r="K1169" s="36"/>
      <c r="L1169" s="36"/>
      <c r="M1169" s="36"/>
      <c r="N1169" s="36"/>
      <c r="O1169" s="36"/>
      <c r="P1169" s="36"/>
      <c r="Q1169" s="36"/>
      <c r="R1169" s="36"/>
      <c r="S1169" s="36"/>
      <c r="T1169" s="36"/>
      <c r="U1169" s="36"/>
      <c r="V1169" s="36"/>
      <c r="W1169" s="36"/>
      <c r="X1169" s="36"/>
      <c r="Y1169" s="36"/>
      <c r="Z1169" s="36"/>
      <c r="AA1169" s="36"/>
      <c r="AB1169" s="36"/>
      <c r="AC1169" s="36"/>
      <c r="AD1169" s="36"/>
      <c r="AE1169" s="36"/>
      <c r="AF1169" s="36"/>
      <c r="AG1169" s="36"/>
      <c r="AH1169" s="36"/>
      <c r="AI1169" s="36"/>
    </row>
    <row r="1170" spans="1:35" ht="15" hidden="1" customHeight="1">
      <c r="A1170" s="214" t="s">
        <v>0</v>
      </c>
      <c r="B1170" s="277"/>
      <c r="C1170" s="355"/>
      <c r="D1170" s="315"/>
      <c r="E1170" s="308"/>
      <c r="F1170" s="62">
        <v>7</v>
      </c>
      <c r="G1170" s="63" t="s">
        <v>164</v>
      </c>
      <c r="H1170" s="64">
        <f t="shared" si="90"/>
        <v>100</v>
      </c>
      <c r="I1170" s="214" t="s">
        <v>0</v>
      </c>
      <c r="J1170" s="36"/>
      <c r="K1170" s="36"/>
      <c r="L1170" s="36"/>
      <c r="M1170" s="36"/>
      <c r="N1170" s="36"/>
      <c r="O1170" s="36"/>
      <c r="P1170" s="36"/>
      <c r="Q1170" s="36"/>
      <c r="R1170" s="36"/>
      <c r="S1170" s="36"/>
      <c r="T1170" s="36"/>
      <c r="U1170" s="36"/>
      <c r="V1170" s="36"/>
      <c r="W1170" s="36"/>
      <c r="X1170" s="36"/>
      <c r="Y1170" s="36"/>
      <c r="Z1170" s="36"/>
      <c r="AA1170" s="36"/>
      <c r="AB1170" s="36"/>
      <c r="AC1170" s="36"/>
      <c r="AD1170" s="36"/>
      <c r="AE1170" s="36"/>
      <c r="AF1170" s="36"/>
      <c r="AG1170" s="36"/>
      <c r="AH1170" s="36"/>
      <c r="AI1170" s="36"/>
    </row>
    <row r="1171" spans="1:35" ht="15" hidden="1" customHeight="1">
      <c r="A1171" s="214" t="s">
        <v>0</v>
      </c>
      <c r="B1171" s="277"/>
      <c r="C1171" s="355"/>
      <c r="D1171" s="315"/>
      <c r="E1171" s="308"/>
      <c r="F1171" s="62">
        <v>6</v>
      </c>
      <c r="G1171" s="63" t="s">
        <v>164</v>
      </c>
      <c r="H1171" s="64">
        <f t="shared" si="90"/>
        <v>95</v>
      </c>
      <c r="I1171" s="214" t="s">
        <v>0</v>
      </c>
      <c r="J1171" s="36"/>
      <c r="K1171" s="36"/>
      <c r="L1171" s="36"/>
      <c r="M1171" s="36"/>
      <c r="N1171" s="36"/>
      <c r="O1171" s="36"/>
      <c r="P1171" s="36"/>
      <c r="Q1171" s="36"/>
      <c r="R1171" s="36"/>
      <c r="S1171" s="36"/>
      <c r="T1171" s="36"/>
      <c r="U1171" s="36"/>
      <c r="V1171" s="36"/>
      <c r="W1171" s="36"/>
      <c r="X1171" s="36"/>
      <c r="Y1171" s="36"/>
      <c r="Z1171" s="36"/>
      <c r="AA1171" s="36"/>
      <c r="AB1171" s="36"/>
      <c r="AC1171" s="36"/>
      <c r="AD1171" s="36"/>
      <c r="AE1171" s="36"/>
      <c r="AF1171" s="36"/>
      <c r="AG1171" s="36"/>
      <c r="AH1171" s="36"/>
      <c r="AI1171" s="36"/>
    </row>
    <row r="1172" spans="1:35" ht="15" hidden="1" customHeight="1">
      <c r="A1172" s="214" t="s">
        <v>0</v>
      </c>
      <c r="B1172" s="277"/>
      <c r="C1172" s="355"/>
      <c r="D1172" s="315"/>
      <c r="E1172" s="308"/>
      <c r="F1172" s="62">
        <v>5</v>
      </c>
      <c r="G1172" s="63" t="s">
        <v>164</v>
      </c>
      <c r="H1172" s="64">
        <f t="shared" si="90"/>
        <v>90</v>
      </c>
      <c r="I1172" s="214" t="s">
        <v>0</v>
      </c>
      <c r="J1172" s="36"/>
      <c r="K1172" s="36"/>
      <c r="L1172" s="36"/>
      <c r="M1172" s="36"/>
      <c r="N1172" s="36"/>
      <c r="O1172" s="36"/>
      <c r="P1172" s="36"/>
      <c r="Q1172" s="36"/>
      <c r="R1172" s="36"/>
      <c r="S1172" s="36"/>
      <c r="T1172" s="36"/>
      <c r="U1172" s="36"/>
      <c r="V1172" s="36"/>
      <c r="W1172" s="36"/>
      <c r="X1172" s="36"/>
      <c r="Y1172" s="36"/>
      <c r="Z1172" s="36"/>
      <c r="AA1172" s="36"/>
      <c r="AB1172" s="36"/>
      <c r="AC1172" s="36"/>
      <c r="AD1172" s="36"/>
      <c r="AE1172" s="36"/>
      <c r="AF1172" s="36"/>
      <c r="AG1172" s="36"/>
      <c r="AH1172" s="36"/>
      <c r="AI1172" s="36"/>
    </row>
    <row r="1173" spans="1:35" ht="15" hidden="1" customHeight="1">
      <c r="A1173" s="214" t="s">
        <v>0</v>
      </c>
      <c r="B1173" s="277"/>
      <c r="C1173" s="355"/>
      <c r="D1173" s="315"/>
      <c r="E1173" s="308"/>
      <c r="F1173" s="62">
        <v>4</v>
      </c>
      <c r="G1173" s="63" t="s">
        <v>164</v>
      </c>
      <c r="H1173" s="64">
        <f t="shared" si="90"/>
        <v>85</v>
      </c>
      <c r="I1173" s="214" t="s">
        <v>0</v>
      </c>
      <c r="J1173" s="36"/>
      <c r="K1173" s="36"/>
      <c r="L1173" s="36"/>
      <c r="M1173" s="36"/>
      <c r="N1173" s="36"/>
      <c r="O1173" s="36"/>
      <c r="P1173" s="36"/>
      <c r="Q1173" s="36"/>
      <c r="R1173" s="36"/>
      <c r="S1173" s="36"/>
      <c r="T1173" s="36"/>
      <c r="U1173" s="36"/>
      <c r="V1173" s="36"/>
      <c r="W1173" s="36"/>
      <c r="X1173" s="36"/>
      <c r="Y1173" s="36"/>
      <c r="Z1173" s="36"/>
      <c r="AA1173" s="36"/>
      <c r="AB1173" s="36"/>
      <c r="AC1173" s="36"/>
      <c r="AD1173" s="36"/>
      <c r="AE1173" s="36"/>
      <c r="AF1173" s="36"/>
      <c r="AG1173" s="36"/>
      <c r="AH1173" s="36"/>
      <c r="AI1173" s="36"/>
    </row>
    <row r="1174" spans="1:35" ht="15.75" hidden="1" customHeight="1" thickBot="1">
      <c r="A1174" s="214" t="s">
        <v>0</v>
      </c>
      <c r="B1174" s="278"/>
      <c r="C1174" s="350"/>
      <c r="D1174" s="315"/>
      <c r="E1174" s="308"/>
      <c r="F1174" s="62">
        <v>3</v>
      </c>
      <c r="G1174" s="63" t="s">
        <v>164</v>
      </c>
      <c r="H1174" s="64">
        <f t="shared" si="90"/>
        <v>80</v>
      </c>
      <c r="I1174" s="214" t="s">
        <v>0</v>
      </c>
      <c r="J1174" s="36"/>
      <c r="K1174" s="36"/>
      <c r="L1174" s="36"/>
      <c r="M1174" s="36"/>
      <c r="N1174" s="36"/>
      <c r="O1174" s="36"/>
      <c r="P1174" s="36"/>
      <c r="Q1174" s="36"/>
      <c r="R1174" s="36"/>
      <c r="S1174" s="36"/>
      <c r="T1174" s="36"/>
      <c r="U1174" s="36"/>
      <c r="V1174" s="36"/>
      <c r="W1174" s="36"/>
      <c r="X1174" s="36"/>
      <c r="Y1174" s="36"/>
      <c r="Z1174" s="36"/>
      <c r="AA1174" s="36"/>
      <c r="AB1174" s="36"/>
      <c r="AC1174" s="36"/>
      <c r="AD1174" s="36"/>
      <c r="AE1174" s="36"/>
      <c r="AF1174" s="36"/>
      <c r="AG1174" s="36"/>
      <c r="AH1174" s="36"/>
      <c r="AI1174" s="36"/>
    </row>
    <row r="1175" spans="1:35" ht="15" hidden="1" customHeight="1">
      <c r="A1175" s="214" t="s">
        <v>0</v>
      </c>
      <c r="B1175" s="274" t="s">
        <v>158</v>
      </c>
      <c r="C1175" s="349"/>
      <c r="D1175" s="315"/>
      <c r="E1175" s="308"/>
      <c r="F1175" s="62">
        <v>2</v>
      </c>
      <c r="G1175" s="63" t="s">
        <v>164</v>
      </c>
      <c r="H1175" s="64">
        <f t="shared" si="90"/>
        <v>75</v>
      </c>
      <c r="I1175" s="214" t="s">
        <v>0</v>
      </c>
      <c r="J1175" s="36"/>
      <c r="K1175" s="36"/>
      <c r="L1175" s="36"/>
      <c r="M1175" s="36"/>
      <c r="N1175" s="36"/>
      <c r="O1175" s="36"/>
      <c r="P1175" s="36"/>
      <c r="Q1175" s="36"/>
      <c r="R1175" s="36"/>
      <c r="S1175" s="36"/>
      <c r="T1175" s="36"/>
      <c r="U1175" s="36"/>
      <c r="V1175" s="36"/>
      <c r="W1175" s="36"/>
      <c r="X1175" s="36"/>
      <c r="Y1175" s="36"/>
      <c r="Z1175" s="36"/>
      <c r="AA1175" s="36"/>
      <c r="AB1175" s="36"/>
      <c r="AC1175" s="36"/>
      <c r="AD1175" s="36"/>
      <c r="AE1175" s="36"/>
      <c r="AF1175" s="36"/>
      <c r="AG1175" s="36"/>
      <c r="AH1175" s="36"/>
      <c r="AI1175" s="36"/>
    </row>
    <row r="1176" spans="1:35" ht="15.75" hidden="1" customHeight="1" thickBot="1">
      <c r="A1176" s="214" t="s">
        <v>0</v>
      </c>
      <c r="B1176" s="275"/>
      <c r="C1176" s="350"/>
      <c r="D1176" s="316"/>
      <c r="E1176" s="309"/>
      <c r="F1176" s="67">
        <v>1</v>
      </c>
      <c r="G1176" s="68" t="s">
        <v>164</v>
      </c>
      <c r="H1176" s="69">
        <f t="shared" si="90"/>
        <v>70</v>
      </c>
      <c r="I1176" s="214" t="s">
        <v>0</v>
      </c>
      <c r="J1176" s="36"/>
      <c r="K1176" s="36"/>
      <c r="L1176" s="36"/>
      <c r="M1176" s="36"/>
      <c r="N1176" s="36"/>
      <c r="O1176" s="36"/>
      <c r="P1176" s="36"/>
      <c r="Q1176" s="36"/>
      <c r="R1176" s="36"/>
      <c r="S1176" s="36"/>
      <c r="T1176" s="36"/>
      <c r="U1176" s="36"/>
      <c r="V1176" s="36"/>
      <c r="W1176" s="36"/>
      <c r="X1176" s="36"/>
      <c r="Y1176" s="36"/>
      <c r="Z1176" s="36"/>
      <c r="AA1176" s="36"/>
      <c r="AB1176" s="36"/>
      <c r="AC1176" s="36"/>
      <c r="AD1176" s="36"/>
      <c r="AE1176" s="36"/>
      <c r="AF1176" s="36"/>
      <c r="AG1176" s="36"/>
      <c r="AH1176" s="36"/>
      <c r="AI1176" s="36"/>
    </row>
    <row r="1177" spans="1:35" ht="15.75" hidden="1" customHeight="1" thickBot="1">
      <c r="A1177" s="214" t="s">
        <v>0</v>
      </c>
      <c r="B1177" s="276">
        <v>9</v>
      </c>
      <c r="C1177" s="349"/>
      <c r="D1177" s="123" t="s">
        <v>156</v>
      </c>
      <c r="E1177" s="124">
        <v>0.6</v>
      </c>
      <c r="F1177" s="58">
        <v>10</v>
      </c>
      <c r="G1177" s="59" t="s">
        <v>164</v>
      </c>
      <c r="H1177" s="60">
        <v>115</v>
      </c>
      <c r="I1177" s="214" t="s">
        <v>0</v>
      </c>
      <c r="J1177" s="36"/>
      <c r="K1177" s="36"/>
      <c r="L1177" s="36"/>
      <c r="M1177" s="36"/>
      <c r="N1177" s="36"/>
      <c r="O1177" s="36"/>
      <c r="P1177" s="36"/>
      <c r="Q1177" s="36"/>
      <c r="R1177" s="36"/>
      <c r="S1177" s="36"/>
      <c r="T1177" s="36"/>
      <c r="U1177" s="36"/>
      <c r="V1177" s="36"/>
      <c r="W1177" s="36"/>
      <c r="X1177" s="36"/>
      <c r="Y1177" s="36"/>
      <c r="Z1177" s="36"/>
      <c r="AA1177" s="36"/>
      <c r="AB1177" s="36"/>
      <c r="AC1177" s="36"/>
      <c r="AD1177" s="36"/>
      <c r="AE1177" s="36"/>
      <c r="AF1177" s="36"/>
      <c r="AG1177" s="36"/>
      <c r="AH1177" s="36"/>
      <c r="AI1177" s="36"/>
    </row>
    <row r="1178" spans="1:35" ht="15" hidden="1" customHeight="1">
      <c r="A1178" s="214" t="s">
        <v>0</v>
      </c>
      <c r="B1178" s="277"/>
      <c r="C1178" s="355"/>
      <c r="D1178" s="314"/>
      <c r="E1178" s="307">
        <f>IF(D1178=0,0,VLOOKUP($D1178,$F1177:$H1186,3,FALSE)*$E1177)</f>
        <v>0</v>
      </c>
      <c r="F1178" s="62">
        <v>9</v>
      </c>
      <c r="G1178" s="63" t="s">
        <v>164</v>
      </c>
      <c r="H1178" s="64">
        <f>H1177-5</f>
        <v>110</v>
      </c>
      <c r="I1178" s="214" t="s">
        <v>0</v>
      </c>
      <c r="J1178" s="36"/>
      <c r="K1178" s="36"/>
      <c r="L1178" s="36"/>
      <c r="M1178" s="36"/>
      <c r="N1178" s="36"/>
      <c r="O1178" s="36"/>
      <c r="P1178" s="36"/>
      <c r="Q1178" s="36"/>
      <c r="R1178" s="36"/>
      <c r="S1178" s="36"/>
      <c r="T1178" s="36"/>
      <c r="U1178" s="36"/>
      <c r="V1178" s="36"/>
      <c r="W1178" s="36"/>
      <c r="X1178" s="36"/>
      <c r="Y1178" s="36"/>
      <c r="Z1178" s="36"/>
      <c r="AA1178" s="36"/>
      <c r="AB1178" s="36"/>
      <c r="AC1178" s="36"/>
      <c r="AD1178" s="36"/>
      <c r="AE1178" s="36"/>
      <c r="AF1178" s="36"/>
      <c r="AG1178" s="36"/>
      <c r="AH1178" s="36"/>
      <c r="AI1178" s="36"/>
    </row>
    <row r="1179" spans="1:35" ht="15" hidden="1" customHeight="1">
      <c r="A1179" s="214" t="s">
        <v>0</v>
      </c>
      <c r="B1179" s="277"/>
      <c r="C1179" s="355"/>
      <c r="D1179" s="315"/>
      <c r="E1179" s="308"/>
      <c r="F1179" s="62">
        <v>8</v>
      </c>
      <c r="G1179" s="63" t="s">
        <v>164</v>
      </c>
      <c r="H1179" s="64">
        <f t="shared" ref="H1179:H1186" si="91">H1178-5</f>
        <v>105</v>
      </c>
      <c r="I1179" s="214" t="s">
        <v>0</v>
      </c>
      <c r="J1179" s="36"/>
      <c r="K1179" s="36"/>
      <c r="L1179" s="36"/>
      <c r="M1179" s="36"/>
      <c r="N1179" s="36"/>
      <c r="O1179" s="36"/>
      <c r="P1179" s="36"/>
      <c r="Q1179" s="36"/>
      <c r="R1179" s="36"/>
      <c r="S1179" s="36"/>
      <c r="T1179" s="36"/>
      <c r="U1179" s="36"/>
      <c r="V1179" s="36"/>
      <c r="W1179" s="36"/>
      <c r="X1179" s="36"/>
      <c r="Y1179" s="36"/>
      <c r="Z1179" s="36"/>
      <c r="AA1179" s="36"/>
      <c r="AB1179" s="36"/>
      <c r="AC1179" s="36"/>
      <c r="AD1179" s="36"/>
      <c r="AE1179" s="36"/>
      <c r="AF1179" s="36"/>
      <c r="AG1179" s="36"/>
      <c r="AH1179" s="36"/>
      <c r="AI1179" s="36"/>
    </row>
    <row r="1180" spans="1:35" ht="15" hidden="1" customHeight="1">
      <c r="A1180" s="214" t="s">
        <v>0</v>
      </c>
      <c r="B1180" s="277"/>
      <c r="C1180" s="355"/>
      <c r="D1180" s="315"/>
      <c r="E1180" s="308"/>
      <c r="F1180" s="62">
        <v>7</v>
      </c>
      <c r="G1180" s="63" t="s">
        <v>164</v>
      </c>
      <c r="H1180" s="64">
        <f t="shared" si="91"/>
        <v>100</v>
      </c>
      <c r="I1180" s="214" t="s">
        <v>0</v>
      </c>
      <c r="J1180" s="36"/>
      <c r="K1180" s="36"/>
      <c r="L1180" s="36"/>
      <c r="M1180" s="36"/>
      <c r="N1180" s="36"/>
      <c r="O1180" s="36"/>
      <c r="P1180" s="36"/>
      <c r="Q1180" s="36"/>
      <c r="R1180" s="36"/>
      <c r="S1180" s="36"/>
      <c r="T1180" s="36"/>
      <c r="U1180" s="36"/>
      <c r="V1180" s="36"/>
      <c r="W1180" s="36"/>
      <c r="X1180" s="36"/>
      <c r="Y1180" s="36"/>
      <c r="Z1180" s="36"/>
      <c r="AA1180" s="36"/>
      <c r="AB1180" s="36"/>
      <c r="AC1180" s="36"/>
      <c r="AD1180" s="36"/>
      <c r="AE1180" s="36"/>
      <c r="AF1180" s="36"/>
      <c r="AG1180" s="36"/>
      <c r="AH1180" s="36"/>
      <c r="AI1180" s="36"/>
    </row>
    <row r="1181" spans="1:35" ht="15" hidden="1" customHeight="1">
      <c r="A1181" s="214" t="s">
        <v>0</v>
      </c>
      <c r="B1181" s="277"/>
      <c r="C1181" s="355"/>
      <c r="D1181" s="315"/>
      <c r="E1181" s="308"/>
      <c r="F1181" s="62">
        <v>6</v>
      </c>
      <c r="G1181" s="63" t="s">
        <v>164</v>
      </c>
      <c r="H1181" s="64">
        <f t="shared" si="91"/>
        <v>95</v>
      </c>
      <c r="I1181" s="214" t="s">
        <v>0</v>
      </c>
      <c r="J1181" s="36"/>
      <c r="K1181" s="36"/>
      <c r="L1181" s="36"/>
      <c r="M1181" s="36"/>
      <c r="N1181" s="36"/>
      <c r="O1181" s="36"/>
      <c r="P1181" s="36"/>
      <c r="Q1181" s="36"/>
      <c r="R1181" s="36"/>
      <c r="S1181" s="36"/>
      <c r="T1181" s="36"/>
      <c r="U1181" s="36"/>
      <c r="V1181" s="36"/>
      <c r="W1181" s="36"/>
      <c r="X1181" s="36"/>
      <c r="Y1181" s="36"/>
      <c r="Z1181" s="36"/>
      <c r="AA1181" s="36"/>
      <c r="AB1181" s="36"/>
      <c r="AC1181" s="36"/>
      <c r="AD1181" s="36"/>
      <c r="AE1181" s="36"/>
      <c r="AF1181" s="36"/>
      <c r="AG1181" s="36"/>
      <c r="AH1181" s="36"/>
      <c r="AI1181" s="36"/>
    </row>
    <row r="1182" spans="1:35" ht="15" hidden="1" customHeight="1">
      <c r="A1182" s="214" t="s">
        <v>0</v>
      </c>
      <c r="B1182" s="277"/>
      <c r="C1182" s="355"/>
      <c r="D1182" s="315"/>
      <c r="E1182" s="308"/>
      <c r="F1182" s="62">
        <v>5</v>
      </c>
      <c r="G1182" s="63" t="s">
        <v>164</v>
      </c>
      <c r="H1182" s="64">
        <f t="shared" si="91"/>
        <v>90</v>
      </c>
      <c r="I1182" s="214" t="s">
        <v>0</v>
      </c>
      <c r="J1182" s="36"/>
      <c r="K1182" s="36"/>
      <c r="L1182" s="36"/>
      <c r="M1182" s="36"/>
      <c r="N1182" s="36"/>
      <c r="O1182" s="36"/>
      <c r="P1182" s="36"/>
      <c r="Q1182" s="36"/>
      <c r="R1182" s="36"/>
      <c r="S1182" s="36"/>
      <c r="T1182" s="36"/>
      <c r="U1182" s="36"/>
      <c r="V1182" s="36"/>
      <c r="W1182" s="36"/>
      <c r="X1182" s="36"/>
      <c r="Y1182" s="36"/>
      <c r="Z1182" s="36"/>
      <c r="AA1182" s="36"/>
      <c r="AB1182" s="36"/>
      <c r="AC1182" s="36"/>
      <c r="AD1182" s="36"/>
      <c r="AE1182" s="36"/>
      <c r="AF1182" s="36"/>
      <c r="AG1182" s="36"/>
      <c r="AH1182" s="36"/>
      <c r="AI1182" s="36"/>
    </row>
    <row r="1183" spans="1:35" ht="15" hidden="1" customHeight="1">
      <c r="A1183" s="214" t="s">
        <v>0</v>
      </c>
      <c r="B1183" s="277"/>
      <c r="C1183" s="355"/>
      <c r="D1183" s="315"/>
      <c r="E1183" s="308"/>
      <c r="F1183" s="62">
        <v>4</v>
      </c>
      <c r="G1183" s="63" t="s">
        <v>164</v>
      </c>
      <c r="H1183" s="64">
        <f t="shared" si="91"/>
        <v>85</v>
      </c>
      <c r="I1183" s="214" t="s">
        <v>0</v>
      </c>
      <c r="J1183" s="36"/>
      <c r="K1183" s="36"/>
      <c r="L1183" s="36"/>
      <c r="M1183" s="36"/>
      <c r="N1183" s="36"/>
      <c r="O1183" s="36"/>
      <c r="P1183" s="36"/>
      <c r="Q1183" s="36"/>
      <c r="R1183" s="36"/>
      <c r="S1183" s="36"/>
      <c r="T1183" s="36"/>
      <c r="U1183" s="36"/>
      <c r="V1183" s="36"/>
      <c r="W1183" s="36"/>
      <c r="X1183" s="36"/>
      <c r="Y1183" s="36"/>
      <c r="Z1183" s="36"/>
      <c r="AA1183" s="36"/>
      <c r="AB1183" s="36"/>
      <c r="AC1183" s="36"/>
      <c r="AD1183" s="36"/>
      <c r="AE1183" s="36"/>
      <c r="AF1183" s="36"/>
      <c r="AG1183" s="36"/>
      <c r="AH1183" s="36"/>
      <c r="AI1183" s="36"/>
    </row>
    <row r="1184" spans="1:35" ht="15.75" hidden="1" customHeight="1" thickBot="1">
      <c r="A1184" s="214" t="s">
        <v>0</v>
      </c>
      <c r="B1184" s="278"/>
      <c r="C1184" s="350"/>
      <c r="D1184" s="315"/>
      <c r="E1184" s="308"/>
      <c r="F1184" s="62">
        <v>3</v>
      </c>
      <c r="G1184" s="63" t="s">
        <v>164</v>
      </c>
      <c r="H1184" s="64">
        <f t="shared" si="91"/>
        <v>80</v>
      </c>
      <c r="I1184" s="214" t="s">
        <v>0</v>
      </c>
      <c r="J1184" s="36"/>
      <c r="K1184" s="36"/>
      <c r="L1184" s="36"/>
      <c r="M1184" s="36"/>
      <c r="N1184" s="36"/>
      <c r="O1184" s="36"/>
      <c r="P1184" s="36"/>
      <c r="Q1184" s="36"/>
      <c r="R1184" s="36"/>
      <c r="S1184" s="36"/>
      <c r="T1184" s="36"/>
      <c r="U1184" s="36"/>
      <c r="V1184" s="36"/>
      <c r="W1184" s="36"/>
      <c r="X1184" s="36"/>
      <c r="Y1184" s="36"/>
      <c r="Z1184" s="36"/>
      <c r="AA1184" s="36"/>
      <c r="AB1184" s="36"/>
      <c r="AC1184" s="36"/>
      <c r="AD1184" s="36"/>
      <c r="AE1184" s="36"/>
      <c r="AF1184" s="36"/>
      <c r="AG1184" s="36"/>
      <c r="AH1184" s="36"/>
      <c r="AI1184" s="36"/>
    </row>
    <row r="1185" spans="1:35" ht="15" hidden="1" customHeight="1">
      <c r="A1185" s="214" t="s">
        <v>0</v>
      </c>
      <c r="B1185" s="274" t="s">
        <v>158</v>
      </c>
      <c r="C1185" s="349"/>
      <c r="D1185" s="315"/>
      <c r="E1185" s="308"/>
      <c r="F1185" s="62">
        <v>2</v>
      </c>
      <c r="G1185" s="63" t="s">
        <v>164</v>
      </c>
      <c r="H1185" s="64">
        <f t="shared" si="91"/>
        <v>75</v>
      </c>
      <c r="I1185" s="214" t="s">
        <v>0</v>
      </c>
      <c r="J1185" s="36"/>
      <c r="K1185" s="36"/>
      <c r="L1185" s="36"/>
      <c r="M1185" s="36"/>
      <c r="N1185" s="36"/>
      <c r="O1185" s="36"/>
      <c r="P1185" s="36"/>
      <c r="Q1185" s="36"/>
      <c r="R1185" s="36"/>
      <c r="S1185" s="36"/>
      <c r="T1185" s="36"/>
      <c r="U1185" s="36"/>
      <c r="V1185" s="36"/>
      <c r="W1185" s="36"/>
      <c r="X1185" s="36"/>
      <c r="Y1185" s="36"/>
      <c r="Z1185" s="36"/>
      <c r="AA1185" s="36"/>
      <c r="AB1185" s="36"/>
      <c r="AC1185" s="36"/>
      <c r="AD1185" s="36"/>
      <c r="AE1185" s="36"/>
      <c r="AF1185" s="36"/>
      <c r="AG1185" s="36"/>
      <c r="AH1185" s="36"/>
      <c r="AI1185" s="36"/>
    </row>
    <row r="1186" spans="1:35" ht="15.75" hidden="1" customHeight="1" thickBot="1">
      <c r="A1186" s="214" t="s">
        <v>0</v>
      </c>
      <c r="B1186" s="275"/>
      <c r="C1186" s="350"/>
      <c r="D1186" s="316"/>
      <c r="E1186" s="309"/>
      <c r="F1186" s="67">
        <v>1</v>
      </c>
      <c r="G1186" s="68" t="s">
        <v>164</v>
      </c>
      <c r="H1186" s="69">
        <f t="shared" si="91"/>
        <v>70</v>
      </c>
      <c r="I1186" s="214" t="s">
        <v>0</v>
      </c>
      <c r="J1186" s="36"/>
      <c r="K1186" s="36"/>
      <c r="L1186" s="36"/>
      <c r="M1186" s="36"/>
      <c r="N1186" s="36"/>
      <c r="O1186" s="36"/>
      <c r="P1186" s="36"/>
      <c r="Q1186" s="36"/>
      <c r="R1186" s="36"/>
      <c r="S1186" s="36"/>
      <c r="T1186" s="36"/>
      <c r="U1186" s="36"/>
      <c r="V1186" s="36"/>
      <c r="W1186" s="36"/>
      <c r="X1186" s="36"/>
      <c r="Y1186" s="36"/>
      <c r="Z1186" s="36"/>
      <c r="AA1186" s="36"/>
      <c r="AB1186" s="36"/>
      <c r="AC1186" s="36"/>
      <c r="AD1186" s="36"/>
      <c r="AE1186" s="36"/>
      <c r="AF1186" s="36"/>
      <c r="AG1186" s="36"/>
      <c r="AH1186" s="36"/>
      <c r="AI1186" s="36"/>
    </row>
    <row r="1187" spans="1:35" ht="15.75" hidden="1" customHeight="1" thickBot="1">
      <c r="A1187" s="214" t="s">
        <v>0</v>
      </c>
      <c r="B1187" s="279">
        <v>10</v>
      </c>
      <c r="C1187" s="349"/>
      <c r="D1187" s="123" t="s">
        <v>156</v>
      </c>
      <c r="E1187" s="124">
        <v>0.6</v>
      </c>
      <c r="F1187" s="70">
        <v>10</v>
      </c>
      <c r="G1187" s="71" t="s">
        <v>164</v>
      </c>
      <c r="H1187" s="72">
        <v>115</v>
      </c>
      <c r="I1187" s="214" t="s">
        <v>0</v>
      </c>
      <c r="J1187" s="36"/>
      <c r="K1187" s="36"/>
      <c r="L1187" s="36"/>
      <c r="M1187" s="36"/>
      <c r="N1187" s="36"/>
      <c r="O1187" s="36"/>
      <c r="P1187" s="36"/>
      <c r="Q1187" s="36"/>
      <c r="R1187" s="36"/>
      <c r="S1187" s="36"/>
      <c r="T1187" s="36"/>
      <c r="U1187" s="36"/>
      <c r="V1187" s="36"/>
      <c r="W1187" s="36"/>
      <c r="X1187" s="36"/>
      <c r="Y1187" s="36"/>
      <c r="Z1187" s="36"/>
      <c r="AA1187" s="36"/>
      <c r="AB1187" s="36"/>
      <c r="AC1187" s="36"/>
      <c r="AD1187" s="36"/>
      <c r="AE1187" s="36"/>
      <c r="AF1187" s="36"/>
      <c r="AG1187" s="36"/>
      <c r="AH1187" s="36"/>
      <c r="AI1187" s="36"/>
    </row>
    <row r="1188" spans="1:35" ht="15" hidden="1" customHeight="1">
      <c r="A1188" s="214" t="s">
        <v>0</v>
      </c>
      <c r="B1188" s="277"/>
      <c r="C1188" s="355"/>
      <c r="D1188" s="314"/>
      <c r="E1188" s="307">
        <f>IF(D1188=0,0,VLOOKUP($D1188,$F1187:$H1196,3,FALSE)*$E1187)</f>
        <v>0</v>
      </c>
      <c r="F1188" s="62">
        <v>9</v>
      </c>
      <c r="G1188" s="63" t="s">
        <v>164</v>
      </c>
      <c r="H1188" s="64">
        <f>H1187-5</f>
        <v>110</v>
      </c>
      <c r="I1188" s="214" t="s">
        <v>0</v>
      </c>
      <c r="J1188" s="36"/>
      <c r="K1188" s="36"/>
      <c r="L1188" s="36"/>
      <c r="M1188" s="36"/>
      <c r="N1188" s="36"/>
      <c r="O1188" s="36"/>
      <c r="P1188" s="36"/>
      <c r="Q1188" s="36"/>
      <c r="R1188" s="36"/>
      <c r="S1188" s="36"/>
      <c r="T1188" s="36"/>
      <c r="U1188" s="36"/>
      <c r="V1188" s="36"/>
      <c r="W1188" s="36"/>
      <c r="X1188" s="36"/>
      <c r="Y1188" s="36"/>
      <c r="Z1188" s="36"/>
      <c r="AA1188" s="36"/>
      <c r="AB1188" s="36"/>
      <c r="AC1188" s="36"/>
      <c r="AD1188" s="36"/>
      <c r="AE1188" s="36"/>
      <c r="AF1188" s="36"/>
      <c r="AG1188" s="36"/>
      <c r="AH1188" s="36"/>
      <c r="AI1188" s="36"/>
    </row>
    <row r="1189" spans="1:35" ht="15" hidden="1" customHeight="1">
      <c r="A1189" s="214" t="s">
        <v>0</v>
      </c>
      <c r="B1189" s="277"/>
      <c r="C1189" s="355"/>
      <c r="D1189" s="315"/>
      <c r="E1189" s="308"/>
      <c r="F1189" s="62">
        <v>8</v>
      </c>
      <c r="G1189" s="63" t="s">
        <v>164</v>
      </c>
      <c r="H1189" s="64">
        <f t="shared" ref="H1189:H1196" si="92">H1188-5</f>
        <v>105</v>
      </c>
      <c r="I1189" s="214" t="s">
        <v>0</v>
      </c>
      <c r="J1189" s="36"/>
      <c r="K1189" s="36"/>
      <c r="L1189" s="36"/>
      <c r="M1189" s="36"/>
      <c r="N1189" s="36"/>
      <c r="O1189" s="36"/>
      <c r="P1189" s="36"/>
      <c r="Q1189" s="36"/>
      <c r="R1189" s="36"/>
      <c r="S1189" s="36"/>
      <c r="T1189" s="36"/>
      <c r="U1189" s="36"/>
      <c r="V1189" s="36"/>
      <c r="W1189" s="36"/>
      <c r="X1189" s="36"/>
      <c r="Y1189" s="36"/>
      <c r="Z1189" s="36"/>
      <c r="AA1189" s="36"/>
      <c r="AB1189" s="36"/>
      <c r="AC1189" s="36"/>
      <c r="AD1189" s="36"/>
      <c r="AE1189" s="36"/>
      <c r="AF1189" s="36"/>
      <c r="AG1189" s="36"/>
      <c r="AH1189" s="36"/>
      <c r="AI1189" s="36"/>
    </row>
    <row r="1190" spans="1:35" ht="15" hidden="1" customHeight="1">
      <c r="A1190" s="214" t="s">
        <v>0</v>
      </c>
      <c r="B1190" s="277"/>
      <c r="C1190" s="355"/>
      <c r="D1190" s="315"/>
      <c r="E1190" s="308"/>
      <c r="F1190" s="62">
        <v>7</v>
      </c>
      <c r="G1190" s="63" t="s">
        <v>164</v>
      </c>
      <c r="H1190" s="64">
        <f t="shared" si="92"/>
        <v>100</v>
      </c>
      <c r="I1190" s="214" t="s">
        <v>0</v>
      </c>
      <c r="J1190" s="36"/>
      <c r="K1190" s="36"/>
      <c r="L1190" s="36"/>
      <c r="M1190" s="36"/>
      <c r="N1190" s="36"/>
      <c r="O1190" s="36"/>
      <c r="P1190" s="36"/>
      <c r="Q1190" s="36"/>
      <c r="R1190" s="36"/>
      <c r="S1190" s="36"/>
      <c r="T1190" s="36"/>
      <c r="U1190" s="36"/>
      <c r="V1190" s="36"/>
      <c r="W1190" s="36"/>
      <c r="X1190" s="36"/>
      <c r="Y1190" s="36"/>
      <c r="Z1190" s="36"/>
      <c r="AA1190" s="36"/>
      <c r="AB1190" s="36"/>
      <c r="AC1190" s="36"/>
      <c r="AD1190" s="36"/>
      <c r="AE1190" s="36"/>
      <c r="AF1190" s="36"/>
      <c r="AG1190" s="36"/>
      <c r="AH1190" s="36"/>
      <c r="AI1190" s="36"/>
    </row>
    <row r="1191" spans="1:35" ht="15" hidden="1" customHeight="1">
      <c r="A1191" s="214" t="s">
        <v>0</v>
      </c>
      <c r="B1191" s="277"/>
      <c r="C1191" s="355"/>
      <c r="D1191" s="315"/>
      <c r="E1191" s="308"/>
      <c r="F1191" s="62">
        <v>6</v>
      </c>
      <c r="G1191" s="63" t="s">
        <v>164</v>
      </c>
      <c r="H1191" s="64">
        <f t="shared" si="92"/>
        <v>95</v>
      </c>
      <c r="I1191" s="214" t="s">
        <v>0</v>
      </c>
      <c r="J1191" s="36"/>
      <c r="K1191" s="36"/>
      <c r="L1191" s="36"/>
      <c r="M1191" s="36"/>
      <c r="N1191" s="36"/>
      <c r="O1191" s="36"/>
      <c r="P1191" s="36"/>
      <c r="Q1191" s="36"/>
      <c r="R1191" s="36"/>
      <c r="S1191" s="36"/>
      <c r="T1191" s="36"/>
      <c r="U1191" s="36"/>
      <c r="V1191" s="36"/>
      <c r="W1191" s="36"/>
      <c r="X1191" s="36"/>
      <c r="Y1191" s="36"/>
      <c r="Z1191" s="36"/>
      <c r="AA1191" s="36"/>
      <c r="AB1191" s="36"/>
      <c r="AC1191" s="36"/>
      <c r="AD1191" s="36"/>
      <c r="AE1191" s="36"/>
      <c r="AF1191" s="36"/>
      <c r="AG1191" s="36"/>
      <c r="AH1191" s="36"/>
      <c r="AI1191" s="36"/>
    </row>
    <row r="1192" spans="1:35" ht="15" hidden="1" customHeight="1">
      <c r="A1192" s="214" t="s">
        <v>0</v>
      </c>
      <c r="B1192" s="277"/>
      <c r="C1192" s="355"/>
      <c r="D1192" s="315"/>
      <c r="E1192" s="308"/>
      <c r="F1192" s="62">
        <v>5</v>
      </c>
      <c r="G1192" s="63" t="s">
        <v>164</v>
      </c>
      <c r="H1192" s="64">
        <f t="shared" si="92"/>
        <v>90</v>
      </c>
      <c r="I1192" s="214" t="s">
        <v>0</v>
      </c>
      <c r="J1192" s="36"/>
      <c r="K1192" s="36"/>
      <c r="L1192" s="36"/>
      <c r="M1192" s="36"/>
      <c r="N1192" s="36"/>
      <c r="O1192" s="36"/>
      <c r="P1192" s="36"/>
      <c r="Q1192" s="36"/>
      <c r="R1192" s="36"/>
      <c r="S1192" s="36"/>
      <c r="T1192" s="36"/>
      <c r="U1192" s="36"/>
      <c r="V1192" s="36"/>
      <c r="W1192" s="36"/>
      <c r="X1192" s="36"/>
      <c r="Y1192" s="36"/>
      <c r="Z1192" s="36"/>
      <c r="AA1192" s="36"/>
      <c r="AB1192" s="36"/>
      <c r="AC1192" s="36"/>
      <c r="AD1192" s="36"/>
      <c r="AE1192" s="36"/>
      <c r="AF1192" s="36"/>
      <c r="AG1192" s="36"/>
      <c r="AH1192" s="36"/>
      <c r="AI1192" s="36"/>
    </row>
    <row r="1193" spans="1:35" ht="15" hidden="1" customHeight="1">
      <c r="A1193" s="214" t="s">
        <v>0</v>
      </c>
      <c r="B1193" s="277"/>
      <c r="C1193" s="355"/>
      <c r="D1193" s="315"/>
      <c r="E1193" s="308"/>
      <c r="F1193" s="62">
        <v>4</v>
      </c>
      <c r="G1193" s="63" t="s">
        <v>164</v>
      </c>
      <c r="H1193" s="64">
        <f t="shared" si="92"/>
        <v>85</v>
      </c>
      <c r="I1193" s="214" t="s">
        <v>0</v>
      </c>
      <c r="J1193" s="36"/>
      <c r="K1193" s="36"/>
      <c r="L1193" s="36"/>
      <c r="M1193" s="36"/>
      <c r="N1193" s="36"/>
      <c r="O1193" s="36"/>
      <c r="P1193" s="36"/>
      <c r="Q1193" s="36"/>
      <c r="R1193" s="36"/>
      <c r="S1193" s="36"/>
      <c r="T1193" s="36"/>
      <c r="U1193" s="36"/>
      <c r="V1193" s="36"/>
      <c r="W1193" s="36"/>
      <c r="X1193" s="36"/>
      <c r="Y1193" s="36"/>
      <c r="Z1193" s="36"/>
      <c r="AA1193" s="36"/>
      <c r="AB1193" s="36"/>
      <c r="AC1193" s="36"/>
      <c r="AD1193" s="36"/>
      <c r="AE1193" s="36"/>
      <c r="AF1193" s="36"/>
      <c r="AG1193" s="36"/>
      <c r="AH1193" s="36"/>
      <c r="AI1193" s="36"/>
    </row>
    <row r="1194" spans="1:35" ht="15.75" hidden="1" customHeight="1" thickBot="1">
      <c r="A1194" s="214" t="s">
        <v>0</v>
      </c>
      <c r="B1194" s="278"/>
      <c r="C1194" s="350"/>
      <c r="D1194" s="315"/>
      <c r="E1194" s="308"/>
      <c r="F1194" s="62">
        <v>3</v>
      </c>
      <c r="G1194" s="63" t="s">
        <v>164</v>
      </c>
      <c r="H1194" s="64">
        <f t="shared" si="92"/>
        <v>80</v>
      </c>
      <c r="I1194" s="214" t="s">
        <v>0</v>
      </c>
      <c r="J1194" s="36"/>
      <c r="K1194" s="36"/>
      <c r="L1194" s="36"/>
      <c r="M1194" s="36"/>
      <c r="N1194" s="36"/>
      <c r="O1194" s="36"/>
      <c r="P1194" s="36"/>
      <c r="Q1194" s="36"/>
      <c r="R1194" s="36"/>
      <c r="S1194" s="36"/>
      <c r="T1194" s="36"/>
      <c r="U1194" s="36"/>
      <c r="V1194" s="36"/>
      <c r="W1194" s="36"/>
      <c r="X1194" s="36"/>
      <c r="Y1194" s="36"/>
      <c r="Z1194" s="36"/>
      <c r="AA1194" s="36"/>
      <c r="AB1194" s="36"/>
      <c r="AC1194" s="36"/>
      <c r="AD1194" s="36"/>
      <c r="AE1194" s="36"/>
      <c r="AF1194" s="36"/>
      <c r="AG1194" s="36"/>
      <c r="AH1194" s="36"/>
      <c r="AI1194" s="36"/>
    </row>
    <row r="1195" spans="1:35" ht="15" hidden="1" customHeight="1">
      <c r="A1195" s="214" t="s">
        <v>0</v>
      </c>
      <c r="B1195" s="274" t="s">
        <v>158</v>
      </c>
      <c r="C1195" s="349"/>
      <c r="D1195" s="315"/>
      <c r="E1195" s="308"/>
      <c r="F1195" s="62">
        <v>2</v>
      </c>
      <c r="G1195" s="63" t="s">
        <v>164</v>
      </c>
      <c r="H1195" s="64">
        <f t="shared" si="92"/>
        <v>75</v>
      </c>
      <c r="I1195" s="214" t="s">
        <v>0</v>
      </c>
      <c r="J1195" s="36"/>
      <c r="K1195" s="36"/>
      <c r="L1195" s="36"/>
      <c r="M1195" s="36"/>
      <c r="N1195" s="36"/>
      <c r="O1195" s="36"/>
      <c r="P1195" s="36"/>
      <c r="Q1195" s="36"/>
      <c r="R1195" s="36"/>
      <c r="S1195" s="36"/>
      <c r="T1195" s="36"/>
      <c r="U1195" s="36"/>
      <c r="V1195" s="36"/>
      <c r="W1195" s="36"/>
      <c r="X1195" s="36"/>
      <c r="Y1195" s="36"/>
      <c r="Z1195" s="36"/>
      <c r="AA1195" s="36"/>
      <c r="AB1195" s="36"/>
      <c r="AC1195" s="36"/>
      <c r="AD1195" s="36"/>
      <c r="AE1195" s="36"/>
      <c r="AF1195" s="36"/>
      <c r="AG1195" s="36"/>
      <c r="AH1195" s="36"/>
      <c r="AI1195" s="36"/>
    </row>
    <row r="1196" spans="1:35" ht="15.75" hidden="1" customHeight="1" thickBot="1">
      <c r="A1196" s="214" t="s">
        <v>0</v>
      </c>
      <c r="B1196" s="275"/>
      <c r="C1196" s="350"/>
      <c r="D1196" s="316"/>
      <c r="E1196" s="309"/>
      <c r="F1196" s="67">
        <v>1</v>
      </c>
      <c r="G1196" s="68" t="s">
        <v>164</v>
      </c>
      <c r="H1196" s="69">
        <f t="shared" si="92"/>
        <v>70</v>
      </c>
      <c r="I1196" s="214" t="s">
        <v>0</v>
      </c>
      <c r="J1196" s="36"/>
      <c r="K1196" s="36"/>
      <c r="L1196" s="36"/>
      <c r="M1196" s="36"/>
      <c r="N1196" s="36"/>
      <c r="O1196" s="36"/>
      <c r="P1196" s="36"/>
      <c r="Q1196" s="36"/>
      <c r="R1196" s="36"/>
      <c r="S1196" s="36"/>
      <c r="T1196" s="36"/>
      <c r="U1196" s="36"/>
      <c r="V1196" s="36"/>
      <c r="W1196" s="36"/>
      <c r="X1196" s="36"/>
      <c r="Y1196" s="36"/>
      <c r="Z1196" s="36"/>
      <c r="AA1196" s="36"/>
      <c r="AB1196" s="36"/>
      <c r="AC1196" s="36"/>
      <c r="AD1196" s="36"/>
      <c r="AE1196" s="36"/>
      <c r="AF1196" s="36"/>
      <c r="AG1196" s="36"/>
      <c r="AH1196" s="36"/>
      <c r="AI1196" s="36"/>
    </row>
    <row r="1197" spans="1:35" ht="15" hidden="1" customHeight="1">
      <c r="A1197" s="36"/>
      <c r="B1197" s="36"/>
      <c r="C1197" s="36"/>
      <c r="D1197" s="36"/>
      <c r="E1197" s="36"/>
      <c r="F1197" s="36"/>
      <c r="G1197" s="36"/>
      <c r="H1197" s="36"/>
      <c r="I1197" s="36"/>
      <c r="J1197" s="36"/>
      <c r="K1197" s="36"/>
      <c r="L1197" s="36"/>
      <c r="M1197" s="36"/>
      <c r="N1197" s="36"/>
      <c r="O1197" s="36"/>
      <c r="P1197" s="36"/>
      <c r="Q1197" s="36"/>
      <c r="R1197" s="36"/>
      <c r="S1197" s="36"/>
      <c r="T1197" s="36"/>
      <c r="U1197" s="36"/>
      <c r="V1197" s="36"/>
      <c r="W1197" s="36"/>
      <c r="X1197" s="36"/>
      <c r="Y1197" s="36"/>
      <c r="Z1197" s="36"/>
      <c r="AA1197" s="36"/>
      <c r="AB1197" s="36"/>
      <c r="AC1197" s="36"/>
      <c r="AD1197" s="36"/>
      <c r="AE1197" s="36"/>
      <c r="AF1197" s="36"/>
      <c r="AG1197" s="36"/>
      <c r="AH1197" s="36"/>
      <c r="AI1197" s="36"/>
    </row>
    <row r="1198" spans="1:35" ht="29.25" hidden="1" customHeight="1" thickBot="1">
      <c r="A1198" s="36"/>
      <c r="B1198" s="36"/>
      <c r="C1198" s="36"/>
      <c r="D1198" s="36"/>
      <c r="E1198" s="36"/>
      <c r="F1198" s="36"/>
      <c r="G1198" s="36"/>
      <c r="H1198" s="36"/>
      <c r="I1198" s="36"/>
      <c r="J1198" s="36"/>
      <c r="K1198" s="36"/>
      <c r="L1198" s="36"/>
      <c r="M1198" s="36"/>
      <c r="N1198" s="36"/>
      <c r="O1198" s="36"/>
      <c r="P1198" s="36"/>
      <c r="Q1198" s="36"/>
      <c r="R1198" s="36"/>
      <c r="S1198" s="36"/>
      <c r="T1198" s="36"/>
      <c r="U1198" s="36"/>
      <c r="V1198" s="36"/>
      <c r="W1198" s="36"/>
      <c r="X1198" s="36"/>
      <c r="Y1198" s="36"/>
      <c r="Z1198" s="36"/>
      <c r="AA1198" s="36"/>
      <c r="AB1198" s="36"/>
      <c r="AC1198" s="36"/>
      <c r="AD1198" s="36"/>
      <c r="AE1198" s="36"/>
      <c r="AF1198" s="36"/>
      <c r="AG1198" s="36"/>
      <c r="AH1198" s="36"/>
      <c r="AI1198" s="36"/>
    </row>
    <row r="1199" spans="1:35" ht="15" hidden="1" customHeight="1">
      <c r="A1199" s="36"/>
      <c r="B1199" s="48" t="s">
        <v>182</v>
      </c>
      <c r="C1199" s="49"/>
      <c r="D1199" s="49"/>
      <c r="E1199" s="49"/>
      <c r="F1199" s="49"/>
      <c r="G1199" s="328" t="s">
        <v>8</v>
      </c>
      <c r="H1199" s="328"/>
      <c r="I1199" s="329"/>
      <c r="J1199" s="36"/>
      <c r="K1199" s="36"/>
      <c r="L1199" s="36"/>
      <c r="M1199" s="36"/>
      <c r="N1199" s="36"/>
      <c r="O1199" s="36">
        <v>10</v>
      </c>
      <c r="P1199" s="36"/>
      <c r="Q1199" s="36"/>
      <c r="R1199" s="36"/>
      <c r="S1199" s="36"/>
      <c r="T1199" s="36"/>
      <c r="U1199" s="36"/>
      <c r="V1199" s="36"/>
      <c r="W1199" s="36"/>
      <c r="X1199" s="36"/>
      <c r="Y1199" s="36"/>
      <c r="Z1199" s="36"/>
      <c r="AA1199" s="36"/>
      <c r="AB1199" s="36"/>
      <c r="AC1199" s="36"/>
      <c r="AD1199" s="36"/>
      <c r="AE1199" s="36"/>
      <c r="AF1199" s="36"/>
      <c r="AG1199" s="36"/>
      <c r="AH1199" s="36"/>
      <c r="AI1199" s="36"/>
    </row>
    <row r="1200" spans="1:35" ht="15.75" hidden="1" customHeight="1" thickBot="1">
      <c r="A1200" s="36"/>
      <c r="B1200" s="50"/>
      <c r="C1200" s="51"/>
      <c r="D1200" s="51"/>
      <c r="E1200" s="51"/>
      <c r="F1200" s="51"/>
      <c r="G1200" s="336"/>
      <c r="H1200" s="337"/>
      <c r="I1200" s="338"/>
      <c r="J1200" s="36"/>
      <c r="K1200" s="36"/>
      <c r="L1200" s="36"/>
      <c r="M1200" s="36"/>
      <c r="N1200" s="36"/>
      <c r="O1200" s="36"/>
      <c r="P1200" s="36"/>
      <c r="Q1200" s="36"/>
      <c r="R1200" s="36"/>
      <c r="S1200" s="36"/>
      <c r="T1200" s="36"/>
      <c r="U1200" s="36"/>
      <c r="V1200" s="36"/>
      <c r="W1200" s="36"/>
      <c r="X1200" s="36"/>
      <c r="Y1200" s="36"/>
      <c r="Z1200" s="36"/>
      <c r="AA1200" s="36"/>
      <c r="AB1200" s="36"/>
      <c r="AC1200" s="36"/>
      <c r="AD1200" s="36"/>
      <c r="AE1200" s="36"/>
      <c r="AF1200" s="36"/>
      <c r="AG1200" s="36"/>
      <c r="AH1200" s="36"/>
      <c r="AI1200" s="36"/>
    </row>
    <row r="1201" spans="1:35" ht="15.75" hidden="1" customHeight="1" thickBot="1">
      <c r="A1201" s="212" t="s">
        <v>0</v>
      </c>
      <c r="B1201" s="36"/>
      <c r="C1201" s="36"/>
      <c r="D1201" s="36"/>
      <c r="E1201" s="36"/>
      <c r="F1201" s="36"/>
      <c r="G1201" s="36"/>
      <c r="H1201" s="36"/>
      <c r="I1201" s="212" t="s">
        <v>0</v>
      </c>
      <c r="J1201" s="36"/>
      <c r="K1201" s="36"/>
      <c r="L1201" s="36"/>
      <c r="M1201" s="36"/>
      <c r="N1201" s="36"/>
      <c r="O1201" s="36"/>
      <c r="P1201" s="36"/>
      <c r="Q1201" s="36"/>
      <c r="R1201" s="36"/>
      <c r="S1201" s="36"/>
      <c r="T1201" s="36"/>
      <c r="U1201" s="36"/>
      <c r="V1201" s="36"/>
      <c r="W1201" s="36"/>
      <c r="X1201" s="36"/>
      <c r="Y1201" s="36"/>
      <c r="Z1201" s="36"/>
      <c r="AA1201" s="36"/>
      <c r="AB1201" s="36"/>
      <c r="AC1201" s="36"/>
      <c r="AD1201" s="36"/>
      <c r="AE1201" s="36"/>
      <c r="AF1201" s="36"/>
      <c r="AG1201" s="36"/>
      <c r="AH1201" s="36"/>
      <c r="AI1201" s="36"/>
    </row>
    <row r="1202" spans="1:35" ht="15.75" hidden="1" customHeight="1" thickBot="1">
      <c r="A1202" s="212" t="s">
        <v>0</v>
      </c>
      <c r="B1202" s="52" t="s">
        <v>152</v>
      </c>
      <c r="C1202" s="52" t="s">
        <v>153</v>
      </c>
      <c r="D1202" s="280" t="s">
        <v>9</v>
      </c>
      <c r="E1202" s="281"/>
      <c r="F1202" s="282" t="s">
        <v>154</v>
      </c>
      <c r="G1202" s="283"/>
      <c r="H1202" s="284"/>
      <c r="I1202" s="36"/>
      <c r="J1202" s="36"/>
      <c r="K1202" s="290" t="s">
        <v>155</v>
      </c>
      <c r="L1202" s="291"/>
      <c r="M1202" s="292"/>
      <c r="N1202" s="36"/>
      <c r="O1202" s="36"/>
      <c r="P1202" s="36"/>
      <c r="Q1202" s="36"/>
      <c r="R1202" s="36"/>
      <c r="S1202" s="36"/>
      <c r="T1202" s="36"/>
      <c r="U1202" s="36"/>
      <c r="V1202" s="36"/>
      <c r="W1202" s="36"/>
      <c r="X1202" s="36"/>
      <c r="Y1202" s="36"/>
      <c r="Z1202" s="36"/>
      <c r="AA1202" s="36"/>
      <c r="AB1202" s="36"/>
      <c r="AC1202" s="36"/>
      <c r="AD1202" s="36"/>
      <c r="AE1202" s="36"/>
      <c r="AF1202" s="36"/>
      <c r="AG1202" s="36"/>
      <c r="AH1202" s="36"/>
      <c r="AI1202" s="36"/>
    </row>
    <row r="1203" spans="1:35" ht="15.75" hidden="1" customHeight="1" thickBot="1">
      <c r="A1203" s="212" t="s">
        <v>0</v>
      </c>
      <c r="B1203" s="276">
        <v>1</v>
      </c>
      <c r="C1203" s="349"/>
      <c r="D1203" s="123" t="s">
        <v>156</v>
      </c>
      <c r="E1203" s="124">
        <v>0.6</v>
      </c>
      <c r="F1203" s="58">
        <v>10</v>
      </c>
      <c r="G1203" s="59" t="s">
        <v>164</v>
      </c>
      <c r="H1203" s="60">
        <v>115</v>
      </c>
      <c r="I1203" s="36"/>
      <c r="J1203" s="36"/>
      <c r="K1203" s="130" t="s">
        <v>153</v>
      </c>
      <c r="L1203" s="131" t="s">
        <v>9</v>
      </c>
      <c r="M1203" s="132" t="s">
        <v>158</v>
      </c>
      <c r="N1203" s="36"/>
      <c r="O1203" s="36"/>
      <c r="P1203" s="36"/>
      <c r="Q1203" s="36"/>
      <c r="R1203" s="36"/>
      <c r="S1203" s="36"/>
      <c r="T1203" s="36"/>
      <c r="U1203" s="36"/>
      <c r="V1203" s="36"/>
      <c r="W1203" s="36"/>
      <c r="X1203" s="36"/>
      <c r="Y1203" s="36"/>
      <c r="Z1203" s="36"/>
      <c r="AA1203" s="36"/>
      <c r="AB1203" s="36"/>
      <c r="AC1203" s="36"/>
      <c r="AD1203" s="36"/>
      <c r="AE1203" s="36"/>
      <c r="AF1203" s="36"/>
      <c r="AG1203" s="36"/>
      <c r="AH1203" s="36"/>
      <c r="AI1203" s="36"/>
    </row>
    <row r="1204" spans="1:35" ht="15" hidden="1" customHeight="1">
      <c r="A1204" s="212" t="s">
        <v>0</v>
      </c>
      <c r="B1204" s="277"/>
      <c r="C1204" s="355"/>
      <c r="D1204" s="314"/>
      <c r="E1204" s="307">
        <f>IF(D1204=0,0,VLOOKUP($D1204,$F1203:$H1212,3,FALSE)*$E1203)</f>
        <v>0</v>
      </c>
      <c r="F1204" s="62">
        <v>9</v>
      </c>
      <c r="G1204" s="63" t="s">
        <v>164</v>
      </c>
      <c r="H1204" s="64">
        <f>H1203-5</f>
        <v>110</v>
      </c>
      <c r="I1204" s="36"/>
      <c r="J1204" s="36"/>
      <c r="K1204" s="133">
        <v>1</v>
      </c>
      <c r="L1204" s="134">
        <f>E1204</f>
        <v>0</v>
      </c>
      <c r="M1204" s="381">
        <f>SUM(L1204:L1208)</f>
        <v>0</v>
      </c>
      <c r="N1204" s="36"/>
      <c r="O1204" s="36"/>
      <c r="P1204" s="36"/>
      <c r="Q1204" s="36"/>
      <c r="R1204" s="36"/>
      <c r="S1204" s="36"/>
      <c r="T1204" s="36"/>
      <c r="U1204" s="36"/>
      <c r="V1204" s="36"/>
      <c r="W1204" s="36"/>
      <c r="X1204" s="36"/>
      <c r="Y1204" s="36"/>
      <c r="Z1204" s="36"/>
      <c r="AA1204" s="36"/>
      <c r="AB1204" s="36"/>
      <c r="AC1204" s="36"/>
      <c r="AD1204" s="36"/>
      <c r="AE1204" s="36"/>
      <c r="AF1204" s="36"/>
      <c r="AG1204" s="36"/>
      <c r="AH1204" s="36"/>
      <c r="AI1204" s="36"/>
    </row>
    <row r="1205" spans="1:35" ht="15" hidden="1" customHeight="1">
      <c r="A1205" s="212" t="s">
        <v>0</v>
      </c>
      <c r="B1205" s="277"/>
      <c r="C1205" s="355"/>
      <c r="D1205" s="315"/>
      <c r="E1205" s="308"/>
      <c r="F1205" s="62">
        <v>8</v>
      </c>
      <c r="G1205" s="63" t="s">
        <v>164</v>
      </c>
      <c r="H1205" s="64">
        <f t="shared" ref="H1205:H1212" si="93">H1204-5</f>
        <v>105</v>
      </c>
      <c r="I1205" s="36"/>
      <c r="J1205" s="36"/>
      <c r="K1205" s="135">
        <v>2</v>
      </c>
      <c r="L1205" s="136">
        <f>E1214</f>
        <v>0</v>
      </c>
      <c r="M1205" s="381"/>
      <c r="N1205" s="36"/>
      <c r="O1205" s="36"/>
      <c r="P1205" s="36"/>
      <c r="Q1205" s="36"/>
      <c r="R1205" s="36"/>
      <c r="S1205" s="36"/>
      <c r="T1205" s="36"/>
      <c r="U1205" s="36"/>
      <c r="V1205" s="36"/>
      <c r="W1205" s="36"/>
      <c r="X1205" s="36"/>
      <c r="Y1205" s="36"/>
      <c r="Z1205" s="36"/>
      <c r="AA1205" s="36"/>
      <c r="AB1205" s="36"/>
      <c r="AC1205" s="36"/>
      <c r="AD1205" s="36"/>
      <c r="AE1205" s="36"/>
      <c r="AF1205" s="36"/>
      <c r="AG1205" s="36"/>
      <c r="AH1205" s="36"/>
      <c r="AI1205" s="36"/>
    </row>
    <row r="1206" spans="1:35" ht="15" hidden="1" customHeight="1">
      <c r="A1206" s="212" t="s">
        <v>0</v>
      </c>
      <c r="B1206" s="277"/>
      <c r="C1206" s="355"/>
      <c r="D1206" s="315"/>
      <c r="E1206" s="308"/>
      <c r="F1206" s="62">
        <v>7</v>
      </c>
      <c r="G1206" s="63" t="s">
        <v>164</v>
      </c>
      <c r="H1206" s="64">
        <f t="shared" si="93"/>
        <v>100</v>
      </c>
      <c r="I1206" s="36"/>
      <c r="J1206" s="36"/>
      <c r="K1206" s="135">
        <v>3</v>
      </c>
      <c r="L1206" s="136">
        <f>E1224</f>
        <v>0</v>
      </c>
      <c r="M1206" s="381"/>
      <c r="N1206" s="36"/>
      <c r="O1206" s="36"/>
      <c r="P1206" s="36"/>
      <c r="Q1206" s="36"/>
      <c r="R1206" s="36"/>
      <c r="S1206" s="36"/>
      <c r="T1206" s="36"/>
      <c r="U1206" s="36"/>
      <c r="V1206" s="36"/>
      <c r="W1206" s="36"/>
      <c r="X1206" s="36"/>
      <c r="Y1206" s="36"/>
      <c r="Z1206" s="36"/>
      <c r="AA1206" s="36"/>
      <c r="AB1206" s="36"/>
      <c r="AC1206" s="36"/>
      <c r="AD1206" s="36"/>
      <c r="AE1206" s="36"/>
      <c r="AF1206" s="36"/>
      <c r="AG1206" s="36"/>
      <c r="AH1206" s="36"/>
      <c r="AI1206" s="36"/>
    </row>
    <row r="1207" spans="1:35" ht="15" hidden="1" customHeight="1">
      <c r="A1207" s="212" t="s">
        <v>0</v>
      </c>
      <c r="B1207" s="277"/>
      <c r="C1207" s="355"/>
      <c r="D1207" s="315"/>
      <c r="E1207" s="308"/>
      <c r="F1207" s="62">
        <v>6</v>
      </c>
      <c r="G1207" s="63" t="s">
        <v>164</v>
      </c>
      <c r="H1207" s="64">
        <f t="shared" si="93"/>
        <v>95</v>
      </c>
      <c r="I1207" s="36"/>
      <c r="J1207" s="36"/>
      <c r="K1207" s="135">
        <v>4</v>
      </c>
      <c r="L1207" s="136">
        <f>E1234</f>
        <v>0</v>
      </c>
      <c r="M1207" s="381"/>
      <c r="N1207" s="36"/>
      <c r="O1207" s="36"/>
      <c r="P1207" s="36"/>
      <c r="Q1207" s="36"/>
      <c r="R1207" s="36"/>
      <c r="S1207" s="36"/>
      <c r="T1207" s="36"/>
      <c r="U1207" s="36"/>
      <c r="V1207" s="36"/>
      <c r="W1207" s="36"/>
      <c r="X1207" s="36"/>
      <c r="Y1207" s="36"/>
      <c r="Z1207" s="36"/>
      <c r="AA1207" s="36"/>
      <c r="AB1207" s="36"/>
      <c r="AC1207" s="36"/>
      <c r="AD1207" s="36"/>
      <c r="AE1207" s="36"/>
      <c r="AF1207" s="36"/>
      <c r="AG1207" s="36"/>
      <c r="AH1207" s="36"/>
      <c r="AI1207" s="36"/>
    </row>
    <row r="1208" spans="1:35" ht="15.75" hidden="1" customHeight="1" thickBot="1">
      <c r="A1208" s="212" t="s">
        <v>0</v>
      </c>
      <c r="B1208" s="277"/>
      <c r="C1208" s="355"/>
      <c r="D1208" s="315"/>
      <c r="E1208" s="308"/>
      <c r="F1208" s="62">
        <v>5</v>
      </c>
      <c r="G1208" s="63" t="s">
        <v>164</v>
      </c>
      <c r="H1208" s="64">
        <f t="shared" si="93"/>
        <v>90</v>
      </c>
      <c r="I1208" s="36"/>
      <c r="J1208" s="36"/>
      <c r="K1208" s="137">
        <v>5</v>
      </c>
      <c r="L1208" s="138">
        <f>E1244</f>
        <v>0</v>
      </c>
      <c r="M1208" s="382"/>
      <c r="N1208" s="36"/>
      <c r="O1208" s="36"/>
      <c r="P1208" s="36"/>
      <c r="Q1208" s="36"/>
      <c r="R1208" s="36"/>
      <c r="S1208" s="36"/>
      <c r="T1208" s="36"/>
      <c r="U1208" s="36"/>
      <c r="V1208" s="36"/>
      <c r="W1208" s="36"/>
      <c r="X1208" s="36"/>
      <c r="Y1208" s="36"/>
      <c r="Z1208" s="36"/>
      <c r="AA1208" s="36"/>
      <c r="AB1208" s="36"/>
      <c r="AC1208" s="36"/>
      <c r="AD1208" s="36"/>
      <c r="AE1208" s="36"/>
      <c r="AF1208" s="36"/>
      <c r="AG1208" s="36"/>
      <c r="AH1208" s="36"/>
      <c r="AI1208" s="36"/>
    </row>
    <row r="1209" spans="1:35" ht="15.75" hidden="1" customHeight="1" thickBot="1">
      <c r="A1209" s="212" t="s">
        <v>0</v>
      </c>
      <c r="B1209" s="277"/>
      <c r="C1209" s="355"/>
      <c r="D1209" s="315"/>
      <c r="E1209" s="308"/>
      <c r="F1209" s="62">
        <v>4</v>
      </c>
      <c r="G1209" s="63" t="s">
        <v>164</v>
      </c>
      <c r="H1209" s="64">
        <f t="shared" si="93"/>
        <v>85</v>
      </c>
      <c r="I1209" s="36"/>
      <c r="J1209" s="36"/>
      <c r="K1209" s="36"/>
      <c r="L1209" s="36"/>
      <c r="M1209" s="36"/>
      <c r="N1209" s="36"/>
      <c r="O1209" s="36"/>
      <c r="P1209" s="36"/>
      <c r="Q1209" s="36"/>
      <c r="R1209" s="36"/>
      <c r="S1209" s="36"/>
      <c r="T1209" s="36"/>
      <c r="U1209" s="36"/>
      <c r="V1209" s="36"/>
      <c r="W1209" s="36"/>
      <c r="X1209" s="36"/>
      <c r="Y1209" s="36"/>
      <c r="Z1209" s="36"/>
      <c r="AA1209" s="36"/>
      <c r="AB1209" s="36"/>
      <c r="AC1209" s="36"/>
      <c r="AD1209" s="36"/>
      <c r="AE1209" s="36"/>
      <c r="AF1209" s="36"/>
      <c r="AG1209" s="36"/>
      <c r="AH1209" s="36"/>
      <c r="AI1209" s="36"/>
    </row>
    <row r="1210" spans="1:35" ht="15.75" hidden="1" customHeight="1" thickBot="1">
      <c r="A1210" s="212" t="s">
        <v>0</v>
      </c>
      <c r="B1210" s="278"/>
      <c r="C1210" s="350"/>
      <c r="D1210" s="315"/>
      <c r="E1210" s="308"/>
      <c r="F1210" s="62">
        <v>3</v>
      </c>
      <c r="G1210" s="63" t="s">
        <v>164</v>
      </c>
      <c r="H1210" s="64">
        <f t="shared" si="93"/>
        <v>80</v>
      </c>
      <c r="I1210" s="36"/>
      <c r="J1210" s="36"/>
      <c r="K1210" s="293" t="s">
        <v>93</v>
      </c>
      <c r="L1210" s="294"/>
      <c r="M1210" s="295"/>
      <c r="N1210" s="36"/>
      <c r="O1210" s="36"/>
      <c r="P1210" s="36"/>
      <c r="Q1210" s="36"/>
      <c r="R1210" s="36"/>
      <c r="S1210" s="36"/>
      <c r="T1210" s="36"/>
      <c r="U1210" s="36"/>
      <c r="V1210" s="36"/>
      <c r="W1210" s="36"/>
      <c r="X1210" s="36"/>
      <c r="Y1210" s="36"/>
      <c r="Z1210" s="36"/>
      <c r="AA1210" s="36"/>
      <c r="AB1210" s="36"/>
      <c r="AC1210" s="36"/>
      <c r="AD1210" s="36"/>
      <c r="AE1210" s="36"/>
      <c r="AF1210" s="36"/>
      <c r="AG1210" s="36"/>
      <c r="AH1210" s="36"/>
      <c r="AI1210" s="36"/>
    </row>
    <row r="1211" spans="1:35" ht="15.75" hidden="1" customHeight="1" thickBot="1">
      <c r="A1211" s="212" t="s">
        <v>0</v>
      </c>
      <c r="B1211" s="274" t="s">
        <v>158</v>
      </c>
      <c r="C1211" s="349"/>
      <c r="D1211" s="315"/>
      <c r="E1211" s="308"/>
      <c r="F1211" s="62">
        <v>2</v>
      </c>
      <c r="G1211" s="63" t="s">
        <v>164</v>
      </c>
      <c r="H1211" s="64">
        <f t="shared" si="93"/>
        <v>75</v>
      </c>
      <c r="I1211" s="36"/>
      <c r="J1211" s="36"/>
      <c r="K1211" s="139" t="s">
        <v>6</v>
      </c>
      <c r="L1211" s="140" t="s">
        <v>9</v>
      </c>
      <c r="M1211" s="141" t="s">
        <v>158</v>
      </c>
      <c r="N1211" s="36"/>
      <c r="O1211" s="36"/>
      <c r="P1211" s="36"/>
      <c r="Q1211" s="36"/>
      <c r="R1211" s="36"/>
      <c r="S1211" s="36"/>
      <c r="T1211" s="36"/>
      <c r="U1211" s="36"/>
      <c r="V1211" s="36"/>
      <c r="W1211" s="36"/>
      <c r="X1211" s="36"/>
      <c r="Y1211" s="36"/>
      <c r="Z1211" s="36"/>
      <c r="AA1211" s="36"/>
      <c r="AB1211" s="36"/>
      <c r="AC1211" s="36"/>
      <c r="AD1211" s="36"/>
      <c r="AE1211" s="36"/>
      <c r="AF1211" s="36"/>
      <c r="AG1211" s="36"/>
      <c r="AH1211" s="36"/>
      <c r="AI1211" s="36"/>
    </row>
    <row r="1212" spans="1:35" ht="15.75" hidden="1" customHeight="1" thickBot="1">
      <c r="A1212" s="212" t="s">
        <v>0</v>
      </c>
      <c r="B1212" s="275"/>
      <c r="C1212" s="350"/>
      <c r="D1212" s="316"/>
      <c r="E1212" s="309"/>
      <c r="F1212" s="67">
        <v>1</v>
      </c>
      <c r="G1212" s="68" t="s">
        <v>164</v>
      </c>
      <c r="H1212" s="69">
        <f t="shared" si="93"/>
        <v>70</v>
      </c>
      <c r="I1212" s="36"/>
      <c r="J1212" s="36"/>
      <c r="K1212" s="133">
        <v>1</v>
      </c>
      <c r="L1212" s="134">
        <f>E1258</f>
        <v>0</v>
      </c>
      <c r="M1212" s="383">
        <f>SUM(L1212:L1221)</f>
        <v>0</v>
      </c>
      <c r="N1212" s="36"/>
      <c r="O1212" s="36"/>
      <c r="P1212" s="36"/>
      <c r="Q1212" s="36"/>
      <c r="R1212" s="36"/>
      <c r="S1212" s="36"/>
      <c r="T1212" s="36"/>
      <c r="U1212" s="36"/>
      <c r="V1212" s="36"/>
      <c r="W1212" s="36"/>
      <c r="X1212" s="36"/>
      <c r="Y1212" s="36"/>
      <c r="Z1212" s="36"/>
      <c r="AA1212" s="36"/>
      <c r="AB1212" s="36"/>
      <c r="AC1212" s="36"/>
      <c r="AD1212" s="36"/>
      <c r="AE1212" s="36"/>
      <c r="AF1212" s="36"/>
      <c r="AG1212" s="36"/>
      <c r="AH1212" s="36"/>
      <c r="AI1212" s="36"/>
    </row>
    <row r="1213" spans="1:35" ht="15.75" hidden="1" customHeight="1" thickBot="1">
      <c r="A1213" s="212" t="s">
        <v>0</v>
      </c>
      <c r="B1213" s="276">
        <v>2</v>
      </c>
      <c r="C1213" s="349"/>
      <c r="D1213" s="123" t="s">
        <v>156</v>
      </c>
      <c r="E1213" s="124">
        <v>0.6</v>
      </c>
      <c r="F1213" s="58">
        <v>10</v>
      </c>
      <c r="G1213" s="59" t="s">
        <v>164</v>
      </c>
      <c r="H1213" s="60">
        <v>115</v>
      </c>
      <c r="I1213" s="36"/>
      <c r="J1213" s="36"/>
      <c r="K1213" s="135">
        <v>2</v>
      </c>
      <c r="L1213" s="136">
        <f>E1268</f>
        <v>0</v>
      </c>
      <c r="M1213" s="381"/>
      <c r="N1213" s="36"/>
      <c r="O1213" s="36"/>
      <c r="P1213" s="36"/>
      <c r="Q1213" s="36"/>
      <c r="R1213" s="36"/>
      <c r="S1213" s="36"/>
      <c r="T1213" s="36"/>
      <c r="U1213" s="36"/>
      <c r="V1213" s="36"/>
      <c r="W1213" s="36"/>
      <c r="X1213" s="36"/>
      <c r="Y1213" s="36"/>
      <c r="Z1213" s="36"/>
      <c r="AA1213" s="36"/>
      <c r="AB1213" s="36"/>
      <c r="AC1213" s="36"/>
      <c r="AD1213" s="36"/>
      <c r="AE1213" s="36"/>
      <c r="AF1213" s="36"/>
      <c r="AG1213" s="36"/>
      <c r="AH1213" s="36"/>
      <c r="AI1213" s="36"/>
    </row>
    <row r="1214" spans="1:35" ht="15" hidden="1" customHeight="1">
      <c r="A1214" s="212" t="s">
        <v>0</v>
      </c>
      <c r="B1214" s="277"/>
      <c r="C1214" s="355"/>
      <c r="D1214" s="314"/>
      <c r="E1214" s="307">
        <f>IF(D1214=0,0,VLOOKUP($D1214,$F1213:$H1222,3,FALSE)*$E1213)</f>
        <v>0</v>
      </c>
      <c r="F1214" s="62">
        <v>9</v>
      </c>
      <c r="G1214" s="63" t="s">
        <v>164</v>
      </c>
      <c r="H1214" s="64">
        <f>H1213-5</f>
        <v>110</v>
      </c>
      <c r="I1214" s="36"/>
      <c r="J1214" s="36"/>
      <c r="K1214" s="135">
        <v>3</v>
      </c>
      <c r="L1214" s="136">
        <f>E1278</f>
        <v>0</v>
      </c>
      <c r="M1214" s="381"/>
      <c r="N1214" s="36"/>
      <c r="O1214" s="36"/>
      <c r="P1214" s="36"/>
      <c r="Q1214" s="36"/>
      <c r="R1214" s="36"/>
      <c r="S1214" s="36"/>
      <c r="T1214" s="36"/>
      <c r="U1214" s="36"/>
      <c r="V1214" s="36"/>
      <c r="W1214" s="36"/>
      <c r="X1214" s="36"/>
      <c r="Y1214" s="36"/>
      <c r="Z1214" s="36"/>
      <c r="AA1214" s="36"/>
      <c r="AB1214" s="36"/>
      <c r="AC1214" s="36"/>
      <c r="AD1214" s="36"/>
      <c r="AE1214" s="36"/>
      <c r="AF1214" s="36"/>
      <c r="AG1214" s="36"/>
      <c r="AH1214" s="36"/>
      <c r="AI1214" s="36"/>
    </row>
    <row r="1215" spans="1:35" ht="15" hidden="1" customHeight="1">
      <c r="A1215" s="212" t="s">
        <v>0</v>
      </c>
      <c r="B1215" s="277"/>
      <c r="C1215" s="355"/>
      <c r="D1215" s="315"/>
      <c r="E1215" s="308"/>
      <c r="F1215" s="62">
        <v>8</v>
      </c>
      <c r="G1215" s="63" t="s">
        <v>164</v>
      </c>
      <c r="H1215" s="64">
        <f t="shared" ref="H1215:H1222" si="94">H1214-5</f>
        <v>105</v>
      </c>
      <c r="I1215" s="36"/>
      <c r="J1215" s="36"/>
      <c r="K1215" s="135">
        <v>4</v>
      </c>
      <c r="L1215" s="136">
        <f>E1288</f>
        <v>0</v>
      </c>
      <c r="M1215" s="381"/>
      <c r="N1215" s="36"/>
      <c r="O1215" s="36"/>
      <c r="P1215" s="36"/>
      <c r="Q1215" s="36"/>
      <c r="R1215" s="36"/>
      <c r="S1215" s="36"/>
      <c r="T1215" s="36"/>
      <c r="U1215" s="36"/>
      <c r="V1215" s="36"/>
      <c r="W1215" s="36"/>
      <c r="X1215" s="36"/>
      <c r="Y1215" s="36"/>
      <c r="Z1215" s="36"/>
      <c r="AA1215" s="36"/>
      <c r="AB1215" s="36"/>
      <c r="AC1215" s="36"/>
      <c r="AD1215" s="36"/>
      <c r="AE1215" s="36"/>
      <c r="AF1215" s="36"/>
      <c r="AG1215" s="36"/>
      <c r="AH1215" s="36"/>
      <c r="AI1215" s="36"/>
    </row>
    <row r="1216" spans="1:35" ht="15" hidden="1" customHeight="1">
      <c r="A1216" s="212" t="s">
        <v>0</v>
      </c>
      <c r="B1216" s="277"/>
      <c r="C1216" s="355"/>
      <c r="D1216" s="315"/>
      <c r="E1216" s="308"/>
      <c r="F1216" s="62">
        <v>7</v>
      </c>
      <c r="G1216" s="63" t="s">
        <v>164</v>
      </c>
      <c r="H1216" s="64">
        <f t="shared" si="94"/>
        <v>100</v>
      </c>
      <c r="I1216" s="36"/>
      <c r="J1216" s="36"/>
      <c r="K1216" s="135">
        <v>5</v>
      </c>
      <c r="L1216" s="136">
        <f>E1298</f>
        <v>0</v>
      </c>
      <c r="M1216" s="381"/>
      <c r="N1216" s="36"/>
      <c r="O1216" s="36"/>
      <c r="P1216" s="36"/>
      <c r="Q1216" s="36"/>
      <c r="R1216" s="36"/>
      <c r="S1216" s="36"/>
      <c r="T1216" s="36"/>
      <c r="U1216" s="36"/>
      <c r="V1216" s="36"/>
      <c r="W1216" s="36"/>
      <c r="X1216" s="36"/>
      <c r="Y1216" s="36"/>
      <c r="Z1216" s="36"/>
      <c r="AA1216" s="36"/>
      <c r="AB1216" s="36"/>
      <c r="AC1216" s="36"/>
      <c r="AD1216" s="36"/>
      <c r="AE1216" s="36"/>
      <c r="AF1216" s="36"/>
      <c r="AG1216" s="36"/>
      <c r="AH1216" s="36"/>
      <c r="AI1216" s="36"/>
    </row>
    <row r="1217" spans="1:35" ht="15" hidden="1" customHeight="1">
      <c r="A1217" s="212" t="s">
        <v>0</v>
      </c>
      <c r="B1217" s="277"/>
      <c r="C1217" s="355"/>
      <c r="D1217" s="315"/>
      <c r="E1217" s="308"/>
      <c r="F1217" s="62">
        <v>6</v>
      </c>
      <c r="G1217" s="63" t="s">
        <v>164</v>
      </c>
      <c r="H1217" s="64">
        <f t="shared" si="94"/>
        <v>95</v>
      </c>
      <c r="I1217" s="36"/>
      <c r="J1217" s="36"/>
      <c r="K1217" s="133">
        <v>6</v>
      </c>
      <c r="L1217" s="136">
        <f>E1308</f>
        <v>0</v>
      </c>
      <c r="M1217" s="381"/>
      <c r="N1217" s="36"/>
      <c r="O1217" s="36"/>
      <c r="P1217" s="36"/>
      <c r="Q1217" s="36"/>
      <c r="R1217" s="36"/>
      <c r="S1217" s="36"/>
      <c r="T1217" s="36"/>
      <c r="U1217" s="36"/>
      <c r="V1217" s="36"/>
      <c r="W1217" s="36"/>
      <c r="X1217" s="36"/>
      <c r="Y1217" s="36"/>
      <c r="Z1217" s="36"/>
      <c r="AA1217" s="36"/>
      <c r="AB1217" s="36"/>
      <c r="AC1217" s="36"/>
      <c r="AD1217" s="36"/>
      <c r="AE1217" s="36"/>
      <c r="AF1217" s="36"/>
      <c r="AG1217" s="36"/>
      <c r="AH1217" s="36"/>
      <c r="AI1217" s="36"/>
    </row>
    <row r="1218" spans="1:35" ht="15" hidden="1" customHeight="1">
      <c r="A1218" s="212" t="s">
        <v>0</v>
      </c>
      <c r="B1218" s="277"/>
      <c r="C1218" s="355"/>
      <c r="D1218" s="315"/>
      <c r="E1218" s="308"/>
      <c r="F1218" s="62">
        <v>5</v>
      </c>
      <c r="G1218" s="63" t="s">
        <v>164</v>
      </c>
      <c r="H1218" s="64">
        <f t="shared" si="94"/>
        <v>90</v>
      </c>
      <c r="I1218" s="36"/>
      <c r="J1218" s="36"/>
      <c r="K1218" s="135">
        <v>7</v>
      </c>
      <c r="L1218" s="136">
        <f>E1318</f>
        <v>0</v>
      </c>
      <c r="M1218" s="381"/>
      <c r="N1218" s="36"/>
      <c r="O1218" s="36"/>
      <c r="P1218" s="36"/>
      <c r="Q1218" s="36"/>
      <c r="R1218" s="36"/>
      <c r="S1218" s="36"/>
      <c r="T1218" s="36"/>
      <c r="U1218" s="36"/>
      <c r="V1218" s="36"/>
      <c r="W1218" s="36"/>
      <c r="X1218" s="36"/>
      <c r="Y1218" s="36"/>
      <c r="Z1218" s="36"/>
      <c r="AA1218" s="36"/>
      <c r="AB1218" s="36"/>
      <c r="AC1218" s="36"/>
      <c r="AD1218" s="36"/>
      <c r="AE1218" s="36"/>
      <c r="AF1218" s="36"/>
      <c r="AG1218" s="36"/>
      <c r="AH1218" s="36"/>
      <c r="AI1218" s="36"/>
    </row>
    <row r="1219" spans="1:35" ht="15" hidden="1" customHeight="1">
      <c r="A1219" s="212" t="s">
        <v>0</v>
      </c>
      <c r="B1219" s="277"/>
      <c r="C1219" s="355"/>
      <c r="D1219" s="315"/>
      <c r="E1219" s="308"/>
      <c r="F1219" s="62">
        <v>4</v>
      </c>
      <c r="G1219" s="63" t="s">
        <v>164</v>
      </c>
      <c r="H1219" s="64">
        <f t="shared" si="94"/>
        <v>85</v>
      </c>
      <c r="I1219" s="36"/>
      <c r="J1219" s="36"/>
      <c r="K1219" s="135">
        <v>8</v>
      </c>
      <c r="L1219" s="136">
        <f>E1328</f>
        <v>0</v>
      </c>
      <c r="M1219" s="381"/>
      <c r="N1219" s="36"/>
      <c r="O1219" s="36"/>
      <c r="P1219" s="36"/>
      <c r="Q1219" s="36"/>
      <c r="R1219" s="36"/>
      <c r="S1219" s="36"/>
      <c r="T1219" s="36"/>
      <c r="U1219" s="36"/>
      <c r="V1219" s="36"/>
      <c r="W1219" s="36"/>
      <c r="X1219" s="36"/>
      <c r="Y1219" s="36"/>
      <c r="Z1219" s="36"/>
      <c r="AA1219" s="36"/>
      <c r="AB1219" s="36"/>
      <c r="AC1219" s="36"/>
      <c r="AD1219" s="36"/>
      <c r="AE1219" s="36"/>
      <c r="AF1219" s="36"/>
      <c r="AG1219" s="36"/>
      <c r="AH1219" s="36"/>
      <c r="AI1219" s="36"/>
    </row>
    <row r="1220" spans="1:35" ht="15.75" hidden="1" customHeight="1" thickBot="1">
      <c r="A1220" s="212" t="s">
        <v>0</v>
      </c>
      <c r="B1220" s="278"/>
      <c r="C1220" s="350"/>
      <c r="D1220" s="315"/>
      <c r="E1220" s="308"/>
      <c r="F1220" s="62">
        <v>3</v>
      </c>
      <c r="G1220" s="63" t="s">
        <v>164</v>
      </c>
      <c r="H1220" s="64">
        <f t="shared" si="94"/>
        <v>80</v>
      </c>
      <c r="I1220" s="36"/>
      <c r="J1220" s="36"/>
      <c r="K1220" s="135">
        <v>9</v>
      </c>
      <c r="L1220" s="136">
        <f>E1338</f>
        <v>0</v>
      </c>
      <c r="M1220" s="381"/>
      <c r="N1220" s="36"/>
      <c r="O1220" s="36"/>
      <c r="P1220" s="36"/>
      <c r="Q1220" s="36"/>
      <c r="R1220" s="36"/>
      <c r="S1220" s="36"/>
      <c r="T1220" s="36"/>
      <c r="U1220" s="36"/>
      <c r="V1220" s="36"/>
      <c r="W1220" s="36"/>
      <c r="X1220" s="36"/>
      <c r="Y1220" s="36"/>
      <c r="Z1220" s="36"/>
      <c r="AA1220" s="36"/>
      <c r="AB1220" s="36"/>
      <c r="AC1220" s="36"/>
      <c r="AD1220" s="36"/>
      <c r="AE1220" s="36"/>
      <c r="AF1220" s="36"/>
      <c r="AG1220" s="36"/>
      <c r="AH1220" s="36"/>
      <c r="AI1220" s="36"/>
    </row>
    <row r="1221" spans="1:35" ht="15.75" hidden="1" customHeight="1" thickBot="1">
      <c r="A1221" s="212" t="s">
        <v>0</v>
      </c>
      <c r="B1221" s="274" t="s">
        <v>158</v>
      </c>
      <c r="C1221" s="349"/>
      <c r="D1221" s="315"/>
      <c r="E1221" s="308"/>
      <c r="F1221" s="62">
        <v>2</v>
      </c>
      <c r="G1221" s="63" t="s">
        <v>164</v>
      </c>
      <c r="H1221" s="64">
        <f t="shared" si="94"/>
        <v>75</v>
      </c>
      <c r="I1221" s="36"/>
      <c r="J1221" s="36"/>
      <c r="K1221" s="137">
        <v>10</v>
      </c>
      <c r="L1221" s="138">
        <f>E1348</f>
        <v>0</v>
      </c>
      <c r="M1221" s="382"/>
      <c r="N1221" s="36"/>
      <c r="O1221" s="36"/>
      <c r="P1221" s="36"/>
      <c r="Q1221" s="36"/>
      <c r="R1221" s="36"/>
      <c r="S1221" s="36"/>
      <c r="T1221" s="36"/>
      <c r="U1221" s="36"/>
      <c r="V1221" s="36"/>
      <c r="W1221" s="36"/>
      <c r="X1221" s="36"/>
      <c r="Y1221" s="36"/>
      <c r="Z1221" s="36"/>
      <c r="AA1221" s="36"/>
      <c r="AB1221" s="36"/>
      <c r="AC1221" s="36"/>
      <c r="AD1221" s="36"/>
      <c r="AE1221" s="36"/>
      <c r="AF1221" s="36"/>
      <c r="AG1221" s="36"/>
      <c r="AH1221" s="36"/>
      <c r="AI1221" s="36"/>
    </row>
    <row r="1222" spans="1:35" ht="15.75" hidden="1" customHeight="1" thickBot="1">
      <c r="A1222" s="212" t="s">
        <v>0</v>
      </c>
      <c r="B1222" s="275"/>
      <c r="C1222" s="350"/>
      <c r="D1222" s="316"/>
      <c r="E1222" s="309"/>
      <c r="F1222" s="67">
        <v>1</v>
      </c>
      <c r="G1222" s="68" t="s">
        <v>164</v>
      </c>
      <c r="H1222" s="69">
        <f t="shared" si="94"/>
        <v>70</v>
      </c>
      <c r="I1222" s="212" t="s">
        <v>0</v>
      </c>
      <c r="J1222" s="36"/>
      <c r="K1222" s="36"/>
      <c r="L1222" s="36"/>
      <c r="M1222" s="36"/>
      <c r="N1222" s="36"/>
      <c r="O1222" s="36"/>
      <c r="P1222" s="36"/>
      <c r="Q1222" s="36"/>
      <c r="R1222" s="36"/>
      <c r="S1222" s="36"/>
      <c r="T1222" s="36"/>
      <c r="U1222" s="36"/>
      <c r="V1222" s="36"/>
      <c r="W1222" s="36"/>
      <c r="X1222" s="36"/>
      <c r="Y1222" s="36"/>
      <c r="Z1222" s="36"/>
      <c r="AA1222" s="36"/>
      <c r="AB1222" s="36"/>
      <c r="AC1222" s="36"/>
      <c r="AD1222" s="36"/>
      <c r="AE1222" s="36"/>
      <c r="AF1222" s="36"/>
      <c r="AG1222" s="36"/>
      <c r="AH1222" s="36"/>
      <c r="AI1222" s="36"/>
    </row>
    <row r="1223" spans="1:35" ht="15.75" hidden="1" customHeight="1" thickBot="1">
      <c r="A1223" s="212" t="s">
        <v>0</v>
      </c>
      <c r="B1223" s="276">
        <v>3</v>
      </c>
      <c r="C1223" s="349"/>
      <c r="D1223" s="123" t="s">
        <v>156</v>
      </c>
      <c r="E1223" s="124">
        <v>0.6</v>
      </c>
      <c r="F1223" s="58">
        <v>10</v>
      </c>
      <c r="G1223" s="59" t="s">
        <v>164</v>
      </c>
      <c r="H1223" s="60">
        <v>115</v>
      </c>
      <c r="I1223" s="212" t="s">
        <v>0</v>
      </c>
      <c r="J1223" s="36"/>
      <c r="K1223" s="36"/>
      <c r="L1223" s="36"/>
      <c r="M1223" s="36"/>
      <c r="N1223" s="36"/>
      <c r="O1223" s="36"/>
      <c r="P1223" s="36"/>
      <c r="Q1223" s="36"/>
      <c r="R1223" s="36"/>
      <c r="S1223" s="36"/>
      <c r="T1223" s="36"/>
      <c r="U1223" s="36"/>
      <c r="V1223" s="36"/>
      <c r="W1223" s="36"/>
      <c r="X1223" s="36"/>
      <c r="Y1223" s="36"/>
      <c r="Z1223" s="36"/>
      <c r="AA1223" s="36"/>
      <c r="AB1223" s="36"/>
      <c r="AC1223" s="36"/>
      <c r="AD1223" s="36"/>
      <c r="AE1223" s="36"/>
      <c r="AF1223" s="36"/>
      <c r="AG1223" s="36"/>
      <c r="AH1223" s="36"/>
      <c r="AI1223" s="36"/>
    </row>
    <row r="1224" spans="1:35" ht="15" hidden="1" customHeight="1">
      <c r="A1224" s="212" t="s">
        <v>0</v>
      </c>
      <c r="B1224" s="277"/>
      <c r="C1224" s="355"/>
      <c r="D1224" s="314"/>
      <c r="E1224" s="307">
        <f>IF(D1224=0,0,VLOOKUP($D1224,$F1223:$H1232,3,FALSE)*$E1223)</f>
        <v>0</v>
      </c>
      <c r="F1224" s="62">
        <v>9</v>
      </c>
      <c r="G1224" s="63" t="s">
        <v>164</v>
      </c>
      <c r="H1224" s="64">
        <f>H1223-5</f>
        <v>110</v>
      </c>
      <c r="I1224" s="212" t="s">
        <v>0</v>
      </c>
      <c r="J1224" s="36"/>
      <c r="K1224" s="36"/>
      <c r="L1224" s="36"/>
      <c r="M1224" s="36"/>
      <c r="N1224" s="36"/>
      <c r="O1224" s="36"/>
      <c r="P1224" s="36"/>
      <c r="Q1224" s="36"/>
      <c r="R1224" s="36"/>
      <c r="S1224" s="36"/>
      <c r="T1224" s="36"/>
      <c r="U1224" s="36"/>
      <c r="V1224" s="36"/>
      <c r="W1224" s="36"/>
      <c r="X1224" s="36"/>
      <c r="Y1224" s="36"/>
      <c r="Z1224" s="36"/>
      <c r="AA1224" s="36"/>
      <c r="AB1224" s="36"/>
      <c r="AC1224" s="36"/>
      <c r="AD1224" s="36"/>
      <c r="AE1224" s="36"/>
      <c r="AF1224" s="36"/>
      <c r="AG1224" s="36"/>
      <c r="AH1224" s="36"/>
      <c r="AI1224" s="36"/>
    </row>
    <row r="1225" spans="1:35" ht="15" hidden="1" customHeight="1">
      <c r="A1225" s="212" t="s">
        <v>0</v>
      </c>
      <c r="B1225" s="277"/>
      <c r="C1225" s="355"/>
      <c r="D1225" s="315"/>
      <c r="E1225" s="308"/>
      <c r="F1225" s="62">
        <v>8</v>
      </c>
      <c r="G1225" s="63" t="s">
        <v>164</v>
      </c>
      <c r="H1225" s="64">
        <f t="shared" ref="H1225:H1232" si="95">H1224-5</f>
        <v>105</v>
      </c>
      <c r="I1225" s="212" t="s">
        <v>0</v>
      </c>
      <c r="J1225" s="36"/>
      <c r="K1225" s="36"/>
      <c r="L1225" s="36"/>
      <c r="M1225" s="36"/>
      <c r="N1225" s="36"/>
      <c r="O1225" s="36"/>
      <c r="P1225" s="36"/>
      <c r="Q1225" s="36"/>
      <c r="R1225" s="36"/>
      <c r="S1225" s="36"/>
      <c r="T1225" s="36"/>
      <c r="U1225" s="36"/>
      <c r="V1225" s="36"/>
      <c r="W1225" s="36"/>
      <c r="X1225" s="36"/>
      <c r="Y1225" s="36"/>
      <c r="Z1225" s="36"/>
      <c r="AA1225" s="36"/>
      <c r="AB1225" s="36"/>
      <c r="AC1225" s="36"/>
      <c r="AD1225" s="36"/>
      <c r="AE1225" s="36"/>
      <c r="AF1225" s="36"/>
      <c r="AG1225" s="36"/>
      <c r="AH1225" s="36"/>
      <c r="AI1225" s="36"/>
    </row>
    <row r="1226" spans="1:35" ht="15" hidden="1" customHeight="1">
      <c r="A1226" s="212" t="s">
        <v>0</v>
      </c>
      <c r="B1226" s="277"/>
      <c r="C1226" s="355"/>
      <c r="D1226" s="315"/>
      <c r="E1226" s="308"/>
      <c r="F1226" s="62">
        <v>7</v>
      </c>
      <c r="G1226" s="63" t="s">
        <v>164</v>
      </c>
      <c r="H1226" s="64">
        <f t="shared" si="95"/>
        <v>100</v>
      </c>
      <c r="I1226" s="212" t="s">
        <v>0</v>
      </c>
      <c r="J1226" s="36"/>
      <c r="K1226" s="36"/>
      <c r="L1226" s="36"/>
      <c r="M1226" s="36"/>
      <c r="N1226" s="36"/>
      <c r="O1226" s="36"/>
      <c r="P1226" s="36"/>
      <c r="Q1226" s="36"/>
      <c r="R1226" s="36"/>
      <c r="S1226" s="36"/>
      <c r="T1226" s="36"/>
      <c r="U1226" s="36"/>
      <c r="V1226" s="36"/>
      <c r="W1226" s="36"/>
      <c r="X1226" s="36"/>
      <c r="Y1226" s="36"/>
      <c r="Z1226" s="36"/>
      <c r="AA1226" s="36"/>
      <c r="AB1226" s="36"/>
      <c r="AC1226" s="36"/>
      <c r="AD1226" s="36"/>
      <c r="AE1226" s="36"/>
      <c r="AF1226" s="36"/>
      <c r="AG1226" s="36"/>
      <c r="AH1226" s="36"/>
      <c r="AI1226" s="36"/>
    </row>
    <row r="1227" spans="1:35" ht="15" hidden="1" customHeight="1">
      <c r="A1227" s="212" t="s">
        <v>0</v>
      </c>
      <c r="B1227" s="277"/>
      <c r="C1227" s="355"/>
      <c r="D1227" s="315"/>
      <c r="E1227" s="308"/>
      <c r="F1227" s="62">
        <v>6</v>
      </c>
      <c r="G1227" s="63" t="s">
        <v>164</v>
      </c>
      <c r="H1227" s="64">
        <f t="shared" si="95"/>
        <v>95</v>
      </c>
      <c r="I1227" s="212" t="s">
        <v>0</v>
      </c>
      <c r="J1227" s="36"/>
      <c r="K1227" s="36"/>
      <c r="L1227" s="36"/>
      <c r="M1227" s="36"/>
      <c r="N1227" s="36"/>
      <c r="O1227" s="36"/>
      <c r="P1227" s="36"/>
      <c r="Q1227" s="36"/>
      <c r="R1227" s="36"/>
      <c r="S1227" s="36"/>
      <c r="T1227" s="36"/>
      <c r="U1227" s="36"/>
      <c r="V1227" s="36"/>
      <c r="W1227" s="36"/>
      <c r="X1227" s="36"/>
      <c r="Y1227" s="36"/>
      <c r="Z1227" s="36"/>
      <c r="AA1227" s="36"/>
      <c r="AB1227" s="36"/>
      <c r="AC1227" s="36"/>
      <c r="AD1227" s="36"/>
      <c r="AE1227" s="36"/>
      <c r="AF1227" s="36"/>
      <c r="AG1227" s="36"/>
      <c r="AH1227" s="36"/>
      <c r="AI1227" s="36"/>
    </row>
    <row r="1228" spans="1:35" ht="15" hidden="1" customHeight="1">
      <c r="A1228" s="212" t="s">
        <v>0</v>
      </c>
      <c r="B1228" s="277"/>
      <c r="C1228" s="355"/>
      <c r="D1228" s="315"/>
      <c r="E1228" s="308"/>
      <c r="F1228" s="62">
        <v>5</v>
      </c>
      <c r="G1228" s="63" t="s">
        <v>164</v>
      </c>
      <c r="H1228" s="64">
        <f t="shared" si="95"/>
        <v>90</v>
      </c>
      <c r="I1228" s="212" t="s">
        <v>0</v>
      </c>
      <c r="J1228" s="36"/>
      <c r="K1228" s="36"/>
      <c r="L1228" s="36"/>
      <c r="M1228" s="36"/>
      <c r="N1228" s="36"/>
      <c r="O1228" s="36"/>
      <c r="P1228" s="36"/>
      <c r="Q1228" s="36"/>
      <c r="R1228" s="36"/>
      <c r="S1228" s="36"/>
      <c r="T1228" s="36"/>
      <c r="U1228" s="36"/>
      <c r="V1228" s="36"/>
      <c r="W1228" s="36"/>
      <c r="X1228" s="36"/>
      <c r="Y1228" s="36"/>
      <c r="Z1228" s="36"/>
      <c r="AA1228" s="36"/>
      <c r="AB1228" s="36"/>
      <c r="AC1228" s="36"/>
      <c r="AD1228" s="36"/>
      <c r="AE1228" s="36"/>
      <c r="AF1228" s="36"/>
      <c r="AG1228" s="36"/>
      <c r="AH1228" s="36"/>
      <c r="AI1228" s="36"/>
    </row>
    <row r="1229" spans="1:35" ht="15" hidden="1" customHeight="1">
      <c r="A1229" s="212" t="s">
        <v>0</v>
      </c>
      <c r="B1229" s="277"/>
      <c r="C1229" s="355"/>
      <c r="D1229" s="315"/>
      <c r="E1229" s="308"/>
      <c r="F1229" s="62">
        <v>4</v>
      </c>
      <c r="G1229" s="63" t="s">
        <v>164</v>
      </c>
      <c r="H1229" s="64">
        <f t="shared" si="95"/>
        <v>85</v>
      </c>
      <c r="I1229" s="212" t="s">
        <v>0</v>
      </c>
      <c r="J1229" s="36"/>
      <c r="K1229" s="36"/>
      <c r="L1229" s="36"/>
      <c r="M1229" s="36"/>
      <c r="N1229" s="36"/>
      <c r="O1229" s="36"/>
      <c r="P1229" s="36"/>
      <c r="Q1229" s="36"/>
      <c r="R1229" s="36"/>
      <c r="S1229" s="36"/>
      <c r="T1229" s="36"/>
      <c r="U1229" s="36"/>
      <c r="V1229" s="36"/>
      <c r="W1229" s="36"/>
      <c r="X1229" s="36"/>
      <c r="Y1229" s="36"/>
      <c r="Z1229" s="36"/>
      <c r="AA1229" s="36"/>
      <c r="AB1229" s="36"/>
      <c r="AC1229" s="36"/>
      <c r="AD1229" s="36"/>
      <c r="AE1229" s="36"/>
      <c r="AF1229" s="36"/>
      <c r="AG1229" s="36"/>
      <c r="AH1229" s="36"/>
      <c r="AI1229" s="36"/>
    </row>
    <row r="1230" spans="1:35" ht="15.75" hidden="1" customHeight="1" thickBot="1">
      <c r="A1230" s="212" t="s">
        <v>0</v>
      </c>
      <c r="B1230" s="278"/>
      <c r="C1230" s="350"/>
      <c r="D1230" s="315"/>
      <c r="E1230" s="308"/>
      <c r="F1230" s="62">
        <v>3</v>
      </c>
      <c r="G1230" s="63" t="s">
        <v>164</v>
      </c>
      <c r="H1230" s="64">
        <f t="shared" si="95"/>
        <v>80</v>
      </c>
      <c r="I1230" s="212" t="s">
        <v>0</v>
      </c>
      <c r="J1230" s="36"/>
      <c r="K1230" s="36"/>
      <c r="L1230" s="36"/>
      <c r="M1230" s="36"/>
      <c r="N1230" s="36"/>
      <c r="O1230" s="36"/>
      <c r="P1230" s="36"/>
      <c r="Q1230" s="36"/>
      <c r="R1230" s="36"/>
      <c r="S1230" s="36"/>
      <c r="T1230" s="36"/>
      <c r="U1230" s="36"/>
      <c r="V1230" s="36"/>
      <c r="W1230" s="36"/>
      <c r="X1230" s="36"/>
      <c r="Y1230" s="36"/>
      <c r="Z1230" s="36"/>
      <c r="AA1230" s="36"/>
      <c r="AB1230" s="36"/>
      <c r="AC1230" s="36"/>
      <c r="AD1230" s="36"/>
      <c r="AE1230" s="36"/>
      <c r="AF1230" s="36"/>
      <c r="AG1230" s="36"/>
      <c r="AH1230" s="36"/>
      <c r="AI1230" s="36"/>
    </row>
    <row r="1231" spans="1:35" ht="51" hidden="1" customHeight="1">
      <c r="A1231" s="212" t="s">
        <v>0</v>
      </c>
      <c r="B1231" s="274" t="s">
        <v>158</v>
      </c>
      <c r="C1231" s="349"/>
      <c r="D1231" s="315"/>
      <c r="E1231" s="308"/>
      <c r="F1231" s="62">
        <v>2</v>
      </c>
      <c r="G1231" s="63" t="s">
        <v>164</v>
      </c>
      <c r="H1231" s="64">
        <f t="shared" si="95"/>
        <v>75</v>
      </c>
      <c r="I1231" s="212" t="s">
        <v>0</v>
      </c>
      <c r="J1231" s="36"/>
      <c r="K1231" s="36"/>
      <c r="L1231" s="36"/>
      <c r="M1231" s="36"/>
      <c r="N1231" s="36"/>
      <c r="O1231" s="36"/>
      <c r="P1231" s="36"/>
      <c r="Q1231" s="36"/>
      <c r="R1231" s="36"/>
      <c r="S1231" s="36"/>
      <c r="T1231" s="36"/>
      <c r="U1231" s="36"/>
      <c r="V1231" s="36"/>
      <c r="W1231" s="36"/>
      <c r="X1231" s="36"/>
      <c r="Y1231" s="36"/>
      <c r="Z1231" s="36"/>
      <c r="AA1231" s="36"/>
      <c r="AB1231" s="36"/>
      <c r="AC1231" s="36"/>
      <c r="AD1231" s="36"/>
      <c r="AE1231" s="36"/>
      <c r="AF1231" s="36"/>
      <c r="AG1231" s="36"/>
      <c r="AH1231" s="36"/>
      <c r="AI1231" s="36"/>
    </row>
    <row r="1232" spans="1:35" ht="51" hidden="1" customHeight="1" thickBot="1">
      <c r="A1232" s="212" t="s">
        <v>0</v>
      </c>
      <c r="B1232" s="275"/>
      <c r="C1232" s="350"/>
      <c r="D1232" s="316"/>
      <c r="E1232" s="309"/>
      <c r="F1232" s="67">
        <v>1</v>
      </c>
      <c r="G1232" s="68" t="s">
        <v>164</v>
      </c>
      <c r="H1232" s="69">
        <f t="shared" si="95"/>
        <v>70</v>
      </c>
      <c r="I1232" s="212" t="s">
        <v>0</v>
      </c>
      <c r="J1232" s="36"/>
      <c r="K1232" s="36"/>
      <c r="L1232" s="36"/>
      <c r="M1232" s="36"/>
      <c r="N1232" s="36"/>
      <c r="O1232" s="36"/>
      <c r="P1232" s="36"/>
      <c r="Q1232" s="36"/>
      <c r="R1232" s="36"/>
      <c r="S1232" s="36"/>
      <c r="T1232" s="36"/>
      <c r="U1232" s="36"/>
      <c r="V1232" s="36"/>
      <c r="W1232" s="36"/>
      <c r="X1232" s="36"/>
      <c r="Y1232" s="36"/>
      <c r="Z1232" s="36"/>
      <c r="AA1232" s="36"/>
      <c r="AB1232" s="36"/>
      <c r="AC1232" s="36"/>
      <c r="AD1232" s="36"/>
      <c r="AE1232" s="36"/>
      <c r="AF1232" s="36"/>
      <c r="AG1232" s="36"/>
      <c r="AH1232" s="36"/>
      <c r="AI1232" s="36"/>
    </row>
    <row r="1233" spans="1:35" ht="15.75" hidden="1" customHeight="1" thickBot="1">
      <c r="A1233" s="212" t="s">
        <v>0</v>
      </c>
      <c r="B1233" s="276">
        <v>4</v>
      </c>
      <c r="C1233" s="349"/>
      <c r="D1233" s="123" t="s">
        <v>156</v>
      </c>
      <c r="E1233" s="124">
        <v>0.6</v>
      </c>
      <c r="F1233" s="58">
        <v>10</v>
      </c>
      <c r="G1233" s="59" t="s">
        <v>164</v>
      </c>
      <c r="H1233" s="60">
        <v>115</v>
      </c>
      <c r="I1233" s="212" t="s">
        <v>0</v>
      </c>
      <c r="J1233" s="36"/>
      <c r="K1233" s="36"/>
      <c r="L1233" s="36"/>
      <c r="M1233" s="36"/>
      <c r="N1233" s="36"/>
      <c r="O1233" s="36"/>
      <c r="P1233" s="36"/>
      <c r="Q1233" s="36"/>
      <c r="R1233" s="36"/>
      <c r="S1233" s="36"/>
      <c r="T1233" s="36"/>
      <c r="U1233" s="36"/>
      <c r="V1233" s="36"/>
      <c r="W1233" s="36"/>
      <c r="X1233" s="36"/>
      <c r="Y1233" s="36"/>
      <c r="Z1233" s="36"/>
      <c r="AA1233" s="36"/>
      <c r="AB1233" s="36"/>
      <c r="AC1233" s="36"/>
      <c r="AD1233" s="36"/>
      <c r="AE1233" s="36"/>
      <c r="AF1233" s="36"/>
      <c r="AG1233" s="36"/>
      <c r="AH1233" s="36"/>
      <c r="AI1233" s="36"/>
    </row>
    <row r="1234" spans="1:35" ht="15" hidden="1" customHeight="1">
      <c r="A1234" s="212" t="s">
        <v>0</v>
      </c>
      <c r="B1234" s="277"/>
      <c r="C1234" s="355"/>
      <c r="D1234" s="314"/>
      <c r="E1234" s="307">
        <f>IF(D1234=0,0,VLOOKUP($D1234,$F1233:$H1242,3,FALSE)*$E1233)</f>
        <v>0</v>
      </c>
      <c r="F1234" s="62">
        <v>9</v>
      </c>
      <c r="G1234" s="63" t="s">
        <v>164</v>
      </c>
      <c r="H1234" s="64">
        <f>H1233-5</f>
        <v>110</v>
      </c>
      <c r="I1234" s="212" t="s">
        <v>0</v>
      </c>
      <c r="J1234" s="36"/>
      <c r="K1234" s="36"/>
      <c r="L1234" s="36"/>
      <c r="M1234" s="36"/>
      <c r="N1234" s="36"/>
      <c r="O1234" s="36"/>
      <c r="P1234" s="36"/>
      <c r="Q1234" s="36"/>
      <c r="R1234" s="36"/>
      <c r="S1234" s="36"/>
      <c r="T1234" s="36"/>
      <c r="U1234" s="36"/>
      <c r="V1234" s="36"/>
      <c r="W1234" s="36"/>
      <c r="X1234" s="36"/>
      <c r="Y1234" s="36"/>
      <c r="Z1234" s="36"/>
      <c r="AA1234" s="36"/>
      <c r="AB1234" s="36"/>
      <c r="AC1234" s="36"/>
      <c r="AD1234" s="36"/>
      <c r="AE1234" s="36"/>
      <c r="AF1234" s="36"/>
      <c r="AG1234" s="36"/>
      <c r="AH1234" s="36"/>
      <c r="AI1234" s="36"/>
    </row>
    <row r="1235" spans="1:35" ht="15" hidden="1" customHeight="1">
      <c r="A1235" s="212" t="s">
        <v>0</v>
      </c>
      <c r="B1235" s="277"/>
      <c r="C1235" s="355"/>
      <c r="D1235" s="315"/>
      <c r="E1235" s="308"/>
      <c r="F1235" s="62">
        <v>8</v>
      </c>
      <c r="G1235" s="63" t="s">
        <v>164</v>
      </c>
      <c r="H1235" s="64">
        <f t="shared" ref="H1235:H1242" si="96">H1234-5</f>
        <v>105</v>
      </c>
      <c r="I1235" s="212" t="s">
        <v>0</v>
      </c>
      <c r="J1235" s="36"/>
      <c r="K1235" s="36"/>
      <c r="L1235" s="36"/>
      <c r="M1235" s="36"/>
      <c r="N1235" s="36"/>
      <c r="O1235" s="36"/>
      <c r="P1235" s="36"/>
      <c r="Q1235" s="36"/>
      <c r="R1235" s="36"/>
      <c r="S1235" s="36"/>
      <c r="T1235" s="36"/>
      <c r="U1235" s="36"/>
      <c r="V1235" s="36"/>
      <c r="W1235" s="36"/>
      <c r="X1235" s="36"/>
      <c r="Y1235" s="36"/>
      <c r="Z1235" s="36"/>
      <c r="AA1235" s="36"/>
      <c r="AB1235" s="36"/>
      <c r="AC1235" s="36"/>
      <c r="AD1235" s="36"/>
      <c r="AE1235" s="36"/>
      <c r="AF1235" s="36"/>
      <c r="AG1235" s="36"/>
      <c r="AH1235" s="36"/>
      <c r="AI1235" s="36"/>
    </row>
    <row r="1236" spans="1:35" ht="15" hidden="1" customHeight="1">
      <c r="A1236" s="212" t="s">
        <v>0</v>
      </c>
      <c r="B1236" s="277"/>
      <c r="C1236" s="355"/>
      <c r="D1236" s="315"/>
      <c r="E1236" s="308"/>
      <c r="F1236" s="62">
        <v>7</v>
      </c>
      <c r="G1236" s="63" t="s">
        <v>164</v>
      </c>
      <c r="H1236" s="64">
        <f t="shared" si="96"/>
        <v>100</v>
      </c>
      <c r="I1236" s="212" t="s">
        <v>0</v>
      </c>
      <c r="J1236" s="36"/>
      <c r="K1236" s="36"/>
      <c r="L1236" s="36"/>
      <c r="M1236" s="36"/>
      <c r="N1236" s="36"/>
      <c r="O1236" s="36"/>
      <c r="P1236" s="36"/>
      <c r="Q1236" s="36"/>
      <c r="R1236" s="36"/>
      <c r="S1236" s="36"/>
      <c r="T1236" s="36"/>
      <c r="U1236" s="36"/>
      <c r="V1236" s="36"/>
      <c r="W1236" s="36"/>
      <c r="X1236" s="36"/>
      <c r="Y1236" s="36"/>
      <c r="Z1236" s="36"/>
      <c r="AA1236" s="36"/>
      <c r="AB1236" s="36"/>
      <c r="AC1236" s="36"/>
      <c r="AD1236" s="36"/>
      <c r="AE1236" s="36"/>
      <c r="AF1236" s="36"/>
      <c r="AG1236" s="36"/>
      <c r="AH1236" s="36"/>
      <c r="AI1236" s="36"/>
    </row>
    <row r="1237" spans="1:35" ht="15" hidden="1" customHeight="1">
      <c r="A1237" s="212" t="s">
        <v>0</v>
      </c>
      <c r="B1237" s="277"/>
      <c r="C1237" s="355"/>
      <c r="D1237" s="315"/>
      <c r="E1237" s="308"/>
      <c r="F1237" s="62">
        <v>6</v>
      </c>
      <c r="G1237" s="63" t="s">
        <v>164</v>
      </c>
      <c r="H1237" s="64">
        <f t="shared" si="96"/>
        <v>95</v>
      </c>
      <c r="I1237" s="212" t="s">
        <v>0</v>
      </c>
      <c r="J1237" s="36"/>
      <c r="K1237" s="36"/>
      <c r="L1237" s="36"/>
      <c r="M1237" s="36"/>
      <c r="N1237" s="36"/>
      <c r="O1237" s="36"/>
      <c r="P1237" s="36"/>
      <c r="Q1237" s="36"/>
      <c r="R1237" s="36"/>
      <c r="S1237" s="36"/>
      <c r="T1237" s="36"/>
      <c r="U1237" s="36"/>
      <c r="V1237" s="36"/>
      <c r="W1237" s="36"/>
      <c r="X1237" s="36"/>
      <c r="Y1237" s="36"/>
      <c r="Z1237" s="36"/>
      <c r="AA1237" s="36"/>
      <c r="AB1237" s="36"/>
      <c r="AC1237" s="36"/>
      <c r="AD1237" s="36"/>
      <c r="AE1237" s="36"/>
      <c r="AF1237" s="36"/>
      <c r="AG1237" s="36"/>
      <c r="AH1237" s="36"/>
      <c r="AI1237" s="36"/>
    </row>
    <row r="1238" spans="1:35" ht="15" hidden="1" customHeight="1">
      <c r="A1238" s="212" t="s">
        <v>0</v>
      </c>
      <c r="B1238" s="277"/>
      <c r="C1238" s="355"/>
      <c r="D1238" s="315"/>
      <c r="E1238" s="308"/>
      <c r="F1238" s="62">
        <v>5</v>
      </c>
      <c r="G1238" s="63" t="s">
        <v>164</v>
      </c>
      <c r="H1238" s="64">
        <f t="shared" si="96"/>
        <v>90</v>
      </c>
      <c r="I1238" s="212" t="s">
        <v>0</v>
      </c>
      <c r="J1238" s="36"/>
      <c r="K1238" s="36"/>
      <c r="L1238" s="36"/>
      <c r="M1238" s="36"/>
      <c r="N1238" s="36"/>
      <c r="O1238" s="36"/>
      <c r="P1238" s="36"/>
      <c r="Q1238" s="36"/>
      <c r="R1238" s="36"/>
      <c r="S1238" s="36"/>
      <c r="T1238" s="36"/>
      <c r="U1238" s="36"/>
      <c r="V1238" s="36"/>
      <c r="W1238" s="36"/>
      <c r="X1238" s="36"/>
      <c r="Y1238" s="36"/>
      <c r="Z1238" s="36"/>
      <c r="AA1238" s="36"/>
      <c r="AB1238" s="36"/>
      <c r="AC1238" s="36"/>
      <c r="AD1238" s="36"/>
      <c r="AE1238" s="36"/>
      <c r="AF1238" s="36"/>
      <c r="AG1238" s="36"/>
      <c r="AH1238" s="36"/>
      <c r="AI1238" s="36"/>
    </row>
    <row r="1239" spans="1:35" ht="15" hidden="1" customHeight="1">
      <c r="A1239" s="212" t="s">
        <v>0</v>
      </c>
      <c r="B1239" s="277"/>
      <c r="C1239" s="355"/>
      <c r="D1239" s="315"/>
      <c r="E1239" s="308"/>
      <c r="F1239" s="62">
        <v>4</v>
      </c>
      <c r="G1239" s="63" t="s">
        <v>164</v>
      </c>
      <c r="H1239" s="64">
        <f t="shared" si="96"/>
        <v>85</v>
      </c>
      <c r="I1239" s="212" t="s">
        <v>0</v>
      </c>
      <c r="J1239" s="36"/>
      <c r="K1239" s="36"/>
      <c r="L1239" s="36"/>
      <c r="M1239" s="36"/>
      <c r="N1239" s="36"/>
      <c r="O1239" s="36"/>
      <c r="P1239" s="36"/>
      <c r="Q1239" s="36"/>
      <c r="R1239" s="36"/>
      <c r="S1239" s="36"/>
      <c r="T1239" s="36"/>
      <c r="U1239" s="36"/>
      <c r="V1239" s="36"/>
      <c r="W1239" s="36"/>
      <c r="X1239" s="36"/>
      <c r="Y1239" s="36"/>
      <c r="Z1239" s="36"/>
      <c r="AA1239" s="36"/>
      <c r="AB1239" s="36"/>
      <c r="AC1239" s="36"/>
      <c r="AD1239" s="36"/>
      <c r="AE1239" s="36"/>
      <c r="AF1239" s="36"/>
      <c r="AG1239" s="36"/>
      <c r="AH1239" s="36"/>
      <c r="AI1239" s="36"/>
    </row>
    <row r="1240" spans="1:35" ht="15.75" hidden="1" customHeight="1" thickBot="1">
      <c r="A1240" s="212" t="s">
        <v>0</v>
      </c>
      <c r="B1240" s="278"/>
      <c r="C1240" s="350"/>
      <c r="D1240" s="315"/>
      <c r="E1240" s="308"/>
      <c r="F1240" s="62">
        <v>3</v>
      </c>
      <c r="G1240" s="63" t="s">
        <v>164</v>
      </c>
      <c r="H1240" s="64">
        <f t="shared" si="96"/>
        <v>80</v>
      </c>
      <c r="I1240" s="212" t="s">
        <v>0</v>
      </c>
      <c r="J1240" s="36"/>
      <c r="K1240" s="36"/>
      <c r="L1240" s="36"/>
      <c r="M1240" s="36"/>
      <c r="N1240" s="36"/>
      <c r="O1240" s="36"/>
      <c r="P1240" s="36"/>
      <c r="Q1240" s="36"/>
      <c r="R1240" s="36"/>
      <c r="S1240" s="36"/>
      <c r="T1240" s="36"/>
      <c r="U1240" s="36"/>
      <c r="V1240" s="36"/>
      <c r="W1240" s="36"/>
      <c r="X1240" s="36"/>
      <c r="Y1240" s="36"/>
      <c r="Z1240" s="36"/>
      <c r="AA1240" s="36"/>
      <c r="AB1240" s="36"/>
      <c r="AC1240" s="36"/>
      <c r="AD1240" s="36"/>
      <c r="AE1240" s="36"/>
      <c r="AF1240" s="36"/>
      <c r="AG1240" s="36"/>
      <c r="AH1240" s="36"/>
      <c r="AI1240" s="36"/>
    </row>
    <row r="1241" spans="1:35" ht="15" hidden="1" customHeight="1">
      <c r="A1241" s="212" t="s">
        <v>0</v>
      </c>
      <c r="B1241" s="274" t="s">
        <v>158</v>
      </c>
      <c r="C1241" s="349"/>
      <c r="D1241" s="315"/>
      <c r="E1241" s="308"/>
      <c r="F1241" s="62">
        <v>2</v>
      </c>
      <c r="G1241" s="63" t="s">
        <v>164</v>
      </c>
      <c r="H1241" s="64">
        <f t="shared" si="96"/>
        <v>75</v>
      </c>
      <c r="I1241" s="212" t="s">
        <v>0</v>
      </c>
      <c r="J1241" s="36"/>
      <c r="K1241" s="36"/>
      <c r="L1241" s="36"/>
      <c r="M1241" s="36"/>
      <c r="N1241" s="36"/>
      <c r="O1241" s="36"/>
      <c r="P1241" s="36"/>
      <c r="Q1241" s="36"/>
      <c r="R1241" s="36"/>
      <c r="S1241" s="36"/>
      <c r="T1241" s="36"/>
      <c r="U1241" s="36"/>
      <c r="V1241" s="36"/>
      <c r="W1241" s="36"/>
      <c r="X1241" s="36"/>
      <c r="Y1241" s="36"/>
      <c r="Z1241" s="36"/>
      <c r="AA1241" s="36"/>
      <c r="AB1241" s="36"/>
      <c r="AC1241" s="36"/>
      <c r="AD1241" s="36"/>
      <c r="AE1241" s="36"/>
      <c r="AF1241" s="36"/>
      <c r="AG1241" s="36"/>
      <c r="AH1241" s="36"/>
      <c r="AI1241" s="36"/>
    </row>
    <row r="1242" spans="1:35" ht="15.75" hidden="1" customHeight="1" thickBot="1">
      <c r="A1242" s="212" t="s">
        <v>0</v>
      </c>
      <c r="B1242" s="275"/>
      <c r="C1242" s="350"/>
      <c r="D1242" s="316"/>
      <c r="E1242" s="309"/>
      <c r="F1242" s="67">
        <v>1</v>
      </c>
      <c r="G1242" s="68" t="s">
        <v>164</v>
      </c>
      <c r="H1242" s="69">
        <f t="shared" si="96"/>
        <v>70</v>
      </c>
      <c r="I1242" s="212" t="s">
        <v>0</v>
      </c>
      <c r="J1242" s="36"/>
      <c r="K1242" s="36"/>
      <c r="L1242" s="36"/>
      <c r="M1242" s="36"/>
      <c r="N1242" s="36"/>
      <c r="O1242" s="36"/>
      <c r="P1242" s="36"/>
      <c r="Q1242" s="36"/>
      <c r="R1242" s="36"/>
      <c r="S1242" s="36"/>
      <c r="T1242" s="36"/>
      <c r="U1242" s="36"/>
      <c r="V1242" s="36"/>
      <c r="W1242" s="36"/>
      <c r="X1242" s="36"/>
      <c r="Y1242" s="36"/>
      <c r="Z1242" s="36"/>
      <c r="AA1242" s="36"/>
      <c r="AB1242" s="36"/>
      <c r="AC1242" s="36"/>
      <c r="AD1242" s="36"/>
      <c r="AE1242" s="36"/>
      <c r="AF1242" s="36"/>
      <c r="AG1242" s="36"/>
      <c r="AH1242" s="36"/>
      <c r="AI1242" s="36"/>
    </row>
    <row r="1243" spans="1:35" ht="15.75" hidden="1" customHeight="1" thickBot="1">
      <c r="A1243" s="212" t="s">
        <v>0</v>
      </c>
      <c r="B1243" s="279">
        <v>5</v>
      </c>
      <c r="C1243" s="349"/>
      <c r="D1243" s="123" t="s">
        <v>156</v>
      </c>
      <c r="E1243" s="124">
        <v>0.6</v>
      </c>
      <c r="F1243" s="70">
        <v>10</v>
      </c>
      <c r="G1243" s="71" t="s">
        <v>164</v>
      </c>
      <c r="H1243" s="72">
        <v>115</v>
      </c>
      <c r="I1243" s="212" t="s">
        <v>0</v>
      </c>
      <c r="J1243" s="36"/>
      <c r="K1243" s="36"/>
      <c r="L1243" s="36"/>
      <c r="M1243" s="36"/>
      <c r="N1243" s="36"/>
      <c r="O1243" s="36"/>
      <c r="P1243" s="36"/>
      <c r="Q1243" s="36"/>
      <c r="R1243" s="36"/>
      <c r="S1243" s="36"/>
      <c r="T1243" s="36"/>
      <c r="U1243" s="36"/>
      <c r="V1243" s="36"/>
      <c r="W1243" s="36"/>
      <c r="X1243" s="36"/>
      <c r="Y1243" s="36"/>
      <c r="Z1243" s="36"/>
      <c r="AA1243" s="36"/>
      <c r="AB1243" s="36"/>
      <c r="AC1243" s="36"/>
      <c r="AD1243" s="36"/>
      <c r="AE1243" s="36"/>
      <c r="AF1243" s="36"/>
      <c r="AG1243" s="36"/>
      <c r="AH1243" s="36"/>
      <c r="AI1243" s="36"/>
    </row>
    <row r="1244" spans="1:35" ht="15" hidden="1" customHeight="1">
      <c r="A1244" s="212" t="s">
        <v>0</v>
      </c>
      <c r="B1244" s="277"/>
      <c r="C1244" s="355"/>
      <c r="D1244" s="314"/>
      <c r="E1244" s="307">
        <f>IF(D1244=0,0,VLOOKUP($D1244,$F1243:$H1252,3,FALSE)*$E1243)</f>
        <v>0</v>
      </c>
      <c r="F1244" s="62">
        <v>9</v>
      </c>
      <c r="G1244" s="63" t="s">
        <v>164</v>
      </c>
      <c r="H1244" s="64">
        <f>H1243-5</f>
        <v>110</v>
      </c>
      <c r="I1244" s="212" t="s">
        <v>0</v>
      </c>
      <c r="J1244" s="36"/>
      <c r="K1244" s="36"/>
      <c r="L1244" s="36"/>
      <c r="M1244" s="36"/>
      <c r="N1244" s="36"/>
      <c r="O1244" s="36"/>
      <c r="P1244" s="36"/>
      <c r="Q1244" s="36"/>
      <c r="R1244" s="36"/>
      <c r="S1244" s="36"/>
      <c r="T1244" s="36"/>
      <c r="U1244" s="36"/>
      <c r="V1244" s="36"/>
      <c r="W1244" s="36"/>
      <c r="X1244" s="36"/>
      <c r="Y1244" s="36"/>
      <c r="Z1244" s="36"/>
      <c r="AA1244" s="36"/>
      <c r="AB1244" s="36"/>
      <c r="AC1244" s="36"/>
      <c r="AD1244" s="36"/>
      <c r="AE1244" s="36"/>
      <c r="AF1244" s="36"/>
      <c r="AG1244" s="36"/>
      <c r="AH1244" s="36"/>
      <c r="AI1244" s="36"/>
    </row>
    <row r="1245" spans="1:35" ht="15" hidden="1" customHeight="1">
      <c r="A1245" s="212" t="s">
        <v>0</v>
      </c>
      <c r="B1245" s="277"/>
      <c r="C1245" s="355"/>
      <c r="D1245" s="315"/>
      <c r="E1245" s="308"/>
      <c r="F1245" s="62">
        <v>8</v>
      </c>
      <c r="G1245" s="63" t="s">
        <v>164</v>
      </c>
      <c r="H1245" s="64">
        <f t="shared" ref="H1245:H1252" si="97">H1244-5</f>
        <v>105</v>
      </c>
      <c r="I1245" s="212" t="s">
        <v>0</v>
      </c>
      <c r="J1245" s="36"/>
      <c r="K1245" s="36"/>
      <c r="L1245" s="36"/>
      <c r="M1245" s="36"/>
      <c r="N1245" s="36"/>
      <c r="O1245" s="36"/>
      <c r="P1245" s="36"/>
      <c r="Q1245" s="36"/>
      <c r="R1245" s="36"/>
      <c r="S1245" s="36"/>
      <c r="T1245" s="36"/>
      <c r="U1245" s="36"/>
      <c r="V1245" s="36"/>
      <c r="W1245" s="36"/>
      <c r="X1245" s="36"/>
      <c r="Y1245" s="36"/>
      <c r="Z1245" s="36"/>
      <c r="AA1245" s="36"/>
      <c r="AB1245" s="36"/>
      <c r="AC1245" s="36"/>
      <c r="AD1245" s="36"/>
      <c r="AE1245" s="36"/>
      <c r="AF1245" s="36"/>
      <c r="AG1245" s="36"/>
      <c r="AH1245" s="36"/>
      <c r="AI1245" s="36"/>
    </row>
    <row r="1246" spans="1:35" ht="15" hidden="1" customHeight="1">
      <c r="A1246" s="212" t="s">
        <v>0</v>
      </c>
      <c r="B1246" s="277"/>
      <c r="C1246" s="355"/>
      <c r="D1246" s="315"/>
      <c r="E1246" s="308"/>
      <c r="F1246" s="62">
        <v>7</v>
      </c>
      <c r="G1246" s="63" t="s">
        <v>164</v>
      </c>
      <c r="H1246" s="64">
        <f t="shared" si="97"/>
        <v>100</v>
      </c>
      <c r="I1246" s="212" t="s">
        <v>0</v>
      </c>
      <c r="J1246" s="36"/>
      <c r="K1246" s="36"/>
      <c r="L1246" s="36"/>
      <c r="M1246" s="36"/>
      <c r="N1246" s="36"/>
      <c r="O1246" s="36"/>
      <c r="P1246" s="36"/>
      <c r="Q1246" s="36"/>
      <c r="R1246" s="36"/>
      <c r="S1246" s="36"/>
      <c r="T1246" s="36"/>
      <c r="U1246" s="36"/>
      <c r="V1246" s="36"/>
      <c r="W1246" s="36"/>
      <c r="X1246" s="36"/>
      <c r="Y1246" s="36"/>
      <c r="Z1246" s="36"/>
      <c r="AA1246" s="36"/>
      <c r="AB1246" s="36"/>
      <c r="AC1246" s="36"/>
      <c r="AD1246" s="36"/>
      <c r="AE1246" s="36"/>
      <c r="AF1246" s="36"/>
      <c r="AG1246" s="36"/>
      <c r="AH1246" s="36"/>
      <c r="AI1246" s="36"/>
    </row>
    <row r="1247" spans="1:35" ht="15" hidden="1" customHeight="1">
      <c r="A1247" s="212" t="s">
        <v>0</v>
      </c>
      <c r="B1247" s="277"/>
      <c r="C1247" s="355"/>
      <c r="D1247" s="315"/>
      <c r="E1247" s="308"/>
      <c r="F1247" s="62">
        <v>6</v>
      </c>
      <c r="G1247" s="63" t="s">
        <v>164</v>
      </c>
      <c r="H1247" s="64">
        <f t="shared" si="97"/>
        <v>95</v>
      </c>
      <c r="I1247" s="212" t="s">
        <v>0</v>
      </c>
      <c r="J1247" s="36"/>
      <c r="K1247" s="36"/>
      <c r="L1247" s="36"/>
      <c r="M1247" s="36"/>
      <c r="N1247" s="36"/>
      <c r="O1247" s="36"/>
      <c r="P1247" s="36"/>
      <c r="Q1247" s="36"/>
      <c r="R1247" s="36"/>
      <c r="S1247" s="36"/>
      <c r="T1247" s="36"/>
      <c r="U1247" s="36"/>
      <c r="V1247" s="36"/>
      <c r="W1247" s="36"/>
      <c r="X1247" s="36"/>
      <c r="Y1247" s="36"/>
      <c r="Z1247" s="36"/>
      <c r="AA1247" s="36"/>
      <c r="AB1247" s="36"/>
      <c r="AC1247" s="36"/>
      <c r="AD1247" s="36"/>
      <c r="AE1247" s="36"/>
      <c r="AF1247" s="36"/>
      <c r="AG1247" s="36"/>
      <c r="AH1247" s="36"/>
      <c r="AI1247" s="36"/>
    </row>
    <row r="1248" spans="1:35" ht="15" hidden="1" customHeight="1">
      <c r="A1248" s="212" t="s">
        <v>0</v>
      </c>
      <c r="B1248" s="277"/>
      <c r="C1248" s="355"/>
      <c r="D1248" s="315"/>
      <c r="E1248" s="308"/>
      <c r="F1248" s="62">
        <v>5</v>
      </c>
      <c r="G1248" s="63" t="s">
        <v>164</v>
      </c>
      <c r="H1248" s="64">
        <f t="shared" si="97"/>
        <v>90</v>
      </c>
      <c r="I1248" s="212" t="s">
        <v>0</v>
      </c>
      <c r="J1248" s="36"/>
      <c r="K1248" s="36"/>
      <c r="L1248" s="36"/>
      <c r="M1248" s="36"/>
      <c r="N1248" s="36"/>
      <c r="O1248" s="36"/>
      <c r="P1248" s="36"/>
      <c r="Q1248" s="36"/>
      <c r="R1248" s="36"/>
      <c r="S1248" s="36"/>
      <c r="T1248" s="36"/>
      <c r="U1248" s="36"/>
      <c r="V1248" s="36"/>
      <c r="W1248" s="36"/>
      <c r="X1248" s="36"/>
      <c r="Y1248" s="36"/>
      <c r="Z1248" s="36"/>
      <c r="AA1248" s="36"/>
      <c r="AB1248" s="36"/>
      <c r="AC1248" s="36"/>
      <c r="AD1248" s="36"/>
      <c r="AE1248" s="36"/>
      <c r="AF1248" s="36"/>
      <c r="AG1248" s="36"/>
      <c r="AH1248" s="36"/>
      <c r="AI1248" s="36"/>
    </row>
    <row r="1249" spans="1:35" ht="15" hidden="1" customHeight="1">
      <c r="A1249" s="212" t="s">
        <v>0</v>
      </c>
      <c r="B1249" s="277"/>
      <c r="C1249" s="355"/>
      <c r="D1249" s="315"/>
      <c r="E1249" s="308"/>
      <c r="F1249" s="62">
        <v>4</v>
      </c>
      <c r="G1249" s="63" t="s">
        <v>164</v>
      </c>
      <c r="H1249" s="64">
        <f t="shared" si="97"/>
        <v>85</v>
      </c>
      <c r="I1249" s="212" t="s">
        <v>0</v>
      </c>
      <c r="J1249" s="36"/>
      <c r="K1249" s="36"/>
      <c r="L1249" s="36"/>
      <c r="M1249" s="36"/>
      <c r="N1249" s="36"/>
      <c r="O1249" s="36"/>
      <c r="P1249" s="36"/>
      <c r="Q1249" s="36"/>
      <c r="R1249" s="36"/>
      <c r="S1249" s="36"/>
      <c r="T1249" s="36"/>
      <c r="U1249" s="36"/>
      <c r="V1249" s="36"/>
      <c r="W1249" s="36"/>
      <c r="X1249" s="36"/>
      <c r="Y1249" s="36"/>
      <c r="Z1249" s="36"/>
      <c r="AA1249" s="36"/>
      <c r="AB1249" s="36"/>
      <c r="AC1249" s="36"/>
      <c r="AD1249" s="36"/>
      <c r="AE1249" s="36"/>
      <c r="AF1249" s="36"/>
      <c r="AG1249" s="36"/>
      <c r="AH1249" s="36"/>
      <c r="AI1249" s="36"/>
    </row>
    <row r="1250" spans="1:35" ht="15.75" hidden="1" customHeight="1" thickBot="1">
      <c r="A1250" s="212" t="s">
        <v>0</v>
      </c>
      <c r="B1250" s="278"/>
      <c r="C1250" s="350"/>
      <c r="D1250" s="315"/>
      <c r="E1250" s="308"/>
      <c r="F1250" s="62">
        <v>3</v>
      </c>
      <c r="G1250" s="63" t="s">
        <v>164</v>
      </c>
      <c r="H1250" s="64">
        <f t="shared" si="97"/>
        <v>80</v>
      </c>
      <c r="I1250" s="212" t="s">
        <v>0</v>
      </c>
      <c r="J1250" s="36"/>
      <c r="K1250" s="36"/>
      <c r="L1250" s="36"/>
      <c r="M1250" s="36"/>
      <c r="N1250" s="36"/>
      <c r="O1250" s="36"/>
      <c r="P1250" s="36"/>
      <c r="Q1250" s="36"/>
      <c r="R1250" s="36"/>
      <c r="S1250" s="36"/>
      <c r="T1250" s="36"/>
      <c r="U1250" s="36"/>
      <c r="V1250" s="36"/>
      <c r="W1250" s="36"/>
      <c r="X1250" s="36"/>
      <c r="Y1250" s="36"/>
      <c r="Z1250" s="36"/>
      <c r="AA1250" s="36"/>
      <c r="AB1250" s="36"/>
      <c r="AC1250" s="36"/>
      <c r="AD1250" s="36"/>
      <c r="AE1250" s="36"/>
      <c r="AF1250" s="36"/>
      <c r="AG1250" s="36"/>
      <c r="AH1250" s="36"/>
      <c r="AI1250" s="36"/>
    </row>
    <row r="1251" spans="1:35" ht="15" hidden="1" customHeight="1">
      <c r="A1251" s="212" t="s">
        <v>0</v>
      </c>
      <c r="B1251" s="274" t="s">
        <v>158</v>
      </c>
      <c r="C1251" s="349"/>
      <c r="D1251" s="315"/>
      <c r="E1251" s="308"/>
      <c r="F1251" s="62">
        <v>2</v>
      </c>
      <c r="G1251" s="63" t="s">
        <v>164</v>
      </c>
      <c r="H1251" s="64">
        <f t="shared" si="97"/>
        <v>75</v>
      </c>
      <c r="I1251" s="212" t="s">
        <v>0</v>
      </c>
      <c r="J1251" s="36"/>
      <c r="K1251" s="36"/>
      <c r="L1251" s="36"/>
      <c r="M1251" s="36"/>
      <c r="N1251" s="36"/>
      <c r="O1251" s="36"/>
      <c r="P1251" s="36"/>
      <c r="Q1251" s="36"/>
      <c r="R1251" s="36"/>
      <c r="S1251" s="36"/>
      <c r="T1251" s="36"/>
      <c r="U1251" s="36"/>
      <c r="V1251" s="36"/>
      <c r="W1251" s="36"/>
      <c r="X1251" s="36"/>
      <c r="Y1251" s="36"/>
      <c r="Z1251" s="36"/>
      <c r="AA1251" s="36"/>
      <c r="AB1251" s="36"/>
      <c r="AC1251" s="36"/>
      <c r="AD1251" s="36"/>
      <c r="AE1251" s="36"/>
      <c r="AF1251" s="36"/>
      <c r="AG1251" s="36"/>
      <c r="AH1251" s="36"/>
      <c r="AI1251" s="36"/>
    </row>
    <row r="1252" spans="1:35" ht="15.75" hidden="1" customHeight="1" thickBot="1">
      <c r="A1252" s="212" t="s">
        <v>0</v>
      </c>
      <c r="B1252" s="275"/>
      <c r="C1252" s="350"/>
      <c r="D1252" s="316"/>
      <c r="E1252" s="309"/>
      <c r="F1252" s="67">
        <v>1</v>
      </c>
      <c r="G1252" s="68" t="s">
        <v>164</v>
      </c>
      <c r="H1252" s="69">
        <f t="shared" si="97"/>
        <v>70</v>
      </c>
      <c r="I1252" s="212" t="s">
        <v>0</v>
      </c>
      <c r="J1252" s="36"/>
      <c r="K1252" s="36"/>
      <c r="L1252" s="36"/>
      <c r="M1252" s="36"/>
      <c r="N1252" s="36"/>
      <c r="O1252" s="36"/>
      <c r="P1252" s="36"/>
      <c r="Q1252" s="36"/>
      <c r="R1252" s="36"/>
      <c r="S1252" s="36"/>
      <c r="T1252" s="36"/>
      <c r="U1252" s="36"/>
      <c r="V1252" s="36"/>
      <c r="W1252" s="36"/>
      <c r="X1252" s="36"/>
      <c r="Y1252" s="36"/>
      <c r="Z1252" s="36"/>
      <c r="AA1252" s="36"/>
      <c r="AB1252" s="36"/>
      <c r="AC1252" s="36"/>
      <c r="AD1252" s="36"/>
      <c r="AE1252" s="36"/>
      <c r="AF1252" s="36"/>
      <c r="AG1252" s="36"/>
      <c r="AH1252" s="36"/>
      <c r="AI1252" s="36"/>
    </row>
    <row r="1253" spans="1:35" ht="15.75" hidden="1" customHeight="1" thickBot="1">
      <c r="A1253" s="212" t="s">
        <v>0</v>
      </c>
      <c r="B1253" s="212" t="s">
        <v>0</v>
      </c>
      <c r="C1253" s="212" t="s">
        <v>0</v>
      </c>
      <c r="D1253" s="212" t="s">
        <v>0</v>
      </c>
      <c r="E1253" s="212" t="s">
        <v>0</v>
      </c>
      <c r="F1253" s="212" t="s">
        <v>0</v>
      </c>
      <c r="G1253" s="212" t="s">
        <v>0</v>
      </c>
      <c r="H1253" s="212" t="s">
        <v>0</v>
      </c>
      <c r="I1253" s="212" t="s">
        <v>0</v>
      </c>
      <c r="J1253" s="36"/>
      <c r="K1253" s="36"/>
      <c r="L1253" s="36"/>
      <c r="M1253" s="36"/>
      <c r="N1253" s="36"/>
      <c r="O1253" s="36"/>
      <c r="P1253" s="36"/>
      <c r="Q1253" s="36"/>
      <c r="R1253" s="36"/>
      <c r="S1253" s="36"/>
      <c r="T1253" s="36"/>
      <c r="U1253" s="36"/>
      <c r="V1253" s="36"/>
      <c r="W1253" s="36"/>
      <c r="X1253" s="36"/>
      <c r="Y1253" s="36"/>
      <c r="Z1253" s="36"/>
      <c r="AA1253" s="36"/>
      <c r="AB1253" s="36"/>
      <c r="AC1253" s="36"/>
      <c r="AD1253" s="36"/>
      <c r="AE1253" s="36"/>
      <c r="AF1253" s="36"/>
      <c r="AG1253" s="36"/>
      <c r="AH1253" s="36"/>
      <c r="AI1253" s="36"/>
    </row>
    <row r="1254" spans="1:35" ht="15" hidden="1" customHeight="1">
      <c r="A1254" s="214" t="s">
        <v>0</v>
      </c>
      <c r="B1254" s="119" t="s">
        <v>183</v>
      </c>
      <c r="C1254" s="120"/>
      <c r="D1254" s="120"/>
      <c r="E1254" s="120"/>
      <c r="F1254" s="120"/>
      <c r="G1254" s="339" t="s">
        <v>8</v>
      </c>
      <c r="H1254" s="340"/>
      <c r="I1254" s="341"/>
      <c r="J1254" s="36"/>
      <c r="K1254" s="36"/>
      <c r="L1254" s="36"/>
      <c r="M1254" s="36"/>
      <c r="N1254" s="36"/>
      <c r="O1254" s="36"/>
      <c r="P1254" s="36"/>
      <c r="Q1254" s="36"/>
      <c r="R1254" s="36"/>
      <c r="S1254" s="36"/>
      <c r="T1254" s="36"/>
      <c r="U1254" s="36"/>
      <c r="V1254" s="36"/>
      <c r="W1254" s="36"/>
      <c r="X1254" s="36"/>
      <c r="Y1254" s="36"/>
      <c r="Z1254" s="36"/>
      <c r="AA1254" s="36"/>
      <c r="AB1254" s="36"/>
      <c r="AC1254" s="36"/>
      <c r="AD1254" s="36"/>
      <c r="AE1254" s="36"/>
      <c r="AF1254" s="36"/>
      <c r="AG1254" s="36"/>
      <c r="AH1254" s="36"/>
      <c r="AI1254" s="36"/>
    </row>
    <row r="1255" spans="1:35" ht="15.75" hidden="1" customHeight="1" thickBot="1">
      <c r="A1255" s="214" t="s">
        <v>0</v>
      </c>
      <c r="B1255" s="121"/>
      <c r="C1255" s="122"/>
      <c r="D1255" s="122"/>
      <c r="E1255" s="122"/>
      <c r="F1255" s="122"/>
      <c r="G1255" s="343"/>
      <c r="H1255" s="344"/>
      <c r="I1255" s="345"/>
      <c r="J1255" s="36"/>
      <c r="K1255" s="36"/>
      <c r="L1255" s="36"/>
      <c r="M1255" s="36"/>
      <c r="N1255" s="36"/>
      <c r="O1255" s="36"/>
      <c r="P1255" s="36"/>
      <c r="Q1255" s="36"/>
      <c r="R1255" s="36"/>
      <c r="S1255" s="36"/>
      <c r="T1255" s="36"/>
      <c r="U1255" s="36"/>
      <c r="V1255" s="36"/>
      <c r="W1255" s="36"/>
      <c r="X1255" s="36"/>
      <c r="Y1255" s="36"/>
      <c r="Z1255" s="36"/>
      <c r="AA1255" s="36"/>
      <c r="AB1255" s="36"/>
      <c r="AC1255" s="36"/>
      <c r="AD1255" s="36"/>
      <c r="AE1255" s="36"/>
      <c r="AF1255" s="36"/>
      <c r="AG1255" s="36"/>
      <c r="AH1255" s="36"/>
      <c r="AI1255" s="36"/>
    </row>
    <row r="1256" spans="1:35" ht="15.75" hidden="1" customHeight="1" thickBot="1">
      <c r="A1256" s="214" t="s">
        <v>0</v>
      </c>
      <c r="B1256" s="52" t="s">
        <v>152</v>
      </c>
      <c r="C1256" s="52" t="s">
        <v>6</v>
      </c>
      <c r="D1256" s="280" t="s">
        <v>9</v>
      </c>
      <c r="E1256" s="281"/>
      <c r="F1256" s="282" t="s">
        <v>166</v>
      </c>
      <c r="G1256" s="283"/>
      <c r="H1256" s="284"/>
      <c r="I1256" s="214" t="s">
        <v>0</v>
      </c>
      <c r="J1256" s="36"/>
      <c r="K1256" s="36"/>
      <c r="L1256" s="36"/>
      <c r="M1256" s="36"/>
      <c r="N1256" s="36"/>
      <c r="O1256" s="36"/>
      <c r="P1256" s="36"/>
      <c r="Q1256" s="36"/>
      <c r="R1256" s="36"/>
      <c r="S1256" s="36"/>
      <c r="T1256" s="36"/>
      <c r="U1256" s="36"/>
      <c r="V1256" s="36"/>
      <c r="W1256" s="36"/>
      <c r="X1256" s="36"/>
      <c r="Y1256" s="36"/>
      <c r="Z1256" s="36"/>
      <c r="AA1256" s="36"/>
      <c r="AB1256" s="36"/>
      <c r="AC1256" s="36"/>
      <c r="AD1256" s="36"/>
      <c r="AE1256" s="36"/>
      <c r="AF1256" s="36"/>
      <c r="AG1256" s="36"/>
      <c r="AH1256" s="36"/>
      <c r="AI1256" s="36"/>
    </row>
    <row r="1257" spans="1:35" ht="15.75" hidden="1" customHeight="1" thickBot="1">
      <c r="A1257" s="214" t="s">
        <v>0</v>
      </c>
      <c r="B1257" s="276">
        <v>1</v>
      </c>
      <c r="C1257" s="349"/>
      <c r="D1257" s="123" t="s">
        <v>156</v>
      </c>
      <c r="E1257" s="124">
        <v>0.6</v>
      </c>
      <c r="F1257" s="58">
        <v>10</v>
      </c>
      <c r="G1257" s="59" t="s">
        <v>164</v>
      </c>
      <c r="H1257" s="60">
        <v>115</v>
      </c>
      <c r="I1257" s="214" t="s">
        <v>0</v>
      </c>
      <c r="J1257" s="36"/>
      <c r="K1257" s="36"/>
      <c r="L1257" s="36"/>
      <c r="M1257" s="36"/>
      <c r="N1257" s="36"/>
      <c r="O1257" s="36"/>
      <c r="P1257" s="36"/>
      <c r="Q1257" s="36"/>
      <c r="R1257" s="36"/>
      <c r="S1257" s="36"/>
      <c r="T1257" s="36"/>
      <c r="U1257" s="36"/>
      <c r="V1257" s="36"/>
      <c r="W1257" s="36"/>
      <c r="X1257" s="36"/>
      <c r="Y1257" s="36"/>
      <c r="Z1257" s="36"/>
      <c r="AA1257" s="36"/>
      <c r="AB1257" s="36"/>
      <c r="AC1257" s="36"/>
      <c r="AD1257" s="36"/>
      <c r="AE1257" s="36"/>
      <c r="AF1257" s="36"/>
      <c r="AG1257" s="36"/>
      <c r="AH1257" s="36"/>
      <c r="AI1257" s="36"/>
    </row>
    <row r="1258" spans="1:35" ht="15" hidden="1" customHeight="1">
      <c r="A1258" s="214" t="s">
        <v>0</v>
      </c>
      <c r="B1258" s="277"/>
      <c r="C1258" s="355"/>
      <c r="D1258" s="314"/>
      <c r="E1258" s="307">
        <f>IF(D1258=0,0,VLOOKUP($D1258,$F1257:$H1266,3,FALSE)*$E1257)</f>
        <v>0</v>
      </c>
      <c r="F1258" s="62">
        <v>9</v>
      </c>
      <c r="G1258" s="63" t="s">
        <v>164</v>
      </c>
      <c r="H1258" s="64">
        <f>H1257-5</f>
        <v>110</v>
      </c>
      <c r="I1258" s="214" t="s">
        <v>0</v>
      </c>
      <c r="J1258" s="36"/>
      <c r="K1258" s="36"/>
      <c r="L1258" s="36"/>
      <c r="M1258" s="36"/>
      <c r="N1258" s="36"/>
      <c r="O1258" s="36"/>
      <c r="P1258" s="36"/>
      <c r="Q1258" s="36"/>
      <c r="R1258" s="36"/>
      <c r="S1258" s="36"/>
      <c r="T1258" s="36"/>
      <c r="U1258" s="36"/>
      <c r="V1258" s="36"/>
      <c r="W1258" s="36"/>
      <c r="X1258" s="36"/>
      <c r="Y1258" s="36"/>
      <c r="Z1258" s="36"/>
      <c r="AA1258" s="36"/>
      <c r="AB1258" s="36"/>
      <c r="AC1258" s="36"/>
      <c r="AD1258" s="36"/>
      <c r="AE1258" s="36"/>
      <c r="AF1258" s="36"/>
      <c r="AG1258" s="36"/>
      <c r="AH1258" s="36"/>
      <c r="AI1258" s="36"/>
    </row>
    <row r="1259" spans="1:35" ht="15" hidden="1" customHeight="1">
      <c r="A1259" s="214" t="s">
        <v>0</v>
      </c>
      <c r="B1259" s="277"/>
      <c r="C1259" s="355"/>
      <c r="D1259" s="315"/>
      <c r="E1259" s="308"/>
      <c r="F1259" s="62">
        <v>8</v>
      </c>
      <c r="G1259" s="63" t="s">
        <v>164</v>
      </c>
      <c r="H1259" s="64">
        <f t="shared" ref="H1259:H1266" si="98">H1258-5</f>
        <v>105</v>
      </c>
      <c r="I1259" s="214" t="s">
        <v>0</v>
      </c>
      <c r="J1259" s="36"/>
      <c r="K1259" s="36"/>
      <c r="L1259" s="36"/>
      <c r="M1259" s="36"/>
      <c r="N1259" s="36"/>
      <c r="O1259" s="36"/>
      <c r="P1259" s="36"/>
      <c r="Q1259" s="36"/>
      <c r="R1259" s="36"/>
      <c r="S1259" s="36"/>
      <c r="T1259" s="36"/>
      <c r="U1259" s="36"/>
      <c r="V1259" s="36"/>
      <c r="W1259" s="36"/>
      <c r="X1259" s="36"/>
      <c r="Y1259" s="36"/>
      <c r="Z1259" s="36"/>
      <c r="AA1259" s="36"/>
      <c r="AB1259" s="36"/>
      <c r="AC1259" s="36"/>
      <c r="AD1259" s="36"/>
      <c r="AE1259" s="36"/>
      <c r="AF1259" s="36"/>
      <c r="AG1259" s="36"/>
      <c r="AH1259" s="36"/>
      <c r="AI1259" s="36"/>
    </row>
    <row r="1260" spans="1:35" ht="15" hidden="1" customHeight="1">
      <c r="A1260" s="214" t="s">
        <v>0</v>
      </c>
      <c r="B1260" s="277"/>
      <c r="C1260" s="355"/>
      <c r="D1260" s="315"/>
      <c r="E1260" s="308"/>
      <c r="F1260" s="62">
        <v>7</v>
      </c>
      <c r="G1260" s="63" t="s">
        <v>164</v>
      </c>
      <c r="H1260" s="64">
        <f t="shared" si="98"/>
        <v>100</v>
      </c>
      <c r="I1260" s="214" t="s">
        <v>0</v>
      </c>
      <c r="J1260" s="36"/>
      <c r="K1260" s="36"/>
      <c r="L1260" s="36"/>
      <c r="M1260" s="36"/>
      <c r="N1260" s="36"/>
      <c r="O1260" s="36"/>
      <c r="P1260" s="36"/>
      <c r="Q1260" s="36"/>
      <c r="R1260" s="36"/>
      <c r="S1260" s="36"/>
      <c r="T1260" s="36"/>
      <c r="U1260" s="36"/>
      <c r="V1260" s="36"/>
      <c r="W1260" s="36"/>
      <c r="X1260" s="36"/>
      <c r="Y1260" s="36"/>
      <c r="Z1260" s="36"/>
      <c r="AA1260" s="36"/>
      <c r="AB1260" s="36"/>
      <c r="AC1260" s="36"/>
      <c r="AD1260" s="36"/>
      <c r="AE1260" s="36"/>
      <c r="AF1260" s="36"/>
      <c r="AG1260" s="36"/>
      <c r="AH1260" s="36"/>
      <c r="AI1260" s="36"/>
    </row>
    <row r="1261" spans="1:35" ht="15" hidden="1" customHeight="1">
      <c r="A1261" s="214" t="s">
        <v>0</v>
      </c>
      <c r="B1261" s="277"/>
      <c r="C1261" s="355"/>
      <c r="D1261" s="315"/>
      <c r="E1261" s="308"/>
      <c r="F1261" s="62">
        <v>6</v>
      </c>
      <c r="G1261" s="63" t="s">
        <v>164</v>
      </c>
      <c r="H1261" s="64">
        <f t="shared" si="98"/>
        <v>95</v>
      </c>
      <c r="I1261" s="214" t="s">
        <v>0</v>
      </c>
      <c r="J1261" s="36"/>
      <c r="K1261" s="36"/>
      <c r="L1261" s="36"/>
      <c r="M1261" s="36"/>
      <c r="N1261" s="36"/>
      <c r="O1261" s="36"/>
      <c r="P1261" s="36"/>
      <c r="Q1261" s="36"/>
      <c r="R1261" s="36"/>
      <c r="S1261" s="36"/>
      <c r="T1261" s="36"/>
      <c r="U1261" s="36"/>
      <c r="V1261" s="36"/>
      <c r="W1261" s="36"/>
      <c r="X1261" s="36"/>
      <c r="Y1261" s="36"/>
      <c r="Z1261" s="36"/>
      <c r="AA1261" s="36"/>
      <c r="AB1261" s="36"/>
      <c r="AC1261" s="36"/>
      <c r="AD1261" s="36"/>
      <c r="AE1261" s="36"/>
      <c r="AF1261" s="36"/>
      <c r="AG1261" s="36"/>
      <c r="AH1261" s="36"/>
      <c r="AI1261" s="36"/>
    </row>
    <row r="1262" spans="1:35" ht="15" hidden="1" customHeight="1">
      <c r="A1262" s="214" t="s">
        <v>0</v>
      </c>
      <c r="B1262" s="277"/>
      <c r="C1262" s="355"/>
      <c r="D1262" s="315"/>
      <c r="E1262" s="308"/>
      <c r="F1262" s="62">
        <v>5</v>
      </c>
      <c r="G1262" s="63" t="s">
        <v>164</v>
      </c>
      <c r="H1262" s="64">
        <f t="shared" si="98"/>
        <v>90</v>
      </c>
      <c r="I1262" s="214" t="s">
        <v>0</v>
      </c>
      <c r="J1262" s="36"/>
      <c r="K1262" s="36"/>
      <c r="L1262" s="36"/>
      <c r="M1262" s="36"/>
      <c r="N1262" s="36"/>
      <c r="O1262" s="36"/>
      <c r="P1262" s="36"/>
      <c r="Q1262" s="36"/>
      <c r="R1262" s="36"/>
      <c r="S1262" s="36"/>
      <c r="T1262" s="36"/>
      <c r="U1262" s="36"/>
      <c r="V1262" s="36"/>
      <c r="W1262" s="36"/>
      <c r="X1262" s="36"/>
      <c r="Y1262" s="36"/>
      <c r="Z1262" s="36"/>
      <c r="AA1262" s="36"/>
      <c r="AB1262" s="36"/>
      <c r="AC1262" s="36"/>
      <c r="AD1262" s="36"/>
      <c r="AE1262" s="36"/>
      <c r="AF1262" s="36"/>
      <c r="AG1262" s="36"/>
      <c r="AH1262" s="36"/>
      <c r="AI1262" s="36"/>
    </row>
    <row r="1263" spans="1:35" ht="15" hidden="1" customHeight="1">
      <c r="A1263" s="214" t="s">
        <v>0</v>
      </c>
      <c r="B1263" s="277"/>
      <c r="C1263" s="355"/>
      <c r="D1263" s="315"/>
      <c r="E1263" s="308"/>
      <c r="F1263" s="62">
        <v>4</v>
      </c>
      <c r="G1263" s="63" t="s">
        <v>164</v>
      </c>
      <c r="H1263" s="64">
        <f t="shared" si="98"/>
        <v>85</v>
      </c>
      <c r="I1263" s="214" t="s">
        <v>0</v>
      </c>
      <c r="J1263" s="36"/>
      <c r="K1263" s="36"/>
      <c r="L1263" s="36"/>
      <c r="M1263" s="36"/>
      <c r="N1263" s="36"/>
      <c r="O1263" s="36"/>
      <c r="P1263" s="36"/>
      <c r="Q1263" s="36"/>
      <c r="R1263" s="36"/>
      <c r="S1263" s="36"/>
      <c r="T1263" s="36"/>
      <c r="U1263" s="36"/>
      <c r="V1263" s="36"/>
      <c r="W1263" s="36"/>
      <c r="X1263" s="36"/>
      <c r="Y1263" s="36"/>
      <c r="Z1263" s="36"/>
      <c r="AA1263" s="36"/>
      <c r="AB1263" s="36"/>
      <c r="AC1263" s="36"/>
      <c r="AD1263" s="36"/>
      <c r="AE1263" s="36"/>
      <c r="AF1263" s="36"/>
      <c r="AG1263" s="36"/>
      <c r="AH1263" s="36"/>
      <c r="AI1263" s="36"/>
    </row>
    <row r="1264" spans="1:35" ht="15.75" hidden="1" customHeight="1" thickBot="1">
      <c r="A1264" s="214" t="s">
        <v>0</v>
      </c>
      <c r="B1264" s="278"/>
      <c r="C1264" s="350"/>
      <c r="D1264" s="315"/>
      <c r="E1264" s="308"/>
      <c r="F1264" s="62">
        <v>3</v>
      </c>
      <c r="G1264" s="63" t="s">
        <v>164</v>
      </c>
      <c r="H1264" s="64">
        <f t="shared" si="98"/>
        <v>80</v>
      </c>
      <c r="I1264" s="214" t="s">
        <v>0</v>
      </c>
      <c r="J1264" s="36"/>
      <c r="K1264" s="36"/>
      <c r="L1264" s="36"/>
      <c r="M1264" s="36"/>
      <c r="N1264" s="36"/>
      <c r="O1264" s="36"/>
      <c r="P1264" s="36"/>
      <c r="Q1264" s="36"/>
      <c r="R1264" s="36"/>
      <c r="S1264" s="36"/>
      <c r="T1264" s="36"/>
      <c r="U1264" s="36"/>
      <c r="V1264" s="36"/>
      <c r="W1264" s="36"/>
      <c r="X1264" s="36"/>
      <c r="Y1264" s="36"/>
      <c r="Z1264" s="36"/>
      <c r="AA1264" s="36"/>
      <c r="AB1264" s="36"/>
      <c r="AC1264" s="36"/>
      <c r="AD1264" s="36"/>
      <c r="AE1264" s="36"/>
      <c r="AF1264" s="36"/>
      <c r="AG1264" s="36"/>
      <c r="AH1264" s="36"/>
      <c r="AI1264" s="36"/>
    </row>
    <row r="1265" spans="1:35" ht="15" hidden="1" customHeight="1">
      <c r="A1265" s="214" t="s">
        <v>0</v>
      </c>
      <c r="B1265" s="274" t="s">
        <v>158</v>
      </c>
      <c r="C1265" s="349"/>
      <c r="D1265" s="315"/>
      <c r="E1265" s="308"/>
      <c r="F1265" s="62">
        <v>2</v>
      </c>
      <c r="G1265" s="63" t="s">
        <v>164</v>
      </c>
      <c r="H1265" s="64">
        <f t="shared" si="98"/>
        <v>75</v>
      </c>
      <c r="I1265" s="214" t="s">
        <v>0</v>
      </c>
      <c r="J1265" s="36"/>
      <c r="K1265" s="36"/>
      <c r="L1265" s="36"/>
      <c r="M1265" s="36"/>
      <c r="N1265" s="36"/>
      <c r="O1265" s="36"/>
      <c r="P1265" s="36"/>
      <c r="Q1265" s="36"/>
      <c r="R1265" s="36"/>
      <c r="S1265" s="36"/>
      <c r="T1265" s="36"/>
      <c r="U1265" s="36"/>
      <c r="V1265" s="36"/>
      <c r="W1265" s="36"/>
      <c r="X1265" s="36"/>
      <c r="Y1265" s="36"/>
      <c r="Z1265" s="36"/>
      <c r="AA1265" s="36"/>
      <c r="AB1265" s="36"/>
      <c r="AC1265" s="36"/>
      <c r="AD1265" s="36"/>
      <c r="AE1265" s="36"/>
      <c r="AF1265" s="36"/>
      <c r="AG1265" s="36"/>
      <c r="AH1265" s="36"/>
      <c r="AI1265" s="36"/>
    </row>
    <row r="1266" spans="1:35" ht="15.75" hidden="1" customHeight="1" thickBot="1">
      <c r="A1266" s="214" t="s">
        <v>0</v>
      </c>
      <c r="B1266" s="275"/>
      <c r="C1266" s="350"/>
      <c r="D1266" s="316"/>
      <c r="E1266" s="309"/>
      <c r="F1266" s="67">
        <v>1</v>
      </c>
      <c r="G1266" s="68" t="s">
        <v>164</v>
      </c>
      <c r="H1266" s="69">
        <f t="shared" si="98"/>
        <v>70</v>
      </c>
      <c r="I1266" s="214" t="s">
        <v>0</v>
      </c>
      <c r="J1266" s="36"/>
      <c r="K1266" s="36"/>
      <c r="L1266" s="36"/>
      <c r="M1266" s="36"/>
      <c r="N1266" s="36"/>
      <c r="O1266" s="36"/>
      <c r="P1266" s="36"/>
      <c r="Q1266" s="36"/>
      <c r="R1266" s="36"/>
      <c r="S1266" s="36"/>
      <c r="T1266" s="36"/>
      <c r="U1266" s="36"/>
      <c r="V1266" s="36"/>
      <c r="W1266" s="36"/>
      <c r="X1266" s="36"/>
      <c r="Y1266" s="36"/>
      <c r="Z1266" s="36"/>
      <c r="AA1266" s="36"/>
      <c r="AB1266" s="36"/>
      <c r="AC1266" s="36"/>
      <c r="AD1266" s="36"/>
      <c r="AE1266" s="36"/>
      <c r="AF1266" s="36"/>
      <c r="AG1266" s="36"/>
      <c r="AH1266" s="36"/>
      <c r="AI1266" s="36"/>
    </row>
    <row r="1267" spans="1:35" ht="15.75" hidden="1" customHeight="1" thickBot="1">
      <c r="A1267" s="214" t="s">
        <v>0</v>
      </c>
      <c r="B1267" s="276">
        <v>2</v>
      </c>
      <c r="C1267" s="349"/>
      <c r="D1267" s="123" t="s">
        <v>156</v>
      </c>
      <c r="E1267" s="124">
        <v>0.6</v>
      </c>
      <c r="F1267" s="58">
        <v>10</v>
      </c>
      <c r="G1267" s="59" t="s">
        <v>164</v>
      </c>
      <c r="H1267" s="60">
        <v>115</v>
      </c>
      <c r="I1267" s="214" t="s">
        <v>0</v>
      </c>
      <c r="J1267" s="36"/>
      <c r="K1267" s="36"/>
      <c r="L1267" s="36"/>
      <c r="M1267" s="36"/>
      <c r="N1267" s="36"/>
      <c r="O1267" s="36"/>
      <c r="P1267" s="36"/>
      <c r="Q1267" s="36"/>
      <c r="R1267" s="36"/>
      <c r="S1267" s="36"/>
      <c r="T1267" s="36"/>
      <c r="U1267" s="36"/>
      <c r="V1267" s="36"/>
      <c r="W1267" s="36"/>
      <c r="X1267" s="36"/>
      <c r="Y1267" s="36"/>
      <c r="Z1267" s="36"/>
      <c r="AA1267" s="36"/>
      <c r="AB1267" s="36"/>
      <c r="AC1267" s="36"/>
      <c r="AD1267" s="36"/>
      <c r="AE1267" s="36"/>
      <c r="AF1267" s="36"/>
      <c r="AG1267" s="36"/>
      <c r="AH1267" s="36"/>
      <c r="AI1267" s="36"/>
    </row>
    <row r="1268" spans="1:35" ht="15" hidden="1" customHeight="1">
      <c r="A1268" s="214" t="s">
        <v>0</v>
      </c>
      <c r="B1268" s="277"/>
      <c r="C1268" s="355"/>
      <c r="D1268" s="314"/>
      <c r="E1268" s="307">
        <f>IF(D1268=0,0,VLOOKUP($D1268,$F1267:$H1276,3,FALSE)*$E1267)</f>
        <v>0</v>
      </c>
      <c r="F1268" s="62">
        <v>9</v>
      </c>
      <c r="G1268" s="63" t="s">
        <v>164</v>
      </c>
      <c r="H1268" s="64">
        <f>H1267-5</f>
        <v>110</v>
      </c>
      <c r="I1268" s="214" t="s">
        <v>0</v>
      </c>
      <c r="J1268" s="36"/>
      <c r="K1268" s="36"/>
      <c r="L1268" s="36"/>
      <c r="M1268" s="36"/>
      <c r="N1268" s="36"/>
      <c r="O1268" s="36"/>
      <c r="P1268" s="36"/>
      <c r="Q1268" s="36"/>
      <c r="R1268" s="36"/>
      <c r="S1268" s="36"/>
      <c r="T1268" s="36"/>
      <c r="U1268" s="36"/>
      <c r="V1268" s="36"/>
      <c r="W1268" s="36"/>
      <c r="X1268" s="36"/>
      <c r="Y1268" s="36"/>
      <c r="Z1268" s="36"/>
      <c r="AA1268" s="36"/>
      <c r="AB1268" s="36"/>
      <c r="AC1268" s="36"/>
      <c r="AD1268" s="36"/>
      <c r="AE1268" s="36"/>
      <c r="AF1268" s="36"/>
      <c r="AG1268" s="36"/>
      <c r="AH1268" s="36"/>
      <c r="AI1268" s="36"/>
    </row>
    <row r="1269" spans="1:35" ht="15" hidden="1" customHeight="1">
      <c r="A1269" s="214" t="s">
        <v>0</v>
      </c>
      <c r="B1269" s="277"/>
      <c r="C1269" s="355"/>
      <c r="D1269" s="315"/>
      <c r="E1269" s="308"/>
      <c r="F1269" s="62">
        <v>8</v>
      </c>
      <c r="G1269" s="63" t="s">
        <v>164</v>
      </c>
      <c r="H1269" s="64">
        <f t="shared" ref="H1269:H1276" si="99">H1268-5</f>
        <v>105</v>
      </c>
      <c r="I1269" s="214" t="s">
        <v>0</v>
      </c>
      <c r="J1269" s="36"/>
      <c r="K1269" s="36"/>
      <c r="L1269" s="36"/>
      <c r="M1269" s="36"/>
      <c r="N1269" s="36"/>
      <c r="O1269" s="36"/>
      <c r="P1269" s="36"/>
      <c r="Q1269" s="36"/>
      <c r="R1269" s="36"/>
      <c r="S1269" s="36"/>
      <c r="T1269" s="36"/>
      <c r="U1269" s="36"/>
      <c r="V1269" s="36"/>
      <c r="W1269" s="36"/>
      <c r="X1269" s="36"/>
      <c r="Y1269" s="36"/>
      <c r="Z1269" s="36"/>
      <c r="AA1269" s="36"/>
      <c r="AB1269" s="36"/>
      <c r="AC1269" s="36"/>
      <c r="AD1269" s="36"/>
      <c r="AE1269" s="36"/>
      <c r="AF1269" s="36"/>
      <c r="AG1269" s="36"/>
      <c r="AH1269" s="36"/>
      <c r="AI1269" s="36"/>
    </row>
    <row r="1270" spans="1:35" ht="15" hidden="1" customHeight="1">
      <c r="A1270" s="214" t="s">
        <v>0</v>
      </c>
      <c r="B1270" s="277"/>
      <c r="C1270" s="355"/>
      <c r="D1270" s="315"/>
      <c r="E1270" s="308"/>
      <c r="F1270" s="62">
        <v>7</v>
      </c>
      <c r="G1270" s="63" t="s">
        <v>164</v>
      </c>
      <c r="H1270" s="64">
        <f t="shared" si="99"/>
        <v>100</v>
      </c>
      <c r="I1270" s="214" t="s">
        <v>0</v>
      </c>
      <c r="J1270" s="36"/>
      <c r="K1270" s="36"/>
      <c r="L1270" s="36"/>
      <c r="M1270" s="36"/>
      <c r="N1270" s="36"/>
      <c r="O1270" s="36"/>
      <c r="P1270" s="36"/>
      <c r="Q1270" s="36"/>
      <c r="R1270" s="36"/>
      <c r="S1270" s="36"/>
      <c r="T1270" s="36"/>
      <c r="U1270" s="36"/>
      <c r="V1270" s="36"/>
      <c r="W1270" s="36"/>
      <c r="X1270" s="36"/>
      <c r="Y1270" s="36"/>
      <c r="Z1270" s="36"/>
      <c r="AA1270" s="36"/>
      <c r="AB1270" s="36"/>
      <c r="AC1270" s="36"/>
      <c r="AD1270" s="36"/>
      <c r="AE1270" s="36"/>
      <c r="AF1270" s="36"/>
      <c r="AG1270" s="36"/>
      <c r="AH1270" s="36"/>
      <c r="AI1270" s="36"/>
    </row>
    <row r="1271" spans="1:35" ht="15" hidden="1" customHeight="1">
      <c r="A1271" s="214" t="s">
        <v>0</v>
      </c>
      <c r="B1271" s="277"/>
      <c r="C1271" s="355"/>
      <c r="D1271" s="315"/>
      <c r="E1271" s="308"/>
      <c r="F1271" s="62">
        <v>6</v>
      </c>
      <c r="G1271" s="63" t="s">
        <v>164</v>
      </c>
      <c r="H1271" s="64">
        <f t="shared" si="99"/>
        <v>95</v>
      </c>
      <c r="I1271" s="214" t="s">
        <v>0</v>
      </c>
      <c r="J1271" s="36"/>
      <c r="K1271" s="36"/>
      <c r="L1271" s="36"/>
      <c r="M1271" s="36"/>
      <c r="N1271" s="36"/>
      <c r="O1271" s="36"/>
      <c r="P1271" s="36"/>
      <c r="Q1271" s="36"/>
      <c r="R1271" s="36"/>
      <c r="S1271" s="36"/>
      <c r="T1271" s="36"/>
      <c r="U1271" s="36"/>
      <c r="V1271" s="36"/>
      <c r="W1271" s="36"/>
      <c r="X1271" s="36"/>
      <c r="Y1271" s="36"/>
      <c r="Z1271" s="36"/>
      <c r="AA1271" s="36"/>
      <c r="AB1271" s="36"/>
      <c r="AC1271" s="36"/>
      <c r="AD1271" s="36"/>
      <c r="AE1271" s="36"/>
      <c r="AF1271" s="36"/>
      <c r="AG1271" s="36"/>
      <c r="AH1271" s="36"/>
      <c r="AI1271" s="36"/>
    </row>
    <row r="1272" spans="1:35" ht="15" hidden="1" customHeight="1">
      <c r="A1272" s="214" t="s">
        <v>0</v>
      </c>
      <c r="B1272" s="277"/>
      <c r="C1272" s="355"/>
      <c r="D1272" s="315"/>
      <c r="E1272" s="308"/>
      <c r="F1272" s="62">
        <v>5</v>
      </c>
      <c r="G1272" s="63" t="s">
        <v>164</v>
      </c>
      <c r="H1272" s="64">
        <f t="shared" si="99"/>
        <v>90</v>
      </c>
      <c r="I1272" s="214" t="s">
        <v>0</v>
      </c>
      <c r="J1272" s="36"/>
      <c r="K1272" s="36"/>
      <c r="L1272" s="36"/>
      <c r="M1272" s="36"/>
      <c r="N1272" s="36"/>
      <c r="O1272" s="36"/>
      <c r="P1272" s="36"/>
      <c r="Q1272" s="36"/>
      <c r="R1272" s="36"/>
      <c r="S1272" s="36"/>
      <c r="T1272" s="36"/>
      <c r="U1272" s="36"/>
      <c r="V1272" s="36"/>
      <c r="W1272" s="36"/>
      <c r="X1272" s="36"/>
      <c r="Y1272" s="36"/>
      <c r="Z1272" s="36"/>
      <c r="AA1272" s="36"/>
      <c r="AB1272" s="36"/>
      <c r="AC1272" s="36"/>
      <c r="AD1272" s="36"/>
      <c r="AE1272" s="36"/>
      <c r="AF1272" s="36"/>
      <c r="AG1272" s="36"/>
      <c r="AH1272" s="36"/>
      <c r="AI1272" s="36"/>
    </row>
    <row r="1273" spans="1:35" ht="15" hidden="1" customHeight="1">
      <c r="A1273" s="214" t="s">
        <v>0</v>
      </c>
      <c r="B1273" s="277"/>
      <c r="C1273" s="355"/>
      <c r="D1273" s="315"/>
      <c r="E1273" s="308"/>
      <c r="F1273" s="62">
        <v>4</v>
      </c>
      <c r="G1273" s="63" t="s">
        <v>164</v>
      </c>
      <c r="H1273" s="64">
        <f t="shared" si="99"/>
        <v>85</v>
      </c>
      <c r="I1273" s="214" t="s">
        <v>0</v>
      </c>
      <c r="J1273" s="36"/>
      <c r="K1273" s="36"/>
      <c r="L1273" s="36"/>
      <c r="M1273" s="36"/>
      <c r="N1273" s="36"/>
      <c r="O1273" s="36"/>
      <c r="P1273" s="36"/>
      <c r="Q1273" s="36"/>
      <c r="R1273" s="36"/>
      <c r="S1273" s="36"/>
      <c r="T1273" s="36"/>
      <c r="U1273" s="36"/>
      <c r="V1273" s="36"/>
      <c r="W1273" s="36"/>
      <c r="X1273" s="36"/>
      <c r="Y1273" s="36"/>
      <c r="Z1273" s="36"/>
      <c r="AA1273" s="36"/>
      <c r="AB1273" s="36"/>
      <c r="AC1273" s="36"/>
      <c r="AD1273" s="36"/>
      <c r="AE1273" s="36"/>
      <c r="AF1273" s="36"/>
      <c r="AG1273" s="36"/>
      <c r="AH1273" s="36"/>
      <c r="AI1273" s="36"/>
    </row>
    <row r="1274" spans="1:35" ht="15.75" hidden="1" customHeight="1" thickBot="1">
      <c r="A1274" s="214" t="s">
        <v>0</v>
      </c>
      <c r="B1274" s="278"/>
      <c r="C1274" s="350"/>
      <c r="D1274" s="315"/>
      <c r="E1274" s="308"/>
      <c r="F1274" s="62">
        <v>3</v>
      </c>
      <c r="G1274" s="63" t="s">
        <v>164</v>
      </c>
      <c r="H1274" s="64">
        <f t="shared" si="99"/>
        <v>80</v>
      </c>
      <c r="I1274" s="214" t="s">
        <v>0</v>
      </c>
      <c r="J1274" s="36"/>
      <c r="K1274" s="36"/>
      <c r="L1274" s="36"/>
      <c r="M1274" s="36"/>
      <c r="N1274" s="36"/>
      <c r="O1274" s="36"/>
      <c r="P1274" s="36"/>
      <c r="Q1274" s="36"/>
      <c r="R1274" s="36"/>
      <c r="S1274" s="36"/>
      <c r="T1274" s="36"/>
      <c r="U1274" s="36"/>
      <c r="V1274" s="36"/>
      <c r="W1274" s="36"/>
      <c r="X1274" s="36"/>
      <c r="Y1274" s="36"/>
      <c r="Z1274" s="36"/>
      <c r="AA1274" s="36"/>
      <c r="AB1274" s="36"/>
      <c r="AC1274" s="36"/>
      <c r="AD1274" s="36"/>
      <c r="AE1274" s="36"/>
      <c r="AF1274" s="36"/>
      <c r="AG1274" s="36"/>
      <c r="AH1274" s="36"/>
      <c r="AI1274" s="36"/>
    </row>
    <row r="1275" spans="1:35" ht="15" hidden="1" customHeight="1">
      <c r="A1275" s="214" t="s">
        <v>0</v>
      </c>
      <c r="B1275" s="274" t="s">
        <v>158</v>
      </c>
      <c r="C1275" s="349"/>
      <c r="D1275" s="315"/>
      <c r="E1275" s="308"/>
      <c r="F1275" s="62">
        <v>2</v>
      </c>
      <c r="G1275" s="63" t="s">
        <v>164</v>
      </c>
      <c r="H1275" s="64">
        <f t="shared" si="99"/>
        <v>75</v>
      </c>
      <c r="I1275" s="214" t="s">
        <v>0</v>
      </c>
      <c r="J1275" s="36"/>
      <c r="K1275" s="36"/>
      <c r="L1275" s="36"/>
      <c r="M1275" s="36"/>
      <c r="N1275" s="36"/>
      <c r="O1275" s="36"/>
      <c r="P1275" s="36"/>
      <c r="Q1275" s="36"/>
      <c r="R1275" s="36"/>
      <c r="S1275" s="36"/>
      <c r="T1275" s="36"/>
      <c r="U1275" s="36"/>
      <c r="V1275" s="36"/>
      <c r="W1275" s="36"/>
      <c r="X1275" s="36"/>
      <c r="Y1275" s="36"/>
      <c r="Z1275" s="36"/>
      <c r="AA1275" s="36"/>
      <c r="AB1275" s="36"/>
      <c r="AC1275" s="36"/>
      <c r="AD1275" s="36"/>
      <c r="AE1275" s="36"/>
      <c r="AF1275" s="36"/>
      <c r="AG1275" s="36"/>
      <c r="AH1275" s="36"/>
      <c r="AI1275" s="36"/>
    </row>
    <row r="1276" spans="1:35" ht="15.75" hidden="1" customHeight="1" thickBot="1">
      <c r="A1276" s="214" t="s">
        <v>0</v>
      </c>
      <c r="B1276" s="275"/>
      <c r="C1276" s="350"/>
      <c r="D1276" s="316"/>
      <c r="E1276" s="309"/>
      <c r="F1276" s="67">
        <v>1</v>
      </c>
      <c r="G1276" s="68" t="s">
        <v>164</v>
      </c>
      <c r="H1276" s="69">
        <f t="shared" si="99"/>
        <v>70</v>
      </c>
      <c r="I1276" s="214" t="s">
        <v>0</v>
      </c>
      <c r="J1276" s="36"/>
      <c r="K1276" s="36"/>
      <c r="L1276" s="36"/>
      <c r="M1276" s="36"/>
      <c r="N1276" s="36"/>
      <c r="O1276" s="36"/>
      <c r="P1276" s="36"/>
      <c r="Q1276" s="36"/>
      <c r="R1276" s="36"/>
      <c r="S1276" s="36"/>
      <c r="T1276" s="36"/>
      <c r="U1276" s="36"/>
      <c r="V1276" s="36"/>
      <c r="W1276" s="36"/>
      <c r="X1276" s="36"/>
      <c r="Y1276" s="36"/>
      <c r="Z1276" s="36"/>
      <c r="AA1276" s="36"/>
      <c r="AB1276" s="36"/>
      <c r="AC1276" s="36"/>
      <c r="AD1276" s="36"/>
      <c r="AE1276" s="36"/>
      <c r="AF1276" s="36"/>
      <c r="AG1276" s="36"/>
      <c r="AH1276" s="36"/>
      <c r="AI1276" s="36"/>
    </row>
    <row r="1277" spans="1:35" ht="15.75" hidden="1" customHeight="1" thickBot="1">
      <c r="A1277" s="214" t="s">
        <v>0</v>
      </c>
      <c r="B1277" s="276">
        <v>3</v>
      </c>
      <c r="C1277" s="349"/>
      <c r="D1277" s="123" t="s">
        <v>156</v>
      </c>
      <c r="E1277" s="124">
        <v>0.6</v>
      </c>
      <c r="F1277" s="58">
        <v>10</v>
      </c>
      <c r="G1277" s="59" t="s">
        <v>164</v>
      </c>
      <c r="H1277" s="60">
        <v>115</v>
      </c>
      <c r="I1277" s="214" t="s">
        <v>0</v>
      </c>
      <c r="J1277" s="36"/>
      <c r="K1277" s="36"/>
      <c r="L1277" s="36"/>
      <c r="M1277" s="36"/>
      <c r="N1277" s="36"/>
      <c r="O1277" s="36"/>
      <c r="P1277" s="36"/>
      <c r="Q1277" s="36"/>
      <c r="R1277" s="36"/>
      <c r="S1277" s="36"/>
      <c r="T1277" s="36"/>
      <c r="U1277" s="36"/>
      <c r="V1277" s="36"/>
      <c r="W1277" s="36"/>
      <c r="X1277" s="36"/>
      <c r="Y1277" s="36"/>
      <c r="Z1277" s="36"/>
      <c r="AA1277" s="36"/>
      <c r="AB1277" s="36"/>
      <c r="AC1277" s="36"/>
      <c r="AD1277" s="36"/>
      <c r="AE1277" s="36"/>
      <c r="AF1277" s="36"/>
      <c r="AG1277" s="36"/>
      <c r="AH1277" s="36"/>
      <c r="AI1277" s="36"/>
    </row>
    <row r="1278" spans="1:35" ht="15" hidden="1" customHeight="1">
      <c r="A1278" s="214" t="s">
        <v>0</v>
      </c>
      <c r="B1278" s="277"/>
      <c r="C1278" s="355"/>
      <c r="D1278" s="314"/>
      <c r="E1278" s="307">
        <f>IF(D1278=0,0,VLOOKUP($D1278,$F1277:$H1286,3,FALSE)*$E1277)</f>
        <v>0</v>
      </c>
      <c r="F1278" s="62">
        <v>9</v>
      </c>
      <c r="G1278" s="63" t="s">
        <v>164</v>
      </c>
      <c r="H1278" s="64">
        <f>H1277-5</f>
        <v>110</v>
      </c>
      <c r="I1278" s="214" t="s">
        <v>0</v>
      </c>
      <c r="J1278" s="36"/>
      <c r="K1278" s="36"/>
      <c r="L1278" s="36"/>
      <c r="M1278" s="36"/>
      <c r="N1278" s="36"/>
      <c r="O1278" s="36"/>
      <c r="P1278" s="36"/>
      <c r="Q1278" s="36"/>
      <c r="R1278" s="36"/>
      <c r="S1278" s="36"/>
      <c r="T1278" s="36"/>
      <c r="U1278" s="36"/>
      <c r="V1278" s="36"/>
      <c r="W1278" s="36"/>
      <c r="X1278" s="36"/>
      <c r="Y1278" s="36"/>
      <c r="Z1278" s="36"/>
      <c r="AA1278" s="36"/>
      <c r="AB1278" s="36"/>
      <c r="AC1278" s="36"/>
      <c r="AD1278" s="36"/>
      <c r="AE1278" s="36"/>
      <c r="AF1278" s="36"/>
      <c r="AG1278" s="36"/>
      <c r="AH1278" s="36"/>
      <c r="AI1278" s="36"/>
    </row>
    <row r="1279" spans="1:35" ht="15" hidden="1" customHeight="1">
      <c r="A1279" s="214" t="s">
        <v>0</v>
      </c>
      <c r="B1279" s="277"/>
      <c r="C1279" s="355"/>
      <c r="D1279" s="315"/>
      <c r="E1279" s="308"/>
      <c r="F1279" s="62">
        <v>8</v>
      </c>
      <c r="G1279" s="63" t="s">
        <v>164</v>
      </c>
      <c r="H1279" s="64">
        <f t="shared" ref="H1279:H1286" si="100">H1278-5</f>
        <v>105</v>
      </c>
      <c r="I1279" s="214" t="s">
        <v>0</v>
      </c>
      <c r="J1279" s="36"/>
      <c r="K1279" s="36"/>
      <c r="L1279" s="36"/>
      <c r="M1279" s="36"/>
      <c r="N1279" s="36"/>
      <c r="O1279" s="36"/>
      <c r="P1279" s="36"/>
      <c r="Q1279" s="36"/>
      <c r="R1279" s="36"/>
      <c r="S1279" s="36"/>
      <c r="T1279" s="36"/>
      <c r="U1279" s="36"/>
      <c r="V1279" s="36"/>
      <c r="W1279" s="36"/>
      <c r="X1279" s="36"/>
      <c r="Y1279" s="36"/>
      <c r="Z1279" s="36"/>
      <c r="AA1279" s="36"/>
      <c r="AB1279" s="36"/>
      <c r="AC1279" s="36"/>
      <c r="AD1279" s="36"/>
      <c r="AE1279" s="36"/>
      <c r="AF1279" s="36"/>
      <c r="AG1279" s="36"/>
      <c r="AH1279" s="36"/>
      <c r="AI1279" s="36"/>
    </row>
    <row r="1280" spans="1:35" ht="15" hidden="1" customHeight="1">
      <c r="A1280" s="214" t="s">
        <v>0</v>
      </c>
      <c r="B1280" s="277"/>
      <c r="C1280" s="355"/>
      <c r="D1280" s="315"/>
      <c r="E1280" s="308"/>
      <c r="F1280" s="62">
        <v>7</v>
      </c>
      <c r="G1280" s="63" t="s">
        <v>164</v>
      </c>
      <c r="H1280" s="64">
        <f t="shared" si="100"/>
        <v>100</v>
      </c>
      <c r="I1280" s="214" t="s">
        <v>0</v>
      </c>
      <c r="J1280" s="36"/>
      <c r="K1280" s="36"/>
      <c r="L1280" s="36"/>
      <c r="M1280" s="36"/>
      <c r="N1280" s="36"/>
      <c r="O1280" s="36"/>
      <c r="P1280" s="36"/>
      <c r="Q1280" s="36"/>
      <c r="R1280" s="36"/>
      <c r="S1280" s="36"/>
      <c r="T1280" s="36"/>
      <c r="U1280" s="36"/>
      <c r="V1280" s="36"/>
      <c r="W1280" s="36"/>
      <c r="X1280" s="36"/>
      <c r="Y1280" s="36"/>
      <c r="Z1280" s="36"/>
      <c r="AA1280" s="36"/>
      <c r="AB1280" s="36"/>
      <c r="AC1280" s="36"/>
      <c r="AD1280" s="36"/>
      <c r="AE1280" s="36"/>
      <c r="AF1280" s="36"/>
      <c r="AG1280" s="36"/>
      <c r="AH1280" s="36"/>
      <c r="AI1280" s="36"/>
    </row>
    <row r="1281" spans="1:35" ht="15" hidden="1" customHeight="1">
      <c r="A1281" s="214" t="s">
        <v>0</v>
      </c>
      <c r="B1281" s="277"/>
      <c r="C1281" s="355"/>
      <c r="D1281" s="315"/>
      <c r="E1281" s="308"/>
      <c r="F1281" s="62">
        <v>6</v>
      </c>
      <c r="G1281" s="63" t="s">
        <v>164</v>
      </c>
      <c r="H1281" s="64">
        <f t="shared" si="100"/>
        <v>95</v>
      </c>
      <c r="I1281" s="214" t="s">
        <v>0</v>
      </c>
      <c r="J1281" s="36"/>
      <c r="K1281" s="36"/>
      <c r="L1281" s="36"/>
      <c r="M1281" s="36"/>
      <c r="N1281" s="36"/>
      <c r="O1281" s="36"/>
      <c r="P1281" s="36"/>
      <c r="Q1281" s="36"/>
      <c r="R1281" s="36"/>
      <c r="S1281" s="36"/>
      <c r="T1281" s="36"/>
      <c r="U1281" s="36"/>
      <c r="V1281" s="36"/>
      <c r="W1281" s="36"/>
      <c r="X1281" s="36"/>
      <c r="Y1281" s="36"/>
      <c r="Z1281" s="36"/>
      <c r="AA1281" s="36"/>
      <c r="AB1281" s="36"/>
      <c r="AC1281" s="36"/>
      <c r="AD1281" s="36"/>
      <c r="AE1281" s="36"/>
      <c r="AF1281" s="36"/>
      <c r="AG1281" s="36"/>
      <c r="AH1281" s="36"/>
      <c r="AI1281" s="36"/>
    </row>
    <row r="1282" spans="1:35" ht="15" hidden="1" customHeight="1">
      <c r="A1282" s="214" t="s">
        <v>0</v>
      </c>
      <c r="B1282" s="277"/>
      <c r="C1282" s="355"/>
      <c r="D1282" s="315"/>
      <c r="E1282" s="308"/>
      <c r="F1282" s="62">
        <v>5</v>
      </c>
      <c r="G1282" s="63" t="s">
        <v>164</v>
      </c>
      <c r="H1282" s="64">
        <f t="shared" si="100"/>
        <v>90</v>
      </c>
      <c r="I1282" s="214" t="s">
        <v>0</v>
      </c>
      <c r="J1282" s="36"/>
      <c r="K1282" s="36"/>
      <c r="L1282" s="36"/>
      <c r="M1282" s="36"/>
      <c r="N1282" s="36"/>
      <c r="O1282" s="36"/>
      <c r="P1282" s="36"/>
      <c r="Q1282" s="36"/>
      <c r="R1282" s="36"/>
      <c r="S1282" s="36"/>
      <c r="T1282" s="36"/>
      <c r="U1282" s="36"/>
      <c r="V1282" s="36"/>
      <c r="W1282" s="36"/>
      <c r="X1282" s="36"/>
      <c r="Y1282" s="36"/>
      <c r="Z1282" s="36"/>
      <c r="AA1282" s="36"/>
      <c r="AB1282" s="36"/>
      <c r="AC1282" s="36"/>
      <c r="AD1282" s="36"/>
      <c r="AE1282" s="36"/>
      <c r="AF1282" s="36"/>
      <c r="AG1282" s="36"/>
      <c r="AH1282" s="36"/>
      <c r="AI1282" s="36"/>
    </row>
    <row r="1283" spans="1:35" ht="15" hidden="1" customHeight="1">
      <c r="A1283" s="214" t="s">
        <v>0</v>
      </c>
      <c r="B1283" s="277"/>
      <c r="C1283" s="355"/>
      <c r="D1283" s="315"/>
      <c r="E1283" s="308"/>
      <c r="F1283" s="62">
        <v>4</v>
      </c>
      <c r="G1283" s="63" t="s">
        <v>164</v>
      </c>
      <c r="H1283" s="64">
        <f t="shared" si="100"/>
        <v>85</v>
      </c>
      <c r="I1283" s="214" t="s">
        <v>0</v>
      </c>
      <c r="J1283" s="36"/>
      <c r="K1283" s="36"/>
      <c r="L1283" s="36"/>
      <c r="M1283" s="36"/>
      <c r="N1283" s="36"/>
      <c r="O1283" s="36"/>
      <c r="P1283" s="36"/>
      <c r="Q1283" s="36"/>
      <c r="R1283" s="36"/>
      <c r="S1283" s="36"/>
      <c r="T1283" s="36"/>
      <c r="U1283" s="36"/>
      <c r="V1283" s="36"/>
      <c r="W1283" s="36"/>
      <c r="X1283" s="36"/>
      <c r="Y1283" s="36"/>
      <c r="Z1283" s="36"/>
      <c r="AA1283" s="36"/>
      <c r="AB1283" s="36"/>
      <c r="AC1283" s="36"/>
      <c r="AD1283" s="36"/>
      <c r="AE1283" s="36"/>
      <c r="AF1283" s="36"/>
      <c r="AG1283" s="36"/>
      <c r="AH1283" s="36"/>
      <c r="AI1283" s="36"/>
    </row>
    <row r="1284" spans="1:35" ht="15.75" hidden="1" customHeight="1" thickBot="1">
      <c r="A1284" s="214" t="s">
        <v>0</v>
      </c>
      <c r="B1284" s="278"/>
      <c r="C1284" s="350"/>
      <c r="D1284" s="315"/>
      <c r="E1284" s="308"/>
      <c r="F1284" s="62">
        <v>3</v>
      </c>
      <c r="G1284" s="63" t="s">
        <v>164</v>
      </c>
      <c r="H1284" s="64">
        <f t="shared" si="100"/>
        <v>80</v>
      </c>
      <c r="I1284" s="214" t="s">
        <v>0</v>
      </c>
      <c r="J1284" s="36"/>
      <c r="K1284" s="36"/>
      <c r="L1284" s="36"/>
      <c r="M1284" s="36"/>
      <c r="N1284" s="36"/>
      <c r="O1284" s="36"/>
      <c r="P1284" s="36"/>
      <c r="Q1284" s="36"/>
      <c r="R1284" s="36"/>
      <c r="S1284" s="36"/>
      <c r="T1284" s="36"/>
      <c r="U1284" s="36"/>
      <c r="V1284" s="36"/>
      <c r="W1284" s="36"/>
      <c r="X1284" s="36"/>
      <c r="Y1284" s="36"/>
      <c r="Z1284" s="36"/>
      <c r="AA1284" s="36"/>
      <c r="AB1284" s="36"/>
      <c r="AC1284" s="36"/>
      <c r="AD1284" s="36"/>
      <c r="AE1284" s="36"/>
      <c r="AF1284" s="36"/>
      <c r="AG1284" s="36"/>
      <c r="AH1284" s="36"/>
      <c r="AI1284" s="36"/>
    </row>
    <row r="1285" spans="1:35" ht="15" hidden="1" customHeight="1">
      <c r="A1285" s="214" t="s">
        <v>0</v>
      </c>
      <c r="B1285" s="274" t="s">
        <v>158</v>
      </c>
      <c r="C1285" s="349"/>
      <c r="D1285" s="315"/>
      <c r="E1285" s="308"/>
      <c r="F1285" s="62">
        <v>2</v>
      </c>
      <c r="G1285" s="63" t="s">
        <v>164</v>
      </c>
      <c r="H1285" s="64">
        <f t="shared" si="100"/>
        <v>75</v>
      </c>
      <c r="I1285" s="214" t="s">
        <v>0</v>
      </c>
      <c r="J1285" s="36"/>
      <c r="K1285" s="36"/>
      <c r="L1285" s="36"/>
      <c r="M1285" s="36"/>
      <c r="N1285" s="36"/>
      <c r="O1285" s="36"/>
      <c r="P1285" s="36"/>
      <c r="Q1285" s="36"/>
      <c r="R1285" s="36"/>
      <c r="S1285" s="36"/>
      <c r="T1285" s="36"/>
      <c r="U1285" s="36"/>
      <c r="V1285" s="36"/>
      <c r="W1285" s="36"/>
      <c r="X1285" s="36"/>
      <c r="Y1285" s="36"/>
      <c r="Z1285" s="36"/>
      <c r="AA1285" s="36"/>
      <c r="AB1285" s="36"/>
      <c r="AC1285" s="36"/>
      <c r="AD1285" s="36"/>
      <c r="AE1285" s="36"/>
      <c r="AF1285" s="36"/>
      <c r="AG1285" s="36"/>
      <c r="AH1285" s="36"/>
      <c r="AI1285" s="36"/>
    </row>
    <row r="1286" spans="1:35" ht="15.75" hidden="1" customHeight="1" thickBot="1">
      <c r="A1286" s="214" t="s">
        <v>0</v>
      </c>
      <c r="B1286" s="275"/>
      <c r="C1286" s="350"/>
      <c r="D1286" s="316"/>
      <c r="E1286" s="309"/>
      <c r="F1286" s="67">
        <v>1</v>
      </c>
      <c r="G1286" s="68" t="s">
        <v>164</v>
      </c>
      <c r="H1286" s="69">
        <f t="shared" si="100"/>
        <v>70</v>
      </c>
      <c r="I1286" s="214" t="s">
        <v>0</v>
      </c>
      <c r="J1286" s="36"/>
      <c r="K1286" s="36"/>
      <c r="L1286" s="36"/>
      <c r="M1286" s="36"/>
      <c r="N1286" s="36"/>
      <c r="O1286" s="36"/>
      <c r="P1286" s="36"/>
      <c r="Q1286" s="36"/>
      <c r="R1286" s="36"/>
      <c r="S1286" s="36"/>
      <c r="T1286" s="36"/>
      <c r="U1286" s="36"/>
      <c r="V1286" s="36"/>
      <c r="W1286" s="36"/>
      <c r="X1286" s="36"/>
      <c r="Y1286" s="36"/>
      <c r="Z1286" s="36"/>
      <c r="AA1286" s="36"/>
      <c r="AB1286" s="36"/>
      <c r="AC1286" s="36"/>
      <c r="AD1286" s="36"/>
      <c r="AE1286" s="36"/>
      <c r="AF1286" s="36"/>
      <c r="AG1286" s="36"/>
      <c r="AH1286" s="36"/>
      <c r="AI1286" s="36"/>
    </row>
    <row r="1287" spans="1:35" ht="15.75" hidden="1" customHeight="1" thickBot="1">
      <c r="A1287" s="214" t="s">
        <v>0</v>
      </c>
      <c r="B1287" s="276">
        <v>4</v>
      </c>
      <c r="C1287" s="349"/>
      <c r="D1287" s="123" t="s">
        <v>156</v>
      </c>
      <c r="E1287" s="124">
        <v>0.6</v>
      </c>
      <c r="F1287" s="58">
        <v>10</v>
      </c>
      <c r="G1287" s="59" t="s">
        <v>164</v>
      </c>
      <c r="H1287" s="60">
        <v>115</v>
      </c>
      <c r="I1287" s="214" t="s">
        <v>0</v>
      </c>
      <c r="J1287" s="36"/>
      <c r="K1287" s="36"/>
      <c r="L1287" s="36"/>
      <c r="M1287" s="36"/>
      <c r="N1287" s="36"/>
      <c r="O1287" s="36"/>
      <c r="P1287" s="36"/>
      <c r="Q1287" s="36"/>
      <c r="R1287" s="36"/>
      <c r="S1287" s="36"/>
      <c r="T1287" s="36"/>
      <c r="U1287" s="36"/>
      <c r="V1287" s="36"/>
      <c r="W1287" s="36"/>
      <c r="X1287" s="36"/>
      <c r="Y1287" s="36"/>
      <c r="Z1287" s="36"/>
      <c r="AA1287" s="36"/>
      <c r="AB1287" s="36"/>
      <c r="AC1287" s="36"/>
      <c r="AD1287" s="36"/>
      <c r="AE1287" s="36"/>
      <c r="AF1287" s="36"/>
      <c r="AG1287" s="36"/>
      <c r="AH1287" s="36"/>
      <c r="AI1287" s="36"/>
    </row>
    <row r="1288" spans="1:35" ht="15" hidden="1" customHeight="1">
      <c r="A1288" s="214" t="s">
        <v>0</v>
      </c>
      <c r="B1288" s="277"/>
      <c r="C1288" s="355"/>
      <c r="D1288" s="314"/>
      <c r="E1288" s="307">
        <f>IF(D1288=0,0,VLOOKUP($D1288,$F1287:$H1296,3,FALSE)*$E1287)</f>
        <v>0</v>
      </c>
      <c r="F1288" s="62">
        <v>9</v>
      </c>
      <c r="G1288" s="63" t="s">
        <v>164</v>
      </c>
      <c r="H1288" s="64">
        <f>H1287-5</f>
        <v>110</v>
      </c>
      <c r="I1288" s="214" t="s">
        <v>0</v>
      </c>
      <c r="J1288" s="36"/>
      <c r="K1288" s="36"/>
      <c r="L1288" s="36"/>
      <c r="M1288" s="36"/>
      <c r="N1288" s="36"/>
      <c r="O1288" s="36"/>
      <c r="P1288" s="36"/>
      <c r="Q1288" s="36"/>
      <c r="R1288" s="36"/>
      <c r="S1288" s="36"/>
      <c r="T1288" s="36"/>
      <c r="U1288" s="36"/>
      <c r="V1288" s="36"/>
      <c r="W1288" s="36"/>
      <c r="X1288" s="36"/>
      <c r="Y1288" s="36"/>
      <c r="Z1288" s="36"/>
      <c r="AA1288" s="36"/>
      <c r="AB1288" s="36"/>
      <c r="AC1288" s="36"/>
      <c r="AD1288" s="36"/>
      <c r="AE1288" s="36"/>
      <c r="AF1288" s="36"/>
      <c r="AG1288" s="36"/>
      <c r="AH1288" s="36"/>
      <c r="AI1288" s="36"/>
    </row>
    <row r="1289" spans="1:35" ht="15" hidden="1" customHeight="1">
      <c r="A1289" s="214" t="s">
        <v>0</v>
      </c>
      <c r="B1289" s="277"/>
      <c r="C1289" s="355"/>
      <c r="D1289" s="315"/>
      <c r="E1289" s="308"/>
      <c r="F1289" s="62">
        <v>8</v>
      </c>
      <c r="G1289" s="63" t="s">
        <v>164</v>
      </c>
      <c r="H1289" s="64">
        <f t="shared" ref="H1289:H1296" si="101">H1288-5</f>
        <v>105</v>
      </c>
      <c r="I1289" s="214" t="s">
        <v>0</v>
      </c>
      <c r="J1289" s="36"/>
      <c r="K1289" s="36"/>
      <c r="L1289" s="36"/>
      <c r="M1289" s="36"/>
      <c r="N1289" s="36"/>
      <c r="O1289" s="36"/>
      <c r="P1289" s="36"/>
      <c r="Q1289" s="36"/>
      <c r="R1289" s="36"/>
      <c r="S1289" s="36"/>
      <c r="T1289" s="36"/>
      <c r="U1289" s="36"/>
      <c r="V1289" s="36"/>
      <c r="W1289" s="36"/>
      <c r="X1289" s="36"/>
      <c r="Y1289" s="36"/>
      <c r="Z1289" s="36"/>
      <c r="AA1289" s="36"/>
      <c r="AB1289" s="36"/>
      <c r="AC1289" s="36"/>
      <c r="AD1289" s="36"/>
      <c r="AE1289" s="36"/>
      <c r="AF1289" s="36"/>
      <c r="AG1289" s="36"/>
      <c r="AH1289" s="36"/>
      <c r="AI1289" s="36"/>
    </row>
    <row r="1290" spans="1:35" ht="15" hidden="1" customHeight="1">
      <c r="A1290" s="214" t="s">
        <v>0</v>
      </c>
      <c r="B1290" s="277"/>
      <c r="C1290" s="355"/>
      <c r="D1290" s="315"/>
      <c r="E1290" s="308"/>
      <c r="F1290" s="62">
        <v>7</v>
      </c>
      <c r="G1290" s="63" t="s">
        <v>164</v>
      </c>
      <c r="H1290" s="64">
        <f t="shared" si="101"/>
        <v>100</v>
      </c>
      <c r="I1290" s="214" t="s">
        <v>0</v>
      </c>
      <c r="J1290" s="36"/>
      <c r="K1290" s="36"/>
      <c r="L1290" s="36"/>
      <c r="M1290" s="36"/>
      <c r="N1290" s="36"/>
      <c r="O1290" s="36"/>
      <c r="P1290" s="36"/>
      <c r="Q1290" s="36"/>
      <c r="R1290" s="36"/>
      <c r="S1290" s="36"/>
      <c r="T1290" s="36"/>
      <c r="U1290" s="36"/>
      <c r="V1290" s="36"/>
      <c r="W1290" s="36"/>
      <c r="X1290" s="36"/>
      <c r="Y1290" s="36"/>
      <c r="Z1290" s="36"/>
      <c r="AA1290" s="36"/>
      <c r="AB1290" s="36"/>
      <c r="AC1290" s="36"/>
      <c r="AD1290" s="36"/>
      <c r="AE1290" s="36"/>
      <c r="AF1290" s="36"/>
      <c r="AG1290" s="36"/>
      <c r="AH1290" s="36"/>
      <c r="AI1290" s="36"/>
    </row>
    <row r="1291" spans="1:35" ht="15" hidden="1" customHeight="1">
      <c r="A1291" s="214" t="s">
        <v>0</v>
      </c>
      <c r="B1291" s="277"/>
      <c r="C1291" s="355"/>
      <c r="D1291" s="315"/>
      <c r="E1291" s="308"/>
      <c r="F1291" s="62">
        <v>6</v>
      </c>
      <c r="G1291" s="63" t="s">
        <v>164</v>
      </c>
      <c r="H1291" s="64">
        <f t="shared" si="101"/>
        <v>95</v>
      </c>
      <c r="I1291" s="214" t="s">
        <v>0</v>
      </c>
      <c r="J1291" s="36"/>
      <c r="K1291" s="36"/>
      <c r="L1291" s="36"/>
      <c r="M1291" s="36"/>
      <c r="N1291" s="36"/>
      <c r="O1291" s="36"/>
      <c r="P1291" s="36"/>
      <c r="Q1291" s="36"/>
      <c r="R1291" s="36"/>
      <c r="S1291" s="36"/>
      <c r="T1291" s="36"/>
      <c r="U1291" s="36"/>
      <c r="V1291" s="36"/>
      <c r="W1291" s="36"/>
      <c r="X1291" s="36"/>
      <c r="Y1291" s="36"/>
      <c r="Z1291" s="36"/>
      <c r="AA1291" s="36"/>
      <c r="AB1291" s="36"/>
      <c r="AC1291" s="36"/>
      <c r="AD1291" s="36"/>
      <c r="AE1291" s="36"/>
      <c r="AF1291" s="36"/>
      <c r="AG1291" s="36"/>
      <c r="AH1291" s="36"/>
      <c r="AI1291" s="36"/>
    </row>
    <row r="1292" spans="1:35" ht="15" hidden="1" customHeight="1">
      <c r="A1292" s="214" t="s">
        <v>0</v>
      </c>
      <c r="B1292" s="277"/>
      <c r="C1292" s="355"/>
      <c r="D1292" s="315"/>
      <c r="E1292" s="308"/>
      <c r="F1292" s="62">
        <v>5</v>
      </c>
      <c r="G1292" s="63" t="s">
        <v>164</v>
      </c>
      <c r="H1292" s="64">
        <f t="shared" si="101"/>
        <v>90</v>
      </c>
      <c r="I1292" s="214" t="s">
        <v>0</v>
      </c>
      <c r="J1292" s="36"/>
      <c r="K1292" s="36"/>
      <c r="L1292" s="36"/>
      <c r="M1292" s="36"/>
      <c r="N1292" s="36"/>
      <c r="O1292" s="36"/>
      <c r="P1292" s="36"/>
      <c r="Q1292" s="36"/>
      <c r="R1292" s="36"/>
      <c r="S1292" s="36"/>
      <c r="T1292" s="36"/>
      <c r="U1292" s="36"/>
      <c r="V1292" s="36"/>
      <c r="W1292" s="36"/>
      <c r="X1292" s="36"/>
      <c r="Y1292" s="36"/>
      <c r="Z1292" s="36"/>
      <c r="AA1292" s="36"/>
      <c r="AB1292" s="36"/>
      <c r="AC1292" s="36"/>
      <c r="AD1292" s="36"/>
      <c r="AE1292" s="36"/>
      <c r="AF1292" s="36"/>
      <c r="AG1292" s="36"/>
      <c r="AH1292" s="36"/>
      <c r="AI1292" s="36"/>
    </row>
    <row r="1293" spans="1:35" ht="15" hidden="1" customHeight="1">
      <c r="A1293" s="214" t="s">
        <v>0</v>
      </c>
      <c r="B1293" s="277"/>
      <c r="C1293" s="355"/>
      <c r="D1293" s="315"/>
      <c r="E1293" s="308"/>
      <c r="F1293" s="62">
        <v>4</v>
      </c>
      <c r="G1293" s="63" t="s">
        <v>164</v>
      </c>
      <c r="H1293" s="64">
        <f t="shared" si="101"/>
        <v>85</v>
      </c>
      <c r="I1293" s="214" t="s">
        <v>0</v>
      </c>
      <c r="J1293" s="36"/>
      <c r="K1293" s="36"/>
      <c r="L1293" s="36"/>
      <c r="M1293" s="36"/>
      <c r="N1293" s="36"/>
      <c r="O1293" s="36"/>
      <c r="P1293" s="36"/>
      <c r="Q1293" s="36"/>
      <c r="R1293" s="36"/>
      <c r="S1293" s="36"/>
      <c r="T1293" s="36"/>
      <c r="U1293" s="36"/>
      <c r="V1293" s="36"/>
      <c r="W1293" s="36"/>
      <c r="X1293" s="36"/>
      <c r="Y1293" s="36"/>
      <c r="Z1293" s="36"/>
      <c r="AA1293" s="36"/>
      <c r="AB1293" s="36"/>
      <c r="AC1293" s="36"/>
      <c r="AD1293" s="36"/>
      <c r="AE1293" s="36"/>
      <c r="AF1293" s="36"/>
      <c r="AG1293" s="36"/>
      <c r="AH1293" s="36"/>
      <c r="AI1293" s="36"/>
    </row>
    <row r="1294" spans="1:35" ht="15.75" hidden="1" customHeight="1" thickBot="1">
      <c r="A1294" s="214" t="s">
        <v>0</v>
      </c>
      <c r="B1294" s="278"/>
      <c r="C1294" s="350"/>
      <c r="D1294" s="315"/>
      <c r="E1294" s="308"/>
      <c r="F1294" s="62">
        <v>3</v>
      </c>
      <c r="G1294" s="63" t="s">
        <v>164</v>
      </c>
      <c r="H1294" s="64">
        <f t="shared" si="101"/>
        <v>80</v>
      </c>
      <c r="I1294" s="214" t="s">
        <v>0</v>
      </c>
      <c r="J1294" s="36"/>
      <c r="K1294" s="36"/>
      <c r="L1294" s="36"/>
      <c r="M1294" s="36"/>
      <c r="N1294" s="36"/>
      <c r="O1294" s="36"/>
      <c r="P1294" s="36"/>
      <c r="Q1294" s="36"/>
      <c r="R1294" s="36"/>
      <c r="S1294" s="36"/>
      <c r="T1294" s="36"/>
      <c r="U1294" s="36"/>
      <c r="V1294" s="36"/>
      <c r="W1294" s="36"/>
      <c r="X1294" s="36"/>
      <c r="Y1294" s="36"/>
      <c r="Z1294" s="36"/>
      <c r="AA1294" s="36"/>
      <c r="AB1294" s="36"/>
      <c r="AC1294" s="36"/>
      <c r="AD1294" s="36"/>
      <c r="AE1294" s="36"/>
      <c r="AF1294" s="36"/>
      <c r="AG1294" s="36"/>
      <c r="AH1294" s="36"/>
      <c r="AI1294" s="36"/>
    </row>
    <row r="1295" spans="1:35" ht="15" hidden="1" customHeight="1">
      <c r="A1295" s="214" t="s">
        <v>0</v>
      </c>
      <c r="B1295" s="274" t="s">
        <v>158</v>
      </c>
      <c r="C1295" s="349"/>
      <c r="D1295" s="315"/>
      <c r="E1295" s="308"/>
      <c r="F1295" s="62">
        <v>2</v>
      </c>
      <c r="G1295" s="63" t="s">
        <v>164</v>
      </c>
      <c r="H1295" s="64">
        <f t="shared" si="101"/>
        <v>75</v>
      </c>
      <c r="I1295" s="214" t="s">
        <v>0</v>
      </c>
      <c r="J1295" s="36"/>
      <c r="K1295" s="36"/>
      <c r="L1295" s="36"/>
      <c r="M1295" s="36"/>
      <c r="N1295" s="36"/>
      <c r="O1295" s="36"/>
      <c r="P1295" s="36"/>
      <c r="Q1295" s="36"/>
      <c r="R1295" s="36"/>
      <c r="S1295" s="36"/>
      <c r="T1295" s="36"/>
      <c r="U1295" s="36"/>
      <c r="V1295" s="36"/>
      <c r="W1295" s="36"/>
      <c r="X1295" s="36"/>
      <c r="Y1295" s="36"/>
      <c r="Z1295" s="36"/>
      <c r="AA1295" s="36"/>
      <c r="AB1295" s="36"/>
      <c r="AC1295" s="36"/>
      <c r="AD1295" s="36"/>
      <c r="AE1295" s="36"/>
      <c r="AF1295" s="36"/>
      <c r="AG1295" s="36"/>
      <c r="AH1295" s="36"/>
      <c r="AI1295" s="36"/>
    </row>
    <row r="1296" spans="1:35" ht="15.75" hidden="1" customHeight="1" thickBot="1">
      <c r="A1296" s="214" t="s">
        <v>0</v>
      </c>
      <c r="B1296" s="275"/>
      <c r="C1296" s="350"/>
      <c r="D1296" s="316"/>
      <c r="E1296" s="309"/>
      <c r="F1296" s="67">
        <v>1</v>
      </c>
      <c r="G1296" s="68" t="s">
        <v>164</v>
      </c>
      <c r="H1296" s="69">
        <f t="shared" si="101"/>
        <v>70</v>
      </c>
      <c r="I1296" s="214" t="s">
        <v>0</v>
      </c>
      <c r="J1296" s="36"/>
      <c r="K1296" s="36"/>
      <c r="L1296" s="36"/>
      <c r="M1296" s="36"/>
      <c r="N1296" s="36"/>
      <c r="O1296" s="36"/>
      <c r="P1296" s="36"/>
      <c r="Q1296" s="36"/>
      <c r="R1296" s="36"/>
      <c r="S1296" s="36"/>
      <c r="T1296" s="36"/>
      <c r="U1296" s="36"/>
      <c r="V1296" s="36"/>
      <c r="W1296" s="36"/>
      <c r="X1296" s="36"/>
      <c r="Y1296" s="36"/>
      <c r="Z1296" s="36"/>
      <c r="AA1296" s="36"/>
      <c r="AB1296" s="36"/>
      <c r="AC1296" s="36"/>
      <c r="AD1296" s="36"/>
      <c r="AE1296" s="36"/>
      <c r="AF1296" s="36"/>
      <c r="AG1296" s="36"/>
      <c r="AH1296" s="36"/>
      <c r="AI1296" s="36"/>
    </row>
    <row r="1297" spans="1:35" ht="15.75" hidden="1" customHeight="1" thickBot="1">
      <c r="A1297" s="214" t="s">
        <v>0</v>
      </c>
      <c r="B1297" s="279">
        <v>5</v>
      </c>
      <c r="C1297" s="349"/>
      <c r="D1297" s="123" t="s">
        <v>156</v>
      </c>
      <c r="E1297" s="124">
        <v>0.6</v>
      </c>
      <c r="F1297" s="70">
        <v>10</v>
      </c>
      <c r="G1297" s="71" t="s">
        <v>164</v>
      </c>
      <c r="H1297" s="72">
        <v>115</v>
      </c>
      <c r="I1297" s="214" t="s">
        <v>0</v>
      </c>
      <c r="J1297" s="36"/>
      <c r="K1297" s="36"/>
      <c r="L1297" s="36"/>
      <c r="M1297" s="36"/>
      <c r="N1297" s="36"/>
      <c r="O1297" s="36"/>
      <c r="P1297" s="36"/>
      <c r="Q1297" s="36"/>
      <c r="R1297" s="36"/>
      <c r="S1297" s="36"/>
      <c r="T1297" s="36"/>
      <c r="U1297" s="36"/>
      <c r="V1297" s="36"/>
      <c r="W1297" s="36"/>
      <c r="X1297" s="36"/>
      <c r="Y1297" s="36"/>
      <c r="Z1297" s="36"/>
      <c r="AA1297" s="36"/>
      <c r="AB1297" s="36"/>
      <c r="AC1297" s="36"/>
      <c r="AD1297" s="36"/>
      <c r="AE1297" s="36"/>
      <c r="AF1297" s="36"/>
      <c r="AG1297" s="36"/>
      <c r="AH1297" s="36"/>
      <c r="AI1297" s="36"/>
    </row>
    <row r="1298" spans="1:35" ht="15" hidden="1" customHeight="1">
      <c r="A1298" s="214" t="s">
        <v>0</v>
      </c>
      <c r="B1298" s="277"/>
      <c r="C1298" s="355"/>
      <c r="D1298" s="314"/>
      <c r="E1298" s="307">
        <f>IF(D1298=0,0,VLOOKUP($D1298,$F1297:$H1306,3,FALSE)*$E1297)</f>
        <v>0</v>
      </c>
      <c r="F1298" s="62">
        <v>9</v>
      </c>
      <c r="G1298" s="63" t="s">
        <v>164</v>
      </c>
      <c r="H1298" s="64">
        <f>H1297-5</f>
        <v>110</v>
      </c>
      <c r="I1298" s="214" t="s">
        <v>0</v>
      </c>
      <c r="J1298" s="36"/>
      <c r="K1298" s="36"/>
      <c r="L1298" s="36"/>
      <c r="M1298" s="36"/>
      <c r="N1298" s="36"/>
      <c r="O1298" s="36"/>
      <c r="P1298" s="36"/>
      <c r="Q1298" s="36"/>
      <c r="R1298" s="36"/>
      <c r="S1298" s="36"/>
      <c r="T1298" s="36"/>
      <c r="U1298" s="36"/>
      <c r="V1298" s="36"/>
      <c r="W1298" s="36"/>
      <c r="X1298" s="36"/>
      <c r="Y1298" s="36"/>
      <c r="Z1298" s="36"/>
      <c r="AA1298" s="36"/>
      <c r="AB1298" s="36"/>
      <c r="AC1298" s="36"/>
      <c r="AD1298" s="36"/>
      <c r="AE1298" s="36"/>
      <c r="AF1298" s="36"/>
      <c r="AG1298" s="36"/>
      <c r="AH1298" s="36"/>
      <c r="AI1298" s="36"/>
    </row>
    <row r="1299" spans="1:35" ht="15" hidden="1" customHeight="1">
      <c r="A1299" s="214" t="s">
        <v>0</v>
      </c>
      <c r="B1299" s="277"/>
      <c r="C1299" s="355"/>
      <c r="D1299" s="315"/>
      <c r="E1299" s="308"/>
      <c r="F1299" s="62">
        <v>8</v>
      </c>
      <c r="G1299" s="63" t="s">
        <v>164</v>
      </c>
      <c r="H1299" s="64">
        <f t="shared" ref="H1299:H1306" si="102">H1298-5</f>
        <v>105</v>
      </c>
      <c r="I1299" s="214" t="s">
        <v>0</v>
      </c>
      <c r="J1299" s="36"/>
      <c r="K1299" s="36"/>
      <c r="L1299" s="36"/>
      <c r="M1299" s="36"/>
      <c r="N1299" s="36"/>
      <c r="O1299" s="36"/>
      <c r="P1299" s="36"/>
      <c r="Q1299" s="36"/>
      <c r="R1299" s="36"/>
      <c r="S1299" s="36"/>
      <c r="T1299" s="36"/>
      <c r="U1299" s="36"/>
      <c r="V1299" s="36"/>
      <c r="W1299" s="36"/>
      <c r="X1299" s="36"/>
      <c r="Y1299" s="36"/>
      <c r="Z1299" s="36"/>
      <c r="AA1299" s="36"/>
      <c r="AB1299" s="36"/>
      <c r="AC1299" s="36"/>
      <c r="AD1299" s="36"/>
      <c r="AE1299" s="36"/>
      <c r="AF1299" s="36"/>
      <c r="AG1299" s="36"/>
      <c r="AH1299" s="36"/>
      <c r="AI1299" s="36"/>
    </row>
    <row r="1300" spans="1:35" ht="15" hidden="1" customHeight="1">
      <c r="A1300" s="214" t="s">
        <v>0</v>
      </c>
      <c r="B1300" s="277"/>
      <c r="C1300" s="355"/>
      <c r="D1300" s="315"/>
      <c r="E1300" s="308"/>
      <c r="F1300" s="62">
        <v>7</v>
      </c>
      <c r="G1300" s="63" t="s">
        <v>164</v>
      </c>
      <c r="H1300" s="64">
        <f t="shared" si="102"/>
        <v>100</v>
      </c>
      <c r="I1300" s="214" t="s">
        <v>0</v>
      </c>
      <c r="J1300" s="36"/>
      <c r="K1300" s="36"/>
      <c r="L1300" s="36"/>
      <c r="M1300" s="36"/>
      <c r="N1300" s="36"/>
      <c r="O1300" s="36"/>
      <c r="P1300" s="36"/>
      <c r="Q1300" s="36"/>
      <c r="R1300" s="36"/>
      <c r="S1300" s="36"/>
      <c r="T1300" s="36"/>
      <c r="U1300" s="36"/>
      <c r="V1300" s="36"/>
      <c r="W1300" s="36"/>
      <c r="X1300" s="36"/>
      <c r="Y1300" s="36"/>
      <c r="Z1300" s="36"/>
      <c r="AA1300" s="36"/>
      <c r="AB1300" s="36"/>
      <c r="AC1300" s="36"/>
      <c r="AD1300" s="36"/>
      <c r="AE1300" s="36"/>
      <c r="AF1300" s="36"/>
      <c r="AG1300" s="36"/>
      <c r="AH1300" s="36"/>
      <c r="AI1300" s="36"/>
    </row>
    <row r="1301" spans="1:35" ht="15" hidden="1" customHeight="1">
      <c r="A1301" s="214" t="s">
        <v>0</v>
      </c>
      <c r="B1301" s="277"/>
      <c r="C1301" s="355"/>
      <c r="D1301" s="315"/>
      <c r="E1301" s="308"/>
      <c r="F1301" s="62">
        <v>6</v>
      </c>
      <c r="G1301" s="63" t="s">
        <v>164</v>
      </c>
      <c r="H1301" s="64">
        <f t="shared" si="102"/>
        <v>95</v>
      </c>
      <c r="I1301" s="214" t="s">
        <v>0</v>
      </c>
      <c r="J1301" s="36"/>
      <c r="K1301" s="36"/>
      <c r="L1301" s="36"/>
      <c r="M1301" s="36"/>
      <c r="N1301" s="36"/>
      <c r="O1301" s="36"/>
      <c r="P1301" s="36"/>
      <c r="Q1301" s="36"/>
      <c r="R1301" s="36"/>
      <c r="S1301" s="36"/>
      <c r="T1301" s="36"/>
      <c r="U1301" s="36"/>
      <c r="V1301" s="36"/>
      <c r="W1301" s="36"/>
      <c r="X1301" s="36"/>
      <c r="Y1301" s="36"/>
      <c r="Z1301" s="36"/>
      <c r="AA1301" s="36"/>
      <c r="AB1301" s="36"/>
      <c r="AC1301" s="36"/>
      <c r="AD1301" s="36"/>
      <c r="AE1301" s="36"/>
      <c r="AF1301" s="36"/>
      <c r="AG1301" s="36"/>
      <c r="AH1301" s="36"/>
      <c r="AI1301" s="36"/>
    </row>
    <row r="1302" spans="1:35" ht="15" hidden="1" customHeight="1">
      <c r="A1302" s="214" t="s">
        <v>0</v>
      </c>
      <c r="B1302" s="277"/>
      <c r="C1302" s="355"/>
      <c r="D1302" s="315"/>
      <c r="E1302" s="308"/>
      <c r="F1302" s="62">
        <v>5</v>
      </c>
      <c r="G1302" s="63" t="s">
        <v>164</v>
      </c>
      <c r="H1302" s="64">
        <f t="shared" si="102"/>
        <v>90</v>
      </c>
      <c r="I1302" s="214" t="s">
        <v>0</v>
      </c>
      <c r="J1302" s="36"/>
      <c r="K1302" s="36"/>
      <c r="L1302" s="36"/>
      <c r="M1302" s="36"/>
      <c r="N1302" s="36"/>
      <c r="O1302" s="36"/>
      <c r="P1302" s="36"/>
      <c r="Q1302" s="36"/>
      <c r="R1302" s="36"/>
      <c r="S1302" s="36"/>
      <c r="T1302" s="36"/>
      <c r="U1302" s="36"/>
      <c r="V1302" s="36"/>
      <c r="W1302" s="36"/>
      <c r="X1302" s="36"/>
      <c r="Y1302" s="36"/>
      <c r="Z1302" s="36"/>
      <c r="AA1302" s="36"/>
      <c r="AB1302" s="36"/>
      <c r="AC1302" s="36"/>
      <c r="AD1302" s="36"/>
      <c r="AE1302" s="36"/>
      <c r="AF1302" s="36"/>
      <c r="AG1302" s="36"/>
      <c r="AH1302" s="36"/>
      <c r="AI1302" s="36"/>
    </row>
    <row r="1303" spans="1:35" ht="15" hidden="1" customHeight="1">
      <c r="A1303" s="214" t="s">
        <v>0</v>
      </c>
      <c r="B1303" s="277"/>
      <c r="C1303" s="355"/>
      <c r="D1303" s="315"/>
      <c r="E1303" s="308"/>
      <c r="F1303" s="62">
        <v>4</v>
      </c>
      <c r="G1303" s="63" t="s">
        <v>164</v>
      </c>
      <c r="H1303" s="64">
        <f t="shared" si="102"/>
        <v>85</v>
      </c>
      <c r="I1303" s="214" t="s">
        <v>0</v>
      </c>
      <c r="J1303" s="36"/>
      <c r="K1303" s="36"/>
      <c r="L1303" s="36"/>
      <c r="M1303" s="36"/>
      <c r="N1303" s="36"/>
      <c r="O1303" s="36"/>
      <c r="P1303" s="36"/>
      <c r="Q1303" s="36"/>
      <c r="R1303" s="36"/>
      <c r="S1303" s="36"/>
      <c r="T1303" s="36"/>
      <c r="U1303" s="36"/>
      <c r="V1303" s="36"/>
      <c r="W1303" s="36"/>
      <c r="X1303" s="36"/>
      <c r="Y1303" s="36"/>
      <c r="Z1303" s="36"/>
      <c r="AA1303" s="36"/>
      <c r="AB1303" s="36"/>
      <c r="AC1303" s="36"/>
      <c r="AD1303" s="36"/>
      <c r="AE1303" s="36"/>
      <c r="AF1303" s="36"/>
      <c r="AG1303" s="36"/>
      <c r="AH1303" s="36"/>
      <c r="AI1303" s="36"/>
    </row>
    <row r="1304" spans="1:35" ht="15.75" hidden="1" customHeight="1" thickBot="1">
      <c r="A1304" s="214" t="s">
        <v>0</v>
      </c>
      <c r="B1304" s="278"/>
      <c r="C1304" s="350"/>
      <c r="D1304" s="315"/>
      <c r="E1304" s="308"/>
      <c r="F1304" s="62">
        <v>3</v>
      </c>
      <c r="G1304" s="63" t="s">
        <v>164</v>
      </c>
      <c r="H1304" s="64">
        <f t="shared" si="102"/>
        <v>80</v>
      </c>
      <c r="I1304" s="214" t="s">
        <v>0</v>
      </c>
      <c r="J1304" s="36"/>
      <c r="K1304" s="36"/>
      <c r="L1304" s="36"/>
      <c r="M1304" s="36"/>
      <c r="N1304" s="36"/>
      <c r="O1304" s="36"/>
      <c r="P1304" s="36"/>
      <c r="Q1304" s="36"/>
      <c r="R1304" s="36"/>
      <c r="S1304" s="36"/>
      <c r="T1304" s="36"/>
      <c r="U1304" s="36"/>
      <c r="V1304" s="36"/>
      <c r="W1304" s="36"/>
      <c r="X1304" s="36"/>
      <c r="Y1304" s="36"/>
      <c r="Z1304" s="36"/>
      <c r="AA1304" s="36"/>
      <c r="AB1304" s="36"/>
      <c r="AC1304" s="36"/>
      <c r="AD1304" s="36"/>
      <c r="AE1304" s="36"/>
      <c r="AF1304" s="36"/>
      <c r="AG1304" s="36"/>
      <c r="AH1304" s="36"/>
      <c r="AI1304" s="36"/>
    </row>
    <row r="1305" spans="1:35" ht="15" hidden="1" customHeight="1">
      <c r="A1305" s="214" t="s">
        <v>0</v>
      </c>
      <c r="B1305" s="274" t="s">
        <v>158</v>
      </c>
      <c r="C1305" s="349"/>
      <c r="D1305" s="315"/>
      <c r="E1305" s="308"/>
      <c r="F1305" s="62">
        <v>2</v>
      </c>
      <c r="G1305" s="63" t="s">
        <v>164</v>
      </c>
      <c r="H1305" s="64">
        <f t="shared" si="102"/>
        <v>75</v>
      </c>
      <c r="I1305" s="214" t="s">
        <v>0</v>
      </c>
      <c r="J1305" s="36"/>
      <c r="K1305" s="36"/>
      <c r="L1305" s="36"/>
      <c r="M1305" s="36"/>
      <c r="N1305" s="36"/>
      <c r="O1305" s="36"/>
      <c r="P1305" s="36"/>
      <c r="Q1305" s="36"/>
      <c r="R1305" s="36"/>
      <c r="S1305" s="36"/>
      <c r="T1305" s="36"/>
      <c r="U1305" s="36"/>
      <c r="V1305" s="36"/>
      <c r="W1305" s="36"/>
      <c r="X1305" s="36"/>
      <c r="Y1305" s="36"/>
      <c r="Z1305" s="36"/>
      <c r="AA1305" s="36"/>
      <c r="AB1305" s="36"/>
      <c r="AC1305" s="36"/>
      <c r="AD1305" s="36"/>
      <c r="AE1305" s="36"/>
      <c r="AF1305" s="36"/>
      <c r="AG1305" s="36"/>
      <c r="AH1305" s="36"/>
      <c r="AI1305" s="36"/>
    </row>
    <row r="1306" spans="1:35" ht="15.75" hidden="1" customHeight="1" thickBot="1">
      <c r="A1306" s="214" t="s">
        <v>0</v>
      </c>
      <c r="B1306" s="275"/>
      <c r="C1306" s="350"/>
      <c r="D1306" s="316"/>
      <c r="E1306" s="309"/>
      <c r="F1306" s="67">
        <v>1</v>
      </c>
      <c r="G1306" s="68" t="s">
        <v>164</v>
      </c>
      <c r="H1306" s="69">
        <f t="shared" si="102"/>
        <v>70</v>
      </c>
      <c r="I1306" s="214" t="s">
        <v>0</v>
      </c>
      <c r="J1306" s="36"/>
      <c r="K1306" s="36"/>
      <c r="L1306" s="36"/>
      <c r="M1306" s="36"/>
      <c r="N1306" s="36"/>
      <c r="O1306" s="36"/>
      <c r="P1306" s="36"/>
      <c r="Q1306" s="36"/>
      <c r="R1306" s="36"/>
      <c r="S1306" s="36"/>
      <c r="T1306" s="36"/>
      <c r="U1306" s="36"/>
      <c r="V1306" s="36"/>
      <c r="W1306" s="36"/>
      <c r="X1306" s="36"/>
      <c r="Y1306" s="36"/>
      <c r="Z1306" s="36"/>
      <c r="AA1306" s="36"/>
      <c r="AB1306" s="36"/>
      <c r="AC1306" s="36"/>
      <c r="AD1306" s="36"/>
      <c r="AE1306" s="36"/>
      <c r="AF1306" s="36"/>
      <c r="AG1306" s="36"/>
      <c r="AH1306" s="36"/>
      <c r="AI1306" s="36"/>
    </row>
    <row r="1307" spans="1:35" ht="15.75" hidden="1" customHeight="1" thickBot="1">
      <c r="A1307" s="214" t="s">
        <v>0</v>
      </c>
      <c r="B1307" s="276">
        <v>6</v>
      </c>
      <c r="C1307" s="349"/>
      <c r="D1307" s="123" t="s">
        <v>156</v>
      </c>
      <c r="E1307" s="124">
        <v>0.6</v>
      </c>
      <c r="F1307" s="58">
        <v>10</v>
      </c>
      <c r="G1307" s="59" t="s">
        <v>164</v>
      </c>
      <c r="H1307" s="60">
        <v>115</v>
      </c>
      <c r="I1307" s="214" t="s">
        <v>0</v>
      </c>
      <c r="J1307" s="36"/>
      <c r="K1307" s="36"/>
      <c r="L1307" s="36"/>
      <c r="M1307" s="36"/>
      <c r="N1307" s="36"/>
      <c r="O1307" s="36"/>
      <c r="P1307" s="36"/>
      <c r="Q1307" s="36"/>
      <c r="R1307" s="36"/>
      <c r="S1307" s="36"/>
      <c r="T1307" s="36"/>
      <c r="U1307" s="36"/>
      <c r="V1307" s="36"/>
      <c r="W1307" s="36"/>
      <c r="X1307" s="36"/>
      <c r="Y1307" s="36"/>
      <c r="Z1307" s="36"/>
      <c r="AA1307" s="36"/>
      <c r="AB1307" s="36"/>
      <c r="AC1307" s="36"/>
      <c r="AD1307" s="36"/>
      <c r="AE1307" s="36"/>
      <c r="AF1307" s="36"/>
      <c r="AG1307" s="36"/>
      <c r="AH1307" s="36"/>
      <c r="AI1307" s="36"/>
    </row>
    <row r="1308" spans="1:35" ht="15" hidden="1" customHeight="1">
      <c r="A1308" s="214" t="s">
        <v>0</v>
      </c>
      <c r="B1308" s="277"/>
      <c r="C1308" s="355"/>
      <c r="D1308" s="314"/>
      <c r="E1308" s="307">
        <f>IF(D1308=0,0,VLOOKUP($D1308,$F1307:$H1316,3,FALSE)*$E1307)</f>
        <v>0</v>
      </c>
      <c r="F1308" s="62">
        <v>9</v>
      </c>
      <c r="G1308" s="63" t="s">
        <v>164</v>
      </c>
      <c r="H1308" s="64">
        <f>H1307-5</f>
        <v>110</v>
      </c>
      <c r="I1308" s="214" t="s">
        <v>0</v>
      </c>
      <c r="J1308" s="36"/>
      <c r="K1308" s="36"/>
      <c r="L1308" s="36"/>
      <c r="M1308" s="36"/>
      <c r="N1308" s="36"/>
      <c r="O1308" s="36"/>
      <c r="P1308" s="36"/>
      <c r="Q1308" s="36"/>
      <c r="R1308" s="36"/>
      <c r="S1308" s="36"/>
      <c r="T1308" s="36"/>
      <c r="U1308" s="36"/>
      <c r="V1308" s="36"/>
      <c r="W1308" s="36"/>
      <c r="X1308" s="36"/>
      <c r="Y1308" s="36"/>
      <c r="Z1308" s="36"/>
      <c r="AA1308" s="36"/>
      <c r="AB1308" s="36"/>
      <c r="AC1308" s="36"/>
      <c r="AD1308" s="36"/>
      <c r="AE1308" s="36"/>
      <c r="AF1308" s="36"/>
      <c r="AG1308" s="36"/>
      <c r="AH1308" s="36"/>
      <c r="AI1308" s="36"/>
    </row>
    <row r="1309" spans="1:35" ht="15" hidden="1" customHeight="1">
      <c r="A1309" s="214" t="s">
        <v>0</v>
      </c>
      <c r="B1309" s="277"/>
      <c r="C1309" s="355"/>
      <c r="D1309" s="315"/>
      <c r="E1309" s="308"/>
      <c r="F1309" s="62">
        <v>8</v>
      </c>
      <c r="G1309" s="63" t="s">
        <v>164</v>
      </c>
      <c r="H1309" s="64">
        <f t="shared" ref="H1309:H1316" si="103">H1308-5</f>
        <v>105</v>
      </c>
      <c r="I1309" s="214" t="s">
        <v>0</v>
      </c>
      <c r="J1309" s="36"/>
      <c r="K1309" s="36"/>
      <c r="L1309" s="36"/>
      <c r="M1309" s="36"/>
      <c r="N1309" s="36"/>
      <c r="O1309" s="36"/>
      <c r="P1309" s="36"/>
      <c r="Q1309" s="36"/>
      <c r="R1309" s="36"/>
      <c r="S1309" s="36"/>
      <c r="T1309" s="36"/>
      <c r="U1309" s="36"/>
      <c r="V1309" s="36"/>
      <c r="W1309" s="36"/>
      <c r="X1309" s="36"/>
      <c r="Y1309" s="36"/>
      <c r="Z1309" s="36"/>
      <c r="AA1309" s="36"/>
      <c r="AB1309" s="36"/>
      <c r="AC1309" s="36"/>
      <c r="AD1309" s="36"/>
      <c r="AE1309" s="36"/>
      <c r="AF1309" s="36"/>
      <c r="AG1309" s="36"/>
      <c r="AH1309" s="36"/>
      <c r="AI1309" s="36"/>
    </row>
    <row r="1310" spans="1:35" ht="15" hidden="1" customHeight="1">
      <c r="A1310" s="214" t="s">
        <v>0</v>
      </c>
      <c r="B1310" s="277"/>
      <c r="C1310" s="355"/>
      <c r="D1310" s="315"/>
      <c r="E1310" s="308"/>
      <c r="F1310" s="62">
        <v>7</v>
      </c>
      <c r="G1310" s="63" t="s">
        <v>164</v>
      </c>
      <c r="H1310" s="64">
        <f t="shared" si="103"/>
        <v>100</v>
      </c>
      <c r="I1310" s="214" t="s">
        <v>0</v>
      </c>
      <c r="J1310" s="36"/>
      <c r="K1310" s="36"/>
      <c r="L1310" s="36"/>
      <c r="M1310" s="36"/>
      <c r="N1310" s="36"/>
      <c r="O1310" s="36"/>
      <c r="P1310" s="36"/>
      <c r="Q1310" s="36"/>
      <c r="R1310" s="36"/>
      <c r="S1310" s="36"/>
      <c r="T1310" s="36"/>
      <c r="U1310" s="36"/>
      <c r="V1310" s="36"/>
      <c r="W1310" s="36"/>
      <c r="X1310" s="36"/>
      <c r="Y1310" s="36"/>
      <c r="Z1310" s="36"/>
      <c r="AA1310" s="36"/>
      <c r="AB1310" s="36"/>
      <c r="AC1310" s="36"/>
      <c r="AD1310" s="36"/>
      <c r="AE1310" s="36"/>
      <c r="AF1310" s="36"/>
      <c r="AG1310" s="36"/>
      <c r="AH1310" s="36"/>
      <c r="AI1310" s="36"/>
    </row>
    <row r="1311" spans="1:35" ht="15" hidden="1" customHeight="1">
      <c r="A1311" s="214" t="s">
        <v>0</v>
      </c>
      <c r="B1311" s="277"/>
      <c r="C1311" s="355"/>
      <c r="D1311" s="315"/>
      <c r="E1311" s="308"/>
      <c r="F1311" s="62">
        <v>6</v>
      </c>
      <c r="G1311" s="63" t="s">
        <v>164</v>
      </c>
      <c r="H1311" s="64">
        <f t="shared" si="103"/>
        <v>95</v>
      </c>
      <c r="I1311" s="214" t="s">
        <v>0</v>
      </c>
      <c r="J1311" s="36"/>
      <c r="K1311" s="36"/>
      <c r="L1311" s="36"/>
      <c r="M1311" s="36"/>
      <c r="N1311" s="36"/>
      <c r="O1311" s="36"/>
      <c r="P1311" s="36"/>
      <c r="Q1311" s="36"/>
      <c r="R1311" s="36"/>
      <c r="S1311" s="36"/>
      <c r="T1311" s="36"/>
      <c r="U1311" s="36"/>
      <c r="V1311" s="36"/>
      <c r="W1311" s="36"/>
      <c r="X1311" s="36"/>
      <c r="Y1311" s="36"/>
      <c r="Z1311" s="36"/>
      <c r="AA1311" s="36"/>
      <c r="AB1311" s="36"/>
      <c r="AC1311" s="36"/>
      <c r="AD1311" s="36"/>
      <c r="AE1311" s="36"/>
      <c r="AF1311" s="36"/>
      <c r="AG1311" s="36"/>
      <c r="AH1311" s="36"/>
      <c r="AI1311" s="36"/>
    </row>
    <row r="1312" spans="1:35" ht="15" hidden="1" customHeight="1">
      <c r="A1312" s="214" t="s">
        <v>0</v>
      </c>
      <c r="B1312" s="277"/>
      <c r="C1312" s="355"/>
      <c r="D1312" s="315"/>
      <c r="E1312" s="308"/>
      <c r="F1312" s="62">
        <v>5</v>
      </c>
      <c r="G1312" s="63" t="s">
        <v>164</v>
      </c>
      <c r="H1312" s="64">
        <f t="shared" si="103"/>
        <v>90</v>
      </c>
      <c r="I1312" s="214" t="s">
        <v>0</v>
      </c>
      <c r="J1312" s="36"/>
      <c r="K1312" s="36"/>
      <c r="L1312" s="36"/>
      <c r="M1312" s="36"/>
      <c r="N1312" s="36"/>
      <c r="O1312" s="36"/>
      <c r="P1312" s="36"/>
      <c r="Q1312" s="36"/>
      <c r="R1312" s="36"/>
      <c r="S1312" s="36"/>
      <c r="T1312" s="36"/>
      <c r="U1312" s="36"/>
      <c r="V1312" s="36"/>
      <c r="W1312" s="36"/>
      <c r="X1312" s="36"/>
      <c r="Y1312" s="36"/>
      <c r="Z1312" s="36"/>
      <c r="AA1312" s="36"/>
      <c r="AB1312" s="36"/>
      <c r="AC1312" s="36"/>
      <c r="AD1312" s="36"/>
      <c r="AE1312" s="36"/>
      <c r="AF1312" s="36"/>
      <c r="AG1312" s="36"/>
      <c r="AH1312" s="36"/>
      <c r="AI1312" s="36"/>
    </row>
    <row r="1313" spans="1:35" ht="15" hidden="1" customHeight="1">
      <c r="A1313" s="214" t="s">
        <v>0</v>
      </c>
      <c r="B1313" s="277"/>
      <c r="C1313" s="355"/>
      <c r="D1313" s="315"/>
      <c r="E1313" s="308"/>
      <c r="F1313" s="62">
        <v>4</v>
      </c>
      <c r="G1313" s="63" t="s">
        <v>164</v>
      </c>
      <c r="H1313" s="64">
        <f t="shared" si="103"/>
        <v>85</v>
      </c>
      <c r="I1313" s="214" t="s">
        <v>0</v>
      </c>
      <c r="J1313" s="36"/>
      <c r="K1313" s="36"/>
      <c r="L1313" s="36"/>
      <c r="M1313" s="36"/>
      <c r="N1313" s="36"/>
      <c r="O1313" s="36"/>
      <c r="P1313" s="36"/>
      <c r="Q1313" s="36"/>
      <c r="R1313" s="36"/>
      <c r="S1313" s="36"/>
      <c r="T1313" s="36"/>
      <c r="U1313" s="36"/>
      <c r="V1313" s="36"/>
      <c r="W1313" s="36"/>
      <c r="X1313" s="36"/>
      <c r="Y1313" s="36"/>
      <c r="Z1313" s="36"/>
      <c r="AA1313" s="36"/>
      <c r="AB1313" s="36"/>
      <c r="AC1313" s="36"/>
      <c r="AD1313" s="36"/>
      <c r="AE1313" s="36"/>
      <c r="AF1313" s="36"/>
      <c r="AG1313" s="36"/>
      <c r="AH1313" s="36"/>
      <c r="AI1313" s="36"/>
    </row>
    <row r="1314" spans="1:35" ht="15.75" hidden="1" customHeight="1" thickBot="1">
      <c r="A1314" s="214" t="s">
        <v>0</v>
      </c>
      <c r="B1314" s="278"/>
      <c r="C1314" s="350"/>
      <c r="D1314" s="315"/>
      <c r="E1314" s="308"/>
      <c r="F1314" s="62">
        <v>3</v>
      </c>
      <c r="G1314" s="63" t="s">
        <v>164</v>
      </c>
      <c r="H1314" s="64">
        <f t="shared" si="103"/>
        <v>80</v>
      </c>
      <c r="I1314" s="214" t="s">
        <v>0</v>
      </c>
      <c r="J1314" s="36"/>
      <c r="K1314" s="36"/>
      <c r="L1314" s="36"/>
      <c r="M1314" s="36"/>
      <c r="N1314" s="36"/>
      <c r="O1314" s="36"/>
      <c r="P1314" s="36"/>
      <c r="Q1314" s="36"/>
      <c r="R1314" s="36"/>
      <c r="S1314" s="36"/>
      <c r="T1314" s="36"/>
      <c r="U1314" s="36"/>
      <c r="V1314" s="36"/>
      <c r="W1314" s="36"/>
      <c r="X1314" s="36"/>
      <c r="Y1314" s="36"/>
      <c r="Z1314" s="36"/>
      <c r="AA1314" s="36"/>
      <c r="AB1314" s="36"/>
      <c r="AC1314" s="36"/>
      <c r="AD1314" s="36"/>
      <c r="AE1314" s="36"/>
      <c r="AF1314" s="36"/>
      <c r="AG1314" s="36"/>
      <c r="AH1314" s="36"/>
      <c r="AI1314" s="36"/>
    </row>
    <row r="1315" spans="1:35" ht="15" hidden="1" customHeight="1">
      <c r="A1315" s="214" t="s">
        <v>0</v>
      </c>
      <c r="B1315" s="274" t="s">
        <v>158</v>
      </c>
      <c r="C1315" s="349"/>
      <c r="D1315" s="315"/>
      <c r="E1315" s="308"/>
      <c r="F1315" s="62">
        <v>2</v>
      </c>
      <c r="G1315" s="63" t="s">
        <v>164</v>
      </c>
      <c r="H1315" s="64">
        <f t="shared" si="103"/>
        <v>75</v>
      </c>
      <c r="I1315" s="214" t="s">
        <v>0</v>
      </c>
      <c r="J1315" s="36"/>
      <c r="K1315" s="36"/>
      <c r="L1315" s="36"/>
      <c r="M1315" s="36"/>
      <c r="N1315" s="36"/>
      <c r="O1315" s="36"/>
      <c r="P1315" s="36"/>
      <c r="Q1315" s="36"/>
      <c r="R1315" s="36"/>
      <c r="S1315" s="36"/>
      <c r="T1315" s="36"/>
      <c r="U1315" s="36"/>
      <c r="V1315" s="36"/>
      <c r="W1315" s="36"/>
      <c r="X1315" s="36"/>
      <c r="Y1315" s="36"/>
      <c r="Z1315" s="36"/>
      <c r="AA1315" s="36"/>
      <c r="AB1315" s="36"/>
      <c r="AC1315" s="36"/>
      <c r="AD1315" s="36"/>
      <c r="AE1315" s="36"/>
      <c r="AF1315" s="36"/>
      <c r="AG1315" s="36"/>
      <c r="AH1315" s="36"/>
      <c r="AI1315" s="36"/>
    </row>
    <row r="1316" spans="1:35" ht="15.75" hidden="1" customHeight="1" thickBot="1">
      <c r="A1316" s="214" t="s">
        <v>0</v>
      </c>
      <c r="B1316" s="275"/>
      <c r="C1316" s="350"/>
      <c r="D1316" s="316"/>
      <c r="E1316" s="309"/>
      <c r="F1316" s="67">
        <v>1</v>
      </c>
      <c r="G1316" s="68" t="s">
        <v>164</v>
      </c>
      <c r="H1316" s="69">
        <f t="shared" si="103"/>
        <v>70</v>
      </c>
      <c r="I1316" s="214" t="s">
        <v>0</v>
      </c>
      <c r="J1316" s="36"/>
      <c r="K1316" s="36"/>
      <c r="L1316" s="36"/>
      <c r="M1316" s="36"/>
      <c r="N1316" s="36"/>
      <c r="O1316" s="36"/>
      <c r="P1316" s="36"/>
      <c r="Q1316" s="36"/>
      <c r="R1316" s="36"/>
      <c r="S1316" s="36"/>
      <c r="T1316" s="36"/>
      <c r="U1316" s="36"/>
      <c r="V1316" s="36"/>
      <c r="W1316" s="36"/>
      <c r="X1316" s="36"/>
      <c r="Y1316" s="36"/>
      <c r="Z1316" s="36"/>
      <c r="AA1316" s="36"/>
      <c r="AB1316" s="36"/>
      <c r="AC1316" s="36"/>
      <c r="AD1316" s="36"/>
      <c r="AE1316" s="36"/>
      <c r="AF1316" s="36"/>
      <c r="AG1316" s="36"/>
      <c r="AH1316" s="36"/>
      <c r="AI1316" s="36"/>
    </row>
    <row r="1317" spans="1:35" ht="15.75" hidden="1" customHeight="1" thickBot="1">
      <c r="A1317" s="214" t="s">
        <v>0</v>
      </c>
      <c r="B1317" s="276">
        <v>7</v>
      </c>
      <c r="C1317" s="349"/>
      <c r="D1317" s="123" t="s">
        <v>156</v>
      </c>
      <c r="E1317" s="124">
        <v>0.6</v>
      </c>
      <c r="F1317" s="58">
        <v>10</v>
      </c>
      <c r="G1317" s="59" t="s">
        <v>164</v>
      </c>
      <c r="H1317" s="60">
        <v>115</v>
      </c>
      <c r="I1317" s="214" t="s">
        <v>0</v>
      </c>
      <c r="J1317" s="36"/>
      <c r="K1317" s="36"/>
      <c r="L1317" s="36"/>
      <c r="M1317" s="36"/>
      <c r="N1317" s="36"/>
      <c r="O1317" s="36"/>
      <c r="P1317" s="36"/>
      <c r="Q1317" s="36"/>
      <c r="R1317" s="36"/>
      <c r="S1317" s="36"/>
      <c r="T1317" s="36"/>
      <c r="U1317" s="36"/>
      <c r="V1317" s="36"/>
      <c r="W1317" s="36"/>
      <c r="X1317" s="36"/>
      <c r="Y1317" s="36"/>
      <c r="Z1317" s="36"/>
      <c r="AA1317" s="36"/>
      <c r="AB1317" s="36"/>
      <c r="AC1317" s="36"/>
      <c r="AD1317" s="36"/>
      <c r="AE1317" s="36"/>
      <c r="AF1317" s="36"/>
      <c r="AG1317" s="36"/>
      <c r="AH1317" s="36"/>
      <c r="AI1317" s="36"/>
    </row>
    <row r="1318" spans="1:35" ht="15" hidden="1" customHeight="1">
      <c r="A1318" s="214" t="s">
        <v>0</v>
      </c>
      <c r="B1318" s="277"/>
      <c r="C1318" s="355"/>
      <c r="D1318" s="314"/>
      <c r="E1318" s="307">
        <f>IF(D1318=0,0,VLOOKUP($D1318,$F1317:$H1326,3,FALSE)*$E1317)</f>
        <v>0</v>
      </c>
      <c r="F1318" s="62">
        <v>9</v>
      </c>
      <c r="G1318" s="63" t="s">
        <v>164</v>
      </c>
      <c r="H1318" s="64">
        <f>H1317-5</f>
        <v>110</v>
      </c>
      <c r="I1318" s="214" t="s">
        <v>0</v>
      </c>
      <c r="J1318" s="36"/>
      <c r="K1318" s="36"/>
      <c r="L1318" s="36"/>
      <c r="M1318" s="36"/>
      <c r="N1318" s="36"/>
      <c r="O1318" s="36"/>
      <c r="P1318" s="36"/>
      <c r="Q1318" s="36"/>
      <c r="R1318" s="36"/>
      <c r="S1318" s="36"/>
      <c r="T1318" s="36"/>
      <c r="U1318" s="36"/>
      <c r="V1318" s="36"/>
      <c r="W1318" s="36"/>
      <c r="X1318" s="36"/>
      <c r="Y1318" s="36"/>
      <c r="Z1318" s="36"/>
      <c r="AA1318" s="36"/>
      <c r="AB1318" s="36"/>
      <c r="AC1318" s="36"/>
      <c r="AD1318" s="36"/>
      <c r="AE1318" s="36"/>
      <c r="AF1318" s="36"/>
      <c r="AG1318" s="36"/>
      <c r="AH1318" s="36"/>
      <c r="AI1318" s="36"/>
    </row>
    <row r="1319" spans="1:35" ht="15" hidden="1" customHeight="1">
      <c r="A1319" s="214" t="s">
        <v>0</v>
      </c>
      <c r="B1319" s="277"/>
      <c r="C1319" s="355"/>
      <c r="D1319" s="315"/>
      <c r="E1319" s="308"/>
      <c r="F1319" s="62">
        <v>8</v>
      </c>
      <c r="G1319" s="63" t="s">
        <v>164</v>
      </c>
      <c r="H1319" s="64">
        <f t="shared" ref="H1319:H1326" si="104">H1318-5</f>
        <v>105</v>
      </c>
      <c r="I1319" s="214" t="s">
        <v>0</v>
      </c>
      <c r="J1319" s="36"/>
      <c r="K1319" s="36"/>
      <c r="L1319" s="36"/>
      <c r="M1319" s="36"/>
      <c r="N1319" s="36"/>
      <c r="O1319" s="36"/>
      <c r="P1319" s="36"/>
      <c r="Q1319" s="36"/>
      <c r="R1319" s="36"/>
      <c r="S1319" s="36"/>
      <c r="T1319" s="36"/>
      <c r="U1319" s="36"/>
      <c r="V1319" s="36"/>
      <c r="W1319" s="36"/>
      <c r="X1319" s="36"/>
      <c r="Y1319" s="36"/>
      <c r="Z1319" s="36"/>
      <c r="AA1319" s="36"/>
      <c r="AB1319" s="36"/>
      <c r="AC1319" s="36"/>
      <c r="AD1319" s="36"/>
      <c r="AE1319" s="36"/>
      <c r="AF1319" s="36"/>
      <c r="AG1319" s="36"/>
      <c r="AH1319" s="36"/>
      <c r="AI1319" s="36"/>
    </row>
    <row r="1320" spans="1:35" ht="15" hidden="1" customHeight="1">
      <c r="A1320" s="214" t="s">
        <v>0</v>
      </c>
      <c r="B1320" s="277"/>
      <c r="C1320" s="355"/>
      <c r="D1320" s="315"/>
      <c r="E1320" s="308"/>
      <c r="F1320" s="62">
        <v>7</v>
      </c>
      <c r="G1320" s="63" t="s">
        <v>164</v>
      </c>
      <c r="H1320" s="64">
        <f t="shared" si="104"/>
        <v>100</v>
      </c>
      <c r="I1320" s="214" t="s">
        <v>0</v>
      </c>
      <c r="J1320" s="36"/>
      <c r="K1320" s="36"/>
      <c r="L1320" s="36"/>
      <c r="M1320" s="36"/>
      <c r="N1320" s="36"/>
      <c r="O1320" s="36"/>
      <c r="P1320" s="36"/>
      <c r="Q1320" s="36"/>
      <c r="R1320" s="36"/>
      <c r="S1320" s="36"/>
      <c r="T1320" s="36"/>
      <c r="U1320" s="36"/>
      <c r="V1320" s="36"/>
      <c r="W1320" s="36"/>
      <c r="X1320" s="36"/>
      <c r="Y1320" s="36"/>
      <c r="Z1320" s="36"/>
      <c r="AA1320" s="36"/>
      <c r="AB1320" s="36"/>
      <c r="AC1320" s="36"/>
      <c r="AD1320" s="36"/>
      <c r="AE1320" s="36"/>
      <c r="AF1320" s="36"/>
      <c r="AG1320" s="36"/>
      <c r="AH1320" s="36"/>
      <c r="AI1320" s="36"/>
    </row>
    <row r="1321" spans="1:35" ht="15" hidden="1" customHeight="1">
      <c r="A1321" s="214" t="s">
        <v>0</v>
      </c>
      <c r="B1321" s="277"/>
      <c r="C1321" s="355"/>
      <c r="D1321" s="315"/>
      <c r="E1321" s="308"/>
      <c r="F1321" s="62">
        <v>6</v>
      </c>
      <c r="G1321" s="63" t="s">
        <v>164</v>
      </c>
      <c r="H1321" s="64">
        <f t="shared" si="104"/>
        <v>95</v>
      </c>
      <c r="I1321" s="214" t="s">
        <v>0</v>
      </c>
      <c r="J1321" s="36"/>
      <c r="K1321" s="36"/>
      <c r="L1321" s="36"/>
      <c r="M1321" s="36"/>
      <c r="N1321" s="36"/>
      <c r="O1321" s="36"/>
      <c r="P1321" s="36"/>
      <c r="Q1321" s="36"/>
      <c r="R1321" s="36"/>
      <c r="S1321" s="36"/>
      <c r="T1321" s="36"/>
      <c r="U1321" s="36"/>
      <c r="V1321" s="36"/>
      <c r="W1321" s="36"/>
      <c r="X1321" s="36"/>
      <c r="Y1321" s="36"/>
      <c r="Z1321" s="36"/>
      <c r="AA1321" s="36"/>
      <c r="AB1321" s="36"/>
      <c r="AC1321" s="36"/>
      <c r="AD1321" s="36"/>
      <c r="AE1321" s="36"/>
      <c r="AF1321" s="36"/>
      <c r="AG1321" s="36"/>
      <c r="AH1321" s="36"/>
      <c r="AI1321" s="36"/>
    </row>
    <row r="1322" spans="1:35" ht="15" hidden="1" customHeight="1">
      <c r="A1322" s="214" t="s">
        <v>0</v>
      </c>
      <c r="B1322" s="277"/>
      <c r="C1322" s="355"/>
      <c r="D1322" s="315"/>
      <c r="E1322" s="308"/>
      <c r="F1322" s="62">
        <v>5</v>
      </c>
      <c r="G1322" s="63" t="s">
        <v>164</v>
      </c>
      <c r="H1322" s="64">
        <f t="shared" si="104"/>
        <v>90</v>
      </c>
      <c r="I1322" s="214" t="s">
        <v>0</v>
      </c>
      <c r="J1322" s="36"/>
      <c r="K1322" s="36"/>
      <c r="L1322" s="36"/>
      <c r="M1322" s="36"/>
      <c r="N1322" s="36"/>
      <c r="O1322" s="36"/>
      <c r="P1322" s="36"/>
      <c r="Q1322" s="36"/>
      <c r="R1322" s="36"/>
      <c r="S1322" s="36"/>
      <c r="T1322" s="36"/>
      <c r="U1322" s="36"/>
      <c r="V1322" s="36"/>
      <c r="W1322" s="36"/>
      <c r="X1322" s="36"/>
      <c r="Y1322" s="36"/>
      <c r="Z1322" s="36"/>
      <c r="AA1322" s="36"/>
      <c r="AB1322" s="36"/>
      <c r="AC1322" s="36"/>
      <c r="AD1322" s="36"/>
      <c r="AE1322" s="36"/>
      <c r="AF1322" s="36"/>
      <c r="AG1322" s="36"/>
      <c r="AH1322" s="36"/>
      <c r="AI1322" s="36"/>
    </row>
    <row r="1323" spans="1:35" ht="15" hidden="1" customHeight="1">
      <c r="A1323" s="214" t="s">
        <v>0</v>
      </c>
      <c r="B1323" s="277"/>
      <c r="C1323" s="355"/>
      <c r="D1323" s="315"/>
      <c r="E1323" s="308"/>
      <c r="F1323" s="62">
        <v>4</v>
      </c>
      <c r="G1323" s="63" t="s">
        <v>164</v>
      </c>
      <c r="H1323" s="64">
        <f t="shared" si="104"/>
        <v>85</v>
      </c>
      <c r="I1323" s="214" t="s">
        <v>0</v>
      </c>
      <c r="J1323" s="36"/>
      <c r="K1323" s="36"/>
      <c r="L1323" s="36"/>
      <c r="M1323" s="36"/>
      <c r="N1323" s="36"/>
      <c r="O1323" s="36"/>
      <c r="P1323" s="36"/>
      <c r="Q1323" s="36"/>
      <c r="R1323" s="36"/>
      <c r="S1323" s="36"/>
      <c r="T1323" s="36"/>
      <c r="U1323" s="36"/>
      <c r="V1323" s="36"/>
      <c r="W1323" s="36"/>
      <c r="X1323" s="36"/>
      <c r="Y1323" s="36"/>
      <c r="Z1323" s="36"/>
      <c r="AA1323" s="36"/>
      <c r="AB1323" s="36"/>
      <c r="AC1323" s="36"/>
      <c r="AD1323" s="36"/>
      <c r="AE1323" s="36"/>
      <c r="AF1323" s="36"/>
      <c r="AG1323" s="36"/>
      <c r="AH1323" s="36"/>
      <c r="AI1323" s="36"/>
    </row>
    <row r="1324" spans="1:35" ht="15.75" hidden="1" customHeight="1" thickBot="1">
      <c r="A1324" s="214" t="s">
        <v>0</v>
      </c>
      <c r="B1324" s="278"/>
      <c r="C1324" s="350"/>
      <c r="D1324" s="315"/>
      <c r="E1324" s="308"/>
      <c r="F1324" s="62">
        <v>3</v>
      </c>
      <c r="G1324" s="63" t="s">
        <v>164</v>
      </c>
      <c r="H1324" s="64">
        <f t="shared" si="104"/>
        <v>80</v>
      </c>
      <c r="I1324" s="214" t="s">
        <v>0</v>
      </c>
      <c r="J1324" s="36"/>
      <c r="K1324" s="36"/>
      <c r="L1324" s="36"/>
      <c r="M1324" s="36"/>
      <c r="N1324" s="36"/>
      <c r="O1324" s="36"/>
      <c r="P1324" s="36"/>
      <c r="Q1324" s="36"/>
      <c r="R1324" s="36"/>
      <c r="S1324" s="36"/>
      <c r="T1324" s="36"/>
      <c r="U1324" s="36"/>
      <c r="V1324" s="36"/>
      <c r="W1324" s="36"/>
      <c r="X1324" s="36"/>
      <c r="Y1324" s="36"/>
      <c r="Z1324" s="36"/>
      <c r="AA1324" s="36"/>
      <c r="AB1324" s="36"/>
      <c r="AC1324" s="36"/>
      <c r="AD1324" s="36"/>
      <c r="AE1324" s="36"/>
      <c r="AF1324" s="36"/>
      <c r="AG1324" s="36"/>
      <c r="AH1324" s="36"/>
      <c r="AI1324" s="36"/>
    </row>
    <row r="1325" spans="1:35" ht="15" hidden="1" customHeight="1">
      <c r="A1325" s="214" t="s">
        <v>0</v>
      </c>
      <c r="B1325" s="274" t="s">
        <v>158</v>
      </c>
      <c r="C1325" s="349"/>
      <c r="D1325" s="315"/>
      <c r="E1325" s="308"/>
      <c r="F1325" s="62">
        <v>2</v>
      </c>
      <c r="G1325" s="63" t="s">
        <v>164</v>
      </c>
      <c r="H1325" s="64">
        <f t="shared" si="104"/>
        <v>75</v>
      </c>
      <c r="I1325" s="214" t="s">
        <v>0</v>
      </c>
      <c r="J1325" s="36"/>
      <c r="K1325" s="36"/>
      <c r="L1325" s="36"/>
      <c r="M1325" s="36"/>
      <c r="N1325" s="36"/>
      <c r="O1325" s="36"/>
      <c r="P1325" s="36"/>
      <c r="Q1325" s="36"/>
      <c r="R1325" s="36"/>
      <c r="S1325" s="36"/>
      <c r="T1325" s="36"/>
      <c r="U1325" s="36"/>
      <c r="V1325" s="36"/>
      <c r="W1325" s="36"/>
      <c r="X1325" s="36"/>
      <c r="Y1325" s="36"/>
      <c r="Z1325" s="36"/>
      <c r="AA1325" s="36"/>
      <c r="AB1325" s="36"/>
      <c r="AC1325" s="36"/>
      <c r="AD1325" s="36"/>
      <c r="AE1325" s="36"/>
      <c r="AF1325" s="36"/>
      <c r="AG1325" s="36"/>
      <c r="AH1325" s="36"/>
      <c r="AI1325" s="36"/>
    </row>
    <row r="1326" spans="1:35" ht="15.75" hidden="1" customHeight="1" thickBot="1">
      <c r="A1326" s="214" t="s">
        <v>0</v>
      </c>
      <c r="B1326" s="275"/>
      <c r="C1326" s="350"/>
      <c r="D1326" s="316"/>
      <c r="E1326" s="309"/>
      <c r="F1326" s="67">
        <v>1</v>
      </c>
      <c r="G1326" s="68" t="s">
        <v>164</v>
      </c>
      <c r="H1326" s="69">
        <f t="shared" si="104"/>
        <v>70</v>
      </c>
      <c r="I1326" s="214" t="s">
        <v>0</v>
      </c>
      <c r="J1326" s="36"/>
      <c r="K1326" s="36"/>
      <c r="L1326" s="36"/>
      <c r="M1326" s="36"/>
      <c r="N1326" s="36"/>
      <c r="O1326" s="36"/>
      <c r="P1326" s="36"/>
      <c r="Q1326" s="36"/>
      <c r="R1326" s="36"/>
      <c r="S1326" s="36"/>
      <c r="T1326" s="36"/>
      <c r="U1326" s="36"/>
      <c r="V1326" s="36"/>
      <c r="W1326" s="36"/>
      <c r="X1326" s="36"/>
      <c r="Y1326" s="36"/>
      <c r="Z1326" s="36"/>
      <c r="AA1326" s="36"/>
      <c r="AB1326" s="36"/>
      <c r="AC1326" s="36"/>
      <c r="AD1326" s="36"/>
      <c r="AE1326" s="36"/>
      <c r="AF1326" s="36"/>
      <c r="AG1326" s="36"/>
      <c r="AH1326" s="36"/>
      <c r="AI1326" s="36"/>
    </row>
    <row r="1327" spans="1:35" ht="15.75" hidden="1" customHeight="1" thickBot="1">
      <c r="A1327" s="214" t="s">
        <v>0</v>
      </c>
      <c r="B1327" s="276">
        <v>8</v>
      </c>
      <c r="C1327" s="349"/>
      <c r="D1327" s="123" t="s">
        <v>156</v>
      </c>
      <c r="E1327" s="124">
        <v>0.6</v>
      </c>
      <c r="F1327" s="58">
        <v>10</v>
      </c>
      <c r="G1327" s="59" t="s">
        <v>164</v>
      </c>
      <c r="H1327" s="60">
        <v>115</v>
      </c>
      <c r="I1327" s="214" t="s">
        <v>0</v>
      </c>
      <c r="J1327" s="36"/>
      <c r="K1327" s="36"/>
      <c r="L1327" s="36"/>
      <c r="M1327" s="36"/>
      <c r="N1327" s="36"/>
      <c r="O1327" s="36"/>
      <c r="P1327" s="36"/>
      <c r="Q1327" s="36"/>
      <c r="R1327" s="36"/>
      <c r="S1327" s="36"/>
      <c r="T1327" s="36"/>
      <c r="U1327" s="36"/>
      <c r="V1327" s="36"/>
      <c r="W1327" s="36"/>
      <c r="X1327" s="36"/>
      <c r="Y1327" s="36"/>
      <c r="Z1327" s="36"/>
      <c r="AA1327" s="36"/>
      <c r="AB1327" s="36"/>
      <c r="AC1327" s="36"/>
      <c r="AD1327" s="36"/>
      <c r="AE1327" s="36"/>
      <c r="AF1327" s="36"/>
      <c r="AG1327" s="36"/>
      <c r="AH1327" s="36"/>
      <c r="AI1327" s="36"/>
    </row>
    <row r="1328" spans="1:35" ht="15" hidden="1" customHeight="1">
      <c r="A1328" s="214" t="s">
        <v>0</v>
      </c>
      <c r="B1328" s="277"/>
      <c r="C1328" s="355"/>
      <c r="D1328" s="314"/>
      <c r="E1328" s="307">
        <f>IF(D1328=0,0,VLOOKUP($D1328,$F1327:$H1336,3,FALSE)*$E1327)</f>
        <v>0</v>
      </c>
      <c r="F1328" s="62">
        <v>9</v>
      </c>
      <c r="G1328" s="63" t="s">
        <v>164</v>
      </c>
      <c r="H1328" s="64">
        <f>H1327-5</f>
        <v>110</v>
      </c>
      <c r="I1328" s="214" t="s">
        <v>0</v>
      </c>
      <c r="J1328" s="36"/>
      <c r="K1328" s="36"/>
      <c r="L1328" s="36"/>
      <c r="M1328" s="36"/>
      <c r="N1328" s="36"/>
      <c r="O1328" s="36"/>
      <c r="P1328" s="36"/>
      <c r="Q1328" s="36"/>
      <c r="R1328" s="36"/>
      <c r="S1328" s="36"/>
      <c r="T1328" s="36"/>
      <c r="U1328" s="36"/>
      <c r="V1328" s="36"/>
      <c r="W1328" s="36"/>
      <c r="X1328" s="36"/>
      <c r="Y1328" s="36"/>
      <c r="Z1328" s="36"/>
      <c r="AA1328" s="36"/>
      <c r="AB1328" s="36"/>
      <c r="AC1328" s="36"/>
      <c r="AD1328" s="36"/>
      <c r="AE1328" s="36"/>
      <c r="AF1328" s="36"/>
      <c r="AG1328" s="36"/>
      <c r="AH1328" s="36"/>
      <c r="AI1328" s="36"/>
    </row>
    <row r="1329" spans="1:35" ht="15" hidden="1" customHeight="1">
      <c r="A1329" s="214" t="s">
        <v>0</v>
      </c>
      <c r="B1329" s="277"/>
      <c r="C1329" s="355"/>
      <c r="D1329" s="315"/>
      <c r="E1329" s="308"/>
      <c r="F1329" s="62">
        <v>8</v>
      </c>
      <c r="G1329" s="63" t="s">
        <v>164</v>
      </c>
      <c r="H1329" s="64">
        <f t="shared" ref="H1329:H1336" si="105">H1328-5</f>
        <v>105</v>
      </c>
      <c r="I1329" s="214" t="s">
        <v>0</v>
      </c>
      <c r="J1329" s="36"/>
      <c r="K1329" s="36"/>
      <c r="L1329" s="36"/>
      <c r="M1329" s="36"/>
      <c r="N1329" s="36"/>
      <c r="O1329" s="36"/>
      <c r="P1329" s="36"/>
      <c r="Q1329" s="36"/>
      <c r="R1329" s="36"/>
      <c r="S1329" s="36"/>
      <c r="T1329" s="36"/>
      <c r="U1329" s="36"/>
      <c r="V1329" s="36"/>
      <c r="W1329" s="36"/>
      <c r="X1329" s="36"/>
      <c r="Y1329" s="36"/>
      <c r="Z1329" s="36"/>
      <c r="AA1329" s="36"/>
      <c r="AB1329" s="36"/>
      <c r="AC1329" s="36"/>
      <c r="AD1329" s="36"/>
      <c r="AE1329" s="36"/>
      <c r="AF1329" s="36"/>
      <c r="AG1329" s="36"/>
      <c r="AH1329" s="36"/>
      <c r="AI1329" s="36"/>
    </row>
    <row r="1330" spans="1:35" ht="15" hidden="1" customHeight="1">
      <c r="A1330" s="214" t="s">
        <v>0</v>
      </c>
      <c r="B1330" s="277"/>
      <c r="C1330" s="355"/>
      <c r="D1330" s="315"/>
      <c r="E1330" s="308"/>
      <c r="F1330" s="62">
        <v>7</v>
      </c>
      <c r="G1330" s="63" t="s">
        <v>164</v>
      </c>
      <c r="H1330" s="64">
        <f t="shared" si="105"/>
        <v>100</v>
      </c>
      <c r="I1330" s="214" t="s">
        <v>0</v>
      </c>
      <c r="J1330" s="36"/>
      <c r="K1330" s="36"/>
      <c r="L1330" s="36"/>
      <c r="M1330" s="36"/>
      <c r="N1330" s="36"/>
      <c r="O1330" s="36"/>
      <c r="P1330" s="36"/>
      <c r="Q1330" s="36"/>
      <c r="R1330" s="36"/>
      <c r="S1330" s="36"/>
      <c r="T1330" s="36"/>
      <c r="U1330" s="36"/>
      <c r="V1330" s="36"/>
      <c r="W1330" s="36"/>
      <c r="X1330" s="36"/>
      <c r="Y1330" s="36"/>
      <c r="Z1330" s="36"/>
      <c r="AA1330" s="36"/>
      <c r="AB1330" s="36"/>
      <c r="AC1330" s="36"/>
      <c r="AD1330" s="36"/>
      <c r="AE1330" s="36"/>
      <c r="AF1330" s="36"/>
      <c r="AG1330" s="36"/>
      <c r="AH1330" s="36"/>
      <c r="AI1330" s="36"/>
    </row>
    <row r="1331" spans="1:35" ht="15" hidden="1" customHeight="1">
      <c r="A1331" s="214" t="s">
        <v>0</v>
      </c>
      <c r="B1331" s="277"/>
      <c r="C1331" s="355"/>
      <c r="D1331" s="315"/>
      <c r="E1331" s="308"/>
      <c r="F1331" s="62">
        <v>6</v>
      </c>
      <c r="G1331" s="63" t="s">
        <v>164</v>
      </c>
      <c r="H1331" s="64">
        <f t="shared" si="105"/>
        <v>95</v>
      </c>
      <c r="I1331" s="214" t="s">
        <v>0</v>
      </c>
      <c r="J1331" s="36"/>
      <c r="K1331" s="36"/>
      <c r="L1331" s="36"/>
      <c r="M1331" s="36"/>
      <c r="N1331" s="36"/>
      <c r="O1331" s="36"/>
      <c r="P1331" s="36"/>
      <c r="Q1331" s="36"/>
      <c r="R1331" s="36"/>
      <c r="S1331" s="36"/>
      <c r="T1331" s="36"/>
      <c r="U1331" s="36"/>
      <c r="V1331" s="36"/>
      <c r="W1331" s="36"/>
      <c r="X1331" s="36"/>
      <c r="Y1331" s="36"/>
      <c r="Z1331" s="36"/>
      <c r="AA1331" s="36"/>
      <c r="AB1331" s="36"/>
      <c r="AC1331" s="36"/>
      <c r="AD1331" s="36"/>
      <c r="AE1331" s="36"/>
      <c r="AF1331" s="36"/>
      <c r="AG1331" s="36"/>
      <c r="AH1331" s="36"/>
      <c r="AI1331" s="36"/>
    </row>
    <row r="1332" spans="1:35" ht="15" hidden="1" customHeight="1">
      <c r="A1332" s="214" t="s">
        <v>0</v>
      </c>
      <c r="B1332" s="277"/>
      <c r="C1332" s="355"/>
      <c r="D1332" s="315"/>
      <c r="E1332" s="308"/>
      <c r="F1332" s="62">
        <v>5</v>
      </c>
      <c r="G1332" s="63" t="s">
        <v>164</v>
      </c>
      <c r="H1332" s="64">
        <f t="shared" si="105"/>
        <v>90</v>
      </c>
      <c r="I1332" s="214" t="s">
        <v>0</v>
      </c>
      <c r="J1332" s="36"/>
      <c r="K1332" s="36"/>
      <c r="L1332" s="36"/>
      <c r="M1332" s="36"/>
      <c r="N1332" s="36"/>
      <c r="O1332" s="36"/>
      <c r="P1332" s="36"/>
      <c r="Q1332" s="36"/>
      <c r="R1332" s="36"/>
      <c r="S1332" s="36"/>
      <c r="T1332" s="36"/>
      <c r="U1332" s="36"/>
      <c r="V1332" s="36"/>
      <c r="W1332" s="36"/>
      <c r="X1332" s="36"/>
      <c r="Y1332" s="36"/>
      <c r="Z1332" s="36"/>
      <c r="AA1332" s="36"/>
      <c r="AB1332" s="36"/>
      <c r="AC1332" s="36"/>
      <c r="AD1332" s="36"/>
      <c r="AE1332" s="36"/>
      <c r="AF1332" s="36"/>
      <c r="AG1332" s="36"/>
      <c r="AH1332" s="36"/>
      <c r="AI1332" s="36"/>
    </row>
    <row r="1333" spans="1:35" ht="15" hidden="1" customHeight="1">
      <c r="A1333" s="214" t="s">
        <v>0</v>
      </c>
      <c r="B1333" s="277"/>
      <c r="C1333" s="355"/>
      <c r="D1333" s="315"/>
      <c r="E1333" s="308"/>
      <c r="F1333" s="62">
        <v>4</v>
      </c>
      <c r="G1333" s="63" t="s">
        <v>164</v>
      </c>
      <c r="H1333" s="64">
        <f t="shared" si="105"/>
        <v>85</v>
      </c>
      <c r="I1333" s="214" t="s">
        <v>0</v>
      </c>
      <c r="J1333" s="36"/>
      <c r="K1333" s="36"/>
      <c r="L1333" s="36"/>
      <c r="M1333" s="36"/>
      <c r="N1333" s="36"/>
      <c r="O1333" s="36"/>
      <c r="P1333" s="36"/>
      <c r="Q1333" s="36"/>
      <c r="R1333" s="36"/>
      <c r="S1333" s="36"/>
      <c r="T1333" s="36"/>
      <c r="U1333" s="36"/>
      <c r="V1333" s="36"/>
      <c r="W1333" s="36"/>
      <c r="X1333" s="36"/>
      <c r="Y1333" s="36"/>
      <c r="Z1333" s="36"/>
      <c r="AA1333" s="36"/>
      <c r="AB1333" s="36"/>
      <c r="AC1333" s="36"/>
      <c r="AD1333" s="36"/>
      <c r="AE1333" s="36"/>
      <c r="AF1333" s="36"/>
      <c r="AG1333" s="36"/>
      <c r="AH1333" s="36"/>
      <c r="AI1333" s="36"/>
    </row>
    <row r="1334" spans="1:35" ht="15.75" hidden="1" customHeight="1" thickBot="1">
      <c r="A1334" s="214" t="s">
        <v>0</v>
      </c>
      <c r="B1334" s="278"/>
      <c r="C1334" s="350"/>
      <c r="D1334" s="315"/>
      <c r="E1334" s="308"/>
      <c r="F1334" s="62">
        <v>3</v>
      </c>
      <c r="G1334" s="63" t="s">
        <v>164</v>
      </c>
      <c r="H1334" s="64">
        <f t="shared" si="105"/>
        <v>80</v>
      </c>
      <c r="I1334" s="214" t="s">
        <v>0</v>
      </c>
      <c r="J1334" s="36"/>
      <c r="K1334" s="36"/>
      <c r="L1334" s="36"/>
      <c r="M1334" s="36"/>
      <c r="N1334" s="36"/>
      <c r="O1334" s="36"/>
      <c r="P1334" s="36"/>
      <c r="Q1334" s="36"/>
      <c r="R1334" s="36"/>
      <c r="S1334" s="36"/>
      <c r="T1334" s="36"/>
      <c r="U1334" s="36"/>
      <c r="V1334" s="36"/>
      <c r="W1334" s="36"/>
      <c r="X1334" s="36"/>
      <c r="Y1334" s="36"/>
      <c r="Z1334" s="36"/>
      <c r="AA1334" s="36"/>
      <c r="AB1334" s="36"/>
      <c r="AC1334" s="36"/>
      <c r="AD1334" s="36"/>
      <c r="AE1334" s="36"/>
      <c r="AF1334" s="36"/>
      <c r="AG1334" s="36"/>
      <c r="AH1334" s="36"/>
      <c r="AI1334" s="36"/>
    </row>
    <row r="1335" spans="1:35" ht="15" hidden="1" customHeight="1">
      <c r="A1335" s="214" t="s">
        <v>0</v>
      </c>
      <c r="B1335" s="274" t="s">
        <v>158</v>
      </c>
      <c r="C1335" s="349"/>
      <c r="D1335" s="315"/>
      <c r="E1335" s="308"/>
      <c r="F1335" s="62">
        <v>2</v>
      </c>
      <c r="G1335" s="63" t="s">
        <v>164</v>
      </c>
      <c r="H1335" s="64">
        <f t="shared" si="105"/>
        <v>75</v>
      </c>
      <c r="I1335" s="214" t="s">
        <v>0</v>
      </c>
      <c r="J1335" s="36"/>
      <c r="K1335" s="36"/>
      <c r="L1335" s="36"/>
      <c r="M1335" s="36"/>
      <c r="N1335" s="36"/>
      <c r="O1335" s="36"/>
      <c r="P1335" s="36"/>
      <c r="Q1335" s="36"/>
      <c r="R1335" s="36"/>
      <c r="S1335" s="36"/>
      <c r="T1335" s="36"/>
      <c r="U1335" s="36"/>
      <c r="V1335" s="36"/>
      <c r="W1335" s="36"/>
      <c r="X1335" s="36"/>
      <c r="Y1335" s="36"/>
      <c r="Z1335" s="36"/>
      <c r="AA1335" s="36"/>
      <c r="AB1335" s="36"/>
      <c r="AC1335" s="36"/>
      <c r="AD1335" s="36"/>
      <c r="AE1335" s="36"/>
      <c r="AF1335" s="36"/>
      <c r="AG1335" s="36"/>
      <c r="AH1335" s="36"/>
      <c r="AI1335" s="36"/>
    </row>
    <row r="1336" spans="1:35" ht="15.75" hidden="1" customHeight="1" thickBot="1">
      <c r="A1336" s="214" t="s">
        <v>0</v>
      </c>
      <c r="B1336" s="275"/>
      <c r="C1336" s="350"/>
      <c r="D1336" s="316"/>
      <c r="E1336" s="309"/>
      <c r="F1336" s="67">
        <v>1</v>
      </c>
      <c r="G1336" s="68" t="s">
        <v>164</v>
      </c>
      <c r="H1336" s="69">
        <f t="shared" si="105"/>
        <v>70</v>
      </c>
      <c r="I1336" s="214" t="s">
        <v>0</v>
      </c>
      <c r="J1336" s="36"/>
      <c r="K1336" s="36"/>
      <c r="L1336" s="36"/>
      <c r="M1336" s="36"/>
      <c r="N1336" s="36"/>
      <c r="O1336" s="36"/>
      <c r="P1336" s="36"/>
      <c r="Q1336" s="36"/>
      <c r="R1336" s="36"/>
      <c r="S1336" s="36"/>
      <c r="T1336" s="36"/>
      <c r="U1336" s="36"/>
      <c r="V1336" s="36"/>
      <c r="W1336" s="36"/>
      <c r="X1336" s="36"/>
      <c r="Y1336" s="36"/>
      <c r="Z1336" s="36"/>
      <c r="AA1336" s="36"/>
      <c r="AB1336" s="36"/>
      <c r="AC1336" s="36"/>
      <c r="AD1336" s="36"/>
      <c r="AE1336" s="36"/>
      <c r="AF1336" s="36"/>
      <c r="AG1336" s="36"/>
      <c r="AH1336" s="36"/>
      <c r="AI1336" s="36"/>
    </row>
    <row r="1337" spans="1:35" ht="15.75" hidden="1" customHeight="1" thickBot="1">
      <c r="A1337" s="214" t="s">
        <v>0</v>
      </c>
      <c r="B1337" s="276">
        <v>9</v>
      </c>
      <c r="C1337" s="349"/>
      <c r="D1337" s="123" t="s">
        <v>156</v>
      </c>
      <c r="E1337" s="124">
        <v>0.6</v>
      </c>
      <c r="F1337" s="58">
        <v>10</v>
      </c>
      <c r="G1337" s="59" t="s">
        <v>164</v>
      </c>
      <c r="H1337" s="60">
        <v>115</v>
      </c>
      <c r="I1337" s="214" t="s">
        <v>0</v>
      </c>
      <c r="J1337" s="36"/>
      <c r="K1337" s="36"/>
      <c r="L1337" s="36"/>
      <c r="M1337" s="36"/>
      <c r="N1337" s="36"/>
      <c r="O1337" s="36"/>
      <c r="P1337" s="36"/>
      <c r="Q1337" s="36"/>
      <c r="R1337" s="36"/>
      <c r="S1337" s="36"/>
      <c r="T1337" s="36"/>
      <c r="U1337" s="36"/>
      <c r="V1337" s="36"/>
      <c r="W1337" s="36"/>
      <c r="X1337" s="36"/>
      <c r="Y1337" s="36"/>
      <c r="Z1337" s="36"/>
      <c r="AA1337" s="36"/>
      <c r="AB1337" s="36"/>
      <c r="AC1337" s="36"/>
      <c r="AD1337" s="36"/>
      <c r="AE1337" s="36"/>
      <c r="AF1337" s="36"/>
      <c r="AG1337" s="36"/>
      <c r="AH1337" s="36"/>
      <c r="AI1337" s="36"/>
    </row>
    <row r="1338" spans="1:35" ht="15" hidden="1" customHeight="1">
      <c r="A1338" s="214" t="s">
        <v>0</v>
      </c>
      <c r="B1338" s="277"/>
      <c r="C1338" s="355"/>
      <c r="D1338" s="314"/>
      <c r="E1338" s="307">
        <f>IF(D1338=0,0,VLOOKUP($D1338,$F1337:$H1346,3,FALSE)*$E1337)</f>
        <v>0</v>
      </c>
      <c r="F1338" s="62">
        <v>9</v>
      </c>
      <c r="G1338" s="63" t="s">
        <v>164</v>
      </c>
      <c r="H1338" s="64">
        <f>H1337-5</f>
        <v>110</v>
      </c>
      <c r="I1338" s="214" t="s">
        <v>0</v>
      </c>
      <c r="J1338" s="36"/>
      <c r="K1338" s="36"/>
      <c r="L1338" s="36"/>
      <c r="M1338" s="36"/>
      <c r="N1338" s="36"/>
      <c r="O1338" s="36"/>
      <c r="P1338" s="36"/>
      <c r="Q1338" s="36"/>
      <c r="R1338" s="36"/>
      <c r="S1338" s="36"/>
      <c r="T1338" s="36"/>
      <c r="U1338" s="36"/>
      <c r="V1338" s="36"/>
      <c r="W1338" s="36"/>
      <c r="X1338" s="36"/>
      <c r="Y1338" s="36"/>
      <c r="Z1338" s="36"/>
      <c r="AA1338" s="36"/>
      <c r="AB1338" s="36"/>
      <c r="AC1338" s="36"/>
      <c r="AD1338" s="36"/>
      <c r="AE1338" s="36"/>
      <c r="AF1338" s="36"/>
      <c r="AG1338" s="36"/>
      <c r="AH1338" s="36"/>
      <c r="AI1338" s="36"/>
    </row>
    <row r="1339" spans="1:35" ht="15" hidden="1" customHeight="1">
      <c r="A1339" s="214" t="s">
        <v>0</v>
      </c>
      <c r="B1339" s="277"/>
      <c r="C1339" s="355"/>
      <c r="D1339" s="315"/>
      <c r="E1339" s="308"/>
      <c r="F1339" s="62">
        <v>8</v>
      </c>
      <c r="G1339" s="63" t="s">
        <v>164</v>
      </c>
      <c r="H1339" s="64">
        <f t="shared" ref="H1339:H1346" si="106">H1338-5</f>
        <v>105</v>
      </c>
      <c r="I1339" s="214" t="s">
        <v>0</v>
      </c>
      <c r="J1339" s="36"/>
      <c r="K1339" s="36"/>
      <c r="L1339" s="36"/>
      <c r="M1339" s="36"/>
      <c r="N1339" s="36"/>
      <c r="O1339" s="36"/>
      <c r="P1339" s="36"/>
      <c r="Q1339" s="36"/>
      <c r="R1339" s="36"/>
      <c r="S1339" s="36"/>
      <c r="T1339" s="36"/>
      <c r="U1339" s="36"/>
      <c r="V1339" s="36"/>
      <c r="W1339" s="36"/>
      <c r="X1339" s="36"/>
      <c r="Y1339" s="36"/>
      <c r="Z1339" s="36"/>
      <c r="AA1339" s="36"/>
      <c r="AB1339" s="36"/>
      <c r="AC1339" s="36"/>
      <c r="AD1339" s="36"/>
      <c r="AE1339" s="36"/>
      <c r="AF1339" s="36"/>
      <c r="AG1339" s="36"/>
      <c r="AH1339" s="36"/>
      <c r="AI1339" s="36"/>
    </row>
    <row r="1340" spans="1:35" ht="15" hidden="1" customHeight="1">
      <c r="A1340" s="214" t="s">
        <v>0</v>
      </c>
      <c r="B1340" s="277"/>
      <c r="C1340" s="355"/>
      <c r="D1340" s="315"/>
      <c r="E1340" s="308"/>
      <c r="F1340" s="62">
        <v>7</v>
      </c>
      <c r="G1340" s="63" t="s">
        <v>164</v>
      </c>
      <c r="H1340" s="64">
        <f t="shared" si="106"/>
        <v>100</v>
      </c>
      <c r="I1340" s="214" t="s">
        <v>0</v>
      </c>
      <c r="J1340" s="36"/>
      <c r="K1340" s="36"/>
      <c r="L1340" s="36"/>
      <c r="M1340" s="36"/>
      <c r="N1340" s="36"/>
      <c r="O1340" s="36"/>
      <c r="P1340" s="36"/>
      <c r="Q1340" s="36"/>
      <c r="R1340" s="36"/>
      <c r="S1340" s="36"/>
      <c r="T1340" s="36"/>
      <c r="U1340" s="36"/>
      <c r="V1340" s="36"/>
      <c r="W1340" s="36"/>
      <c r="X1340" s="36"/>
      <c r="Y1340" s="36"/>
      <c r="Z1340" s="36"/>
      <c r="AA1340" s="36"/>
      <c r="AB1340" s="36"/>
      <c r="AC1340" s="36"/>
      <c r="AD1340" s="36"/>
      <c r="AE1340" s="36"/>
      <c r="AF1340" s="36"/>
      <c r="AG1340" s="36"/>
      <c r="AH1340" s="36"/>
      <c r="AI1340" s="36"/>
    </row>
    <row r="1341" spans="1:35" ht="15" hidden="1" customHeight="1">
      <c r="A1341" s="214" t="s">
        <v>0</v>
      </c>
      <c r="B1341" s="277"/>
      <c r="C1341" s="355"/>
      <c r="D1341" s="315"/>
      <c r="E1341" s="308"/>
      <c r="F1341" s="62">
        <v>6</v>
      </c>
      <c r="G1341" s="63" t="s">
        <v>164</v>
      </c>
      <c r="H1341" s="64">
        <f t="shared" si="106"/>
        <v>95</v>
      </c>
      <c r="I1341" s="214" t="s">
        <v>0</v>
      </c>
      <c r="J1341" s="36"/>
      <c r="K1341" s="36"/>
      <c r="L1341" s="36"/>
      <c r="M1341" s="36"/>
      <c r="N1341" s="36"/>
      <c r="O1341" s="36"/>
      <c r="P1341" s="36"/>
      <c r="Q1341" s="36"/>
      <c r="R1341" s="36"/>
      <c r="S1341" s="36"/>
      <c r="T1341" s="36"/>
      <c r="U1341" s="36"/>
      <c r="V1341" s="36"/>
      <c r="W1341" s="36"/>
      <c r="X1341" s="36"/>
      <c r="Y1341" s="36"/>
      <c r="Z1341" s="36"/>
      <c r="AA1341" s="36"/>
      <c r="AB1341" s="36"/>
      <c r="AC1341" s="36"/>
      <c r="AD1341" s="36"/>
      <c r="AE1341" s="36"/>
      <c r="AF1341" s="36"/>
      <c r="AG1341" s="36"/>
      <c r="AH1341" s="36"/>
      <c r="AI1341" s="36"/>
    </row>
    <row r="1342" spans="1:35" ht="15" hidden="1" customHeight="1">
      <c r="A1342" s="214" t="s">
        <v>0</v>
      </c>
      <c r="B1342" s="277"/>
      <c r="C1342" s="355"/>
      <c r="D1342" s="315"/>
      <c r="E1342" s="308"/>
      <c r="F1342" s="62">
        <v>5</v>
      </c>
      <c r="G1342" s="63" t="s">
        <v>164</v>
      </c>
      <c r="H1342" s="64">
        <f t="shared" si="106"/>
        <v>90</v>
      </c>
      <c r="I1342" s="214" t="s">
        <v>0</v>
      </c>
      <c r="J1342" s="36"/>
      <c r="K1342" s="36"/>
      <c r="L1342" s="36"/>
      <c r="M1342" s="36"/>
      <c r="N1342" s="36"/>
      <c r="O1342" s="36"/>
      <c r="P1342" s="36"/>
      <c r="Q1342" s="36"/>
      <c r="R1342" s="36"/>
      <c r="S1342" s="36"/>
      <c r="T1342" s="36"/>
      <c r="U1342" s="36"/>
      <c r="V1342" s="36"/>
      <c r="W1342" s="36"/>
      <c r="X1342" s="36"/>
      <c r="Y1342" s="36"/>
      <c r="Z1342" s="36"/>
      <c r="AA1342" s="36"/>
      <c r="AB1342" s="36"/>
      <c r="AC1342" s="36"/>
      <c r="AD1342" s="36"/>
      <c r="AE1342" s="36"/>
      <c r="AF1342" s="36"/>
      <c r="AG1342" s="36"/>
      <c r="AH1342" s="36"/>
      <c r="AI1342" s="36"/>
    </row>
    <row r="1343" spans="1:35" ht="15" hidden="1" customHeight="1">
      <c r="A1343" s="214" t="s">
        <v>0</v>
      </c>
      <c r="B1343" s="277"/>
      <c r="C1343" s="355"/>
      <c r="D1343" s="315"/>
      <c r="E1343" s="308"/>
      <c r="F1343" s="62">
        <v>4</v>
      </c>
      <c r="G1343" s="63" t="s">
        <v>164</v>
      </c>
      <c r="H1343" s="64">
        <f t="shared" si="106"/>
        <v>85</v>
      </c>
      <c r="I1343" s="214" t="s">
        <v>0</v>
      </c>
      <c r="J1343" s="36"/>
      <c r="K1343" s="36"/>
      <c r="L1343" s="36"/>
      <c r="M1343" s="36"/>
      <c r="N1343" s="36"/>
      <c r="O1343" s="36"/>
      <c r="P1343" s="36"/>
      <c r="Q1343" s="36"/>
      <c r="R1343" s="36"/>
      <c r="S1343" s="36"/>
      <c r="T1343" s="36"/>
      <c r="U1343" s="36"/>
      <c r="V1343" s="36"/>
      <c r="W1343" s="36"/>
      <c r="X1343" s="36"/>
      <c r="Y1343" s="36"/>
      <c r="Z1343" s="36"/>
      <c r="AA1343" s="36"/>
      <c r="AB1343" s="36"/>
      <c r="AC1343" s="36"/>
      <c r="AD1343" s="36"/>
      <c r="AE1343" s="36"/>
      <c r="AF1343" s="36"/>
      <c r="AG1343" s="36"/>
      <c r="AH1343" s="36"/>
      <c r="AI1343" s="36"/>
    </row>
    <row r="1344" spans="1:35" ht="15.75" hidden="1" customHeight="1" thickBot="1">
      <c r="A1344" s="214" t="s">
        <v>0</v>
      </c>
      <c r="B1344" s="278"/>
      <c r="C1344" s="350"/>
      <c r="D1344" s="315"/>
      <c r="E1344" s="308"/>
      <c r="F1344" s="62">
        <v>3</v>
      </c>
      <c r="G1344" s="63" t="s">
        <v>164</v>
      </c>
      <c r="H1344" s="64">
        <f t="shared" si="106"/>
        <v>80</v>
      </c>
      <c r="I1344" s="214" t="s">
        <v>0</v>
      </c>
      <c r="J1344" s="36"/>
      <c r="K1344" s="36"/>
      <c r="L1344" s="36"/>
      <c r="M1344" s="36"/>
      <c r="N1344" s="36"/>
      <c r="O1344" s="36"/>
      <c r="P1344" s="36"/>
      <c r="Q1344" s="36"/>
      <c r="R1344" s="36"/>
      <c r="S1344" s="36"/>
      <c r="T1344" s="36"/>
      <c r="U1344" s="36"/>
      <c r="V1344" s="36"/>
      <c r="W1344" s="36"/>
      <c r="X1344" s="36"/>
      <c r="Y1344" s="36"/>
      <c r="Z1344" s="36"/>
      <c r="AA1344" s="36"/>
      <c r="AB1344" s="36"/>
      <c r="AC1344" s="36"/>
      <c r="AD1344" s="36"/>
      <c r="AE1344" s="36"/>
      <c r="AF1344" s="36"/>
      <c r="AG1344" s="36"/>
      <c r="AH1344" s="36"/>
      <c r="AI1344" s="36"/>
    </row>
    <row r="1345" spans="1:35" ht="15" hidden="1" customHeight="1">
      <c r="A1345" s="214" t="s">
        <v>0</v>
      </c>
      <c r="B1345" s="274" t="s">
        <v>158</v>
      </c>
      <c r="C1345" s="349"/>
      <c r="D1345" s="315"/>
      <c r="E1345" s="308"/>
      <c r="F1345" s="62">
        <v>2</v>
      </c>
      <c r="G1345" s="63" t="s">
        <v>164</v>
      </c>
      <c r="H1345" s="64">
        <f t="shared" si="106"/>
        <v>75</v>
      </c>
      <c r="I1345" s="214" t="s">
        <v>0</v>
      </c>
      <c r="J1345" s="36"/>
      <c r="K1345" s="36"/>
      <c r="L1345" s="36"/>
      <c r="M1345" s="36"/>
      <c r="N1345" s="36"/>
      <c r="O1345" s="36"/>
      <c r="P1345" s="36"/>
      <c r="Q1345" s="36"/>
      <c r="R1345" s="36"/>
      <c r="S1345" s="36"/>
      <c r="T1345" s="36"/>
      <c r="U1345" s="36"/>
      <c r="V1345" s="36"/>
      <c r="W1345" s="36"/>
      <c r="X1345" s="36"/>
      <c r="Y1345" s="36"/>
      <c r="Z1345" s="36"/>
      <c r="AA1345" s="36"/>
      <c r="AB1345" s="36"/>
      <c r="AC1345" s="36"/>
      <c r="AD1345" s="36"/>
      <c r="AE1345" s="36"/>
      <c r="AF1345" s="36"/>
      <c r="AG1345" s="36"/>
      <c r="AH1345" s="36"/>
      <c r="AI1345" s="36"/>
    </row>
    <row r="1346" spans="1:35" ht="15.75" hidden="1" customHeight="1" thickBot="1">
      <c r="A1346" s="214" t="s">
        <v>0</v>
      </c>
      <c r="B1346" s="275"/>
      <c r="C1346" s="350"/>
      <c r="D1346" s="316"/>
      <c r="E1346" s="309"/>
      <c r="F1346" s="67">
        <v>1</v>
      </c>
      <c r="G1346" s="68" t="s">
        <v>164</v>
      </c>
      <c r="H1346" s="69">
        <f t="shared" si="106"/>
        <v>70</v>
      </c>
      <c r="I1346" s="214" t="s">
        <v>0</v>
      </c>
      <c r="J1346" s="36"/>
      <c r="K1346" s="36"/>
      <c r="L1346" s="36"/>
      <c r="M1346" s="36"/>
      <c r="N1346" s="36"/>
      <c r="O1346" s="36"/>
      <c r="P1346" s="36"/>
      <c r="Q1346" s="36"/>
      <c r="R1346" s="36"/>
      <c r="S1346" s="36"/>
      <c r="T1346" s="36"/>
      <c r="U1346" s="36"/>
      <c r="V1346" s="36"/>
      <c r="W1346" s="36"/>
      <c r="X1346" s="36"/>
      <c r="Y1346" s="36"/>
      <c r="Z1346" s="36"/>
      <c r="AA1346" s="36"/>
      <c r="AB1346" s="36"/>
      <c r="AC1346" s="36"/>
      <c r="AD1346" s="36"/>
      <c r="AE1346" s="36"/>
      <c r="AF1346" s="36"/>
      <c r="AG1346" s="36"/>
      <c r="AH1346" s="36"/>
      <c r="AI1346" s="36"/>
    </row>
    <row r="1347" spans="1:35" ht="15.75" hidden="1" customHeight="1" thickBot="1">
      <c r="A1347" s="214" t="s">
        <v>0</v>
      </c>
      <c r="B1347" s="279">
        <v>10</v>
      </c>
      <c r="C1347" s="349"/>
      <c r="D1347" s="123" t="s">
        <v>156</v>
      </c>
      <c r="E1347" s="124">
        <v>0.6</v>
      </c>
      <c r="F1347" s="70">
        <v>10</v>
      </c>
      <c r="G1347" s="71" t="s">
        <v>164</v>
      </c>
      <c r="H1347" s="72">
        <v>115</v>
      </c>
      <c r="I1347" s="214" t="s">
        <v>0</v>
      </c>
      <c r="J1347" s="36"/>
      <c r="K1347" s="36"/>
      <c r="L1347" s="36"/>
      <c r="M1347" s="36"/>
      <c r="N1347" s="36"/>
      <c r="O1347" s="36"/>
      <c r="P1347" s="36"/>
      <c r="Q1347" s="36"/>
      <c r="R1347" s="36"/>
      <c r="S1347" s="36"/>
      <c r="T1347" s="36"/>
      <c r="U1347" s="36"/>
      <c r="V1347" s="36"/>
      <c r="W1347" s="36"/>
      <c r="X1347" s="36"/>
      <c r="Y1347" s="36"/>
      <c r="Z1347" s="36"/>
      <c r="AA1347" s="36"/>
      <c r="AB1347" s="36"/>
      <c r="AC1347" s="36"/>
      <c r="AD1347" s="36"/>
      <c r="AE1347" s="36"/>
      <c r="AF1347" s="36"/>
      <c r="AG1347" s="36"/>
      <c r="AH1347" s="36"/>
      <c r="AI1347" s="36"/>
    </row>
    <row r="1348" spans="1:35" ht="15" hidden="1" customHeight="1">
      <c r="A1348" s="214" t="s">
        <v>0</v>
      </c>
      <c r="B1348" s="277"/>
      <c r="C1348" s="355"/>
      <c r="D1348" s="314"/>
      <c r="E1348" s="307">
        <f>IF(D1348=0,0,VLOOKUP($D1348,$F1347:$H1356,3,FALSE)*$E1347)</f>
        <v>0</v>
      </c>
      <c r="F1348" s="62">
        <v>9</v>
      </c>
      <c r="G1348" s="63" t="s">
        <v>164</v>
      </c>
      <c r="H1348" s="64">
        <f>H1347-5</f>
        <v>110</v>
      </c>
      <c r="I1348" s="214" t="s">
        <v>0</v>
      </c>
      <c r="J1348" s="36"/>
      <c r="K1348" s="36"/>
      <c r="L1348" s="36"/>
      <c r="M1348" s="36"/>
      <c r="N1348" s="36"/>
      <c r="O1348" s="36"/>
      <c r="P1348" s="36"/>
      <c r="Q1348" s="36"/>
      <c r="R1348" s="36"/>
      <c r="S1348" s="36"/>
      <c r="T1348" s="36"/>
      <c r="U1348" s="36"/>
      <c r="V1348" s="36"/>
      <c r="W1348" s="36"/>
      <c r="X1348" s="36"/>
      <c r="Y1348" s="36"/>
      <c r="Z1348" s="36"/>
      <c r="AA1348" s="36"/>
      <c r="AB1348" s="36"/>
      <c r="AC1348" s="36"/>
      <c r="AD1348" s="36"/>
      <c r="AE1348" s="36"/>
      <c r="AF1348" s="36"/>
      <c r="AG1348" s="36"/>
      <c r="AH1348" s="36"/>
      <c r="AI1348" s="36"/>
    </row>
    <row r="1349" spans="1:35" ht="15" hidden="1" customHeight="1">
      <c r="A1349" s="214" t="s">
        <v>0</v>
      </c>
      <c r="B1349" s="277"/>
      <c r="C1349" s="355"/>
      <c r="D1349" s="315"/>
      <c r="E1349" s="308"/>
      <c r="F1349" s="62">
        <v>8</v>
      </c>
      <c r="G1349" s="63" t="s">
        <v>164</v>
      </c>
      <c r="H1349" s="64">
        <f t="shared" ref="H1349:H1356" si="107">H1348-5</f>
        <v>105</v>
      </c>
      <c r="I1349" s="214" t="s">
        <v>0</v>
      </c>
      <c r="J1349" s="36"/>
      <c r="K1349" s="36"/>
      <c r="L1349" s="36"/>
      <c r="M1349" s="36"/>
      <c r="N1349" s="36"/>
      <c r="O1349" s="36"/>
      <c r="P1349" s="36"/>
      <c r="Q1349" s="36"/>
      <c r="R1349" s="36"/>
      <c r="S1349" s="36"/>
      <c r="T1349" s="36"/>
      <c r="U1349" s="36"/>
      <c r="V1349" s="36"/>
      <c r="W1349" s="36"/>
      <c r="X1349" s="36"/>
      <c r="Y1349" s="36"/>
      <c r="Z1349" s="36"/>
      <c r="AA1349" s="36"/>
      <c r="AB1349" s="36"/>
      <c r="AC1349" s="36"/>
      <c r="AD1349" s="36"/>
      <c r="AE1349" s="36"/>
      <c r="AF1349" s="36"/>
      <c r="AG1349" s="36"/>
      <c r="AH1349" s="36"/>
      <c r="AI1349" s="36"/>
    </row>
    <row r="1350" spans="1:35" ht="15" hidden="1" customHeight="1">
      <c r="A1350" s="214" t="s">
        <v>0</v>
      </c>
      <c r="B1350" s="277"/>
      <c r="C1350" s="355"/>
      <c r="D1350" s="315"/>
      <c r="E1350" s="308"/>
      <c r="F1350" s="62">
        <v>7</v>
      </c>
      <c r="G1350" s="63" t="s">
        <v>164</v>
      </c>
      <c r="H1350" s="64">
        <f t="shared" si="107"/>
        <v>100</v>
      </c>
      <c r="I1350" s="214" t="s">
        <v>0</v>
      </c>
      <c r="J1350" s="36"/>
      <c r="K1350" s="36"/>
      <c r="L1350" s="36"/>
      <c r="M1350" s="36"/>
      <c r="N1350" s="36"/>
      <c r="O1350" s="36"/>
      <c r="P1350" s="36"/>
      <c r="Q1350" s="36"/>
      <c r="R1350" s="36"/>
      <c r="S1350" s="36"/>
      <c r="T1350" s="36"/>
      <c r="U1350" s="36"/>
      <c r="V1350" s="36"/>
      <c r="W1350" s="36"/>
      <c r="X1350" s="36"/>
      <c r="Y1350" s="36"/>
      <c r="Z1350" s="36"/>
      <c r="AA1350" s="36"/>
      <c r="AB1350" s="36"/>
      <c r="AC1350" s="36"/>
      <c r="AD1350" s="36"/>
      <c r="AE1350" s="36"/>
      <c r="AF1350" s="36"/>
      <c r="AG1350" s="36"/>
      <c r="AH1350" s="36"/>
      <c r="AI1350" s="36"/>
    </row>
    <row r="1351" spans="1:35" ht="15" hidden="1" customHeight="1">
      <c r="A1351" s="214" t="s">
        <v>0</v>
      </c>
      <c r="B1351" s="277"/>
      <c r="C1351" s="355"/>
      <c r="D1351" s="315"/>
      <c r="E1351" s="308"/>
      <c r="F1351" s="62">
        <v>6</v>
      </c>
      <c r="G1351" s="63" t="s">
        <v>164</v>
      </c>
      <c r="H1351" s="64">
        <f t="shared" si="107"/>
        <v>95</v>
      </c>
      <c r="I1351" s="214" t="s">
        <v>0</v>
      </c>
      <c r="J1351" s="36"/>
      <c r="K1351" s="36"/>
      <c r="L1351" s="36"/>
      <c r="M1351" s="36"/>
      <c r="N1351" s="36"/>
      <c r="O1351" s="36"/>
      <c r="P1351" s="36"/>
      <c r="Q1351" s="36"/>
      <c r="R1351" s="36"/>
      <c r="S1351" s="36"/>
      <c r="T1351" s="36"/>
      <c r="U1351" s="36"/>
      <c r="V1351" s="36"/>
      <c r="W1351" s="36"/>
      <c r="X1351" s="36"/>
      <c r="Y1351" s="36"/>
      <c r="Z1351" s="36"/>
      <c r="AA1351" s="36"/>
      <c r="AB1351" s="36"/>
      <c r="AC1351" s="36"/>
      <c r="AD1351" s="36"/>
      <c r="AE1351" s="36"/>
      <c r="AF1351" s="36"/>
      <c r="AG1351" s="36"/>
      <c r="AH1351" s="36"/>
      <c r="AI1351" s="36"/>
    </row>
    <row r="1352" spans="1:35" ht="15" hidden="1" customHeight="1">
      <c r="A1352" s="214" t="s">
        <v>0</v>
      </c>
      <c r="B1352" s="277"/>
      <c r="C1352" s="355"/>
      <c r="D1352" s="315"/>
      <c r="E1352" s="308"/>
      <c r="F1352" s="62">
        <v>5</v>
      </c>
      <c r="G1352" s="63" t="s">
        <v>164</v>
      </c>
      <c r="H1352" s="64">
        <f t="shared" si="107"/>
        <v>90</v>
      </c>
      <c r="I1352" s="214" t="s">
        <v>0</v>
      </c>
      <c r="J1352" s="36"/>
      <c r="K1352" s="36"/>
      <c r="L1352" s="36"/>
      <c r="M1352" s="36"/>
      <c r="N1352" s="36"/>
      <c r="O1352" s="36"/>
      <c r="P1352" s="36"/>
      <c r="Q1352" s="36"/>
      <c r="R1352" s="36"/>
      <c r="S1352" s="36"/>
      <c r="T1352" s="36"/>
      <c r="U1352" s="36"/>
      <c r="V1352" s="36"/>
      <c r="W1352" s="36"/>
      <c r="X1352" s="36"/>
      <c r="Y1352" s="36"/>
      <c r="Z1352" s="36"/>
      <c r="AA1352" s="36"/>
      <c r="AB1352" s="36"/>
      <c r="AC1352" s="36"/>
      <c r="AD1352" s="36"/>
      <c r="AE1352" s="36"/>
      <c r="AF1352" s="36"/>
      <c r="AG1352" s="36"/>
      <c r="AH1352" s="36"/>
      <c r="AI1352" s="36"/>
    </row>
    <row r="1353" spans="1:35" ht="15" hidden="1" customHeight="1">
      <c r="A1353" s="214" t="s">
        <v>0</v>
      </c>
      <c r="B1353" s="277"/>
      <c r="C1353" s="355"/>
      <c r="D1353" s="315"/>
      <c r="E1353" s="308"/>
      <c r="F1353" s="62">
        <v>4</v>
      </c>
      <c r="G1353" s="63" t="s">
        <v>164</v>
      </c>
      <c r="H1353" s="64">
        <f t="shared" si="107"/>
        <v>85</v>
      </c>
      <c r="I1353" s="214" t="s">
        <v>0</v>
      </c>
      <c r="J1353" s="36"/>
      <c r="K1353" s="36"/>
      <c r="L1353" s="36"/>
      <c r="M1353" s="36"/>
      <c r="N1353" s="36"/>
      <c r="O1353" s="36"/>
      <c r="P1353" s="36"/>
      <c r="Q1353" s="36"/>
      <c r="R1353" s="36"/>
      <c r="S1353" s="36"/>
      <c r="T1353" s="36"/>
      <c r="U1353" s="36"/>
      <c r="V1353" s="36"/>
      <c r="W1353" s="36"/>
      <c r="X1353" s="36"/>
      <c r="Y1353" s="36"/>
      <c r="Z1353" s="36"/>
      <c r="AA1353" s="36"/>
      <c r="AB1353" s="36"/>
      <c r="AC1353" s="36"/>
      <c r="AD1353" s="36"/>
      <c r="AE1353" s="36"/>
      <c r="AF1353" s="36"/>
      <c r="AG1353" s="36"/>
      <c r="AH1353" s="36"/>
      <c r="AI1353" s="36"/>
    </row>
    <row r="1354" spans="1:35" ht="15.75" hidden="1" customHeight="1" thickBot="1">
      <c r="A1354" s="214" t="s">
        <v>0</v>
      </c>
      <c r="B1354" s="278"/>
      <c r="C1354" s="350"/>
      <c r="D1354" s="315"/>
      <c r="E1354" s="308"/>
      <c r="F1354" s="62">
        <v>3</v>
      </c>
      <c r="G1354" s="63" t="s">
        <v>164</v>
      </c>
      <c r="H1354" s="64">
        <f t="shared" si="107"/>
        <v>80</v>
      </c>
      <c r="I1354" s="214" t="s">
        <v>0</v>
      </c>
      <c r="J1354" s="36"/>
      <c r="K1354" s="36"/>
      <c r="L1354" s="36"/>
      <c r="M1354" s="36"/>
      <c r="N1354" s="36"/>
      <c r="O1354" s="36"/>
      <c r="P1354" s="36"/>
      <c r="Q1354" s="36"/>
      <c r="R1354" s="36"/>
      <c r="S1354" s="36"/>
      <c r="T1354" s="36"/>
      <c r="U1354" s="36"/>
      <c r="V1354" s="36"/>
      <c r="W1354" s="36"/>
      <c r="X1354" s="36"/>
      <c r="Y1354" s="36"/>
      <c r="Z1354" s="36"/>
      <c r="AA1354" s="36"/>
      <c r="AB1354" s="36"/>
      <c r="AC1354" s="36"/>
      <c r="AD1354" s="36"/>
      <c r="AE1354" s="36"/>
      <c r="AF1354" s="36"/>
      <c r="AG1354" s="36"/>
      <c r="AH1354" s="36"/>
      <c r="AI1354" s="36"/>
    </row>
    <row r="1355" spans="1:35" ht="15" hidden="1" customHeight="1">
      <c r="A1355" s="214" t="s">
        <v>0</v>
      </c>
      <c r="B1355" s="274" t="s">
        <v>158</v>
      </c>
      <c r="C1355" s="349"/>
      <c r="D1355" s="315"/>
      <c r="E1355" s="308"/>
      <c r="F1355" s="62">
        <v>2</v>
      </c>
      <c r="G1355" s="63" t="s">
        <v>164</v>
      </c>
      <c r="H1355" s="64">
        <f t="shared" si="107"/>
        <v>75</v>
      </c>
      <c r="I1355" s="214" t="s">
        <v>0</v>
      </c>
      <c r="J1355" s="36"/>
      <c r="K1355" s="36"/>
      <c r="L1355" s="36"/>
      <c r="M1355" s="36"/>
      <c r="N1355" s="36"/>
      <c r="O1355" s="36"/>
      <c r="P1355" s="36"/>
      <c r="Q1355" s="36"/>
      <c r="R1355" s="36"/>
      <c r="S1355" s="36"/>
      <c r="T1355" s="36"/>
      <c r="U1355" s="36"/>
      <c r="V1355" s="36"/>
      <c r="W1355" s="36"/>
      <c r="X1355" s="36"/>
      <c r="Y1355" s="36"/>
      <c r="Z1355" s="36"/>
      <c r="AA1355" s="36"/>
      <c r="AB1355" s="36"/>
      <c r="AC1355" s="36"/>
      <c r="AD1355" s="36"/>
      <c r="AE1355" s="36"/>
      <c r="AF1355" s="36"/>
      <c r="AG1355" s="36"/>
      <c r="AH1355" s="36"/>
      <c r="AI1355" s="36"/>
    </row>
    <row r="1356" spans="1:35" ht="15.75" hidden="1" customHeight="1" thickBot="1">
      <c r="A1356" s="214" t="s">
        <v>0</v>
      </c>
      <c r="B1356" s="275"/>
      <c r="C1356" s="350"/>
      <c r="D1356" s="316"/>
      <c r="E1356" s="309"/>
      <c r="F1356" s="67">
        <v>1</v>
      </c>
      <c r="G1356" s="68" t="s">
        <v>164</v>
      </c>
      <c r="H1356" s="69">
        <f t="shared" si="107"/>
        <v>70</v>
      </c>
      <c r="I1356" s="214" t="s">
        <v>0</v>
      </c>
      <c r="J1356" s="36"/>
      <c r="K1356" s="36"/>
      <c r="L1356" s="36"/>
      <c r="M1356" s="36"/>
      <c r="N1356" s="36"/>
      <c r="O1356" s="36"/>
      <c r="P1356" s="36"/>
      <c r="Q1356" s="36"/>
      <c r="R1356" s="36"/>
      <c r="S1356" s="36"/>
      <c r="T1356" s="36"/>
      <c r="U1356" s="36"/>
      <c r="V1356" s="36"/>
      <c r="W1356" s="36"/>
      <c r="X1356" s="36"/>
      <c r="Y1356" s="36"/>
      <c r="Z1356" s="36"/>
      <c r="AA1356" s="36"/>
      <c r="AB1356" s="36"/>
      <c r="AC1356" s="36"/>
      <c r="AD1356" s="36"/>
      <c r="AE1356" s="36"/>
      <c r="AF1356" s="36"/>
      <c r="AG1356" s="36"/>
      <c r="AH1356" s="36"/>
      <c r="AI1356" s="36"/>
    </row>
    <row r="1357" spans="1:35">
      <c r="A1357" s="214" t="s">
        <v>0</v>
      </c>
      <c r="B1357" s="214" t="s">
        <v>0</v>
      </c>
      <c r="C1357" s="214" t="s">
        <v>0</v>
      </c>
      <c r="D1357" s="214" t="s">
        <v>0</v>
      </c>
      <c r="E1357" s="214" t="s">
        <v>0</v>
      </c>
      <c r="F1357" s="214" t="s">
        <v>0</v>
      </c>
      <c r="G1357" s="214" t="s">
        <v>0</v>
      </c>
      <c r="H1357" s="214" t="s">
        <v>0</v>
      </c>
      <c r="I1357" s="214" t="s">
        <v>0</v>
      </c>
      <c r="J1357" s="36"/>
      <c r="K1357" s="36"/>
      <c r="L1357" s="36"/>
      <c r="M1357" s="36"/>
      <c r="N1357" s="36"/>
      <c r="O1357" s="36"/>
      <c r="P1357" s="36"/>
      <c r="Q1357" s="36"/>
      <c r="R1357" s="36"/>
      <c r="S1357" s="36"/>
      <c r="T1357" s="36"/>
      <c r="U1357" s="36"/>
      <c r="V1357" s="36"/>
      <c r="W1357" s="36"/>
      <c r="X1357" s="36"/>
      <c r="Y1357" s="36"/>
      <c r="Z1357" s="36"/>
      <c r="AA1357" s="36"/>
      <c r="AB1357" s="36"/>
      <c r="AC1357" s="36"/>
      <c r="AD1357" s="36"/>
      <c r="AE1357" s="36"/>
      <c r="AF1357" s="36"/>
      <c r="AG1357" s="36"/>
      <c r="AH1357" s="36"/>
      <c r="AI1357" s="36"/>
    </row>
    <row r="1358" spans="1:35">
      <c r="A1358" s="118"/>
      <c r="B1358" s="118"/>
      <c r="C1358" s="118"/>
      <c r="D1358" s="118"/>
      <c r="E1358" s="118"/>
      <c r="F1358" s="118"/>
      <c r="G1358" s="118"/>
      <c r="H1358" s="118"/>
      <c r="I1358" s="118"/>
      <c r="J1358" s="36"/>
      <c r="K1358" s="36"/>
      <c r="L1358" s="36"/>
      <c r="M1358" s="36"/>
      <c r="N1358" s="36"/>
      <c r="O1358" s="36"/>
      <c r="P1358" s="36"/>
      <c r="Q1358" s="36"/>
      <c r="R1358" s="36"/>
      <c r="S1358" s="36"/>
      <c r="T1358" s="36"/>
      <c r="U1358" s="36"/>
      <c r="V1358" s="36"/>
      <c r="W1358" s="36"/>
      <c r="X1358" s="36"/>
      <c r="Y1358" s="36"/>
      <c r="Z1358" s="36"/>
      <c r="AA1358" s="36"/>
      <c r="AB1358" s="36"/>
      <c r="AC1358" s="36"/>
      <c r="AD1358" s="36"/>
      <c r="AE1358" s="36"/>
      <c r="AF1358" s="36"/>
      <c r="AG1358" s="36"/>
      <c r="AH1358" s="36"/>
      <c r="AI1358" s="36"/>
    </row>
    <row r="1359" spans="1:35" ht="41.25" customHeight="1">
      <c r="B1359" s="346" t="s">
        <v>136</v>
      </c>
      <c r="C1359" s="346"/>
      <c r="D1359" s="346"/>
      <c r="E1359" s="346"/>
      <c r="F1359" s="346"/>
      <c r="G1359" s="346"/>
      <c r="H1359" s="346"/>
      <c r="I1359" s="151"/>
      <c r="J1359" s="151"/>
      <c r="K1359" s="151"/>
      <c r="L1359" s="151"/>
    </row>
    <row r="1362" spans="2:23">
      <c r="B1362" s="147" t="s">
        <v>184</v>
      </c>
    </row>
    <row r="1363" spans="2:23">
      <c r="H1363" s="346" t="s">
        <v>137</v>
      </c>
      <c r="I1363" s="346"/>
      <c r="J1363" s="346"/>
      <c r="K1363" s="346"/>
      <c r="L1363" s="346"/>
      <c r="M1363" s="346"/>
      <c r="N1363" s="346"/>
    </row>
    <row r="1366" spans="2:23" ht="30.75" customHeight="1">
      <c r="I1366" s="151"/>
      <c r="J1366" s="151"/>
      <c r="K1366" s="151"/>
      <c r="L1366" s="151"/>
    </row>
    <row r="1371" spans="2:23">
      <c r="V1371" t="s">
        <v>185</v>
      </c>
      <c r="W1371" t="str">
        <f>$V$1371&amp;$V$1372</f>
        <v>Karyawan : NN</v>
      </c>
    </row>
    <row r="1372" spans="2:23">
      <c r="V1372" t="str">
        <f>AI18</f>
        <v>NN</v>
      </c>
    </row>
    <row r="1373" spans="2:23">
      <c r="V1373" t="str">
        <f>$V$1374&amp;$W$1374</f>
        <v>Level Manager berikutnya : Arfin Indra C</v>
      </c>
    </row>
    <row r="1374" spans="2:23">
      <c r="B1374" s="148" t="s">
        <v>138</v>
      </c>
      <c r="V1374" t="s">
        <v>186</v>
      </c>
      <c r="W1374" t="str">
        <f>D9</f>
        <v>Arfin Indra C</v>
      </c>
    </row>
    <row r="1375" spans="2:23">
      <c r="V1375" t="str">
        <f>$V$1376&amp;$W$1375&amp;$V$1377&amp;$W$1375&amp;$W$1376</f>
        <v>Atasan langsung : NN</v>
      </c>
      <c r="W1375" s="215" t="s">
        <v>120</v>
      </c>
    </row>
    <row r="1376" spans="2:23">
      <c r="B1376" t="s">
        <v>139</v>
      </c>
      <c r="C1376" s="149" t="s">
        <v>140</v>
      </c>
      <c r="D1376" s="150" t="s">
        <v>141</v>
      </c>
      <c r="G1376" s="150" t="s">
        <v>142</v>
      </c>
      <c r="V1376" t="str">
        <f>B8</f>
        <v>Atasan langsung</v>
      </c>
      <c r="W1376" t="str">
        <f>D8</f>
        <v>NN</v>
      </c>
    </row>
    <row r="1377" spans="2:22">
      <c r="V1377" t="s">
        <v>187</v>
      </c>
    </row>
    <row r="1378" spans="2:22">
      <c r="B1378" t="s">
        <v>78</v>
      </c>
      <c r="C1378" s="149" t="s">
        <v>140</v>
      </c>
      <c r="D1378" s="150" t="s">
        <v>141</v>
      </c>
      <c r="G1378" s="150" t="s">
        <v>142</v>
      </c>
    </row>
    <row r="1380" spans="2:22">
      <c r="B1380" t="s">
        <v>143</v>
      </c>
    </row>
    <row r="1381" spans="2:22" ht="28.5" customHeight="1"/>
  </sheetData>
  <mergeCells count="874">
    <mergeCell ref="E894:E902"/>
    <mergeCell ref="E904:E912"/>
    <mergeCell ref="E914:E922"/>
    <mergeCell ref="E924:E932"/>
    <mergeCell ref="E938:E946"/>
    <mergeCell ref="E948:E956"/>
    <mergeCell ref="E1224:E1232"/>
    <mergeCell ref="E574:E582"/>
    <mergeCell ref="E584:E592"/>
    <mergeCell ref="E594:E602"/>
    <mergeCell ref="E604:E612"/>
    <mergeCell ref="E618:E626"/>
    <mergeCell ref="E958:E966"/>
    <mergeCell ref="E968:E976"/>
    <mergeCell ref="E658:E666"/>
    <mergeCell ref="E668:E676"/>
    <mergeCell ref="E678:E686"/>
    <mergeCell ref="E688:E696"/>
    <mergeCell ref="E698:E706"/>
    <mergeCell ref="E708:E716"/>
    <mergeCell ref="E724:E732"/>
    <mergeCell ref="E734:E742"/>
    <mergeCell ref="E1098:E1106"/>
    <mergeCell ref="E1108:E1116"/>
    <mergeCell ref="E1118:E1126"/>
    <mergeCell ref="E1128:E1136"/>
    <mergeCell ref="E1138:E1146"/>
    <mergeCell ref="E1148:E1156"/>
    <mergeCell ref="M1052:M1061"/>
    <mergeCell ref="M1204:M1208"/>
    <mergeCell ref="M1212:M1221"/>
    <mergeCell ref="E1204:E1212"/>
    <mergeCell ref="E1214:E1222"/>
    <mergeCell ref="F1202:H1202"/>
    <mergeCell ref="K1202:M1202"/>
    <mergeCell ref="K1210:M1210"/>
    <mergeCell ref="E1338:E1346"/>
    <mergeCell ref="G1254:I1254"/>
    <mergeCell ref="G1255:I1255"/>
    <mergeCell ref="F1256:H1256"/>
    <mergeCell ref="E1318:E1326"/>
    <mergeCell ref="E1328:E1336"/>
    <mergeCell ref="E1158:E1166"/>
    <mergeCell ref="E1168:E1176"/>
    <mergeCell ref="E1178:E1186"/>
    <mergeCell ref="E1188:E1196"/>
    <mergeCell ref="E1244:E1252"/>
    <mergeCell ref="E1258:E1266"/>
    <mergeCell ref="E1268:E1276"/>
    <mergeCell ref="E1278:E1286"/>
    <mergeCell ref="E1288:E1296"/>
    <mergeCell ref="E1234:E1242"/>
    <mergeCell ref="E1348:E1356"/>
    <mergeCell ref="M19:M23"/>
    <mergeCell ref="M27:M36"/>
    <mergeCell ref="M126:M130"/>
    <mergeCell ref="M134:M135"/>
    <mergeCell ref="M286:M290"/>
    <mergeCell ref="M424:M428"/>
    <mergeCell ref="M432:M441"/>
    <mergeCell ref="M564:M568"/>
    <mergeCell ref="M572:M581"/>
    <mergeCell ref="M724:M728"/>
    <mergeCell ref="M732:M741"/>
    <mergeCell ref="M884:M888"/>
    <mergeCell ref="M892:M901"/>
    <mergeCell ref="M1044:M1048"/>
    <mergeCell ref="E1018:E1026"/>
    <mergeCell ref="E1028:E1036"/>
    <mergeCell ref="E1044:E1052"/>
    <mergeCell ref="E1054:E1062"/>
    <mergeCell ref="E1064:E1072"/>
    <mergeCell ref="E1074:E1082"/>
    <mergeCell ref="E1084:E1092"/>
    <mergeCell ref="E548:E556"/>
    <mergeCell ref="E564:E572"/>
    <mergeCell ref="E884:E892"/>
    <mergeCell ref="E468:E476"/>
    <mergeCell ref="E478:E486"/>
    <mergeCell ref="E488:E496"/>
    <mergeCell ref="E498:E506"/>
    <mergeCell ref="E508:E516"/>
    <mergeCell ref="E518:E526"/>
    <mergeCell ref="E528:E536"/>
    <mergeCell ref="E538:E546"/>
    <mergeCell ref="E848:E856"/>
    <mergeCell ref="E858:E866"/>
    <mergeCell ref="E868:E876"/>
    <mergeCell ref="E434:E442"/>
    <mergeCell ref="E444:E452"/>
    <mergeCell ref="E744:E752"/>
    <mergeCell ref="E754:E762"/>
    <mergeCell ref="E764:E772"/>
    <mergeCell ref="E778:E786"/>
    <mergeCell ref="E788:E796"/>
    <mergeCell ref="E798:E806"/>
    <mergeCell ref="E808:E816"/>
    <mergeCell ref="D1318:D1326"/>
    <mergeCell ref="D1328:D1336"/>
    <mergeCell ref="D1256:E1256"/>
    <mergeCell ref="E1298:E1306"/>
    <mergeCell ref="E1308:E1316"/>
    <mergeCell ref="D1128:D1136"/>
    <mergeCell ref="D1138:D1146"/>
    <mergeCell ref="D1148:D1156"/>
    <mergeCell ref="D1158:D1166"/>
    <mergeCell ref="D1168:D1176"/>
    <mergeCell ref="D1178:D1186"/>
    <mergeCell ref="D1188:D1196"/>
    <mergeCell ref="D1204:D1212"/>
    <mergeCell ref="D1214:D1222"/>
    <mergeCell ref="D1202:E1202"/>
    <mergeCell ref="D1338:D1346"/>
    <mergeCell ref="D1348:D1356"/>
    <mergeCell ref="E19:E27"/>
    <mergeCell ref="E29:E37"/>
    <mergeCell ref="E39:E47"/>
    <mergeCell ref="E49:E57"/>
    <mergeCell ref="E59:E67"/>
    <mergeCell ref="E74:E82"/>
    <mergeCell ref="E84:E92"/>
    <mergeCell ref="E94:E108"/>
    <mergeCell ref="E111:E119"/>
    <mergeCell ref="E127:E135"/>
    <mergeCell ref="E137:E145"/>
    <mergeCell ref="E147:E155"/>
    <mergeCell ref="E168:E176"/>
    <mergeCell ref="D1224:D1232"/>
    <mergeCell ref="D1234:D1242"/>
    <mergeCell ref="D1244:D1252"/>
    <mergeCell ref="D1258:D1266"/>
    <mergeCell ref="D1268:D1276"/>
    <mergeCell ref="D1278:D1286"/>
    <mergeCell ref="D1288:D1296"/>
    <mergeCell ref="D1298:D1306"/>
    <mergeCell ref="D1308:D1316"/>
    <mergeCell ref="D734:D742"/>
    <mergeCell ref="D744:D752"/>
    <mergeCell ref="D754:D762"/>
    <mergeCell ref="D1054:D1062"/>
    <mergeCell ref="D1064:D1072"/>
    <mergeCell ref="D1098:D1106"/>
    <mergeCell ref="D1108:D1116"/>
    <mergeCell ref="D764:D772"/>
    <mergeCell ref="D778:D786"/>
    <mergeCell ref="D788:D796"/>
    <mergeCell ref="D798:D806"/>
    <mergeCell ref="D808:D816"/>
    <mergeCell ref="D818:D826"/>
    <mergeCell ref="D828:D836"/>
    <mergeCell ref="D838:D846"/>
    <mergeCell ref="D848:D856"/>
    <mergeCell ref="D1074:D1082"/>
    <mergeCell ref="D1084:D1092"/>
    <mergeCell ref="D147:D155"/>
    <mergeCell ref="D157:D165"/>
    <mergeCell ref="D286:D294"/>
    <mergeCell ref="D330:D337"/>
    <mergeCell ref="D339:D347"/>
    <mergeCell ref="D349:D357"/>
    <mergeCell ref="D359:D367"/>
    <mergeCell ref="C1327:C1334"/>
    <mergeCell ref="C1335:C1336"/>
    <mergeCell ref="C1233:C1240"/>
    <mergeCell ref="C1241:C1242"/>
    <mergeCell ref="C1243:C1250"/>
    <mergeCell ref="C1251:C1252"/>
    <mergeCell ref="C1257:C1264"/>
    <mergeCell ref="C1265:C1266"/>
    <mergeCell ref="C1267:C1274"/>
    <mergeCell ref="C1275:C1276"/>
    <mergeCell ref="C1277:C1284"/>
    <mergeCell ref="C1185:C1186"/>
    <mergeCell ref="C1187:C1194"/>
    <mergeCell ref="C1195:C1196"/>
    <mergeCell ref="C1203:C1210"/>
    <mergeCell ref="C1211:C1212"/>
    <mergeCell ref="C1213:C1220"/>
    <mergeCell ref="C1337:C1344"/>
    <mergeCell ref="C1345:C1346"/>
    <mergeCell ref="C1347:C1354"/>
    <mergeCell ref="C1355:C1356"/>
    <mergeCell ref="D19:D27"/>
    <mergeCell ref="D29:D37"/>
    <mergeCell ref="D39:D47"/>
    <mergeCell ref="D49:D57"/>
    <mergeCell ref="D59:D67"/>
    <mergeCell ref="D74:D82"/>
    <mergeCell ref="D84:D92"/>
    <mergeCell ref="D94:D108"/>
    <mergeCell ref="D111:D119"/>
    <mergeCell ref="D127:D135"/>
    <mergeCell ref="D137:D145"/>
    <mergeCell ref="C1285:C1286"/>
    <mergeCell ref="C1287:C1294"/>
    <mergeCell ref="C1295:C1296"/>
    <mergeCell ref="C1297:C1304"/>
    <mergeCell ref="C1305:C1306"/>
    <mergeCell ref="C1307:C1314"/>
    <mergeCell ref="C1315:C1316"/>
    <mergeCell ref="C1317:C1324"/>
    <mergeCell ref="C1325:C1326"/>
    <mergeCell ref="C1107:C1114"/>
    <mergeCell ref="C1115:C1116"/>
    <mergeCell ref="C1117:C1124"/>
    <mergeCell ref="C1125:C1126"/>
    <mergeCell ref="C1127:C1134"/>
    <mergeCell ref="C1135:C1136"/>
    <mergeCell ref="C1221:C1222"/>
    <mergeCell ref="C1223:C1230"/>
    <mergeCell ref="C1231:C1232"/>
    <mergeCell ref="C1137:C1144"/>
    <mergeCell ref="C1145:C1146"/>
    <mergeCell ref="C1147:C1154"/>
    <mergeCell ref="C1155:C1156"/>
    <mergeCell ref="C1157:C1164"/>
    <mergeCell ref="C1165:C1166"/>
    <mergeCell ref="C1167:C1174"/>
    <mergeCell ref="C1175:C1176"/>
    <mergeCell ref="C1177:C1184"/>
    <mergeCell ref="C1061:C1062"/>
    <mergeCell ref="C1063:C1070"/>
    <mergeCell ref="C1071:C1072"/>
    <mergeCell ref="C1073:C1080"/>
    <mergeCell ref="C1081:C1082"/>
    <mergeCell ref="C1083:C1090"/>
    <mergeCell ref="C1091:C1092"/>
    <mergeCell ref="C1097:C1104"/>
    <mergeCell ref="C1105:C1106"/>
    <mergeCell ref="C1007:C1014"/>
    <mergeCell ref="C1015:C1016"/>
    <mergeCell ref="C1017:C1024"/>
    <mergeCell ref="C1025:C1026"/>
    <mergeCell ref="C1027:C1034"/>
    <mergeCell ref="C1035:C1036"/>
    <mergeCell ref="C1043:C1050"/>
    <mergeCell ref="C1051:C1052"/>
    <mergeCell ref="C1053:C1060"/>
    <mergeCell ref="C965:C966"/>
    <mergeCell ref="C967:C974"/>
    <mergeCell ref="C975:C976"/>
    <mergeCell ref="C977:C984"/>
    <mergeCell ref="C985:C986"/>
    <mergeCell ref="C987:C994"/>
    <mergeCell ref="C995:C996"/>
    <mergeCell ref="C997:C1004"/>
    <mergeCell ref="C1005:C1006"/>
    <mergeCell ref="C913:C920"/>
    <mergeCell ref="C921:C922"/>
    <mergeCell ref="C923:C930"/>
    <mergeCell ref="C931:C932"/>
    <mergeCell ref="C937:C944"/>
    <mergeCell ref="C945:C946"/>
    <mergeCell ref="C947:C954"/>
    <mergeCell ref="C955:C956"/>
    <mergeCell ref="C957:C964"/>
    <mergeCell ref="C865:C866"/>
    <mergeCell ref="C867:C874"/>
    <mergeCell ref="C875:C876"/>
    <mergeCell ref="C883:C890"/>
    <mergeCell ref="C891:C892"/>
    <mergeCell ref="C893:C900"/>
    <mergeCell ref="C901:C902"/>
    <mergeCell ref="C903:C910"/>
    <mergeCell ref="C911:C912"/>
    <mergeCell ref="C817:C824"/>
    <mergeCell ref="C825:C826"/>
    <mergeCell ref="C827:C834"/>
    <mergeCell ref="C835:C836"/>
    <mergeCell ref="C837:C844"/>
    <mergeCell ref="C845:C846"/>
    <mergeCell ref="C847:C854"/>
    <mergeCell ref="C855:C856"/>
    <mergeCell ref="C857:C864"/>
    <mergeCell ref="C771:C772"/>
    <mergeCell ref="C777:C784"/>
    <mergeCell ref="C785:C786"/>
    <mergeCell ref="C787:C794"/>
    <mergeCell ref="C795:C796"/>
    <mergeCell ref="C797:C804"/>
    <mergeCell ref="C805:C806"/>
    <mergeCell ref="C807:C814"/>
    <mergeCell ref="C815:C816"/>
    <mergeCell ref="C723:C730"/>
    <mergeCell ref="C731:C732"/>
    <mergeCell ref="C733:C740"/>
    <mergeCell ref="C741:C742"/>
    <mergeCell ref="C743:C750"/>
    <mergeCell ref="C751:C752"/>
    <mergeCell ref="C753:C760"/>
    <mergeCell ref="C761:C762"/>
    <mergeCell ref="C763:C770"/>
    <mergeCell ref="C675:C676"/>
    <mergeCell ref="C677:C684"/>
    <mergeCell ref="C685:C686"/>
    <mergeCell ref="C687:C694"/>
    <mergeCell ref="C695:C696"/>
    <mergeCell ref="C697:C704"/>
    <mergeCell ref="C705:C706"/>
    <mergeCell ref="C707:C714"/>
    <mergeCell ref="C715:C716"/>
    <mergeCell ref="C627:C634"/>
    <mergeCell ref="C635:C636"/>
    <mergeCell ref="C637:C644"/>
    <mergeCell ref="C645:C646"/>
    <mergeCell ref="C647:C654"/>
    <mergeCell ref="C655:C656"/>
    <mergeCell ref="C657:C664"/>
    <mergeCell ref="C665:C666"/>
    <mergeCell ref="C667:C674"/>
    <mergeCell ref="C581:C582"/>
    <mergeCell ref="C583:C590"/>
    <mergeCell ref="C591:C592"/>
    <mergeCell ref="C593:C600"/>
    <mergeCell ref="C601:C602"/>
    <mergeCell ref="C603:C610"/>
    <mergeCell ref="C611:C612"/>
    <mergeCell ref="C617:C624"/>
    <mergeCell ref="C625:C626"/>
    <mergeCell ref="C527:C534"/>
    <mergeCell ref="C535:C536"/>
    <mergeCell ref="C537:C544"/>
    <mergeCell ref="C545:C546"/>
    <mergeCell ref="C547:C554"/>
    <mergeCell ref="C555:C556"/>
    <mergeCell ref="C563:C570"/>
    <mergeCell ref="C571:C572"/>
    <mergeCell ref="C573:C580"/>
    <mergeCell ref="C477:C484"/>
    <mergeCell ref="C485:C486"/>
    <mergeCell ref="C487:C494"/>
    <mergeCell ref="C495:C496"/>
    <mergeCell ref="C441:C442"/>
    <mergeCell ref="C443:C450"/>
    <mergeCell ref="C451:C452"/>
    <mergeCell ref="C453:C460"/>
    <mergeCell ref="C461:C462"/>
    <mergeCell ref="C467:C474"/>
    <mergeCell ref="C475:C476"/>
    <mergeCell ref="C366:C367"/>
    <mergeCell ref="C368:C375"/>
    <mergeCell ref="C376:C377"/>
    <mergeCell ref="C378:C385"/>
    <mergeCell ref="C386:C387"/>
    <mergeCell ref="C388:C395"/>
    <mergeCell ref="C396:C397"/>
    <mergeCell ref="C398:C405"/>
    <mergeCell ref="C406:C407"/>
    <mergeCell ref="C250:C257"/>
    <mergeCell ref="C258:C259"/>
    <mergeCell ref="C260:C267"/>
    <mergeCell ref="C305:C312"/>
    <mergeCell ref="C313:C314"/>
    <mergeCell ref="C315:C322"/>
    <mergeCell ref="C268:C269"/>
    <mergeCell ref="C270:C277"/>
    <mergeCell ref="C278:C279"/>
    <mergeCell ref="C285:C292"/>
    <mergeCell ref="C293:C294"/>
    <mergeCell ref="C295:C302"/>
    <mergeCell ref="C303:C304"/>
    <mergeCell ref="C134:C135"/>
    <mergeCell ref="C136:C143"/>
    <mergeCell ref="C144:C145"/>
    <mergeCell ref="B1327:B1334"/>
    <mergeCell ref="B1335:B1336"/>
    <mergeCell ref="B1337:B1344"/>
    <mergeCell ref="B1195:B1196"/>
    <mergeCell ref="B1203:B1210"/>
    <mergeCell ref="B1211:B1212"/>
    <mergeCell ref="B1117:B1124"/>
    <mergeCell ref="B1125:B1126"/>
    <mergeCell ref="B1127:B1134"/>
    <mergeCell ref="B1135:B1136"/>
    <mergeCell ref="B1137:B1144"/>
    <mergeCell ref="B1145:B1146"/>
    <mergeCell ref="B1147:B1154"/>
    <mergeCell ref="B1155:B1156"/>
    <mergeCell ref="B1157:B1164"/>
    <mergeCell ref="B1071:B1072"/>
    <mergeCell ref="B1073:B1080"/>
    <mergeCell ref="B1081:B1082"/>
    <mergeCell ref="C238:C239"/>
    <mergeCell ref="C240:C247"/>
    <mergeCell ref="C248:C249"/>
    <mergeCell ref="B1345:B1346"/>
    <mergeCell ref="B1347:B1354"/>
    <mergeCell ref="B1355:B1356"/>
    <mergeCell ref="C18:C25"/>
    <mergeCell ref="C26:C27"/>
    <mergeCell ref="C28:C35"/>
    <mergeCell ref="C36:C37"/>
    <mergeCell ref="C38:C45"/>
    <mergeCell ref="C46:C47"/>
    <mergeCell ref="C48:C55"/>
    <mergeCell ref="C56:C57"/>
    <mergeCell ref="C58:C65"/>
    <mergeCell ref="C66:C67"/>
    <mergeCell ref="C73:C80"/>
    <mergeCell ref="C81:C82"/>
    <mergeCell ref="C83:C90"/>
    <mergeCell ref="C91:C92"/>
    <mergeCell ref="C106:C108"/>
    <mergeCell ref="B1165:B1166"/>
    <mergeCell ref="B1167:B1174"/>
    <mergeCell ref="B1175:B1176"/>
    <mergeCell ref="B1177:B1184"/>
    <mergeCell ref="B1185:B1186"/>
    <mergeCell ref="B1187:B1194"/>
    <mergeCell ref="B1083:B1090"/>
    <mergeCell ref="B1091:B1092"/>
    <mergeCell ref="B1097:B1104"/>
    <mergeCell ref="B1105:B1106"/>
    <mergeCell ref="B1107:B1114"/>
    <mergeCell ref="B1115:B1116"/>
    <mergeCell ref="B1017:B1024"/>
    <mergeCell ref="B1025:B1026"/>
    <mergeCell ref="B1027:B1034"/>
    <mergeCell ref="B1035:B1036"/>
    <mergeCell ref="B1043:B1050"/>
    <mergeCell ref="B1051:B1052"/>
    <mergeCell ref="B1053:B1060"/>
    <mergeCell ref="B1061:B1062"/>
    <mergeCell ref="B1063:B1070"/>
    <mergeCell ref="B975:B976"/>
    <mergeCell ref="B977:B984"/>
    <mergeCell ref="B985:B986"/>
    <mergeCell ref="B987:B994"/>
    <mergeCell ref="B995:B996"/>
    <mergeCell ref="B997:B1004"/>
    <mergeCell ref="B1005:B1006"/>
    <mergeCell ref="B1007:B1014"/>
    <mergeCell ref="B1015:B1016"/>
    <mergeCell ref="B923:B930"/>
    <mergeCell ref="B931:B932"/>
    <mergeCell ref="B937:B944"/>
    <mergeCell ref="B945:B946"/>
    <mergeCell ref="B947:B954"/>
    <mergeCell ref="B955:B956"/>
    <mergeCell ref="B957:B964"/>
    <mergeCell ref="B965:B966"/>
    <mergeCell ref="B967:B974"/>
    <mergeCell ref="B875:B876"/>
    <mergeCell ref="B883:B890"/>
    <mergeCell ref="B891:B892"/>
    <mergeCell ref="B893:B900"/>
    <mergeCell ref="B901:B902"/>
    <mergeCell ref="B903:B910"/>
    <mergeCell ref="B911:B912"/>
    <mergeCell ref="B913:B920"/>
    <mergeCell ref="B921:B922"/>
    <mergeCell ref="B827:B834"/>
    <mergeCell ref="B835:B836"/>
    <mergeCell ref="B837:B844"/>
    <mergeCell ref="B845:B846"/>
    <mergeCell ref="B847:B854"/>
    <mergeCell ref="B855:B856"/>
    <mergeCell ref="B857:B864"/>
    <mergeCell ref="B865:B866"/>
    <mergeCell ref="B867:B874"/>
    <mergeCell ref="B785:B786"/>
    <mergeCell ref="B787:B794"/>
    <mergeCell ref="B795:B796"/>
    <mergeCell ref="B797:B804"/>
    <mergeCell ref="B805:B806"/>
    <mergeCell ref="B807:B814"/>
    <mergeCell ref="B815:B816"/>
    <mergeCell ref="B817:B824"/>
    <mergeCell ref="B825:B826"/>
    <mergeCell ref="B733:B740"/>
    <mergeCell ref="B741:B742"/>
    <mergeCell ref="B743:B750"/>
    <mergeCell ref="B751:B752"/>
    <mergeCell ref="B753:B760"/>
    <mergeCell ref="B761:B762"/>
    <mergeCell ref="B763:B770"/>
    <mergeCell ref="B771:B772"/>
    <mergeCell ref="B777:B784"/>
    <mergeCell ref="B685:B686"/>
    <mergeCell ref="B687:B694"/>
    <mergeCell ref="B695:B696"/>
    <mergeCell ref="B697:B704"/>
    <mergeCell ref="B705:B706"/>
    <mergeCell ref="B707:B714"/>
    <mergeCell ref="B715:B716"/>
    <mergeCell ref="B723:B730"/>
    <mergeCell ref="B731:B732"/>
    <mergeCell ref="B637:B644"/>
    <mergeCell ref="B645:B646"/>
    <mergeCell ref="B647:B654"/>
    <mergeCell ref="B655:B656"/>
    <mergeCell ref="B657:B664"/>
    <mergeCell ref="B665:B666"/>
    <mergeCell ref="B667:B674"/>
    <mergeCell ref="B675:B676"/>
    <mergeCell ref="B677:B684"/>
    <mergeCell ref="B591:B592"/>
    <mergeCell ref="B593:B600"/>
    <mergeCell ref="B601:B602"/>
    <mergeCell ref="B603:B610"/>
    <mergeCell ref="B611:B612"/>
    <mergeCell ref="B617:B624"/>
    <mergeCell ref="B625:B626"/>
    <mergeCell ref="B627:B634"/>
    <mergeCell ref="B635:B636"/>
    <mergeCell ref="B537:B544"/>
    <mergeCell ref="B545:B546"/>
    <mergeCell ref="B547:B554"/>
    <mergeCell ref="B555:B556"/>
    <mergeCell ref="B563:B570"/>
    <mergeCell ref="B571:B572"/>
    <mergeCell ref="B573:B580"/>
    <mergeCell ref="B581:B582"/>
    <mergeCell ref="B583:B590"/>
    <mergeCell ref="B497:B504"/>
    <mergeCell ref="B505:B506"/>
    <mergeCell ref="B507:B514"/>
    <mergeCell ref="B515:B516"/>
    <mergeCell ref="B517:B524"/>
    <mergeCell ref="B525:B526"/>
    <mergeCell ref="B527:B534"/>
    <mergeCell ref="B535:B536"/>
    <mergeCell ref="B453:B460"/>
    <mergeCell ref="B461:B462"/>
    <mergeCell ref="B467:B474"/>
    <mergeCell ref="B475:B476"/>
    <mergeCell ref="B477:B484"/>
    <mergeCell ref="B485:B486"/>
    <mergeCell ref="B487:B494"/>
    <mergeCell ref="B495:B496"/>
    <mergeCell ref="B464:C464"/>
    <mergeCell ref="B465:C465"/>
    <mergeCell ref="C497:C504"/>
    <mergeCell ref="C505:C506"/>
    <mergeCell ref="C507:C514"/>
    <mergeCell ref="C515:C516"/>
    <mergeCell ref="C517:C524"/>
    <mergeCell ref="C525:C526"/>
    <mergeCell ref="B423:B430"/>
    <mergeCell ref="B431:B432"/>
    <mergeCell ref="B433:B440"/>
    <mergeCell ref="B441:B442"/>
    <mergeCell ref="B443:B450"/>
    <mergeCell ref="B451:B452"/>
    <mergeCell ref="B368:B375"/>
    <mergeCell ref="B376:B377"/>
    <mergeCell ref="B378:B385"/>
    <mergeCell ref="B386:B387"/>
    <mergeCell ref="B388:B395"/>
    <mergeCell ref="B396:B397"/>
    <mergeCell ref="B398:B405"/>
    <mergeCell ref="B406:B407"/>
    <mergeCell ref="B408:B415"/>
    <mergeCell ref="B420:C420"/>
    <mergeCell ref="B421:C421"/>
    <mergeCell ref="C408:C415"/>
    <mergeCell ref="C416:C417"/>
    <mergeCell ref="C423:C430"/>
    <mergeCell ref="C431:C432"/>
    <mergeCell ref="C433:C440"/>
    <mergeCell ref="B366:B367"/>
    <mergeCell ref="B295:B302"/>
    <mergeCell ref="B303:B304"/>
    <mergeCell ref="B305:B312"/>
    <mergeCell ref="B313:B314"/>
    <mergeCell ref="B315:B322"/>
    <mergeCell ref="B323:B324"/>
    <mergeCell ref="B329:B336"/>
    <mergeCell ref="B416:B417"/>
    <mergeCell ref="B285:B292"/>
    <mergeCell ref="B293:B294"/>
    <mergeCell ref="B281:C281"/>
    <mergeCell ref="B282:C282"/>
    <mergeCell ref="B338:B345"/>
    <mergeCell ref="B346:B347"/>
    <mergeCell ref="B348:B355"/>
    <mergeCell ref="B356:B357"/>
    <mergeCell ref="B358:B365"/>
    <mergeCell ref="C323:C324"/>
    <mergeCell ref="C329:C336"/>
    <mergeCell ref="C338:C345"/>
    <mergeCell ref="C346:C347"/>
    <mergeCell ref="C348:C355"/>
    <mergeCell ref="C356:C357"/>
    <mergeCell ref="C358:C365"/>
    <mergeCell ref="K890:M890"/>
    <mergeCell ref="B118:B119"/>
    <mergeCell ref="B208:B209"/>
    <mergeCell ref="G774:I774"/>
    <mergeCell ref="G775:I775"/>
    <mergeCell ref="D776:E776"/>
    <mergeCell ref="F776:H776"/>
    <mergeCell ref="G879:I879"/>
    <mergeCell ref="G880:I880"/>
    <mergeCell ref="D882:E882"/>
    <mergeCell ref="F882:H882"/>
    <mergeCell ref="K882:M882"/>
    <mergeCell ref="D858:D866"/>
    <mergeCell ref="D868:D876"/>
    <mergeCell ref="E818:E826"/>
    <mergeCell ref="E828:E836"/>
    <mergeCell ref="E838:E846"/>
    <mergeCell ref="B248:B249"/>
    <mergeCell ref="B250:B257"/>
    <mergeCell ref="B258:B259"/>
    <mergeCell ref="B260:B267"/>
    <mergeCell ref="B268:B269"/>
    <mergeCell ref="B270:B277"/>
    <mergeCell ref="B278:B279"/>
    <mergeCell ref="C156:C163"/>
    <mergeCell ref="C164:C165"/>
    <mergeCell ref="C167:C174"/>
    <mergeCell ref="C175:C176"/>
    <mergeCell ref="C177:C184"/>
    <mergeCell ref="C185:C186"/>
    <mergeCell ref="C187:C194"/>
    <mergeCell ref="C220:C227"/>
    <mergeCell ref="C228:C229"/>
    <mergeCell ref="C218:C219"/>
    <mergeCell ref="C210:C217"/>
    <mergeCell ref="B210:B217"/>
    <mergeCell ref="B218:B219"/>
    <mergeCell ref="B220:B227"/>
    <mergeCell ref="B228:B229"/>
    <mergeCell ref="B230:B237"/>
    <mergeCell ref="B238:B239"/>
    <mergeCell ref="B240:B247"/>
    <mergeCell ref="C195:C196"/>
    <mergeCell ref="C201:C207"/>
    <mergeCell ref="C208:C209"/>
    <mergeCell ref="C230:C237"/>
    <mergeCell ref="B1359:H1359"/>
    <mergeCell ref="H1363:N1363"/>
    <mergeCell ref="B1213:B1220"/>
    <mergeCell ref="B1221:B1222"/>
    <mergeCell ref="B1223:B1230"/>
    <mergeCell ref="B1231:B1232"/>
    <mergeCell ref="B1233:B1240"/>
    <mergeCell ref="B1241:B1242"/>
    <mergeCell ref="B1243:B1250"/>
    <mergeCell ref="B1251:B1252"/>
    <mergeCell ref="B1257:B1264"/>
    <mergeCell ref="B1265:B1266"/>
    <mergeCell ref="B1267:B1274"/>
    <mergeCell ref="B1275:B1276"/>
    <mergeCell ref="B1277:B1284"/>
    <mergeCell ref="B1285:B1286"/>
    <mergeCell ref="B1287:B1294"/>
    <mergeCell ref="B1295:B1296"/>
    <mergeCell ref="B1297:B1304"/>
    <mergeCell ref="B1305:B1306"/>
    <mergeCell ref="B1307:B1314"/>
    <mergeCell ref="B1315:B1316"/>
    <mergeCell ref="B1317:B1324"/>
    <mergeCell ref="B1325:B1326"/>
    <mergeCell ref="K1050:M1050"/>
    <mergeCell ref="G1094:I1094"/>
    <mergeCell ref="G1095:I1095"/>
    <mergeCell ref="D1096:E1096"/>
    <mergeCell ref="F1096:H1096"/>
    <mergeCell ref="G1199:I1199"/>
    <mergeCell ref="G1200:I1200"/>
    <mergeCell ref="D884:D892"/>
    <mergeCell ref="D894:D902"/>
    <mergeCell ref="D904:D912"/>
    <mergeCell ref="D914:D922"/>
    <mergeCell ref="D924:D932"/>
    <mergeCell ref="D938:D946"/>
    <mergeCell ref="D948:D956"/>
    <mergeCell ref="D958:D966"/>
    <mergeCell ref="D968:D976"/>
    <mergeCell ref="D978:D986"/>
    <mergeCell ref="D988:D996"/>
    <mergeCell ref="D998:D1006"/>
    <mergeCell ref="D1008:D1016"/>
    <mergeCell ref="D1018:D1026"/>
    <mergeCell ref="D1028:D1036"/>
    <mergeCell ref="D1044:D1052"/>
    <mergeCell ref="D1118:D1126"/>
    <mergeCell ref="G934:I934"/>
    <mergeCell ref="G935:I935"/>
    <mergeCell ref="D936:E936"/>
    <mergeCell ref="F936:H936"/>
    <mergeCell ref="G1039:I1039"/>
    <mergeCell ref="G1040:I1040"/>
    <mergeCell ref="D1042:E1042"/>
    <mergeCell ref="F1042:H1042"/>
    <mergeCell ref="K1042:M1042"/>
    <mergeCell ref="E978:E986"/>
    <mergeCell ref="E988:E996"/>
    <mergeCell ref="E998:E1006"/>
    <mergeCell ref="E1008:E1016"/>
    <mergeCell ref="G615:I615"/>
    <mergeCell ref="D616:E616"/>
    <mergeCell ref="F616:H616"/>
    <mergeCell ref="G719:I719"/>
    <mergeCell ref="G720:I720"/>
    <mergeCell ref="D722:E722"/>
    <mergeCell ref="F722:H722"/>
    <mergeCell ref="K722:M722"/>
    <mergeCell ref="K730:M730"/>
    <mergeCell ref="E628:E636"/>
    <mergeCell ref="E638:E646"/>
    <mergeCell ref="E648:E656"/>
    <mergeCell ref="D648:D656"/>
    <mergeCell ref="D658:D666"/>
    <mergeCell ref="D668:D676"/>
    <mergeCell ref="D678:D686"/>
    <mergeCell ref="D688:D696"/>
    <mergeCell ref="D698:D706"/>
    <mergeCell ref="D708:D716"/>
    <mergeCell ref="D724:D732"/>
    <mergeCell ref="D618:D626"/>
    <mergeCell ref="D628:D636"/>
    <mergeCell ref="D638:D646"/>
    <mergeCell ref="G560:I560"/>
    <mergeCell ref="D562:E562"/>
    <mergeCell ref="F562:H562"/>
    <mergeCell ref="K562:M562"/>
    <mergeCell ref="K570:M570"/>
    <mergeCell ref="G614:I614"/>
    <mergeCell ref="D444:D452"/>
    <mergeCell ref="D454:D462"/>
    <mergeCell ref="D468:D476"/>
    <mergeCell ref="D478:D486"/>
    <mergeCell ref="D488:D496"/>
    <mergeCell ref="D498:D506"/>
    <mergeCell ref="D508:D516"/>
    <mergeCell ref="D518:D526"/>
    <mergeCell ref="D528:D536"/>
    <mergeCell ref="D538:D546"/>
    <mergeCell ref="D548:D556"/>
    <mergeCell ref="D564:D572"/>
    <mergeCell ref="D574:D582"/>
    <mergeCell ref="E454:E462"/>
    <mergeCell ref="D604:D612"/>
    <mergeCell ref="D584:D592"/>
    <mergeCell ref="D594:D602"/>
    <mergeCell ref="D466:E466"/>
    <mergeCell ref="F466:H466"/>
    <mergeCell ref="D464:H464"/>
    <mergeCell ref="D465:H465"/>
    <mergeCell ref="G559:I559"/>
    <mergeCell ref="K284:M284"/>
    <mergeCell ref="K292:M292"/>
    <mergeCell ref="D328:E328"/>
    <mergeCell ref="F328:H328"/>
    <mergeCell ref="D326:H326"/>
    <mergeCell ref="D327:H327"/>
    <mergeCell ref="D420:H420"/>
    <mergeCell ref="D421:H421"/>
    <mergeCell ref="D369:D377"/>
    <mergeCell ref="D379:D387"/>
    <mergeCell ref="D389:D397"/>
    <mergeCell ref="D399:D407"/>
    <mergeCell ref="D409:D417"/>
    <mergeCell ref="D424:D432"/>
    <mergeCell ref="D434:D442"/>
    <mergeCell ref="D422:E422"/>
    <mergeCell ref="E330:E337"/>
    <mergeCell ref="E339:E347"/>
    <mergeCell ref="E349:E357"/>
    <mergeCell ref="D202:D209"/>
    <mergeCell ref="D211:D219"/>
    <mergeCell ref="D221:D229"/>
    <mergeCell ref="D231:D239"/>
    <mergeCell ref="D241:D249"/>
    <mergeCell ref="D251:D259"/>
    <mergeCell ref="F422:H422"/>
    <mergeCell ref="K422:M422"/>
    <mergeCell ref="K430:M430"/>
    <mergeCell ref="E359:E367"/>
    <mergeCell ref="E369:E377"/>
    <mergeCell ref="E379:E387"/>
    <mergeCell ref="E389:E397"/>
    <mergeCell ref="E399:E407"/>
    <mergeCell ref="E409:E417"/>
    <mergeCell ref="E424:E432"/>
    <mergeCell ref="D261:D269"/>
    <mergeCell ref="D271:D279"/>
    <mergeCell ref="D296:D304"/>
    <mergeCell ref="D306:D314"/>
    <mergeCell ref="D316:D324"/>
    <mergeCell ref="E178:E186"/>
    <mergeCell ref="E188:E196"/>
    <mergeCell ref="E286:E294"/>
    <mergeCell ref="E296:E304"/>
    <mergeCell ref="E306:E314"/>
    <mergeCell ref="E316:E324"/>
    <mergeCell ref="D198:H198"/>
    <mergeCell ref="D199:H199"/>
    <mergeCell ref="F200:H200"/>
    <mergeCell ref="D284:E284"/>
    <mergeCell ref="F284:H284"/>
    <mergeCell ref="E202:E209"/>
    <mergeCell ref="E211:E219"/>
    <mergeCell ref="E221:E229"/>
    <mergeCell ref="E231:E239"/>
    <mergeCell ref="E241:E249"/>
    <mergeCell ref="E251:E259"/>
    <mergeCell ref="E261:E269"/>
    <mergeCell ref="E271:E279"/>
    <mergeCell ref="E157:E165"/>
    <mergeCell ref="D200:E200"/>
    <mergeCell ref="B106:B108"/>
    <mergeCell ref="B109:B117"/>
    <mergeCell ref="B164:B165"/>
    <mergeCell ref="B167:B174"/>
    <mergeCell ref="B175:B176"/>
    <mergeCell ref="B177:B184"/>
    <mergeCell ref="B185:B186"/>
    <mergeCell ref="B187:B194"/>
    <mergeCell ref="B195:B196"/>
    <mergeCell ref="B156:B163"/>
    <mergeCell ref="B154:B155"/>
    <mergeCell ref="B146:B153"/>
    <mergeCell ref="B144:B145"/>
    <mergeCell ref="B136:B143"/>
    <mergeCell ref="B134:B135"/>
    <mergeCell ref="D168:D176"/>
    <mergeCell ref="D178:D186"/>
    <mergeCell ref="D188:D196"/>
    <mergeCell ref="B126:B133"/>
    <mergeCell ref="B122:C122"/>
    <mergeCell ref="C146:C153"/>
    <mergeCell ref="C154:C155"/>
    <mergeCell ref="B56:B57"/>
    <mergeCell ref="B58:B65"/>
    <mergeCell ref="D109:E109"/>
    <mergeCell ref="F109:H109"/>
    <mergeCell ref="D125:E125"/>
    <mergeCell ref="F125:H125"/>
    <mergeCell ref="K132:M132"/>
    <mergeCell ref="D17:E17"/>
    <mergeCell ref="K17:M17"/>
    <mergeCell ref="K25:M25"/>
    <mergeCell ref="D72:E72"/>
    <mergeCell ref="F72:H72"/>
    <mergeCell ref="D122:H122"/>
    <mergeCell ref="D123:H123"/>
    <mergeCell ref="C93:C105"/>
    <mergeCell ref="B66:B67"/>
    <mergeCell ref="B73:B80"/>
    <mergeCell ref="B81:B82"/>
    <mergeCell ref="B83:B90"/>
    <mergeCell ref="B91:B92"/>
    <mergeCell ref="B93:B105"/>
    <mergeCell ref="C118:C119"/>
    <mergeCell ref="C126:C133"/>
    <mergeCell ref="C109:C117"/>
    <mergeCell ref="D281:H281"/>
    <mergeCell ref="D282:H282"/>
    <mergeCell ref="B201:B207"/>
    <mergeCell ref="D14:H14"/>
    <mergeCell ref="D15:H15"/>
    <mergeCell ref="D70:H70"/>
    <mergeCell ref="D71:H71"/>
    <mergeCell ref="N2:O2"/>
    <mergeCell ref="P2:Q2"/>
    <mergeCell ref="D6:I6"/>
    <mergeCell ref="D7:I7"/>
    <mergeCell ref="D8:I8"/>
    <mergeCell ref="D9:I9"/>
    <mergeCell ref="D10:I10"/>
    <mergeCell ref="D11:I11"/>
    <mergeCell ref="D12:I12"/>
    <mergeCell ref="B4:I5"/>
    <mergeCell ref="B18:B25"/>
    <mergeCell ref="B26:B27"/>
    <mergeCell ref="B28:B35"/>
    <mergeCell ref="B36:B37"/>
    <mergeCell ref="B38:B45"/>
    <mergeCell ref="B46:B47"/>
    <mergeCell ref="B48:B55"/>
  </mergeCells>
  <phoneticPr fontId="40" type="noConversion"/>
  <printOptions horizontalCentered="1" verticalCentered="1"/>
  <pageMargins left="0" right="0" top="0.74803149606299202" bottom="0" header="0.31496062992126" footer="0.31496062992126"/>
  <pageSetup paperSize="9" scale="54" orientation="portrait" r:id="rId1"/>
  <headerFooter>
    <oddHeader>&amp;L&amp;G&amp;R&amp;G</oddHeader>
    <oddFooter>&amp;L&amp;G</oddFooter>
  </headerFooter>
  <rowBreaks count="6" manualBreakCount="6">
    <brk id="196" max="8" man="1"/>
    <brk id="279" max="8" man="1"/>
    <brk id="324" max="8" man="1"/>
    <brk id="418" max="8" man="1"/>
    <brk id="462" max="8" man="1"/>
    <brk id="556" max="8" man="1"/>
  </rowBreaks>
  <colBreaks count="1" manualBreakCount="1">
    <brk id="14" max="1048575" man="1"/>
  </colBreaks>
  <drawing r:id="rId2"/>
  <legacyDrawing r:id="rId3"/>
  <legacyDrawingHF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Z44"/>
  <sheetViews>
    <sheetView showZeros="0" zoomScale="90" zoomScaleNormal="90" workbookViewId="0">
      <selection activeCell="I6" sqref="I6"/>
    </sheetView>
  </sheetViews>
  <sheetFormatPr defaultColWidth="9" defaultRowHeight="14.5"/>
  <cols>
    <col min="1" max="1" width="1.90625" customWidth="1"/>
    <col min="2" max="2" width="9.90625" customWidth="1"/>
    <col min="3" max="3" width="6.453125" customWidth="1"/>
    <col min="4" max="4" width="7.90625" customWidth="1"/>
    <col min="5" max="5" width="2" customWidth="1"/>
    <col min="6" max="6" width="25.1796875" customWidth="1"/>
    <col min="7" max="7" width="17.08984375" customWidth="1"/>
    <col min="8" max="8" width="1.7265625" customWidth="1"/>
    <col min="9" max="9" width="57.453125" customWidth="1"/>
    <col min="10" max="10" width="8.7265625" customWidth="1"/>
    <col min="11" max="12" width="10.7265625" customWidth="1"/>
    <col min="13" max="13" width="1.7265625" customWidth="1"/>
    <col min="14" max="14" width="61.08984375" customWidth="1"/>
    <col min="15" max="15" width="8.7265625" customWidth="1"/>
    <col min="16" max="17" width="10.7265625" customWidth="1"/>
    <col min="18" max="22" width="7.6328125" customWidth="1"/>
    <col min="23" max="27" width="8.7265625"/>
  </cols>
  <sheetData>
    <row r="1" spans="1:26" ht="35.15" customHeight="1">
      <c r="A1" s="216" t="s">
        <v>0</v>
      </c>
      <c r="B1" s="216" t="s">
        <v>0</v>
      </c>
      <c r="C1" s="216" t="s">
        <v>0</v>
      </c>
      <c r="D1" s="216" t="s">
        <v>0</v>
      </c>
      <c r="E1" s="217" t="s">
        <v>0</v>
      </c>
      <c r="F1" s="1"/>
      <c r="G1" s="1"/>
      <c r="H1" s="1"/>
      <c r="I1" s="1"/>
      <c r="J1" s="1"/>
      <c r="K1" s="1"/>
      <c r="L1" s="1"/>
      <c r="M1" s="217" t="s">
        <v>0</v>
      </c>
      <c r="N1" s="217" t="s">
        <v>0</v>
      </c>
      <c r="O1" s="217" t="s">
        <v>0</v>
      </c>
      <c r="P1" s="217" t="s">
        <v>0</v>
      </c>
      <c r="Q1" s="217" t="s">
        <v>0</v>
      </c>
      <c r="R1" s="217" t="s">
        <v>0</v>
      </c>
      <c r="S1" s="215" t="s">
        <v>0</v>
      </c>
      <c r="T1" s="215" t="s">
        <v>0</v>
      </c>
      <c r="U1" s="215" t="s">
        <v>0</v>
      </c>
      <c r="V1" s="215" t="s">
        <v>0</v>
      </c>
      <c r="W1" s="215" t="s">
        <v>0</v>
      </c>
      <c r="X1" s="215" t="s">
        <v>0</v>
      </c>
      <c r="Y1" s="215" t="s">
        <v>0</v>
      </c>
      <c r="Z1" s="215" t="s">
        <v>0</v>
      </c>
    </row>
    <row r="2" spans="1:26" ht="40.5" customHeight="1" thickBot="1">
      <c r="A2" s="216" t="s">
        <v>0</v>
      </c>
      <c r="B2" s="216" t="s">
        <v>0</v>
      </c>
      <c r="C2" s="216" t="s">
        <v>0</v>
      </c>
      <c r="D2" s="216" t="s">
        <v>0</v>
      </c>
      <c r="E2" s="217" t="s">
        <v>0</v>
      </c>
      <c r="F2" s="497" t="s">
        <v>188</v>
      </c>
      <c r="G2" s="498"/>
      <c r="H2" s="217" t="s">
        <v>0</v>
      </c>
      <c r="I2" s="7" t="s">
        <v>5</v>
      </c>
      <c r="J2" s="8" t="s">
        <v>8</v>
      </c>
      <c r="K2" s="9" t="s">
        <v>51</v>
      </c>
      <c r="L2" s="10" t="s">
        <v>52</v>
      </c>
      <c r="M2" s="217" t="s">
        <v>0</v>
      </c>
      <c r="N2" s="7" t="s">
        <v>6</v>
      </c>
      <c r="O2" s="8" t="s">
        <v>8</v>
      </c>
      <c r="P2" s="9" t="s">
        <v>51</v>
      </c>
      <c r="Q2" s="10" t="s">
        <v>52</v>
      </c>
      <c r="R2" s="217" t="s">
        <v>0</v>
      </c>
      <c r="S2" s="215" t="s">
        <v>0</v>
      </c>
      <c r="T2" s="215" t="s">
        <v>0</v>
      </c>
      <c r="U2" s="215" t="s">
        <v>0</v>
      </c>
      <c r="V2" s="215" t="s">
        <v>0</v>
      </c>
      <c r="W2" s="215" t="s">
        <v>0</v>
      </c>
      <c r="X2" s="215" t="s">
        <v>0</v>
      </c>
      <c r="Y2" s="215" t="s">
        <v>0</v>
      </c>
      <c r="Z2" s="215" t="s">
        <v>0</v>
      </c>
    </row>
    <row r="3" spans="1:26" ht="14.5" customHeight="1">
      <c r="A3" s="216" t="s">
        <v>0</v>
      </c>
      <c r="B3" s="216" t="s">
        <v>0</v>
      </c>
      <c r="C3" s="216" t="s">
        <v>0</v>
      </c>
      <c r="D3" s="216" t="s">
        <v>0</v>
      </c>
      <c r="E3" s="217" t="s">
        <v>0</v>
      </c>
      <c r="F3" s="499"/>
      <c r="G3" s="500"/>
      <c r="H3" s="217" t="s">
        <v>0</v>
      </c>
      <c r="I3" s="11" t="str">
        <f>Form1!B15</f>
        <v>Omset 9 produk fokus 1,2 Milyar</v>
      </c>
      <c r="J3" s="12">
        <f>Form1!E18</f>
        <v>0.5</v>
      </c>
      <c r="K3" s="13">
        <f>Form1!AJ25</f>
        <v>0</v>
      </c>
      <c r="L3" s="14">
        <f>Form1!AK25</f>
        <v>0</v>
      </c>
      <c r="M3" s="217" t="s">
        <v>0</v>
      </c>
      <c r="N3" s="11" t="str">
        <f>Form1!C73</f>
        <v>Rata-rata demoplot 8X dalam 1 bulan</v>
      </c>
      <c r="O3" s="12">
        <f>Form1!E73</f>
        <v>0.3</v>
      </c>
      <c r="P3" s="15">
        <f>Form1!M27</f>
        <v>0</v>
      </c>
      <c r="Q3" s="34">
        <f>Form1!AK37</f>
        <v>0</v>
      </c>
      <c r="R3" s="217" t="s">
        <v>0</v>
      </c>
      <c r="S3" s="215" t="s">
        <v>0</v>
      </c>
      <c r="T3" s="215" t="s">
        <v>0</v>
      </c>
      <c r="U3" s="215" t="s">
        <v>0</v>
      </c>
      <c r="V3" s="215" t="s">
        <v>0</v>
      </c>
      <c r="W3" s="215" t="s">
        <v>0</v>
      </c>
      <c r="X3" s="215" t="s">
        <v>0</v>
      </c>
      <c r="Y3" s="215" t="s">
        <v>0</v>
      </c>
      <c r="Z3" s="215" t="s">
        <v>0</v>
      </c>
    </row>
    <row r="4" spans="1:26">
      <c r="A4" s="216" t="s">
        <v>0</v>
      </c>
      <c r="B4" s="216" t="s">
        <v>0</v>
      </c>
      <c r="C4" s="216" t="s">
        <v>0</v>
      </c>
      <c r="D4" s="216" t="s">
        <v>0</v>
      </c>
      <c r="E4" s="217" t="s">
        <v>0</v>
      </c>
      <c r="F4" s="2" t="s">
        <v>36</v>
      </c>
      <c r="G4" s="3" t="str">
        <f>Form1!D6</f>
        <v>NN</v>
      </c>
      <c r="H4" s="217" t="s">
        <v>0</v>
      </c>
      <c r="I4" s="16" t="str">
        <f>Form1!C28</f>
        <v>C/H DCA Minimal 10%</v>
      </c>
      <c r="J4" s="17">
        <f>Form1!E28</f>
        <v>0.4</v>
      </c>
      <c r="K4" s="18">
        <f>Form1!M126</f>
        <v>0</v>
      </c>
      <c r="L4" s="19">
        <f>Form1!AK26</f>
        <v>0</v>
      </c>
      <c r="M4" s="217" t="s">
        <v>0</v>
      </c>
      <c r="N4" s="16" t="str">
        <f>Form1!C83</f>
        <v xml:space="preserve">100% Melaporkan Hasil Demplot maksimal H+1 setelah pengamatan terakhir </v>
      </c>
      <c r="O4" s="17">
        <f>Form1!E83</f>
        <v>0.15</v>
      </c>
      <c r="P4" s="15">
        <f>Form1!M134</f>
        <v>0</v>
      </c>
      <c r="Q4" s="34">
        <f>Form1!AK38</f>
        <v>0</v>
      </c>
      <c r="R4" s="217" t="s">
        <v>0</v>
      </c>
      <c r="S4" s="215" t="s">
        <v>0</v>
      </c>
      <c r="T4" s="215" t="s">
        <v>0</v>
      </c>
      <c r="U4" s="215" t="s">
        <v>0</v>
      </c>
      <c r="V4" s="215" t="s">
        <v>0</v>
      </c>
      <c r="W4" s="215" t="s">
        <v>0</v>
      </c>
      <c r="X4" s="215" t="s">
        <v>0</v>
      </c>
      <c r="Y4" s="215" t="s">
        <v>0</v>
      </c>
      <c r="Z4" s="215" t="s">
        <v>0</v>
      </c>
    </row>
    <row r="5" spans="1:26">
      <c r="A5" s="216" t="s">
        <v>0</v>
      </c>
      <c r="B5" s="216" t="s">
        <v>0</v>
      </c>
      <c r="C5" s="216" t="s">
        <v>0</v>
      </c>
      <c r="D5" s="216" t="s">
        <v>0</v>
      </c>
      <c r="E5" s="217" t="s">
        <v>0</v>
      </c>
      <c r="F5" s="2" t="s">
        <v>149</v>
      </c>
      <c r="G5" s="3" t="str">
        <f>Form1!D7</f>
        <v>MARKETING DEVELOPMENT OFFICER (MDO)</v>
      </c>
      <c r="H5" s="217" t="s">
        <v>0</v>
      </c>
      <c r="I5" s="16" t="str">
        <f>Form1!B123</f>
        <v>Absensi</v>
      </c>
      <c r="J5" s="17">
        <f>Form1!E126</f>
        <v>0.1</v>
      </c>
      <c r="K5" s="18">
        <f>Form1!M286</f>
        <v>0</v>
      </c>
      <c r="L5" s="19">
        <f>Form1!AK27</f>
        <v>0</v>
      </c>
      <c r="M5" s="217" t="s">
        <v>0</v>
      </c>
      <c r="N5" s="20" t="str">
        <f>Form1!C93</f>
        <v>Membuat Testimoni Demoplot 75% dari total Demoplot, maksimal H-2 sebelum FFD/FM</v>
      </c>
      <c r="O5" s="17">
        <f>Form1!E93</f>
        <v>0.15</v>
      </c>
      <c r="P5" s="15">
        <f>Form1!M294</f>
        <v>0</v>
      </c>
      <c r="Q5" s="34">
        <f>Form1!AK39</f>
        <v>0</v>
      </c>
      <c r="R5" s="217" t="s">
        <v>0</v>
      </c>
      <c r="S5" s="215" t="s">
        <v>0</v>
      </c>
      <c r="T5" s="215" t="s">
        <v>0</v>
      </c>
      <c r="U5" s="215" t="s">
        <v>0</v>
      </c>
      <c r="V5" s="215" t="s">
        <v>0</v>
      </c>
      <c r="W5" s="215" t="s">
        <v>0</v>
      </c>
      <c r="X5" s="215" t="s">
        <v>0</v>
      </c>
      <c r="Y5" s="215" t="s">
        <v>0</v>
      </c>
      <c r="Z5" s="215" t="s">
        <v>0</v>
      </c>
    </row>
    <row r="6" spans="1:26" ht="15" thickBot="1">
      <c r="A6" s="216" t="s">
        <v>0</v>
      </c>
      <c r="B6" s="216" t="s">
        <v>0</v>
      </c>
      <c r="C6" s="216" t="s">
        <v>0</v>
      </c>
      <c r="D6" s="216" t="s">
        <v>0</v>
      </c>
      <c r="E6" s="217" t="s">
        <v>0</v>
      </c>
      <c r="F6" s="2" t="s">
        <v>38</v>
      </c>
      <c r="G6" s="3" t="str">
        <f>Form1!D8</f>
        <v>NN</v>
      </c>
      <c r="H6" s="217" t="s">
        <v>0</v>
      </c>
      <c r="I6" s="20">
        <f>Form1!B421</f>
        <v>0</v>
      </c>
      <c r="J6" s="17">
        <f>Form1!D421</f>
        <v>0</v>
      </c>
      <c r="K6" s="18">
        <f>Form1!AJ28</f>
        <v>0</v>
      </c>
      <c r="L6" s="19">
        <f>Form1!AK28</f>
        <v>0</v>
      </c>
      <c r="M6" s="217" t="s">
        <v>0</v>
      </c>
      <c r="N6" s="16" t="str">
        <f>Form1!C109</f>
        <v xml:space="preserve"> Membuat FFD/FM 3 kali per bulan
</v>
      </c>
      <c r="O6" s="17">
        <f>Form1!E110</f>
        <v>0.4</v>
      </c>
      <c r="P6" s="15">
        <f>Form1!M432</f>
        <v>0</v>
      </c>
      <c r="Q6" s="34">
        <f>Form1!AK40</f>
        <v>0</v>
      </c>
      <c r="R6" s="217" t="s">
        <v>0</v>
      </c>
      <c r="S6" s="215" t="s">
        <v>0</v>
      </c>
      <c r="T6" s="215" t="s">
        <v>0</v>
      </c>
      <c r="U6" s="215" t="s">
        <v>0</v>
      </c>
      <c r="V6" s="215" t="s">
        <v>0</v>
      </c>
      <c r="W6" s="215" t="s">
        <v>0</v>
      </c>
      <c r="X6" s="215" t="s">
        <v>0</v>
      </c>
      <c r="Y6" s="215" t="s">
        <v>0</v>
      </c>
      <c r="Z6" s="215" t="s">
        <v>0</v>
      </c>
    </row>
    <row r="7" spans="1:26" hidden="1">
      <c r="A7" s="216" t="s">
        <v>0</v>
      </c>
      <c r="B7" s="216" t="s">
        <v>0</v>
      </c>
      <c r="C7" s="216" t="s">
        <v>0</v>
      </c>
      <c r="D7" s="216" t="s">
        <v>0</v>
      </c>
      <c r="E7" s="217" t="s">
        <v>0</v>
      </c>
      <c r="F7" s="2" t="s">
        <v>40</v>
      </c>
      <c r="G7" s="3" t="str">
        <f>Form1!D9</f>
        <v>Arfin Indra C</v>
      </c>
      <c r="H7" s="217" t="s">
        <v>0</v>
      </c>
      <c r="I7" s="20"/>
      <c r="J7" s="17"/>
      <c r="K7" s="18">
        <f>Form1!AJ29</f>
        <v>0</v>
      </c>
      <c r="L7" s="19">
        <f>Form1!AK29</f>
        <v>0</v>
      </c>
      <c r="M7" s="217" t="s">
        <v>0</v>
      </c>
      <c r="N7" s="16"/>
      <c r="O7" s="17"/>
      <c r="P7" s="15">
        <v>0</v>
      </c>
      <c r="Q7" s="34">
        <f>Form1!AK41</f>
        <v>0</v>
      </c>
      <c r="R7" s="217" t="s">
        <v>0</v>
      </c>
      <c r="S7" s="215" t="s">
        <v>0</v>
      </c>
      <c r="T7" s="215" t="s">
        <v>0</v>
      </c>
      <c r="U7" s="215" t="s">
        <v>0</v>
      </c>
      <c r="V7" s="215" t="s">
        <v>0</v>
      </c>
      <c r="W7" s="215" t="s">
        <v>0</v>
      </c>
      <c r="X7" s="215" t="s">
        <v>0</v>
      </c>
      <c r="Y7" s="215" t="s">
        <v>0</v>
      </c>
      <c r="Z7" s="215" t="s">
        <v>0</v>
      </c>
    </row>
    <row r="8" spans="1:26" hidden="1">
      <c r="A8" s="216" t="s">
        <v>0</v>
      </c>
      <c r="B8" s="216" t="s">
        <v>0</v>
      </c>
      <c r="C8" s="216" t="s">
        <v>0</v>
      </c>
      <c r="D8" s="216" t="s">
        <v>0</v>
      </c>
      <c r="E8" s="217" t="s">
        <v>0</v>
      </c>
      <c r="F8" s="2" t="s">
        <v>42</v>
      </c>
      <c r="G8" s="4">
        <f>Form1!D10</f>
        <v>46023</v>
      </c>
      <c r="H8" s="217" t="s">
        <v>0</v>
      </c>
      <c r="I8" s="16">
        <f>Form1!AH30</f>
        <v>0</v>
      </c>
      <c r="J8" s="17">
        <f>Form1!AI30</f>
        <v>0</v>
      </c>
      <c r="K8" s="18">
        <f>Form1!AJ30</f>
        <v>0</v>
      </c>
      <c r="L8" s="19">
        <f>Form1!AK30</f>
        <v>0</v>
      </c>
      <c r="M8" s="217" t="s">
        <v>0</v>
      </c>
      <c r="N8" s="16">
        <f>Form1!AH42</f>
        <v>0</v>
      </c>
      <c r="O8" s="17"/>
      <c r="P8" s="15">
        <v>0</v>
      </c>
      <c r="Q8" s="34">
        <f>Form1!AK42</f>
        <v>0</v>
      </c>
      <c r="R8" s="217" t="s">
        <v>0</v>
      </c>
      <c r="S8" s="215" t="s">
        <v>0</v>
      </c>
      <c r="T8" s="215" t="s">
        <v>0</v>
      </c>
      <c r="U8" s="215" t="s">
        <v>0</v>
      </c>
      <c r="V8" s="215" t="s">
        <v>0</v>
      </c>
      <c r="W8" s="215" t="s">
        <v>0</v>
      </c>
      <c r="X8" s="215" t="s">
        <v>0</v>
      </c>
      <c r="Y8" s="215" t="s">
        <v>0</v>
      </c>
      <c r="Z8" s="215" t="s">
        <v>0</v>
      </c>
    </row>
    <row r="9" spans="1:26" hidden="1">
      <c r="A9" s="216" t="s">
        <v>0</v>
      </c>
      <c r="B9" s="216" t="s">
        <v>0</v>
      </c>
      <c r="C9" s="216" t="s">
        <v>0</v>
      </c>
      <c r="D9" s="216" t="s">
        <v>0</v>
      </c>
      <c r="E9" s="217" t="s">
        <v>0</v>
      </c>
      <c r="F9" s="2" t="s">
        <v>43</v>
      </c>
      <c r="G9" s="4" t="str">
        <f>Form1!D11</f>
        <v>Tanggal 5 setiap bulan</v>
      </c>
      <c r="H9" s="217" t="s">
        <v>0</v>
      </c>
      <c r="I9" s="16">
        <f>Form1!AH31</f>
        <v>0</v>
      </c>
      <c r="J9" s="17">
        <f>Form1!AI31</f>
        <v>0</v>
      </c>
      <c r="K9" s="18">
        <f>Form1!AJ31</f>
        <v>0</v>
      </c>
      <c r="L9" s="19">
        <f>Form1!AK31</f>
        <v>0</v>
      </c>
      <c r="M9" s="217" t="s">
        <v>0</v>
      </c>
      <c r="N9" s="16">
        <f>Form1!AH43</f>
        <v>0</v>
      </c>
      <c r="O9" s="17"/>
      <c r="P9" s="15">
        <v>0</v>
      </c>
      <c r="Q9" s="34">
        <f>Form1!AK43</f>
        <v>0</v>
      </c>
      <c r="R9" s="217" t="s">
        <v>0</v>
      </c>
      <c r="S9" s="215" t="s">
        <v>0</v>
      </c>
      <c r="T9" s="215" t="s">
        <v>0</v>
      </c>
      <c r="U9" s="215" t="s">
        <v>0</v>
      </c>
      <c r="V9" s="215" t="s">
        <v>0</v>
      </c>
      <c r="W9" s="215" t="s">
        <v>0</v>
      </c>
      <c r="X9" s="215" t="s">
        <v>0</v>
      </c>
      <c r="Y9" s="215" t="s">
        <v>0</v>
      </c>
      <c r="Z9" s="215" t="s">
        <v>0</v>
      </c>
    </row>
    <row r="10" spans="1:26" ht="15" hidden="1" thickBot="1">
      <c r="A10" s="216" t="s">
        <v>0</v>
      </c>
      <c r="B10" s="216" t="s">
        <v>0</v>
      </c>
      <c r="C10" s="216" t="s">
        <v>0</v>
      </c>
      <c r="D10" s="216" t="s">
        <v>0</v>
      </c>
      <c r="E10" s="217" t="s">
        <v>0</v>
      </c>
      <c r="F10" s="5" t="s">
        <v>45</v>
      </c>
      <c r="G10" s="4">
        <f>Form1!D12</f>
        <v>46381</v>
      </c>
      <c r="H10" s="217" t="s">
        <v>0</v>
      </c>
      <c r="I10" s="16">
        <f>Form1!AH32</f>
        <v>0</v>
      </c>
      <c r="J10" s="17">
        <f>Form1!AI32</f>
        <v>0</v>
      </c>
      <c r="K10" s="18">
        <f>Form1!AJ32</f>
        <v>0</v>
      </c>
      <c r="L10" s="19">
        <f>Form1!AK32</f>
        <v>0</v>
      </c>
      <c r="M10" s="217" t="s">
        <v>0</v>
      </c>
      <c r="N10" s="16">
        <f>Form1!AH44</f>
        <v>0</v>
      </c>
      <c r="O10" s="17"/>
      <c r="P10" s="15">
        <v>0</v>
      </c>
      <c r="Q10" s="34">
        <f>Form1!AK44</f>
        <v>0</v>
      </c>
      <c r="R10" s="217" t="s">
        <v>0</v>
      </c>
      <c r="S10" s="215" t="s">
        <v>0</v>
      </c>
      <c r="T10" s="215" t="s">
        <v>0</v>
      </c>
      <c r="U10" s="215" t="s">
        <v>0</v>
      </c>
      <c r="V10" s="215" t="s">
        <v>0</v>
      </c>
      <c r="W10" s="215" t="s">
        <v>0</v>
      </c>
      <c r="X10" s="215" t="s">
        <v>0</v>
      </c>
      <c r="Y10" s="215" t="s">
        <v>0</v>
      </c>
      <c r="Z10" s="215" t="s">
        <v>0</v>
      </c>
    </row>
    <row r="11" spans="1:26" ht="15" hidden="1" thickBot="1">
      <c r="A11" s="216" t="s">
        <v>0</v>
      </c>
      <c r="B11" s="216" t="s">
        <v>0</v>
      </c>
      <c r="C11" s="216" t="s">
        <v>0</v>
      </c>
      <c r="D11" s="216" t="s">
        <v>0</v>
      </c>
      <c r="E11" s="217" t="s">
        <v>0</v>
      </c>
      <c r="F11" s="217" t="s">
        <v>0</v>
      </c>
      <c r="G11" s="217" t="s">
        <v>0</v>
      </c>
      <c r="H11" s="217" t="s">
        <v>0</v>
      </c>
      <c r="I11" s="20">
        <f>Form1!AH33</f>
        <v>0</v>
      </c>
      <c r="J11" s="17">
        <f>Form1!AI33</f>
        <v>0</v>
      </c>
      <c r="K11" s="18">
        <f>Form1!AJ33</f>
        <v>0</v>
      </c>
      <c r="L11" s="19">
        <f>Form1!AK33</f>
        <v>0</v>
      </c>
      <c r="M11" s="217" t="s">
        <v>0</v>
      </c>
      <c r="N11" s="20">
        <f>Form1!AH45</f>
        <v>0</v>
      </c>
      <c r="O11" s="17"/>
      <c r="P11" s="15">
        <v>0</v>
      </c>
      <c r="Q11" s="34">
        <f>Form1!AK45</f>
        <v>0</v>
      </c>
      <c r="R11" s="217" t="s">
        <v>0</v>
      </c>
      <c r="S11" s="215" t="s">
        <v>0</v>
      </c>
      <c r="T11" s="215" t="s">
        <v>0</v>
      </c>
      <c r="U11" s="215" t="s">
        <v>0</v>
      </c>
      <c r="V11" s="215" t="s">
        <v>0</v>
      </c>
      <c r="W11" s="215" t="s">
        <v>0</v>
      </c>
      <c r="X11" s="215" t="s">
        <v>0</v>
      </c>
      <c r="Y11" s="215" t="s">
        <v>0</v>
      </c>
      <c r="Z11" s="215" t="s">
        <v>0</v>
      </c>
    </row>
    <row r="12" spans="1:26" ht="15" customHeight="1" thickBot="1">
      <c r="A12" s="216" t="s">
        <v>0</v>
      </c>
      <c r="B12" s="216" t="s">
        <v>0</v>
      </c>
      <c r="C12" s="216" t="s">
        <v>0</v>
      </c>
      <c r="D12" s="216" t="s">
        <v>0</v>
      </c>
      <c r="E12" s="217" t="s">
        <v>0</v>
      </c>
      <c r="F12" s="513" t="s">
        <v>7</v>
      </c>
      <c r="G12" s="514"/>
      <c r="H12" s="217" t="s">
        <v>0</v>
      </c>
      <c r="I12" s="21">
        <f>Form1!AH34</f>
        <v>0</v>
      </c>
      <c r="J12" s="22">
        <f>Form1!AI34</f>
        <v>0</v>
      </c>
      <c r="K12" s="23">
        <f>Form1!AJ34</f>
        <v>0</v>
      </c>
      <c r="L12" s="24">
        <f>Form1!AK34</f>
        <v>0</v>
      </c>
      <c r="M12" s="217" t="s">
        <v>0</v>
      </c>
      <c r="N12" s="21">
        <f>Form1!AH46</f>
        <v>0</v>
      </c>
      <c r="O12" s="22"/>
      <c r="P12" s="15">
        <v>0</v>
      </c>
      <c r="Q12" s="34">
        <f>Form1!AK46</f>
        <v>0</v>
      </c>
      <c r="R12" s="217" t="s">
        <v>0</v>
      </c>
      <c r="S12" s="215" t="s">
        <v>0</v>
      </c>
      <c r="T12" s="215" t="s">
        <v>0</v>
      </c>
      <c r="U12" s="215" t="s">
        <v>0</v>
      </c>
      <c r="V12" s="215" t="s">
        <v>0</v>
      </c>
      <c r="W12" s="215" t="s">
        <v>0</v>
      </c>
      <c r="X12" s="215" t="s">
        <v>0</v>
      </c>
      <c r="Y12" s="215" t="s">
        <v>0</v>
      </c>
      <c r="Z12" s="215" t="s">
        <v>0</v>
      </c>
    </row>
    <row r="13" spans="1:26" ht="15" customHeight="1" thickBot="1">
      <c r="A13" s="216" t="s">
        <v>0</v>
      </c>
      <c r="B13" s="216" t="s">
        <v>0</v>
      </c>
      <c r="C13" s="216" t="s">
        <v>0</v>
      </c>
      <c r="D13" s="216" t="s">
        <v>0</v>
      </c>
      <c r="E13" s="217" t="s">
        <v>0</v>
      </c>
      <c r="F13" s="515" t="s">
        <v>75</v>
      </c>
      <c r="G13" s="517">
        <f>L15+Q15</f>
        <v>0</v>
      </c>
      <c r="H13" s="217" t="s">
        <v>0</v>
      </c>
      <c r="I13" s="26" t="str">
        <f>Form1!AH35</f>
        <v>TOTAL NILAI</v>
      </c>
      <c r="J13" s="27">
        <f>SUM(J3:J12)</f>
        <v>1</v>
      </c>
      <c r="K13" s="28">
        <f>SUM(K3:K12)</f>
        <v>0</v>
      </c>
      <c r="L13" s="29">
        <f>SUM(L3:L12)</f>
        <v>0</v>
      </c>
      <c r="M13" s="217" t="s">
        <v>0</v>
      </c>
      <c r="N13" s="26" t="str">
        <f>Form1!AH47</f>
        <v>TOTAL NILAI</v>
      </c>
      <c r="O13" s="27">
        <f>SUM(O3:O6)</f>
        <v>1</v>
      </c>
      <c r="P13" s="28">
        <f>SUM(P3:P12)</f>
        <v>0</v>
      </c>
      <c r="Q13" s="29">
        <f>SUM(Q3:Q12)</f>
        <v>0</v>
      </c>
      <c r="R13" s="217" t="s">
        <v>0</v>
      </c>
      <c r="S13" s="215" t="s">
        <v>0</v>
      </c>
      <c r="T13" s="215" t="s">
        <v>0</v>
      </c>
      <c r="U13" s="215" t="s">
        <v>0</v>
      </c>
      <c r="V13" s="215" t="s">
        <v>0</v>
      </c>
      <c r="W13" s="215" t="s">
        <v>0</v>
      </c>
      <c r="X13" s="215" t="s">
        <v>0</v>
      </c>
      <c r="Y13" s="215" t="s">
        <v>0</v>
      </c>
      <c r="Z13" s="215" t="s">
        <v>0</v>
      </c>
    </row>
    <row r="14" spans="1:26" ht="15" customHeight="1">
      <c r="A14" s="216" t="s">
        <v>0</v>
      </c>
      <c r="B14" s="216" t="s">
        <v>0</v>
      </c>
      <c r="C14" s="216" t="s">
        <v>0</v>
      </c>
      <c r="D14" s="216" t="s">
        <v>0</v>
      </c>
      <c r="E14" s="217" t="s">
        <v>0</v>
      </c>
      <c r="F14" s="516"/>
      <c r="G14" s="518"/>
      <c r="H14" s="217" t="s">
        <v>0</v>
      </c>
      <c r="I14" s="217" t="s">
        <v>0</v>
      </c>
      <c r="J14" s="505" t="s">
        <v>5</v>
      </c>
      <c r="K14" s="30" t="s">
        <v>8</v>
      </c>
      <c r="L14" s="31" t="s">
        <v>9</v>
      </c>
      <c r="M14" s="217" t="s">
        <v>0</v>
      </c>
      <c r="N14" s="217" t="s">
        <v>0</v>
      </c>
      <c r="O14" s="505" t="s">
        <v>6</v>
      </c>
      <c r="P14" s="30" t="s">
        <v>8</v>
      </c>
      <c r="Q14" s="31" t="s">
        <v>9</v>
      </c>
      <c r="R14" s="217" t="s">
        <v>0</v>
      </c>
      <c r="S14" s="215" t="s">
        <v>0</v>
      </c>
      <c r="T14" s="215" t="s">
        <v>0</v>
      </c>
      <c r="U14" s="215" t="s">
        <v>0</v>
      </c>
      <c r="V14" s="215" t="s">
        <v>0</v>
      </c>
      <c r="W14" s="215" t="s">
        <v>0</v>
      </c>
      <c r="X14" s="215" t="s">
        <v>0</v>
      </c>
      <c r="Y14" s="215" t="s">
        <v>0</v>
      </c>
      <c r="Z14" s="215" t="s">
        <v>0</v>
      </c>
    </row>
    <row r="15" spans="1:26" ht="15" customHeight="1">
      <c r="A15" s="216" t="s">
        <v>0</v>
      </c>
      <c r="B15" s="216" t="s">
        <v>0</v>
      </c>
      <c r="C15" s="216" t="s">
        <v>0</v>
      </c>
      <c r="D15" s="216" t="s">
        <v>0</v>
      </c>
      <c r="E15" s="217" t="s">
        <v>0</v>
      </c>
      <c r="F15" s="507" t="str">
        <f>IF(G13&lt;90,"POOR",IF(G13&lt;=100,"GOOD",IF(G13&lt;=110,"Very Good",IF(G13&gt;110,"Excellent"))))</f>
        <v>POOR</v>
      </c>
      <c r="G15" s="508"/>
      <c r="H15" s="217" t="s">
        <v>0</v>
      </c>
      <c r="I15" s="217" t="s">
        <v>0</v>
      </c>
      <c r="J15" s="506"/>
      <c r="K15" s="32"/>
      <c r="L15" s="33">
        <f>L13*K15</f>
        <v>0</v>
      </c>
      <c r="M15" s="217" t="s">
        <v>0</v>
      </c>
      <c r="N15" s="217" t="s">
        <v>0</v>
      </c>
      <c r="O15" s="506"/>
      <c r="P15" s="32"/>
      <c r="Q15" s="33">
        <f>P15*Q13</f>
        <v>0</v>
      </c>
      <c r="R15" s="217" t="s">
        <v>0</v>
      </c>
      <c r="S15" s="215" t="s">
        <v>0</v>
      </c>
      <c r="T15" s="215" t="s">
        <v>0</v>
      </c>
      <c r="U15" s="215" t="s">
        <v>0</v>
      </c>
      <c r="V15" s="215" t="s">
        <v>0</v>
      </c>
      <c r="W15" s="215" t="s">
        <v>0</v>
      </c>
      <c r="X15" s="215" t="s">
        <v>0</v>
      </c>
      <c r="Y15" s="215" t="s">
        <v>0</v>
      </c>
      <c r="Z15" s="215" t="s">
        <v>0</v>
      </c>
    </row>
    <row r="16" spans="1:26" ht="15.75" customHeight="1">
      <c r="A16" s="216" t="s">
        <v>0</v>
      </c>
      <c r="B16" s="216" t="s">
        <v>0</v>
      </c>
      <c r="C16" s="216" t="s">
        <v>0</v>
      </c>
      <c r="D16" s="216" t="s">
        <v>0</v>
      </c>
      <c r="E16" s="217" t="s">
        <v>0</v>
      </c>
      <c r="F16" s="509"/>
      <c r="G16" s="510"/>
      <c r="H16" s="217" t="s">
        <v>0</v>
      </c>
      <c r="I16" s="217" t="s">
        <v>0</v>
      </c>
      <c r="J16" s="217" t="s">
        <v>0</v>
      </c>
      <c r="K16" s="217" t="s">
        <v>0</v>
      </c>
      <c r="L16" s="217" t="s">
        <v>0</v>
      </c>
      <c r="M16" s="217" t="s">
        <v>0</v>
      </c>
      <c r="N16" s="217" t="s">
        <v>0</v>
      </c>
      <c r="O16" s="217" t="s">
        <v>0</v>
      </c>
      <c r="P16" s="217" t="s">
        <v>0</v>
      </c>
      <c r="Q16" s="217" t="s">
        <v>0</v>
      </c>
      <c r="R16" s="217" t="s">
        <v>0</v>
      </c>
      <c r="S16" s="215" t="s">
        <v>0</v>
      </c>
      <c r="T16" s="215" t="s">
        <v>0</v>
      </c>
      <c r="U16" s="215" t="s">
        <v>0</v>
      </c>
      <c r="V16" s="215" t="s">
        <v>0</v>
      </c>
      <c r="W16" s="215" t="s">
        <v>0</v>
      </c>
      <c r="X16" s="215" t="s">
        <v>0</v>
      </c>
      <c r="Y16" s="215" t="s">
        <v>0</v>
      </c>
      <c r="Z16" s="215" t="s">
        <v>0</v>
      </c>
    </row>
    <row r="17" spans="1:26" ht="15" customHeight="1">
      <c r="A17" s="216" t="s">
        <v>0</v>
      </c>
      <c r="B17" s="216" t="s">
        <v>0</v>
      </c>
      <c r="C17" s="216" t="s">
        <v>0</v>
      </c>
      <c r="D17" s="216" t="s">
        <v>0</v>
      </c>
      <c r="E17" s="217" t="s">
        <v>0</v>
      </c>
      <c r="F17" s="511"/>
      <c r="G17" s="512"/>
      <c r="H17" s="217" t="s">
        <v>0</v>
      </c>
      <c r="I17" s="217" t="s">
        <v>0</v>
      </c>
      <c r="J17" s="217" t="s">
        <v>0</v>
      </c>
      <c r="K17" s="217" t="s">
        <v>0</v>
      </c>
      <c r="L17" s="217" t="s">
        <v>0</v>
      </c>
      <c r="M17" s="217" t="s">
        <v>0</v>
      </c>
      <c r="N17" s="217" t="s">
        <v>0</v>
      </c>
      <c r="O17" s="217" t="s">
        <v>0</v>
      </c>
      <c r="P17" s="217" t="s">
        <v>0</v>
      </c>
      <c r="Q17" s="217" t="s">
        <v>0</v>
      </c>
      <c r="R17" s="217" t="s">
        <v>0</v>
      </c>
      <c r="S17" s="215" t="s">
        <v>0</v>
      </c>
      <c r="T17" s="215" t="s">
        <v>0</v>
      </c>
      <c r="U17" s="215" t="s">
        <v>0</v>
      </c>
      <c r="V17" s="215" t="s">
        <v>0</v>
      </c>
      <c r="W17" s="215" t="s">
        <v>0</v>
      </c>
      <c r="X17" s="215" t="s">
        <v>0</v>
      </c>
      <c r="Y17" s="215" t="s">
        <v>0</v>
      </c>
      <c r="Z17" s="215" t="s">
        <v>0</v>
      </c>
    </row>
    <row r="18" spans="1:26">
      <c r="A18" s="216" t="s">
        <v>0</v>
      </c>
      <c r="B18" s="216" t="s">
        <v>0</v>
      </c>
      <c r="C18" s="216" t="s">
        <v>0</v>
      </c>
      <c r="D18" s="216" t="s">
        <v>0</v>
      </c>
      <c r="E18" s="217" t="s">
        <v>0</v>
      </c>
      <c r="F18" s="217" t="s">
        <v>0</v>
      </c>
      <c r="G18" s="217" t="s">
        <v>0</v>
      </c>
      <c r="H18" s="217" t="s">
        <v>0</v>
      </c>
      <c r="I18" s="217" t="s">
        <v>0</v>
      </c>
      <c r="J18" s="217" t="s">
        <v>0</v>
      </c>
      <c r="K18" s="217" t="s">
        <v>0</v>
      </c>
      <c r="L18" s="217" t="s">
        <v>0</v>
      </c>
      <c r="M18" s="217" t="s">
        <v>0</v>
      </c>
      <c r="N18" s="217" t="s">
        <v>0</v>
      </c>
      <c r="O18" s="217" t="s">
        <v>0</v>
      </c>
      <c r="P18" s="217" t="s">
        <v>0</v>
      </c>
      <c r="Q18" s="217" t="s">
        <v>0</v>
      </c>
      <c r="R18" s="217" t="s">
        <v>0</v>
      </c>
      <c r="S18" s="215" t="s">
        <v>0</v>
      </c>
      <c r="T18" s="215" t="s">
        <v>0</v>
      </c>
      <c r="U18" s="215" t="s">
        <v>0</v>
      </c>
      <c r="V18" s="215" t="s">
        <v>0</v>
      </c>
      <c r="W18" s="215" t="s">
        <v>0</v>
      </c>
      <c r="X18" s="215" t="s">
        <v>0</v>
      </c>
      <c r="Y18" s="215" t="s">
        <v>0</v>
      </c>
      <c r="Z18" s="215" t="s">
        <v>0</v>
      </c>
    </row>
    <row r="19" spans="1:26">
      <c r="A19" s="216" t="s">
        <v>0</v>
      </c>
      <c r="B19" s="216" t="s">
        <v>0</v>
      </c>
      <c r="C19" s="216" t="s">
        <v>0</v>
      </c>
      <c r="D19" s="216" t="s">
        <v>0</v>
      </c>
      <c r="E19" s="217" t="s">
        <v>0</v>
      </c>
      <c r="F19" s="217" t="s">
        <v>0</v>
      </c>
      <c r="G19" s="217" t="s">
        <v>0</v>
      </c>
      <c r="H19" s="217" t="s">
        <v>0</v>
      </c>
      <c r="I19" s="217" t="s">
        <v>0</v>
      </c>
      <c r="J19" s="217" t="s">
        <v>0</v>
      </c>
      <c r="K19" s="217" t="s">
        <v>0</v>
      </c>
      <c r="L19" s="217" t="s">
        <v>0</v>
      </c>
      <c r="M19" s="217" t="s">
        <v>0</v>
      </c>
      <c r="N19" s="217" t="s">
        <v>0</v>
      </c>
      <c r="O19" s="217" t="s">
        <v>0</v>
      </c>
      <c r="P19" s="217" t="s">
        <v>0</v>
      </c>
      <c r="Q19" s="217" t="s">
        <v>0</v>
      </c>
      <c r="R19" s="217" t="s">
        <v>0</v>
      </c>
      <c r="S19" s="215" t="s">
        <v>0</v>
      </c>
      <c r="T19" s="215" t="s">
        <v>0</v>
      </c>
      <c r="U19" s="215" t="s">
        <v>0</v>
      </c>
      <c r="V19" s="215" t="s">
        <v>0</v>
      </c>
      <c r="W19" s="215" t="s">
        <v>0</v>
      </c>
      <c r="X19" s="215" t="s">
        <v>0</v>
      </c>
      <c r="Y19" s="215" t="s">
        <v>0</v>
      </c>
      <c r="Z19" s="215" t="s">
        <v>0</v>
      </c>
    </row>
    <row r="20" spans="1:26" ht="29">
      <c r="A20" s="216" t="s">
        <v>0</v>
      </c>
      <c r="B20" s="216" t="s">
        <v>0</v>
      </c>
      <c r="C20" s="216" t="s">
        <v>0</v>
      </c>
      <c r="D20" s="216" t="s">
        <v>0</v>
      </c>
      <c r="E20" s="217" t="s">
        <v>0</v>
      </c>
      <c r="F20" s="501" t="s">
        <v>189</v>
      </c>
      <c r="G20" s="502"/>
      <c r="H20" s="217" t="s">
        <v>0</v>
      </c>
      <c r="I20" s="7" t="s">
        <v>5</v>
      </c>
      <c r="J20" s="8" t="s">
        <v>8</v>
      </c>
      <c r="K20" s="9" t="s">
        <v>51</v>
      </c>
      <c r="L20" s="10" t="s">
        <v>52</v>
      </c>
      <c r="M20" s="217" t="s">
        <v>0</v>
      </c>
      <c r="N20" s="7" t="s">
        <v>6</v>
      </c>
      <c r="O20" s="8" t="s">
        <v>8</v>
      </c>
      <c r="P20" s="9" t="s">
        <v>51</v>
      </c>
      <c r="Q20" s="10" t="s">
        <v>52</v>
      </c>
      <c r="R20" s="217" t="s">
        <v>0</v>
      </c>
      <c r="S20" s="215" t="s">
        <v>0</v>
      </c>
      <c r="T20" s="215" t="s">
        <v>0</v>
      </c>
      <c r="U20" s="215" t="s">
        <v>0</v>
      </c>
      <c r="V20" s="215" t="s">
        <v>0</v>
      </c>
      <c r="W20" s="215" t="s">
        <v>0</v>
      </c>
      <c r="X20" s="215" t="s">
        <v>0</v>
      </c>
      <c r="Y20" s="215" t="s">
        <v>0</v>
      </c>
      <c r="Z20" s="215" t="s">
        <v>0</v>
      </c>
    </row>
    <row r="21" spans="1:26">
      <c r="A21" s="216" t="s">
        <v>0</v>
      </c>
      <c r="B21" s="216" t="s">
        <v>0</v>
      </c>
      <c r="C21" s="216" t="s">
        <v>0</v>
      </c>
      <c r="D21" s="216" t="s">
        <v>0</v>
      </c>
      <c r="E21" s="217" t="s">
        <v>0</v>
      </c>
      <c r="F21" s="503"/>
      <c r="G21" s="504"/>
      <c r="H21" s="217" t="s">
        <v>0</v>
      </c>
      <c r="I21" s="11" t="str">
        <f>I3</f>
        <v>Omset 9 produk fokus 1,2 Milyar</v>
      </c>
      <c r="J21" s="12">
        <f>J3</f>
        <v>0.5</v>
      </c>
      <c r="K21" s="225">
        <v>0</v>
      </c>
      <c r="L21" s="14">
        <f>K21*J21</f>
        <v>0</v>
      </c>
      <c r="M21" s="217" t="s">
        <v>0</v>
      </c>
      <c r="N21" s="11" t="str">
        <f>N3</f>
        <v>Rata-rata demoplot 8X dalam 1 bulan</v>
      </c>
      <c r="O21" s="12">
        <f>Form1!E73</f>
        <v>0.3</v>
      </c>
      <c r="P21" s="225">
        <v>0</v>
      </c>
      <c r="Q21" s="34">
        <f>P21*O21</f>
        <v>0</v>
      </c>
      <c r="R21" s="217" t="s">
        <v>0</v>
      </c>
      <c r="S21" s="215" t="s">
        <v>0</v>
      </c>
      <c r="T21" s="215" t="s">
        <v>0</v>
      </c>
      <c r="U21" s="215" t="s">
        <v>0</v>
      </c>
      <c r="V21" s="215" t="s">
        <v>0</v>
      </c>
      <c r="W21" s="215" t="s">
        <v>0</v>
      </c>
      <c r="X21" s="215" t="s">
        <v>0</v>
      </c>
      <c r="Y21" s="215" t="s">
        <v>0</v>
      </c>
      <c r="Z21" s="215" t="s">
        <v>0</v>
      </c>
    </row>
    <row r="22" spans="1:26">
      <c r="A22" s="216" t="s">
        <v>0</v>
      </c>
      <c r="B22" s="216" t="s">
        <v>0</v>
      </c>
      <c r="C22" s="216" t="s">
        <v>0</v>
      </c>
      <c r="D22" s="216" t="s">
        <v>0</v>
      </c>
      <c r="E22" s="217" t="s">
        <v>0</v>
      </c>
      <c r="F22" s="2" t="s">
        <v>36</v>
      </c>
      <c r="G22" s="3" t="str">
        <f>G4</f>
        <v>NN</v>
      </c>
      <c r="H22" s="217" t="s">
        <v>0</v>
      </c>
      <c r="I22" s="16" t="str">
        <f t="shared" ref="I22:J23" si="0">I4</f>
        <v>C/H DCA Minimal 10%</v>
      </c>
      <c r="J22" s="17">
        <f t="shared" si="0"/>
        <v>0.4</v>
      </c>
      <c r="K22" s="226">
        <v>0</v>
      </c>
      <c r="L22" s="19">
        <f t="shared" ref="L22:L25" si="1">K22*J22</f>
        <v>0</v>
      </c>
      <c r="M22" s="217" t="s">
        <v>0</v>
      </c>
      <c r="N22" s="16" t="str">
        <f>Form1!C83</f>
        <v xml:space="preserve">100% Melaporkan Hasil Demplot maksimal H+1 setelah pengamatan terakhir </v>
      </c>
      <c r="O22" s="17">
        <f>Form1!E83</f>
        <v>0.15</v>
      </c>
      <c r="P22" s="226">
        <v>0</v>
      </c>
      <c r="Q22" s="34">
        <f t="shared" ref="Q22:Q25" si="2">P22*O22</f>
        <v>0</v>
      </c>
      <c r="R22" s="217" t="s">
        <v>0</v>
      </c>
      <c r="S22" s="215" t="s">
        <v>0</v>
      </c>
      <c r="T22" s="215" t="s">
        <v>0</v>
      </c>
      <c r="U22" s="215" t="s">
        <v>0</v>
      </c>
      <c r="V22" s="215" t="s">
        <v>0</v>
      </c>
      <c r="W22" s="215" t="s">
        <v>0</v>
      </c>
      <c r="X22" s="215" t="s">
        <v>0</v>
      </c>
      <c r="Y22" s="215" t="s">
        <v>0</v>
      </c>
      <c r="Z22" s="215" t="s">
        <v>0</v>
      </c>
    </row>
    <row r="23" spans="1:26">
      <c r="A23" s="216" t="s">
        <v>0</v>
      </c>
      <c r="B23" s="216" t="s">
        <v>0</v>
      </c>
      <c r="C23" s="216" t="s">
        <v>0</v>
      </c>
      <c r="D23" s="216" t="s">
        <v>0</v>
      </c>
      <c r="E23" s="217" t="s">
        <v>0</v>
      </c>
      <c r="F23" s="2" t="s">
        <v>149</v>
      </c>
      <c r="G23" s="3" t="str">
        <f t="shared" ref="G23:G28" si="3">G5</f>
        <v>MARKETING DEVELOPMENT OFFICER (MDO)</v>
      </c>
      <c r="H23" s="217" t="s">
        <v>0</v>
      </c>
      <c r="I23" s="16" t="str">
        <f t="shared" si="0"/>
        <v>Absensi</v>
      </c>
      <c r="J23" s="17">
        <f>Form1!D123</f>
        <v>0.1</v>
      </c>
      <c r="K23" s="226">
        <v>0</v>
      </c>
      <c r="L23" s="19">
        <f t="shared" si="1"/>
        <v>0</v>
      </c>
      <c r="M23" s="217" t="s">
        <v>0</v>
      </c>
      <c r="N23" s="16" t="str">
        <f>Form1!C93</f>
        <v>Membuat Testimoni Demoplot 75% dari total Demoplot, maksimal H-2 sebelum FFD/FM</v>
      </c>
      <c r="O23" s="17">
        <f>Form1!E93</f>
        <v>0.15</v>
      </c>
      <c r="P23" s="226">
        <v>0</v>
      </c>
      <c r="Q23" s="34">
        <f t="shared" si="2"/>
        <v>0</v>
      </c>
      <c r="R23" s="217" t="s">
        <v>0</v>
      </c>
      <c r="S23" s="215" t="s">
        <v>0</v>
      </c>
      <c r="T23" s="215" t="s">
        <v>0</v>
      </c>
      <c r="U23" s="215" t="s">
        <v>0</v>
      </c>
      <c r="V23" s="215" t="s">
        <v>0</v>
      </c>
      <c r="W23" s="215" t="s">
        <v>0</v>
      </c>
      <c r="X23" s="215" t="s">
        <v>0</v>
      </c>
      <c r="Y23" s="215" t="s">
        <v>0</v>
      </c>
      <c r="Z23" s="215" t="s">
        <v>0</v>
      </c>
    </row>
    <row r="24" spans="1:26">
      <c r="A24" s="216" t="s">
        <v>0</v>
      </c>
      <c r="B24" s="216" t="s">
        <v>0</v>
      </c>
      <c r="C24" s="216" t="s">
        <v>0</v>
      </c>
      <c r="D24" s="216" t="s">
        <v>0</v>
      </c>
      <c r="E24" s="217" t="s">
        <v>0</v>
      </c>
      <c r="F24" s="2" t="s">
        <v>38</v>
      </c>
      <c r="G24" s="3" t="str">
        <f t="shared" si="3"/>
        <v>NN</v>
      </c>
      <c r="H24" s="217" t="s">
        <v>0</v>
      </c>
      <c r="I24" s="20">
        <f>I6</f>
        <v>0</v>
      </c>
      <c r="J24" s="17">
        <f>J6</f>
        <v>0</v>
      </c>
      <c r="K24" s="226">
        <v>0</v>
      </c>
      <c r="L24" s="19">
        <f t="shared" si="1"/>
        <v>0</v>
      </c>
      <c r="M24" s="217" t="s">
        <v>0</v>
      </c>
      <c r="N24" s="16" t="str">
        <f>Form1!C109</f>
        <v xml:space="preserve"> Membuat FFD/FM 3 kali per bulan
</v>
      </c>
      <c r="O24" s="17">
        <f>Form1!E110</f>
        <v>0.4</v>
      </c>
      <c r="P24" s="226">
        <v>0</v>
      </c>
      <c r="Q24" s="34">
        <f t="shared" si="2"/>
        <v>0</v>
      </c>
      <c r="R24" s="217" t="s">
        <v>0</v>
      </c>
      <c r="S24" s="215" t="s">
        <v>0</v>
      </c>
      <c r="T24" s="215" t="s">
        <v>0</v>
      </c>
      <c r="U24" s="215" t="s">
        <v>0</v>
      </c>
      <c r="V24" s="215" t="s">
        <v>0</v>
      </c>
      <c r="W24" s="215" t="s">
        <v>0</v>
      </c>
      <c r="X24" s="215" t="s">
        <v>0</v>
      </c>
      <c r="Y24" s="215" t="s">
        <v>0</v>
      </c>
      <c r="Z24" s="215" t="s">
        <v>0</v>
      </c>
    </row>
    <row r="25" spans="1:26">
      <c r="A25" s="216" t="s">
        <v>0</v>
      </c>
      <c r="B25" s="216" t="s">
        <v>0</v>
      </c>
      <c r="C25" s="216" t="s">
        <v>0</v>
      </c>
      <c r="D25" s="216" t="s">
        <v>0</v>
      </c>
      <c r="E25" s="217" t="s">
        <v>0</v>
      </c>
      <c r="F25" s="2" t="s">
        <v>40</v>
      </c>
      <c r="G25" s="3" t="str">
        <f t="shared" si="3"/>
        <v>Arfin Indra C</v>
      </c>
      <c r="H25" s="217" t="s">
        <v>0</v>
      </c>
      <c r="I25" s="20">
        <f>I7</f>
        <v>0</v>
      </c>
      <c r="J25" s="17">
        <f>J7</f>
        <v>0</v>
      </c>
      <c r="K25" s="226">
        <v>0</v>
      </c>
      <c r="L25" s="19">
        <f t="shared" si="1"/>
        <v>0</v>
      </c>
      <c r="M25" s="217" t="s">
        <v>0</v>
      </c>
      <c r="N25" s="16">
        <f>N7</f>
        <v>0</v>
      </c>
      <c r="O25" s="17">
        <f t="shared" ref="O25" si="4">O7</f>
        <v>0</v>
      </c>
      <c r="P25" s="226">
        <v>0</v>
      </c>
      <c r="Q25" s="34">
        <f t="shared" si="2"/>
        <v>0</v>
      </c>
      <c r="R25" s="217" t="s">
        <v>0</v>
      </c>
      <c r="S25" s="215" t="s">
        <v>0</v>
      </c>
      <c r="T25" s="215" t="s">
        <v>0</v>
      </c>
      <c r="U25" s="215" t="s">
        <v>0</v>
      </c>
      <c r="V25" s="215" t="s">
        <v>0</v>
      </c>
      <c r="W25" s="215" t="s">
        <v>0</v>
      </c>
      <c r="X25" s="215" t="s">
        <v>0</v>
      </c>
      <c r="Y25" s="215" t="s">
        <v>0</v>
      </c>
      <c r="Z25" s="215" t="s">
        <v>0</v>
      </c>
    </row>
    <row r="26" spans="1:26">
      <c r="A26" s="216" t="s">
        <v>0</v>
      </c>
      <c r="B26" s="216" t="s">
        <v>0</v>
      </c>
      <c r="C26" s="216" t="s">
        <v>0</v>
      </c>
      <c r="D26" s="216" t="s">
        <v>0</v>
      </c>
      <c r="E26" s="217" t="s">
        <v>0</v>
      </c>
      <c r="F26" s="2" t="s">
        <v>42</v>
      </c>
      <c r="G26" s="6">
        <f t="shared" si="3"/>
        <v>46023</v>
      </c>
      <c r="H26" s="217" t="s">
        <v>0</v>
      </c>
      <c r="I26" s="16">
        <f>Form1!AH48</f>
        <v>0</v>
      </c>
      <c r="J26" s="17">
        <f>Form1!AI48</f>
        <v>0</v>
      </c>
      <c r="K26" s="18"/>
      <c r="L26" s="19"/>
      <c r="M26" s="217" t="s">
        <v>0</v>
      </c>
      <c r="N26" s="16">
        <f>Form1!AH60</f>
        <v>0</v>
      </c>
      <c r="O26" s="17"/>
      <c r="P26" s="15"/>
      <c r="Q26" s="34"/>
      <c r="R26" s="217" t="s">
        <v>0</v>
      </c>
      <c r="S26" s="215" t="s">
        <v>0</v>
      </c>
      <c r="T26" s="215" t="s">
        <v>0</v>
      </c>
      <c r="U26" s="215" t="s">
        <v>0</v>
      </c>
      <c r="V26" s="215" t="s">
        <v>0</v>
      </c>
      <c r="W26" s="215" t="s">
        <v>0</v>
      </c>
      <c r="X26" s="215" t="s">
        <v>0</v>
      </c>
      <c r="Y26" s="215" t="s">
        <v>0</v>
      </c>
      <c r="Z26" s="215" t="s">
        <v>0</v>
      </c>
    </row>
    <row r="27" spans="1:26">
      <c r="A27" s="216" t="s">
        <v>0</v>
      </c>
      <c r="B27" s="216" t="s">
        <v>0</v>
      </c>
      <c r="C27" s="216" t="s">
        <v>0</v>
      </c>
      <c r="D27" s="216" t="s">
        <v>0</v>
      </c>
      <c r="E27" s="217" t="s">
        <v>0</v>
      </c>
      <c r="F27" s="2" t="s">
        <v>43</v>
      </c>
      <c r="G27" s="6" t="str">
        <f t="shared" si="3"/>
        <v>Tanggal 5 setiap bulan</v>
      </c>
      <c r="H27" s="217" t="s">
        <v>0</v>
      </c>
      <c r="I27" s="16">
        <f>Form1!AH49</f>
        <v>0</v>
      </c>
      <c r="J27" s="17">
        <f>Form1!AI49</f>
        <v>0</v>
      </c>
      <c r="K27" s="18"/>
      <c r="L27" s="19"/>
      <c r="M27" s="217" t="s">
        <v>0</v>
      </c>
      <c r="N27" s="16">
        <f>Form1!AH61</f>
        <v>0</v>
      </c>
      <c r="O27" s="17"/>
      <c r="P27" s="15"/>
      <c r="Q27" s="34"/>
      <c r="R27" s="217" t="s">
        <v>0</v>
      </c>
      <c r="S27" s="215" t="s">
        <v>0</v>
      </c>
      <c r="T27" s="215" t="s">
        <v>0</v>
      </c>
      <c r="U27" s="215" t="s">
        <v>0</v>
      </c>
      <c r="V27" s="215" t="s">
        <v>0</v>
      </c>
      <c r="W27" s="215" t="s">
        <v>0</v>
      </c>
      <c r="X27" s="215" t="s">
        <v>0</v>
      </c>
      <c r="Y27" s="215" t="s">
        <v>0</v>
      </c>
      <c r="Z27" s="215" t="s">
        <v>0</v>
      </c>
    </row>
    <row r="28" spans="1:26">
      <c r="A28" s="216" t="s">
        <v>0</v>
      </c>
      <c r="B28" s="216" t="s">
        <v>0</v>
      </c>
      <c r="C28" s="216" t="s">
        <v>0</v>
      </c>
      <c r="D28" s="216" t="s">
        <v>0</v>
      </c>
      <c r="E28" s="217" t="s">
        <v>0</v>
      </c>
      <c r="F28" s="5" t="s">
        <v>45</v>
      </c>
      <c r="G28" s="6">
        <f t="shared" si="3"/>
        <v>46381</v>
      </c>
      <c r="H28" s="217" t="s">
        <v>0</v>
      </c>
      <c r="I28" s="16">
        <f>Form1!AH50</f>
        <v>0</v>
      </c>
      <c r="J28" s="17">
        <f>Form1!AI50</f>
        <v>0</v>
      </c>
      <c r="K28" s="18"/>
      <c r="L28" s="19"/>
      <c r="M28" s="217" t="s">
        <v>0</v>
      </c>
      <c r="N28" s="16">
        <f>Form1!AH62</f>
        <v>0</v>
      </c>
      <c r="O28" s="17"/>
      <c r="P28" s="15"/>
      <c r="Q28" s="34"/>
      <c r="R28" s="217" t="s">
        <v>0</v>
      </c>
      <c r="S28" s="215" t="s">
        <v>0</v>
      </c>
      <c r="T28" s="215" t="s">
        <v>0</v>
      </c>
      <c r="U28" s="215" t="s">
        <v>0</v>
      </c>
      <c r="V28" s="215" t="s">
        <v>0</v>
      </c>
      <c r="W28" s="215" t="s">
        <v>0</v>
      </c>
      <c r="X28" s="215" t="s">
        <v>0</v>
      </c>
      <c r="Y28" s="215" t="s">
        <v>0</v>
      </c>
      <c r="Z28" s="215" t="s">
        <v>0</v>
      </c>
    </row>
    <row r="29" spans="1:26">
      <c r="A29" s="216" t="s">
        <v>0</v>
      </c>
      <c r="B29" s="216" t="s">
        <v>0</v>
      </c>
      <c r="C29" s="216" t="s">
        <v>0</v>
      </c>
      <c r="D29" s="216" t="s">
        <v>0</v>
      </c>
      <c r="E29" s="217" t="s">
        <v>0</v>
      </c>
      <c r="F29" s="217" t="s">
        <v>0</v>
      </c>
      <c r="G29" s="217" t="s">
        <v>0</v>
      </c>
      <c r="H29" s="217" t="s">
        <v>0</v>
      </c>
      <c r="I29" s="20">
        <f>Form1!AH51</f>
        <v>0</v>
      </c>
      <c r="J29" s="17">
        <f>Form1!AI51</f>
        <v>0</v>
      </c>
      <c r="K29" s="18"/>
      <c r="L29" s="19"/>
      <c r="M29" s="217" t="s">
        <v>0</v>
      </c>
      <c r="N29" s="20">
        <f>Form1!AH63</f>
        <v>0</v>
      </c>
      <c r="O29" s="17"/>
      <c r="P29" s="15"/>
      <c r="Q29" s="34"/>
      <c r="R29" s="217" t="s">
        <v>0</v>
      </c>
      <c r="S29" s="215" t="s">
        <v>0</v>
      </c>
      <c r="T29" s="215" t="s">
        <v>0</v>
      </c>
      <c r="U29" s="215" t="s">
        <v>0</v>
      </c>
      <c r="V29" s="215" t="s">
        <v>0</v>
      </c>
      <c r="W29" s="215" t="s">
        <v>0</v>
      </c>
      <c r="X29" s="215" t="s">
        <v>0</v>
      </c>
      <c r="Y29" s="215" t="s">
        <v>0</v>
      </c>
      <c r="Z29" s="215" t="s">
        <v>0</v>
      </c>
    </row>
    <row r="30" spans="1:26">
      <c r="A30" s="216" t="s">
        <v>0</v>
      </c>
      <c r="B30" s="216" t="s">
        <v>0</v>
      </c>
      <c r="C30" s="216" t="s">
        <v>0</v>
      </c>
      <c r="D30" s="216" t="s">
        <v>0</v>
      </c>
      <c r="E30" s="217" t="s">
        <v>0</v>
      </c>
      <c r="F30" s="513" t="s">
        <v>7</v>
      </c>
      <c r="G30" s="514"/>
      <c r="H30" s="217" t="s">
        <v>0</v>
      </c>
      <c r="I30" s="21">
        <f>Form1!AH52</f>
        <v>0</v>
      </c>
      <c r="J30" s="22">
        <f>Form1!AI52</f>
        <v>0</v>
      </c>
      <c r="K30" s="23"/>
      <c r="L30" s="24"/>
      <c r="M30" s="217" t="s">
        <v>0</v>
      </c>
      <c r="N30" s="21">
        <f>Form1!AH64</f>
        <v>0</v>
      </c>
      <c r="O30" s="22"/>
      <c r="P30" s="25"/>
      <c r="Q30" s="35"/>
      <c r="R30" s="217" t="s">
        <v>0</v>
      </c>
      <c r="S30" s="215" t="s">
        <v>0</v>
      </c>
      <c r="T30" s="215" t="s">
        <v>0</v>
      </c>
      <c r="U30" s="215" t="s">
        <v>0</v>
      </c>
      <c r="V30" s="215" t="s">
        <v>0</v>
      </c>
      <c r="W30" s="215" t="s">
        <v>0</v>
      </c>
      <c r="X30" s="215" t="s">
        <v>0</v>
      </c>
      <c r="Y30" s="215" t="s">
        <v>0</v>
      </c>
      <c r="Z30" s="215" t="s">
        <v>0</v>
      </c>
    </row>
    <row r="31" spans="1:26">
      <c r="A31" s="216" t="s">
        <v>0</v>
      </c>
      <c r="B31" s="216" t="s">
        <v>0</v>
      </c>
      <c r="C31" s="216" t="s">
        <v>0</v>
      </c>
      <c r="D31" s="216" t="s">
        <v>0</v>
      </c>
      <c r="E31" s="217" t="s">
        <v>0</v>
      </c>
      <c r="F31" s="515" t="s">
        <v>75</v>
      </c>
      <c r="G31" s="517">
        <f>L33+Q33</f>
        <v>0</v>
      </c>
      <c r="H31" s="217" t="s">
        <v>0</v>
      </c>
      <c r="I31" s="26">
        <f>Form1!AH53</f>
        <v>0</v>
      </c>
      <c r="J31" s="27">
        <f>SUM(J21:J30)</f>
        <v>1</v>
      </c>
      <c r="K31" s="28">
        <f>SUM(K21:K30)</f>
        <v>0</v>
      </c>
      <c r="L31" s="29">
        <f>SUM(L21:L30)</f>
        <v>0</v>
      </c>
      <c r="M31" s="217" t="s">
        <v>0</v>
      </c>
      <c r="N31" s="26">
        <f>Form1!AH65</f>
        <v>0</v>
      </c>
      <c r="O31" s="27">
        <f>SUM(O21:O30)</f>
        <v>1</v>
      </c>
      <c r="P31" s="28">
        <f>SUM(P21:P30)</f>
        <v>0</v>
      </c>
      <c r="Q31" s="29">
        <f>SUM(Q21:Q30)</f>
        <v>0</v>
      </c>
      <c r="R31" s="217" t="s">
        <v>0</v>
      </c>
      <c r="S31" s="215" t="s">
        <v>0</v>
      </c>
      <c r="T31" s="215" t="s">
        <v>0</v>
      </c>
      <c r="U31" s="215" t="s">
        <v>0</v>
      </c>
      <c r="V31" s="215" t="s">
        <v>0</v>
      </c>
      <c r="W31" s="215" t="s">
        <v>0</v>
      </c>
      <c r="X31" s="215" t="s">
        <v>0</v>
      </c>
      <c r="Y31" s="215" t="s">
        <v>0</v>
      </c>
      <c r="Z31" s="215" t="s">
        <v>0</v>
      </c>
    </row>
    <row r="32" spans="1:26">
      <c r="A32" s="216" t="s">
        <v>0</v>
      </c>
      <c r="B32" s="216" t="s">
        <v>0</v>
      </c>
      <c r="C32" s="216" t="s">
        <v>0</v>
      </c>
      <c r="D32" s="216" t="s">
        <v>0</v>
      </c>
      <c r="E32" s="217" t="s">
        <v>0</v>
      </c>
      <c r="F32" s="516"/>
      <c r="G32" s="518"/>
      <c r="H32" s="217" t="s">
        <v>0</v>
      </c>
      <c r="I32" s="217" t="s">
        <v>0</v>
      </c>
      <c r="J32" s="505" t="s">
        <v>5</v>
      </c>
      <c r="K32" s="30" t="s">
        <v>8</v>
      </c>
      <c r="L32" s="31" t="s">
        <v>9</v>
      </c>
      <c r="M32" s="217" t="s">
        <v>0</v>
      </c>
      <c r="N32" s="217" t="s">
        <v>0</v>
      </c>
      <c r="O32" s="505" t="s">
        <v>6</v>
      </c>
      <c r="P32" s="30" t="s">
        <v>8</v>
      </c>
      <c r="Q32" s="31" t="s">
        <v>9</v>
      </c>
      <c r="R32" s="217" t="s">
        <v>0</v>
      </c>
      <c r="S32" s="215" t="s">
        <v>0</v>
      </c>
      <c r="T32" s="215" t="s">
        <v>0</v>
      </c>
      <c r="U32" s="215" t="s">
        <v>0</v>
      </c>
      <c r="V32" s="215" t="s">
        <v>0</v>
      </c>
      <c r="W32" s="215" t="s">
        <v>0</v>
      </c>
      <c r="X32" s="215" t="s">
        <v>0</v>
      </c>
      <c r="Y32" s="215" t="s">
        <v>0</v>
      </c>
      <c r="Z32" s="215" t="s">
        <v>0</v>
      </c>
    </row>
    <row r="33" spans="1:26">
      <c r="A33" s="216" t="s">
        <v>0</v>
      </c>
      <c r="B33" s="216" t="s">
        <v>0</v>
      </c>
      <c r="C33" s="216" t="s">
        <v>0</v>
      </c>
      <c r="D33" s="216" t="s">
        <v>0</v>
      </c>
      <c r="E33" s="217" t="s">
        <v>0</v>
      </c>
      <c r="F33" s="507" t="str">
        <f>IF(G31&lt;90,"POOR",IF(G31&lt;=100,"GOOD",IF(G31&lt;=110,"Very Good",IF(G31&gt;110,"Excellent"))))</f>
        <v>POOR</v>
      </c>
      <c r="G33" s="508"/>
      <c r="H33" s="217" t="s">
        <v>0</v>
      </c>
      <c r="I33" s="217" t="s">
        <v>0</v>
      </c>
      <c r="J33" s="506"/>
      <c r="K33" s="32">
        <v>0</v>
      </c>
      <c r="L33" s="33">
        <f>L31*K33</f>
        <v>0</v>
      </c>
      <c r="M33" s="217" t="s">
        <v>0</v>
      </c>
      <c r="N33" s="217" t="s">
        <v>0</v>
      </c>
      <c r="O33" s="506"/>
      <c r="P33" s="32"/>
      <c r="Q33" s="33">
        <f>P33*Q31</f>
        <v>0</v>
      </c>
      <c r="R33" s="217" t="s">
        <v>0</v>
      </c>
      <c r="S33" s="215" t="s">
        <v>0</v>
      </c>
      <c r="T33" s="215" t="s">
        <v>0</v>
      </c>
      <c r="U33" s="215" t="s">
        <v>0</v>
      </c>
      <c r="V33" s="215" t="s">
        <v>0</v>
      </c>
      <c r="W33" s="215" t="s">
        <v>0</v>
      </c>
      <c r="X33" s="215" t="s">
        <v>0</v>
      </c>
      <c r="Y33" s="215" t="s">
        <v>0</v>
      </c>
      <c r="Z33" s="215" t="s">
        <v>0</v>
      </c>
    </row>
    <row r="34" spans="1:26">
      <c r="A34" s="216" t="s">
        <v>0</v>
      </c>
      <c r="B34" s="216" t="s">
        <v>0</v>
      </c>
      <c r="C34" s="216" t="s">
        <v>0</v>
      </c>
      <c r="D34" s="216" t="s">
        <v>0</v>
      </c>
      <c r="E34" s="217" t="s">
        <v>0</v>
      </c>
      <c r="F34" s="509"/>
      <c r="G34" s="510"/>
      <c r="H34" s="217" t="s">
        <v>0</v>
      </c>
      <c r="I34" s="217" t="s">
        <v>0</v>
      </c>
      <c r="J34" s="217" t="s">
        <v>0</v>
      </c>
      <c r="K34" s="217" t="s">
        <v>0</v>
      </c>
      <c r="L34" s="217" t="s">
        <v>0</v>
      </c>
      <c r="M34" s="217" t="s">
        <v>0</v>
      </c>
      <c r="N34" s="217" t="s">
        <v>0</v>
      </c>
      <c r="O34" s="217" t="s">
        <v>0</v>
      </c>
      <c r="P34" s="217" t="s">
        <v>0</v>
      </c>
      <c r="Q34" s="217" t="s">
        <v>0</v>
      </c>
      <c r="R34" s="217" t="s">
        <v>0</v>
      </c>
      <c r="S34" s="215" t="s">
        <v>0</v>
      </c>
      <c r="T34" s="215" t="s">
        <v>0</v>
      </c>
      <c r="U34" s="215" t="s">
        <v>0</v>
      </c>
      <c r="V34" s="215" t="s">
        <v>0</v>
      </c>
      <c r="W34" s="215" t="s">
        <v>0</v>
      </c>
      <c r="X34" s="215" t="s">
        <v>0</v>
      </c>
      <c r="Y34" s="215" t="s">
        <v>0</v>
      </c>
      <c r="Z34" s="215" t="s">
        <v>0</v>
      </c>
    </row>
    <row r="35" spans="1:26">
      <c r="A35" s="216" t="s">
        <v>0</v>
      </c>
      <c r="B35" s="216" t="s">
        <v>0</v>
      </c>
      <c r="C35" s="216" t="s">
        <v>0</v>
      </c>
      <c r="D35" s="216" t="s">
        <v>0</v>
      </c>
      <c r="E35" s="217" t="s">
        <v>0</v>
      </c>
      <c r="F35" s="511"/>
      <c r="G35" s="512"/>
      <c r="H35" s="217" t="s">
        <v>0</v>
      </c>
      <c r="I35" s="217" t="s">
        <v>0</v>
      </c>
      <c r="J35" s="217" t="s">
        <v>0</v>
      </c>
      <c r="K35" s="217" t="s">
        <v>0</v>
      </c>
      <c r="L35" s="217" t="s">
        <v>0</v>
      </c>
      <c r="M35" s="217" t="s">
        <v>0</v>
      </c>
      <c r="N35" s="217" t="s">
        <v>0</v>
      </c>
      <c r="O35" s="217" t="s">
        <v>0</v>
      </c>
      <c r="P35" s="217" t="s">
        <v>0</v>
      </c>
      <c r="Q35" s="217" t="s">
        <v>0</v>
      </c>
      <c r="R35" s="217" t="s">
        <v>0</v>
      </c>
      <c r="S35" s="215" t="s">
        <v>0</v>
      </c>
      <c r="T35" s="215" t="s">
        <v>0</v>
      </c>
      <c r="U35" s="215" t="s">
        <v>0</v>
      </c>
      <c r="V35" s="215" t="s">
        <v>0</v>
      </c>
      <c r="W35" s="215" t="s">
        <v>0</v>
      </c>
      <c r="X35" s="215" t="s">
        <v>0</v>
      </c>
      <c r="Y35" s="215" t="s">
        <v>0</v>
      </c>
      <c r="Z35" s="215" t="s">
        <v>0</v>
      </c>
    </row>
    <row r="36" spans="1:26">
      <c r="A36" s="216" t="s">
        <v>0</v>
      </c>
      <c r="B36" s="216" t="s">
        <v>0</v>
      </c>
      <c r="C36" s="216" t="s">
        <v>0</v>
      </c>
      <c r="D36" s="216" t="s">
        <v>0</v>
      </c>
      <c r="E36" s="217" t="s">
        <v>0</v>
      </c>
      <c r="F36" s="217" t="s">
        <v>0</v>
      </c>
      <c r="G36" s="217" t="s">
        <v>0</v>
      </c>
      <c r="H36" s="217" t="s">
        <v>0</v>
      </c>
      <c r="I36" s="217" t="s">
        <v>0</v>
      </c>
      <c r="J36" s="217" t="s">
        <v>0</v>
      </c>
      <c r="K36" s="217" t="s">
        <v>0</v>
      </c>
      <c r="L36" s="217" t="s">
        <v>0</v>
      </c>
      <c r="M36" s="217" t="s">
        <v>0</v>
      </c>
      <c r="N36" s="217" t="s">
        <v>0</v>
      </c>
      <c r="O36" s="217" t="s">
        <v>0</v>
      </c>
      <c r="P36" s="217" t="s">
        <v>0</v>
      </c>
      <c r="Q36" s="217" t="s">
        <v>0</v>
      </c>
      <c r="R36" s="217" t="s">
        <v>0</v>
      </c>
      <c r="S36" s="215" t="s">
        <v>0</v>
      </c>
      <c r="T36" s="215" t="s">
        <v>0</v>
      </c>
      <c r="U36" s="215" t="s">
        <v>0</v>
      </c>
      <c r="V36" s="215" t="s">
        <v>0</v>
      </c>
      <c r="W36" s="215" t="s">
        <v>0</v>
      </c>
      <c r="X36" s="215" t="s">
        <v>0</v>
      </c>
      <c r="Y36" s="215" t="s">
        <v>0</v>
      </c>
      <c r="Z36" s="215" t="s">
        <v>0</v>
      </c>
    </row>
    <row r="37" spans="1:26">
      <c r="A37" s="216" t="s">
        <v>0</v>
      </c>
      <c r="B37" s="216" t="s">
        <v>0</v>
      </c>
      <c r="C37" s="216" t="s">
        <v>0</v>
      </c>
      <c r="D37" s="216" t="s">
        <v>0</v>
      </c>
      <c r="E37" s="217" t="s">
        <v>0</v>
      </c>
      <c r="F37" s="217" t="s">
        <v>0</v>
      </c>
      <c r="G37" s="217" t="s">
        <v>0</v>
      </c>
      <c r="H37" s="217" t="s">
        <v>0</v>
      </c>
      <c r="I37" s="217" t="s">
        <v>0</v>
      </c>
      <c r="J37" s="217" t="s">
        <v>0</v>
      </c>
      <c r="K37" s="217" t="s">
        <v>0</v>
      </c>
      <c r="L37" s="217" t="s">
        <v>0</v>
      </c>
      <c r="M37" s="217" t="s">
        <v>0</v>
      </c>
      <c r="N37" s="217" t="s">
        <v>0</v>
      </c>
      <c r="O37" s="217" t="s">
        <v>0</v>
      </c>
      <c r="P37" s="217" t="s">
        <v>0</v>
      </c>
      <c r="Q37" s="217" t="s">
        <v>0</v>
      </c>
      <c r="R37" s="217" t="s">
        <v>0</v>
      </c>
      <c r="S37" s="215" t="s">
        <v>0</v>
      </c>
      <c r="T37" s="215" t="s">
        <v>0</v>
      </c>
      <c r="U37" s="215" t="s">
        <v>0</v>
      </c>
      <c r="V37" s="215" t="s">
        <v>0</v>
      </c>
      <c r="W37" s="215" t="s">
        <v>0</v>
      </c>
      <c r="X37" s="215" t="s">
        <v>0</v>
      </c>
      <c r="Y37" s="215" t="s">
        <v>0</v>
      </c>
      <c r="Z37" s="215" t="s">
        <v>0</v>
      </c>
    </row>
    <row r="38" spans="1:26">
      <c r="A38" s="216" t="s">
        <v>0</v>
      </c>
      <c r="B38" s="216" t="s">
        <v>0</v>
      </c>
      <c r="C38" s="216" t="s">
        <v>0</v>
      </c>
      <c r="D38" s="216" t="s">
        <v>0</v>
      </c>
      <c r="E38" s="217" t="s">
        <v>0</v>
      </c>
      <c r="F38" s="217" t="s">
        <v>0</v>
      </c>
      <c r="G38" s="217" t="s">
        <v>0</v>
      </c>
      <c r="H38" s="217" t="s">
        <v>0</v>
      </c>
      <c r="I38" s="217" t="s">
        <v>0</v>
      </c>
      <c r="J38" s="217" t="s">
        <v>0</v>
      </c>
      <c r="K38" s="217" t="s">
        <v>0</v>
      </c>
      <c r="L38" s="217" t="s">
        <v>0</v>
      </c>
      <c r="M38" s="217" t="s">
        <v>0</v>
      </c>
      <c r="N38" s="217" t="s">
        <v>0</v>
      </c>
      <c r="O38" s="217" t="s">
        <v>0</v>
      </c>
      <c r="P38" s="217" t="s">
        <v>0</v>
      </c>
      <c r="Q38" s="217" t="s">
        <v>0</v>
      </c>
      <c r="R38" s="217" t="s">
        <v>0</v>
      </c>
      <c r="S38" s="215" t="s">
        <v>0</v>
      </c>
      <c r="T38" s="215" t="s">
        <v>0</v>
      </c>
      <c r="U38" s="215" t="s">
        <v>0</v>
      </c>
      <c r="V38" s="215" t="s">
        <v>0</v>
      </c>
      <c r="W38" s="215" t="s">
        <v>0</v>
      </c>
      <c r="X38" s="215" t="s">
        <v>0</v>
      </c>
      <c r="Y38" s="215" t="s">
        <v>0</v>
      </c>
      <c r="Z38" s="215" t="s">
        <v>0</v>
      </c>
    </row>
    <row r="39" spans="1:26">
      <c r="A39" s="216" t="s">
        <v>0</v>
      </c>
      <c r="B39" s="216" t="s">
        <v>0</v>
      </c>
      <c r="C39" s="216" t="s">
        <v>0</v>
      </c>
      <c r="D39" s="216" t="s">
        <v>0</v>
      </c>
      <c r="E39" s="217" t="s">
        <v>0</v>
      </c>
      <c r="F39" s="217" t="s">
        <v>0</v>
      </c>
      <c r="G39" s="217" t="s">
        <v>0</v>
      </c>
      <c r="H39" s="217" t="s">
        <v>0</v>
      </c>
      <c r="I39" s="217" t="s">
        <v>0</v>
      </c>
      <c r="J39" s="217" t="s">
        <v>0</v>
      </c>
      <c r="K39" s="217" t="s">
        <v>0</v>
      </c>
      <c r="L39" s="217" t="s">
        <v>0</v>
      </c>
      <c r="M39" s="217" t="s">
        <v>0</v>
      </c>
      <c r="N39" s="217" t="s">
        <v>0</v>
      </c>
      <c r="O39" s="217" t="s">
        <v>0</v>
      </c>
      <c r="P39" s="217" t="s">
        <v>0</v>
      </c>
      <c r="Q39" s="217" t="s">
        <v>0</v>
      </c>
      <c r="R39" s="217" t="s">
        <v>0</v>
      </c>
      <c r="S39" s="215" t="s">
        <v>0</v>
      </c>
      <c r="T39" s="215" t="s">
        <v>0</v>
      </c>
      <c r="U39" s="215" t="s">
        <v>0</v>
      </c>
      <c r="V39" s="215" t="s">
        <v>0</v>
      </c>
      <c r="W39" s="215" t="s">
        <v>0</v>
      </c>
      <c r="X39" s="215" t="s">
        <v>0</v>
      </c>
      <c r="Y39" s="215" t="s">
        <v>0</v>
      </c>
      <c r="Z39" s="215" t="s">
        <v>0</v>
      </c>
    </row>
    <row r="40" spans="1:26">
      <c r="A40" s="216" t="s">
        <v>0</v>
      </c>
      <c r="B40" s="216" t="s">
        <v>0</v>
      </c>
      <c r="C40" s="216" t="s">
        <v>0</v>
      </c>
      <c r="D40" s="216" t="s">
        <v>0</v>
      </c>
      <c r="E40" s="217" t="s">
        <v>0</v>
      </c>
      <c r="F40" s="217" t="s">
        <v>0</v>
      </c>
      <c r="G40" s="217" t="s">
        <v>0</v>
      </c>
      <c r="H40" s="217" t="s">
        <v>0</v>
      </c>
      <c r="I40" s="217" t="s">
        <v>0</v>
      </c>
      <c r="J40" s="217" t="s">
        <v>0</v>
      </c>
      <c r="K40" s="217" t="s">
        <v>0</v>
      </c>
      <c r="L40" s="217" t="s">
        <v>0</v>
      </c>
      <c r="M40" s="217" t="s">
        <v>0</v>
      </c>
      <c r="N40" s="217" t="s">
        <v>0</v>
      </c>
      <c r="O40" s="217" t="s">
        <v>0</v>
      </c>
      <c r="P40" s="217" t="s">
        <v>0</v>
      </c>
      <c r="Q40" s="217" t="s">
        <v>0</v>
      </c>
      <c r="R40" s="217" t="s">
        <v>0</v>
      </c>
      <c r="S40" s="215" t="s">
        <v>0</v>
      </c>
      <c r="T40" s="215" t="s">
        <v>0</v>
      </c>
      <c r="U40" s="215" t="s">
        <v>0</v>
      </c>
      <c r="V40" s="215" t="s">
        <v>0</v>
      </c>
      <c r="W40" s="215" t="s">
        <v>0</v>
      </c>
      <c r="X40" s="215" t="s">
        <v>0</v>
      </c>
      <c r="Y40" s="215" t="s">
        <v>0</v>
      </c>
      <c r="Z40" s="215" t="s">
        <v>0</v>
      </c>
    </row>
    <row r="41" spans="1:26">
      <c r="A41" s="216" t="s">
        <v>0</v>
      </c>
      <c r="B41" s="216" t="s">
        <v>0</v>
      </c>
      <c r="C41" s="216" t="s">
        <v>0</v>
      </c>
      <c r="D41" s="216" t="s">
        <v>0</v>
      </c>
      <c r="E41" s="217" t="s">
        <v>0</v>
      </c>
      <c r="F41" s="217" t="s">
        <v>0</v>
      </c>
      <c r="G41" s="217" t="s">
        <v>0</v>
      </c>
      <c r="H41" s="217" t="s">
        <v>0</v>
      </c>
      <c r="I41" s="217" t="s">
        <v>0</v>
      </c>
      <c r="J41" s="217" t="s">
        <v>0</v>
      </c>
      <c r="K41" s="217" t="s">
        <v>0</v>
      </c>
      <c r="L41" s="217" t="s">
        <v>0</v>
      </c>
      <c r="M41" s="217" t="s">
        <v>0</v>
      </c>
      <c r="N41" s="217" t="s">
        <v>0</v>
      </c>
      <c r="O41" s="217" t="s">
        <v>0</v>
      </c>
      <c r="P41" s="217" t="s">
        <v>0</v>
      </c>
      <c r="Q41" s="217" t="s">
        <v>0</v>
      </c>
      <c r="R41" s="217" t="s">
        <v>0</v>
      </c>
      <c r="S41" s="215" t="s">
        <v>0</v>
      </c>
      <c r="T41" s="215" t="s">
        <v>0</v>
      </c>
      <c r="U41" s="215" t="s">
        <v>0</v>
      </c>
      <c r="V41" s="215" t="s">
        <v>0</v>
      </c>
      <c r="W41" s="215" t="s">
        <v>0</v>
      </c>
      <c r="X41" s="215" t="s">
        <v>0</v>
      </c>
      <c r="Y41" s="215" t="s">
        <v>0</v>
      </c>
      <c r="Z41" s="215" t="s">
        <v>0</v>
      </c>
    </row>
    <row r="42" spans="1:26">
      <c r="A42" s="216" t="s">
        <v>0</v>
      </c>
      <c r="B42" s="216" t="s">
        <v>0</v>
      </c>
      <c r="C42" s="216" t="s">
        <v>0</v>
      </c>
      <c r="D42" s="216" t="s">
        <v>0</v>
      </c>
      <c r="E42" s="217" t="s">
        <v>0</v>
      </c>
      <c r="F42" s="217" t="s">
        <v>0</v>
      </c>
      <c r="G42" s="217" t="s">
        <v>0</v>
      </c>
      <c r="H42" s="217" t="s">
        <v>0</v>
      </c>
      <c r="I42" s="217" t="s">
        <v>0</v>
      </c>
      <c r="J42" s="217" t="s">
        <v>0</v>
      </c>
      <c r="K42" s="217" t="s">
        <v>0</v>
      </c>
      <c r="L42" s="217" t="s">
        <v>0</v>
      </c>
      <c r="M42" s="217" t="s">
        <v>0</v>
      </c>
      <c r="N42" s="217" t="s">
        <v>0</v>
      </c>
      <c r="O42" s="217" t="s">
        <v>0</v>
      </c>
      <c r="P42" s="217" t="s">
        <v>0</v>
      </c>
      <c r="Q42" s="217" t="s">
        <v>0</v>
      </c>
      <c r="R42" s="217" t="s">
        <v>0</v>
      </c>
      <c r="S42" s="215" t="s">
        <v>0</v>
      </c>
      <c r="T42" s="215" t="s">
        <v>0</v>
      </c>
      <c r="U42" s="215" t="s">
        <v>0</v>
      </c>
      <c r="V42" s="215" t="s">
        <v>0</v>
      </c>
      <c r="W42" s="215" t="s">
        <v>0</v>
      </c>
      <c r="X42" s="215" t="s">
        <v>0</v>
      </c>
      <c r="Y42" s="215" t="s">
        <v>0</v>
      </c>
      <c r="Z42" s="215" t="s">
        <v>0</v>
      </c>
    </row>
    <row r="43" spans="1:26">
      <c r="A43" s="216" t="s">
        <v>0</v>
      </c>
      <c r="B43" s="216" t="s">
        <v>0</v>
      </c>
      <c r="C43" s="216" t="s">
        <v>0</v>
      </c>
      <c r="D43" s="216" t="s">
        <v>0</v>
      </c>
      <c r="E43" s="217" t="s">
        <v>0</v>
      </c>
      <c r="F43" s="217" t="s">
        <v>0</v>
      </c>
      <c r="G43" s="217" t="s">
        <v>0</v>
      </c>
      <c r="H43" s="217" t="s">
        <v>0</v>
      </c>
      <c r="I43" s="217" t="s">
        <v>0</v>
      </c>
      <c r="J43" s="217" t="s">
        <v>0</v>
      </c>
      <c r="K43" s="217" t="s">
        <v>0</v>
      </c>
      <c r="L43" s="217" t="s">
        <v>0</v>
      </c>
      <c r="M43" s="217" t="s">
        <v>0</v>
      </c>
      <c r="N43" s="217" t="s">
        <v>0</v>
      </c>
      <c r="O43" s="217" t="s">
        <v>0</v>
      </c>
      <c r="P43" s="217" t="s">
        <v>0</v>
      </c>
      <c r="Q43" s="217" t="s">
        <v>0</v>
      </c>
      <c r="R43" s="217" t="s">
        <v>0</v>
      </c>
      <c r="S43" s="215" t="s">
        <v>0</v>
      </c>
      <c r="T43" s="215" t="s">
        <v>0</v>
      </c>
      <c r="U43" s="215" t="s">
        <v>0</v>
      </c>
      <c r="V43" s="215" t="s">
        <v>0</v>
      </c>
      <c r="W43" s="215" t="s">
        <v>0</v>
      </c>
      <c r="X43" s="215" t="s">
        <v>0</v>
      </c>
      <c r="Y43" s="215" t="s">
        <v>0</v>
      </c>
      <c r="Z43" s="215" t="s">
        <v>0</v>
      </c>
    </row>
    <row r="44" spans="1:26">
      <c r="A44" s="216" t="s">
        <v>0</v>
      </c>
      <c r="B44" s="216" t="s">
        <v>0</v>
      </c>
      <c r="C44" s="216" t="s">
        <v>0</v>
      </c>
      <c r="D44" s="216" t="s">
        <v>0</v>
      </c>
      <c r="E44" s="217" t="s">
        <v>0</v>
      </c>
      <c r="F44" s="217" t="s">
        <v>0</v>
      </c>
      <c r="G44" s="217" t="s">
        <v>0</v>
      </c>
      <c r="H44" s="217" t="s">
        <v>0</v>
      </c>
      <c r="I44" s="217" t="s">
        <v>0</v>
      </c>
      <c r="J44" s="217" t="s">
        <v>0</v>
      </c>
      <c r="K44" s="217" t="s">
        <v>0</v>
      </c>
      <c r="L44" s="217" t="s">
        <v>0</v>
      </c>
      <c r="M44" s="217" t="s">
        <v>0</v>
      </c>
      <c r="N44" s="217" t="s">
        <v>0</v>
      </c>
      <c r="O44" s="217" t="s">
        <v>0</v>
      </c>
      <c r="P44" s="217" t="s">
        <v>0</v>
      </c>
      <c r="Q44" s="217" t="s">
        <v>0</v>
      </c>
      <c r="R44" s="217" t="s">
        <v>0</v>
      </c>
      <c r="S44" s="215" t="s">
        <v>0</v>
      </c>
      <c r="T44" s="215" t="s">
        <v>0</v>
      </c>
      <c r="U44" s="215" t="s">
        <v>0</v>
      </c>
      <c r="V44" s="215" t="s">
        <v>0</v>
      </c>
      <c r="W44" s="215" t="s">
        <v>0</v>
      </c>
      <c r="X44" s="215" t="s">
        <v>0</v>
      </c>
      <c r="Y44" s="215" t="s">
        <v>0</v>
      </c>
      <c r="Z44" s="215" t="s">
        <v>0</v>
      </c>
    </row>
  </sheetData>
  <mergeCells count="14">
    <mergeCell ref="F2:G3"/>
    <mergeCell ref="F20:G21"/>
    <mergeCell ref="J14:J15"/>
    <mergeCell ref="J32:J33"/>
    <mergeCell ref="O14:O15"/>
    <mergeCell ref="O32:O33"/>
    <mergeCell ref="F33:G35"/>
    <mergeCell ref="F15:G17"/>
    <mergeCell ref="F12:G12"/>
    <mergeCell ref="F30:G30"/>
    <mergeCell ref="F13:F14"/>
    <mergeCell ref="F31:F32"/>
    <mergeCell ref="G13:G14"/>
    <mergeCell ref="G31:G32"/>
  </mergeCells>
  <conditionalFormatting sqref="F15">
    <cfRule type="beginsWith" dxfId="7" priority="5" operator="beginsWith" text="GOOD">
      <formula>LEFT(F15,LEN("GOOD"))="GOOD"</formula>
    </cfRule>
    <cfRule type="containsText" dxfId="6" priority="6" operator="containsText" text="Excellent">
      <formula>NOT(ISERROR(SEARCH("Excellent",F15)))</formula>
    </cfRule>
    <cfRule type="containsText" dxfId="5" priority="7" operator="containsText" text="Very">
      <formula>NOT(ISERROR(SEARCH("Very",F15)))</formula>
    </cfRule>
    <cfRule type="containsText" dxfId="4" priority="8" operator="containsText" text="POOR">
      <formula>NOT(ISERROR(SEARCH("POOR",F15)))</formula>
    </cfRule>
  </conditionalFormatting>
  <conditionalFormatting sqref="F33">
    <cfRule type="beginsWith" dxfId="3" priority="1" operator="beginsWith" text="GOOD">
      <formula>LEFT(F33,LEN("GOOD"))="GOOD"</formula>
    </cfRule>
    <cfRule type="containsText" dxfId="2" priority="2" operator="containsText" text="Excellent">
      <formula>NOT(ISERROR(SEARCH("Excellent",F33)))</formula>
    </cfRule>
    <cfRule type="containsText" dxfId="1" priority="3" operator="containsText" text="Very">
      <formula>NOT(ISERROR(SEARCH("Very",F33)))</formula>
    </cfRule>
    <cfRule type="containsText" dxfId="0" priority="4" operator="containsText" text="POOR">
      <formula>NOT(ISERROR(SEARCH("POOR",F33)))</formula>
    </cfRule>
  </conditionalFormatting>
  <pageMargins left="0.7" right="0.7" top="0.75" bottom="0.75" header="0.3" footer="0.3"/>
  <pageSetup orientation="portrait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dashboard</vt:lpstr>
      <vt:lpstr>KPI</vt:lpstr>
      <vt:lpstr>Form1</vt:lpstr>
      <vt:lpstr>Nilai KPI</vt:lpstr>
      <vt:lpstr>Simulasi KPI</vt:lpstr>
      <vt:lpstr>Form1!Print_Area</vt:lpstr>
      <vt:lpstr>Form1!WAHYUARIFPRASETYO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arfin indra</cp:lastModifiedBy>
  <cp:lastPrinted>2021-06-10T08:57:00Z</cp:lastPrinted>
  <dcterms:created xsi:type="dcterms:W3CDTF">2021-06-05T03:16:00Z</dcterms:created>
  <dcterms:modified xsi:type="dcterms:W3CDTF">2026-02-26T03:18:10Z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346F4B1ED8C54E008EFF3F8866FACA34_12</vt:lpwstr>
  </property>
  <property fmtid="{D5CDD505-2E9C-101B-9397-08002B2CF9AE}" pid="3" name="KSOProductBuildVer">
    <vt:lpwstr>1033-12.2.0.19307</vt:lpwstr>
  </property>
</Properties>
</file>