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20115" windowHeight="6735"/>
  </bookViews>
  <sheets>
    <sheet name="Kertas Kerja fix" sheetId="1" r:id="rId1"/>
  </sheets>
  <externalReferences>
    <externalReference r:id="rId2"/>
  </externalReferences>
  <definedNames>
    <definedName name="Progresit">'[1]PROGRES TUGAS IT 2020'!$B$3:$L$215</definedName>
    <definedName name="WAHYUARIFPRASETYO">#REF!</definedName>
  </definedNames>
  <calcPr calcId="145621"/>
</workbook>
</file>

<file path=xl/calcChain.xml><?xml version="1.0" encoding="utf-8"?>
<calcChain xmlns="http://schemas.openxmlformats.org/spreadsheetml/2006/main">
  <c r="J96" i="1" l="1"/>
  <c r="J95" i="1"/>
  <c r="J94" i="1"/>
  <c r="J93" i="1"/>
  <c r="J92" i="1"/>
  <c r="J113" i="1" l="1"/>
  <c r="J112" i="1"/>
  <c r="J111" i="1"/>
  <c r="J110" i="1"/>
  <c r="J109" i="1"/>
  <c r="J108" i="1"/>
  <c r="J107" i="1"/>
  <c r="J106" i="1"/>
  <c r="J105" i="1"/>
  <c r="J104" i="1"/>
  <c r="J97" i="1"/>
  <c r="J91" i="1"/>
  <c r="J90" i="1"/>
  <c r="J88" i="1"/>
  <c r="J87" i="1"/>
  <c r="J84" i="1"/>
  <c r="J82" i="1"/>
  <c r="J114" i="1" l="1"/>
  <c r="J98" i="1"/>
  <c r="G60" i="1"/>
  <c r="G48" i="1"/>
  <c r="G42" i="1"/>
  <c r="G43" i="1" s="1"/>
  <c r="G75" i="1"/>
  <c r="G76" i="1" s="1"/>
  <c r="R69" i="1"/>
  <c r="R68" i="1"/>
  <c r="R67" i="1"/>
  <c r="G61" i="1"/>
  <c r="G54" i="1"/>
  <c r="G55" i="1" s="1"/>
  <c r="G49" i="1"/>
  <c r="R36" i="1"/>
  <c r="R35" i="1"/>
  <c r="R34" i="1"/>
  <c r="R33" i="1"/>
  <c r="G26" i="1"/>
  <c r="G27" i="1" s="1"/>
  <c r="G20" i="1"/>
  <c r="G21" i="1" s="1"/>
  <c r="K14" i="1"/>
  <c r="K15" i="1" s="1"/>
  <c r="R8" i="1"/>
  <c r="R7" i="1"/>
  <c r="R6" i="1"/>
  <c r="R70" i="1" l="1"/>
  <c r="R9" i="1"/>
  <c r="R37" i="1"/>
</calcChain>
</file>

<file path=xl/sharedStrings.xml><?xml version="1.0" encoding="utf-8"?>
<sst xmlns="http://schemas.openxmlformats.org/spreadsheetml/2006/main" count="126" uniqueCount="47">
  <si>
    <t>Goal</t>
  </si>
  <si>
    <t xml:space="preserve">What </t>
  </si>
  <si>
    <t>How</t>
  </si>
  <si>
    <t>Laporan Bulanan Marketing, OD, &amp; Stock setiap bulan H+5</t>
  </si>
  <si>
    <t>Keterangan</t>
  </si>
  <si>
    <t>Max H Lapor</t>
  </si>
  <si>
    <t>H Lapor</t>
  </si>
  <si>
    <t>Tercapai</t>
  </si>
  <si>
    <t>Laporan Omset, OD, &amp; Stock Barang MIA di KIU Maksimal H+5 bln berikutnya</t>
  </si>
  <si>
    <t>Marketing Review Setiap Awal Bulan Maksimal H+2 bulan berikutnya</t>
  </si>
  <si>
    <t>Laporan Stock Barang Promosi &amp; Sampel dan Rekap Penggunaan Sampel Petugas Lapang maksimal H+2 awal bulan berikutnya</t>
  </si>
  <si>
    <t>Rata-rata</t>
  </si>
  <si>
    <t>Bulan Lapor</t>
  </si>
  <si>
    <t>Terima Stock</t>
  </si>
  <si>
    <t>Terima OD</t>
  </si>
  <si>
    <t>Juni</t>
  </si>
  <si>
    <t>Rata-Rata</t>
  </si>
  <si>
    <t>Laporan Operasional Petugas Lapang maksimal H+15 bulan berikutnya</t>
  </si>
  <si>
    <t>Mengoreksi, Menginput, dan Membuat Laporan Biaya Operasional Petugas Lapang maksimal H+15 bulan berikutnya</t>
  </si>
  <si>
    <t>Laporan Direct Selling FA maksimal H+15 bulan berikutnya</t>
  </si>
  <si>
    <t>Laporan Dana Talangan Petugas Lapang Maksimal H+10 bln berikutnya</t>
  </si>
  <si>
    <t>Laporan ratio BBM maksimal H+10 bulan berikutnya</t>
  </si>
  <si>
    <t>Laporan Bonus Customer Maksimal H+10 Bulan Berikutnya</t>
  </si>
  <si>
    <t>Laporan Total Bonus Costumer Maksimal H+10 bulan berikutnya</t>
  </si>
  <si>
    <t xml:space="preserve">Merealisasikan sampel dan sarana promosi sesuai dengan pengajuan dari agronomis Maksimal H+1 setelah tanggal approval </t>
  </si>
  <si>
    <t>Agronomis</t>
  </si>
  <si>
    <t>Approval</t>
  </si>
  <si>
    <t>Maret</t>
  </si>
  <si>
    <t>Laporan Dana Talangan Petugas Lapang Maksimal H+8 bln berikutnya</t>
  </si>
  <si>
    <t>Laporan ratio BBM maksimal H+8 bulan berikutnya</t>
  </si>
  <si>
    <t>Laporan Total Bonus Costumer Maksimal H+5 bulan berikutnya</t>
  </si>
  <si>
    <t xml:space="preserve">Merealisasikan sampel dan sarana promosi sesuai dengan pengajuan dari agronomis Maksimal H+0 setelah tanggal approval </t>
  </si>
  <si>
    <t>Merealisasi transaksi pembayaran (transfer) maksimal H+0 setelah tanggal Approval</t>
  </si>
  <si>
    <t>Realisasi</t>
  </si>
  <si>
    <t xml:space="preserve">Tgl </t>
  </si>
  <si>
    <t>Jam</t>
  </si>
  <si>
    <t>Didik</t>
  </si>
  <si>
    <t>Eko</t>
  </si>
  <si>
    <t>Triwahyudi</t>
  </si>
  <si>
    <t>BCA</t>
  </si>
  <si>
    <t>BRI</t>
  </si>
  <si>
    <t xml:space="preserve">Hady </t>
  </si>
  <si>
    <t>Muhlisin KIU</t>
  </si>
  <si>
    <t>Yakob Akbar</t>
  </si>
  <si>
    <t>Arfin KIU</t>
  </si>
  <si>
    <t>Yola STI</t>
  </si>
  <si>
    <t>Didik n Triwahyudi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</si>
</sst>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0" fontId="2" fillId="2" borderId="4" xfId="0" applyFont="1" applyFill="1" applyBorder="1" applyAlignment="1">
      <alignment horizontal="center"/>
    </xf>
    <xf numFmtId="0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3" borderId="4" xfId="0" applyFill="1" applyBorder="1"/>
    <xf numFmtId="0" fontId="2" fillId="3" borderId="4" xfId="0" applyFont="1" applyFill="1" applyBorder="1" applyAlignment="1">
      <alignment horizontal="center"/>
    </xf>
    <xf numFmtId="0" fontId="6" fillId="0" borderId="0" xfId="0" applyFont="1"/>
    <xf numFmtId="0" fontId="2" fillId="4" borderId="4" xfId="0" applyFont="1" applyFill="1" applyBorder="1" applyAlignment="1">
      <alignment horizontal="center"/>
    </xf>
    <xf numFmtId="0" fontId="0" fillId="5" borderId="4" xfId="0" applyFill="1" applyBorder="1"/>
    <xf numFmtId="0" fontId="2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7" fillId="0" borderId="0" xfId="0" applyFont="1"/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4" fontId="0" fillId="0" borderId="4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quotePrefix="1" applyNumberFormat="1" applyBorder="1"/>
    <xf numFmtId="14" fontId="0" fillId="0" borderId="0" xfId="0" applyNumberFormat="1"/>
    <xf numFmtId="0" fontId="0" fillId="0" borderId="4" xfId="0" quotePrefix="1" applyBorder="1"/>
    <xf numFmtId="1" fontId="2" fillId="7" borderId="4" xfId="0" applyNumberFormat="1" applyFont="1" applyFill="1" applyBorder="1" applyAlignment="1">
      <alignment horizontal="center"/>
    </xf>
    <xf numFmtId="14" fontId="0" fillId="0" borderId="3" xfId="0" applyNumberFormat="1" applyBorder="1"/>
    <xf numFmtId="16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" fontId="4" fillId="3" borderId="1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0" fillId="0" borderId="4" xfId="0" applyBorder="1"/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 refreshError="1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4"/>
  <sheetViews>
    <sheetView tabSelected="1" zoomScale="85" zoomScaleNormal="85" workbookViewId="0">
      <selection activeCell="K20" sqref="K20"/>
    </sheetView>
  </sheetViews>
  <sheetFormatPr defaultRowHeight="15" x14ac:dyDescent="0.25"/>
  <cols>
    <col min="1" max="3" width="5.7109375" customWidth="1"/>
    <col min="4" max="4" width="11.28515625" customWidth="1"/>
    <col min="5" max="5" width="11.85546875" customWidth="1"/>
    <col min="6" max="6" width="12.140625" customWidth="1"/>
    <col min="7" max="7" width="12.85546875" customWidth="1"/>
    <col min="8" max="8" width="11.7109375" bestFit="1" customWidth="1"/>
    <col min="9" max="9" width="10.7109375" customWidth="1"/>
    <col min="10" max="11" width="8.7109375" customWidth="1"/>
    <col min="12" max="12" width="26.42578125" customWidth="1"/>
    <col min="13" max="13" width="10.7109375" customWidth="1"/>
    <col min="14" max="15" width="8.7109375" customWidth="1"/>
    <col min="16" max="16" width="13.28515625" bestFit="1" customWidth="1"/>
    <col min="17" max="17" width="8.85546875" customWidth="1"/>
    <col min="18" max="18" width="8.42578125" customWidth="1"/>
  </cols>
  <sheetData>
    <row r="2" spans="1:18" x14ac:dyDescent="0.25">
      <c r="A2" t="s">
        <v>0</v>
      </c>
      <c r="B2" t="s">
        <v>1</v>
      </c>
      <c r="C2" t="s">
        <v>2</v>
      </c>
    </row>
    <row r="4" spans="1:18" x14ac:dyDescent="0.25">
      <c r="A4">
        <v>1</v>
      </c>
      <c r="B4">
        <v>1</v>
      </c>
      <c r="D4" s="1" t="s">
        <v>3</v>
      </c>
    </row>
    <row r="5" spans="1:18" x14ac:dyDescent="0.25">
      <c r="D5" s="36" t="s">
        <v>4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  <c r="P5" s="2" t="s">
        <v>5</v>
      </c>
      <c r="Q5" s="2" t="s">
        <v>6</v>
      </c>
      <c r="R5" s="2" t="s">
        <v>7</v>
      </c>
    </row>
    <row r="6" spans="1:18" x14ac:dyDescent="0.25">
      <c r="D6" s="39" t="s">
        <v>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1"/>
      <c r="P6" s="3">
        <v>5</v>
      </c>
      <c r="Q6" s="3">
        <v>1</v>
      </c>
      <c r="R6" s="4">
        <f>Q6</f>
        <v>1</v>
      </c>
    </row>
    <row r="7" spans="1:18" x14ac:dyDescent="0.25">
      <c r="D7" s="39" t="s">
        <v>9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1"/>
      <c r="P7" s="3">
        <v>1</v>
      </c>
      <c r="Q7" s="3">
        <v>0</v>
      </c>
      <c r="R7" s="4">
        <f t="shared" ref="R7:R8" si="0">Q7</f>
        <v>0</v>
      </c>
    </row>
    <row r="8" spans="1:18" x14ac:dyDescent="0.25">
      <c r="D8" s="39" t="s">
        <v>10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1"/>
      <c r="P8" s="3">
        <v>1</v>
      </c>
      <c r="Q8" s="3">
        <v>0</v>
      </c>
      <c r="R8" s="4">
        <f t="shared" si="0"/>
        <v>0</v>
      </c>
    </row>
    <row r="9" spans="1:18" x14ac:dyDescent="0.25">
      <c r="D9" s="42" t="s">
        <v>11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  <c r="P9" s="5"/>
      <c r="Q9" s="5"/>
      <c r="R9" s="6">
        <f>AVERAGE(R6:R8)</f>
        <v>0.33333333333333331</v>
      </c>
    </row>
    <row r="12" spans="1:18" x14ac:dyDescent="0.25">
      <c r="A12" s="7">
        <v>1</v>
      </c>
      <c r="B12" s="7">
        <v>1</v>
      </c>
      <c r="C12" s="7">
        <v>1</v>
      </c>
      <c r="D12" s="45" t="s">
        <v>8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 spans="1:18" x14ac:dyDescent="0.25">
      <c r="D13" s="8" t="s">
        <v>12</v>
      </c>
      <c r="E13" s="2" t="s">
        <v>5</v>
      </c>
      <c r="F13" s="46" t="s">
        <v>13</v>
      </c>
      <c r="G13" s="46"/>
      <c r="H13" s="46" t="s">
        <v>14</v>
      </c>
      <c r="I13" s="46"/>
      <c r="J13" s="9" t="s">
        <v>6</v>
      </c>
      <c r="K13" s="2" t="s">
        <v>7</v>
      </c>
    </row>
    <row r="14" spans="1:18" x14ac:dyDescent="0.25">
      <c r="D14" s="10" t="s">
        <v>27</v>
      </c>
      <c r="E14" s="10">
        <v>5</v>
      </c>
      <c r="F14" s="47"/>
      <c r="G14" s="47"/>
      <c r="H14" s="47"/>
      <c r="I14" s="47"/>
      <c r="J14" s="11">
        <v>1</v>
      </c>
      <c r="K14" s="11">
        <f>J14</f>
        <v>1</v>
      </c>
    </row>
    <row r="15" spans="1:18" x14ac:dyDescent="0.25">
      <c r="D15" s="33" t="s">
        <v>16</v>
      </c>
      <c r="E15" s="34"/>
      <c r="F15" s="34"/>
      <c r="G15" s="34"/>
      <c r="H15" s="34"/>
      <c r="I15" s="35"/>
      <c r="J15" s="12"/>
      <c r="K15" s="13">
        <f>AVERAGE(K14)</f>
        <v>1</v>
      </c>
    </row>
    <row r="18" spans="1:18" x14ac:dyDescent="0.25">
      <c r="A18" s="7">
        <v>1</v>
      </c>
      <c r="B18" s="7">
        <v>1</v>
      </c>
      <c r="C18">
        <v>2</v>
      </c>
      <c r="D18" s="1" t="s">
        <v>9</v>
      </c>
    </row>
    <row r="19" spans="1:18" x14ac:dyDescent="0.25">
      <c r="D19" s="2" t="s">
        <v>12</v>
      </c>
      <c r="E19" s="2" t="s">
        <v>5</v>
      </c>
      <c r="F19" s="9" t="s">
        <v>6</v>
      </c>
      <c r="G19" s="2" t="s">
        <v>7</v>
      </c>
    </row>
    <row r="20" spans="1:18" x14ac:dyDescent="0.25">
      <c r="D20" s="10" t="s">
        <v>15</v>
      </c>
      <c r="E20" s="11">
        <v>0</v>
      </c>
      <c r="F20" s="11">
        <v>0</v>
      </c>
      <c r="G20" s="11">
        <f>F20</f>
        <v>0</v>
      </c>
    </row>
    <row r="21" spans="1:18" x14ac:dyDescent="0.25">
      <c r="D21" s="33" t="s">
        <v>16</v>
      </c>
      <c r="E21" s="34"/>
      <c r="F21" s="35"/>
      <c r="G21" s="13">
        <f>AVERAGE(G20)</f>
        <v>0</v>
      </c>
    </row>
    <row r="24" spans="1:18" x14ac:dyDescent="0.25">
      <c r="A24" s="7">
        <v>1</v>
      </c>
      <c r="B24" s="7">
        <v>1</v>
      </c>
      <c r="C24">
        <v>3</v>
      </c>
      <c r="D24" s="1" t="s">
        <v>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8" x14ac:dyDescent="0.25">
      <c r="D25" s="2" t="s">
        <v>12</v>
      </c>
      <c r="E25" s="2" t="s">
        <v>5</v>
      </c>
      <c r="F25" s="9" t="s">
        <v>6</v>
      </c>
      <c r="G25" s="2" t="s">
        <v>7</v>
      </c>
    </row>
    <row r="26" spans="1:18" x14ac:dyDescent="0.25">
      <c r="D26" s="10" t="s">
        <v>15</v>
      </c>
      <c r="E26" s="11">
        <v>0</v>
      </c>
      <c r="F26" s="11">
        <v>0</v>
      </c>
      <c r="G26" s="11">
        <f>-F26-E26</f>
        <v>0</v>
      </c>
    </row>
    <row r="27" spans="1:18" x14ac:dyDescent="0.25">
      <c r="D27" s="33" t="s">
        <v>16</v>
      </c>
      <c r="E27" s="34"/>
      <c r="F27" s="35"/>
      <c r="G27" s="13">
        <f>AVERAGE(G26)</f>
        <v>0</v>
      </c>
    </row>
    <row r="31" spans="1:18" x14ac:dyDescent="0.25">
      <c r="A31">
        <v>1</v>
      </c>
      <c r="B31">
        <v>2</v>
      </c>
      <c r="D31" s="14" t="s">
        <v>17</v>
      </c>
    </row>
    <row r="32" spans="1:18" x14ac:dyDescent="0.25">
      <c r="D32" s="51" t="s">
        <v>4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15" t="s">
        <v>5</v>
      </c>
      <c r="Q32" s="15" t="s">
        <v>6</v>
      </c>
      <c r="R32" s="15" t="s">
        <v>7</v>
      </c>
    </row>
    <row r="33" spans="1:18" x14ac:dyDescent="0.25">
      <c r="D33" s="54" t="s">
        <v>18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11">
        <v>15</v>
      </c>
      <c r="Q33" s="11">
        <v>11</v>
      </c>
      <c r="R33" s="11">
        <f>Q33</f>
        <v>11</v>
      </c>
    </row>
    <row r="34" spans="1:18" x14ac:dyDescent="0.25">
      <c r="D34" s="54" t="s">
        <v>19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6"/>
      <c r="P34" s="11">
        <v>15</v>
      </c>
      <c r="Q34" s="11">
        <v>11</v>
      </c>
      <c r="R34" s="11">
        <f t="shared" ref="R34:R36" si="1">Q34</f>
        <v>11</v>
      </c>
    </row>
    <row r="35" spans="1:18" x14ac:dyDescent="0.25">
      <c r="D35" s="54" t="s">
        <v>28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6"/>
      <c r="P35" s="11">
        <v>10</v>
      </c>
      <c r="Q35" s="11">
        <v>1</v>
      </c>
      <c r="R35" s="11">
        <f t="shared" si="1"/>
        <v>1</v>
      </c>
    </row>
    <row r="36" spans="1:18" x14ac:dyDescent="0.25">
      <c r="D36" s="54" t="s">
        <v>29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6"/>
      <c r="P36" s="11">
        <v>10</v>
      </c>
      <c r="Q36" s="11">
        <v>7</v>
      </c>
      <c r="R36" s="11">
        <f t="shared" si="1"/>
        <v>7</v>
      </c>
    </row>
    <row r="37" spans="1:18" x14ac:dyDescent="0.25">
      <c r="D37" s="57" t="s">
        <v>11</v>
      </c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9"/>
      <c r="P37" s="16"/>
      <c r="Q37" s="16"/>
      <c r="R37" s="17">
        <f>AVERAGE(R33:R36)</f>
        <v>7.5</v>
      </c>
    </row>
    <row r="40" spans="1:18" ht="15" customHeight="1" x14ac:dyDescent="0.25">
      <c r="A40">
        <v>1</v>
      </c>
      <c r="B40">
        <v>2</v>
      </c>
      <c r="C40">
        <v>1</v>
      </c>
      <c r="D40" s="14" t="s">
        <v>18</v>
      </c>
    </row>
    <row r="41" spans="1:18" x14ac:dyDescent="0.25">
      <c r="D41" s="15" t="s">
        <v>12</v>
      </c>
      <c r="E41" s="15" t="s">
        <v>5</v>
      </c>
      <c r="F41" s="18" t="s">
        <v>6</v>
      </c>
      <c r="G41" s="15" t="s">
        <v>7</v>
      </c>
    </row>
    <row r="42" spans="1:18" x14ac:dyDescent="0.25">
      <c r="D42" s="19" t="s">
        <v>27</v>
      </c>
      <c r="E42" s="11">
        <v>15</v>
      </c>
      <c r="F42" s="11">
        <v>11</v>
      </c>
      <c r="G42" s="11">
        <f>+F42</f>
        <v>11</v>
      </c>
    </row>
    <row r="43" spans="1:18" x14ac:dyDescent="0.25">
      <c r="D43" s="57" t="s">
        <v>16</v>
      </c>
      <c r="E43" s="58"/>
      <c r="F43" s="59"/>
      <c r="G43" s="17">
        <f>AVERAGE(G42)</f>
        <v>11</v>
      </c>
    </row>
    <row r="46" spans="1:18" x14ac:dyDescent="0.25">
      <c r="A46">
        <v>1</v>
      </c>
      <c r="B46">
        <v>2</v>
      </c>
      <c r="C46">
        <v>2</v>
      </c>
      <c r="D46" s="14" t="s">
        <v>19</v>
      </c>
    </row>
    <row r="47" spans="1:18" x14ac:dyDescent="0.25">
      <c r="D47" s="15" t="s">
        <v>12</v>
      </c>
      <c r="E47" s="15" t="s">
        <v>5</v>
      </c>
      <c r="F47" s="18" t="s">
        <v>6</v>
      </c>
      <c r="G47" s="15" t="s">
        <v>7</v>
      </c>
    </row>
    <row r="48" spans="1:18" x14ac:dyDescent="0.25">
      <c r="D48" s="19" t="s">
        <v>27</v>
      </c>
      <c r="E48" s="11">
        <v>15</v>
      </c>
      <c r="F48" s="11">
        <v>11</v>
      </c>
      <c r="G48" s="11">
        <f>+F48</f>
        <v>11</v>
      </c>
    </row>
    <row r="49" spans="1:7" x14ac:dyDescent="0.25">
      <c r="D49" s="57" t="s">
        <v>16</v>
      </c>
      <c r="E49" s="58"/>
      <c r="F49" s="59"/>
      <c r="G49" s="17">
        <f>AVERAGE(G48)</f>
        <v>11</v>
      </c>
    </row>
    <row r="52" spans="1:7" x14ac:dyDescent="0.25">
      <c r="A52">
        <v>1</v>
      </c>
      <c r="B52">
        <v>2</v>
      </c>
      <c r="C52">
        <v>3</v>
      </c>
      <c r="D52" s="14" t="s">
        <v>20</v>
      </c>
    </row>
    <row r="53" spans="1:7" x14ac:dyDescent="0.25">
      <c r="D53" s="15" t="s">
        <v>12</v>
      </c>
      <c r="E53" s="15" t="s">
        <v>5</v>
      </c>
      <c r="F53" s="18" t="s">
        <v>6</v>
      </c>
      <c r="G53" s="15" t="s">
        <v>7</v>
      </c>
    </row>
    <row r="54" spans="1:7" x14ac:dyDescent="0.25">
      <c r="D54" s="19" t="s">
        <v>27</v>
      </c>
      <c r="E54" s="11">
        <v>10</v>
      </c>
      <c r="F54" s="11">
        <v>1</v>
      </c>
      <c r="G54" s="11">
        <f>F54</f>
        <v>1</v>
      </c>
    </row>
    <row r="55" spans="1:7" x14ac:dyDescent="0.25">
      <c r="D55" s="57" t="s">
        <v>16</v>
      </c>
      <c r="E55" s="58"/>
      <c r="F55" s="59"/>
      <c r="G55" s="17">
        <f>AVERAGE(G54)</f>
        <v>1</v>
      </c>
    </row>
    <row r="58" spans="1:7" x14ac:dyDescent="0.25">
      <c r="A58">
        <v>1</v>
      </c>
      <c r="B58">
        <v>2</v>
      </c>
      <c r="C58">
        <v>4</v>
      </c>
      <c r="D58" s="14" t="s">
        <v>21</v>
      </c>
    </row>
    <row r="59" spans="1:7" x14ac:dyDescent="0.25">
      <c r="D59" s="15" t="s">
        <v>12</v>
      </c>
      <c r="E59" s="15" t="s">
        <v>5</v>
      </c>
      <c r="F59" s="18" t="s">
        <v>6</v>
      </c>
      <c r="G59" s="15" t="s">
        <v>7</v>
      </c>
    </row>
    <row r="60" spans="1:7" x14ac:dyDescent="0.25">
      <c r="D60" s="19" t="s">
        <v>27</v>
      </c>
      <c r="E60" s="11">
        <v>10</v>
      </c>
      <c r="F60" s="11">
        <v>7</v>
      </c>
      <c r="G60" s="11">
        <f>+F60</f>
        <v>7</v>
      </c>
    </row>
    <row r="61" spans="1:7" x14ac:dyDescent="0.25">
      <c r="D61" s="57" t="s">
        <v>16</v>
      </c>
      <c r="E61" s="58"/>
      <c r="F61" s="59"/>
      <c r="G61" s="17">
        <f>AVERAGE(G60)</f>
        <v>7</v>
      </c>
    </row>
    <row r="65" spans="1:18" x14ac:dyDescent="0.25">
      <c r="A65">
        <v>1</v>
      </c>
      <c r="B65">
        <v>3</v>
      </c>
      <c r="D65" s="20" t="s">
        <v>22</v>
      </c>
    </row>
    <row r="66" spans="1:18" x14ac:dyDescent="0.25">
      <c r="D66" s="48" t="s">
        <v>4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50"/>
      <c r="P66" s="21" t="s">
        <v>5</v>
      </c>
      <c r="Q66" s="21" t="s">
        <v>6</v>
      </c>
      <c r="R66" s="21" t="s">
        <v>7</v>
      </c>
    </row>
    <row r="67" spans="1:18" x14ac:dyDescent="0.25">
      <c r="D67" s="54" t="s">
        <v>30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6"/>
      <c r="P67" s="11">
        <v>5</v>
      </c>
      <c r="Q67" s="11">
        <v>6</v>
      </c>
      <c r="R67" s="11">
        <f>+Q67</f>
        <v>6</v>
      </c>
    </row>
    <row r="68" spans="1:18" x14ac:dyDescent="0.25">
      <c r="D68" s="54" t="s">
        <v>31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6"/>
      <c r="P68" s="11">
        <v>0</v>
      </c>
      <c r="Q68" s="11">
        <v>0</v>
      </c>
      <c r="R68" s="11">
        <f t="shared" ref="R68:R69" si="2">+Q68</f>
        <v>0</v>
      </c>
    </row>
    <row r="69" spans="1:18" x14ac:dyDescent="0.25">
      <c r="D69" s="54" t="s">
        <v>32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6"/>
      <c r="P69" s="11">
        <v>0</v>
      </c>
      <c r="Q69" s="11">
        <v>0</v>
      </c>
      <c r="R69" s="11">
        <f t="shared" si="2"/>
        <v>0</v>
      </c>
    </row>
    <row r="70" spans="1:18" x14ac:dyDescent="0.25">
      <c r="D70" s="60" t="s">
        <v>11</v>
      </c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/>
      <c r="P70" s="22"/>
      <c r="Q70" s="22"/>
      <c r="R70" s="22">
        <f>AVERAGE(R67:R69)</f>
        <v>2</v>
      </c>
    </row>
    <row r="73" spans="1:18" x14ac:dyDescent="0.25">
      <c r="A73">
        <v>1</v>
      </c>
      <c r="B73">
        <v>3</v>
      </c>
      <c r="C73">
        <v>1</v>
      </c>
      <c r="D73" s="20" t="s">
        <v>23</v>
      </c>
    </row>
    <row r="74" spans="1:18" x14ac:dyDescent="0.25">
      <c r="D74" s="21" t="s">
        <v>12</v>
      </c>
      <c r="E74" s="21" t="s">
        <v>5</v>
      </c>
      <c r="F74" s="23" t="s">
        <v>6</v>
      </c>
      <c r="G74" s="21" t="s">
        <v>7</v>
      </c>
    </row>
    <row r="75" spans="1:18" x14ac:dyDescent="0.25">
      <c r="D75" s="19" t="s">
        <v>15</v>
      </c>
      <c r="E75" s="11">
        <v>10</v>
      </c>
      <c r="F75" s="11">
        <v>6</v>
      </c>
      <c r="G75" s="11">
        <f>F75</f>
        <v>6</v>
      </c>
    </row>
    <row r="76" spans="1:18" x14ac:dyDescent="0.25">
      <c r="D76" s="60" t="s">
        <v>16</v>
      </c>
      <c r="E76" s="61"/>
      <c r="F76" s="62"/>
      <c r="G76" s="22">
        <f>AVERAGE(G75)</f>
        <v>6</v>
      </c>
    </row>
    <row r="79" spans="1:18" x14ac:dyDescent="0.25">
      <c r="A79">
        <v>1</v>
      </c>
      <c r="B79">
        <v>3</v>
      </c>
      <c r="C79">
        <v>2</v>
      </c>
      <c r="D79" s="20" t="s">
        <v>24</v>
      </c>
    </row>
    <row r="80" spans="1:18" ht="15" customHeight="1" x14ac:dyDescent="0.25">
      <c r="D80" s="63" t="s">
        <v>25</v>
      </c>
      <c r="E80" s="63"/>
      <c r="F80" s="64" t="s">
        <v>26</v>
      </c>
      <c r="G80" s="64"/>
      <c r="H80" s="64" t="s">
        <v>33</v>
      </c>
      <c r="I80" s="64"/>
      <c r="J80" s="63" t="s">
        <v>7</v>
      </c>
    </row>
    <row r="81" spans="4:12" x14ac:dyDescent="0.25">
      <c r="D81" s="63"/>
      <c r="E81" s="63"/>
      <c r="F81" s="21" t="s">
        <v>34</v>
      </c>
      <c r="G81" s="21" t="s">
        <v>35</v>
      </c>
      <c r="H81" s="21" t="s">
        <v>34</v>
      </c>
      <c r="I81" s="21" t="s">
        <v>35</v>
      </c>
      <c r="J81" s="63"/>
    </row>
    <row r="82" spans="4:12" x14ac:dyDescent="0.25">
      <c r="D82" s="25" t="s">
        <v>36</v>
      </c>
      <c r="E82" s="26"/>
      <c r="F82" s="24">
        <v>46114</v>
      </c>
      <c r="G82" s="27">
        <v>11.02</v>
      </c>
      <c r="H82" s="24">
        <v>46114</v>
      </c>
      <c r="I82" s="27">
        <v>13.4</v>
      </c>
      <c r="J82" s="11">
        <f>+I82-G82</f>
        <v>2.3800000000000008</v>
      </c>
      <c r="L82" s="28"/>
    </row>
    <row r="83" spans="4:12" x14ac:dyDescent="0.25">
      <c r="D83" s="25" t="s">
        <v>41</v>
      </c>
      <c r="E83" s="26"/>
      <c r="F83" s="24">
        <v>46114</v>
      </c>
      <c r="G83" s="29">
        <v>15.27</v>
      </c>
      <c r="H83" s="24">
        <v>46115</v>
      </c>
      <c r="I83" s="29">
        <v>9.4600000000000009</v>
      </c>
      <c r="J83" s="11">
        <v>2</v>
      </c>
      <c r="L83" s="28"/>
    </row>
    <row r="84" spans="4:12" x14ac:dyDescent="0.25">
      <c r="D84" s="25" t="s">
        <v>37</v>
      </c>
      <c r="E84" s="26"/>
      <c r="F84" s="24">
        <v>46116</v>
      </c>
      <c r="G84" s="29">
        <v>10.16</v>
      </c>
      <c r="H84" s="24">
        <v>46116</v>
      </c>
      <c r="I84" s="29">
        <v>10.46</v>
      </c>
      <c r="J84" s="11">
        <f t="shared" ref="J84:J97" si="3">+I84-G84</f>
        <v>0.30000000000000071</v>
      </c>
      <c r="L84" s="28"/>
    </row>
    <row r="85" spans="4:12" x14ac:dyDescent="0.25">
      <c r="D85" s="25" t="s">
        <v>42</v>
      </c>
      <c r="E85" s="26"/>
      <c r="F85" s="24">
        <v>38816</v>
      </c>
      <c r="G85" s="29">
        <v>18.57</v>
      </c>
      <c r="H85" s="24">
        <v>46122</v>
      </c>
      <c r="I85" s="29">
        <v>11.52</v>
      </c>
      <c r="J85" s="11">
        <v>4</v>
      </c>
      <c r="L85" s="28"/>
    </row>
    <row r="86" spans="4:12" x14ac:dyDescent="0.25">
      <c r="D86" s="25" t="s">
        <v>37</v>
      </c>
      <c r="E86" s="26"/>
      <c r="F86" s="24">
        <v>46123</v>
      </c>
      <c r="G86" s="29">
        <v>16.149999999999999</v>
      </c>
      <c r="H86" s="24">
        <v>46124</v>
      </c>
      <c r="I86" s="29">
        <v>9.26</v>
      </c>
      <c r="J86" s="11">
        <v>1.5</v>
      </c>
      <c r="L86" s="28"/>
    </row>
    <row r="87" spans="4:12" x14ac:dyDescent="0.25">
      <c r="D87" s="25" t="s">
        <v>43</v>
      </c>
      <c r="E87" s="26"/>
      <c r="F87" s="24">
        <v>46125</v>
      </c>
      <c r="G87" s="29">
        <v>10.52</v>
      </c>
      <c r="H87" s="24">
        <v>46125</v>
      </c>
      <c r="I87" s="29">
        <v>13.11</v>
      </c>
      <c r="J87" s="11">
        <f t="shared" si="3"/>
        <v>2.59</v>
      </c>
      <c r="L87" s="28"/>
    </row>
    <row r="88" spans="4:12" x14ac:dyDescent="0.25">
      <c r="D88" s="25" t="s">
        <v>44</v>
      </c>
      <c r="E88" s="26"/>
      <c r="F88" s="24">
        <v>46127</v>
      </c>
      <c r="G88" s="29">
        <v>13.01</v>
      </c>
      <c r="H88" s="24">
        <v>46127</v>
      </c>
      <c r="I88" s="29">
        <v>13.26</v>
      </c>
      <c r="J88" s="11">
        <f t="shared" si="3"/>
        <v>0.25</v>
      </c>
      <c r="L88" s="28"/>
    </row>
    <row r="89" spans="4:12" x14ac:dyDescent="0.25">
      <c r="D89" s="25" t="s">
        <v>45</v>
      </c>
      <c r="E89" s="26"/>
      <c r="F89" s="24">
        <v>46128</v>
      </c>
      <c r="G89" s="29">
        <v>16</v>
      </c>
      <c r="H89" s="24">
        <v>46129</v>
      </c>
      <c r="I89" s="29">
        <v>10.130000000000001</v>
      </c>
      <c r="J89" s="11">
        <v>2</v>
      </c>
      <c r="L89" s="28"/>
    </row>
    <row r="90" spans="4:12" x14ac:dyDescent="0.25">
      <c r="D90" s="25" t="s">
        <v>38</v>
      </c>
      <c r="E90" s="26"/>
      <c r="F90" s="24">
        <v>46132</v>
      </c>
      <c r="G90" s="29">
        <v>9.2200000000000006</v>
      </c>
      <c r="H90" s="24">
        <v>46132</v>
      </c>
      <c r="I90" s="29">
        <v>9.3699999999999992</v>
      </c>
      <c r="J90" s="11">
        <f t="shared" si="3"/>
        <v>0.14999999999999858</v>
      </c>
      <c r="L90" s="28"/>
    </row>
    <row r="91" spans="4:12" x14ac:dyDescent="0.25">
      <c r="D91" s="25" t="s">
        <v>37</v>
      </c>
      <c r="E91" s="26"/>
      <c r="F91" s="24">
        <v>46132</v>
      </c>
      <c r="G91" s="29">
        <v>13.37</v>
      </c>
      <c r="H91" s="24">
        <v>46132</v>
      </c>
      <c r="I91" s="29">
        <v>14.01</v>
      </c>
      <c r="J91" s="11">
        <f t="shared" si="3"/>
        <v>0.64000000000000057</v>
      </c>
      <c r="L91" s="28"/>
    </row>
    <row r="92" spans="4:12" x14ac:dyDescent="0.25">
      <c r="D92" s="32" t="s">
        <v>46</v>
      </c>
      <c r="E92" s="26"/>
      <c r="F92" s="24">
        <v>46133</v>
      </c>
      <c r="G92" s="29">
        <v>10.23</v>
      </c>
      <c r="H92" s="24">
        <v>46133</v>
      </c>
      <c r="I92" s="29">
        <v>10.54</v>
      </c>
      <c r="J92" s="11">
        <f t="shared" si="3"/>
        <v>0.30999999999999872</v>
      </c>
      <c r="L92" s="28"/>
    </row>
    <row r="93" spans="4:12" x14ac:dyDescent="0.25">
      <c r="D93" s="25"/>
      <c r="E93" s="26"/>
      <c r="F93" s="24"/>
      <c r="G93" s="29"/>
      <c r="H93" s="24"/>
      <c r="I93" s="29"/>
      <c r="J93" s="11">
        <f t="shared" si="3"/>
        <v>0</v>
      </c>
      <c r="L93" s="28"/>
    </row>
    <row r="94" spans="4:12" x14ac:dyDescent="0.25">
      <c r="D94" s="25"/>
      <c r="E94" s="26"/>
      <c r="F94" s="24"/>
      <c r="G94" s="29"/>
      <c r="H94" s="24"/>
      <c r="I94" s="29"/>
      <c r="J94" s="11">
        <f t="shared" si="3"/>
        <v>0</v>
      </c>
      <c r="L94" s="28"/>
    </row>
    <row r="95" spans="4:12" x14ac:dyDescent="0.25">
      <c r="D95" s="25"/>
      <c r="E95" s="26"/>
      <c r="F95" s="24"/>
      <c r="G95" s="29"/>
      <c r="H95" s="24"/>
      <c r="I95" s="29"/>
      <c r="J95" s="11">
        <f t="shared" si="3"/>
        <v>0</v>
      </c>
      <c r="L95" s="28"/>
    </row>
    <row r="96" spans="4:12" x14ac:dyDescent="0.25">
      <c r="D96" s="25"/>
      <c r="E96" s="26"/>
      <c r="F96" s="24"/>
      <c r="G96" s="29"/>
      <c r="H96" s="24"/>
      <c r="I96" s="29"/>
      <c r="J96" s="11">
        <f t="shared" si="3"/>
        <v>0</v>
      </c>
      <c r="L96" s="28"/>
    </row>
    <row r="97" spans="1:12" x14ac:dyDescent="0.25">
      <c r="D97" s="25"/>
      <c r="E97" s="26"/>
      <c r="F97" s="24"/>
      <c r="G97" s="29"/>
      <c r="H97" s="24"/>
      <c r="I97" s="29"/>
      <c r="J97" s="11">
        <f t="shared" si="3"/>
        <v>0</v>
      </c>
      <c r="L97" s="28"/>
    </row>
    <row r="98" spans="1:12" x14ac:dyDescent="0.25">
      <c r="D98" s="60" t="s">
        <v>11</v>
      </c>
      <c r="E98" s="61"/>
      <c r="F98" s="61"/>
      <c r="G98" s="61"/>
      <c r="H98" s="61"/>
      <c r="I98" s="62"/>
      <c r="J98" s="30">
        <f>AVERAGE(J82:J97)</f>
        <v>1.0074999999999998</v>
      </c>
    </row>
    <row r="101" spans="1:12" x14ac:dyDescent="0.25">
      <c r="A101">
        <v>1</v>
      </c>
      <c r="B101">
        <v>3</v>
      </c>
      <c r="C101">
        <v>3</v>
      </c>
      <c r="D101" s="20" t="s">
        <v>32</v>
      </c>
    </row>
    <row r="102" spans="1:12" x14ac:dyDescent="0.25">
      <c r="D102" s="65" t="s">
        <v>4</v>
      </c>
      <c r="E102" s="66"/>
      <c r="F102" s="64" t="s">
        <v>26</v>
      </c>
      <c r="G102" s="64"/>
      <c r="H102" s="64" t="s">
        <v>33</v>
      </c>
      <c r="I102" s="64"/>
      <c r="J102" s="63" t="s">
        <v>7</v>
      </c>
    </row>
    <row r="103" spans="1:12" x14ac:dyDescent="0.25">
      <c r="D103" s="67"/>
      <c r="E103" s="68"/>
      <c r="F103" s="21" t="s">
        <v>34</v>
      </c>
      <c r="G103" s="21" t="s">
        <v>35</v>
      </c>
      <c r="H103" s="21" t="s">
        <v>34</v>
      </c>
      <c r="I103" s="21" t="s">
        <v>35</v>
      </c>
      <c r="J103" s="63"/>
    </row>
    <row r="104" spans="1:12" x14ac:dyDescent="0.25">
      <c r="D104" s="54" t="s">
        <v>39</v>
      </c>
      <c r="E104" s="56"/>
      <c r="F104" s="24">
        <v>46113</v>
      </c>
      <c r="G104" s="27">
        <v>14.07</v>
      </c>
      <c r="H104" s="24">
        <v>46113</v>
      </c>
      <c r="I104" s="27">
        <v>14.11</v>
      </c>
      <c r="J104" s="11">
        <f>+I104-G104</f>
        <v>3.9999999999999147E-2</v>
      </c>
    </row>
    <row r="105" spans="1:12" x14ac:dyDescent="0.25">
      <c r="D105" s="54" t="s">
        <v>39</v>
      </c>
      <c r="E105" s="56"/>
      <c r="F105" s="24">
        <v>46118</v>
      </c>
      <c r="G105" s="29">
        <v>14.1</v>
      </c>
      <c r="H105" s="24">
        <v>46118</v>
      </c>
      <c r="I105" s="29">
        <v>14.19</v>
      </c>
      <c r="J105" s="11">
        <f t="shared" ref="J105:J113" si="4">+I105-G105</f>
        <v>8.9999999999999858E-2</v>
      </c>
    </row>
    <row r="106" spans="1:12" x14ac:dyDescent="0.25">
      <c r="D106" s="54" t="s">
        <v>39</v>
      </c>
      <c r="E106" s="56"/>
      <c r="F106" s="24">
        <v>46125</v>
      </c>
      <c r="G106" s="29">
        <v>12.28</v>
      </c>
      <c r="H106" s="24">
        <v>46125</v>
      </c>
      <c r="I106" s="29">
        <v>13.5</v>
      </c>
      <c r="J106" s="11">
        <f t="shared" si="4"/>
        <v>1.2200000000000006</v>
      </c>
    </row>
    <row r="107" spans="1:12" x14ac:dyDescent="0.25">
      <c r="D107" s="54" t="s">
        <v>39</v>
      </c>
      <c r="E107" s="56"/>
      <c r="F107" s="24">
        <v>46125</v>
      </c>
      <c r="G107" s="29">
        <v>13.47</v>
      </c>
      <c r="H107" s="24">
        <v>46125</v>
      </c>
      <c r="I107" s="29">
        <v>13.5</v>
      </c>
      <c r="J107" s="11">
        <f t="shared" si="4"/>
        <v>2.9999999999999361E-2</v>
      </c>
    </row>
    <row r="108" spans="1:12" x14ac:dyDescent="0.25">
      <c r="D108" s="54" t="s">
        <v>40</v>
      </c>
      <c r="E108" s="56"/>
      <c r="F108" s="24">
        <v>46126</v>
      </c>
      <c r="G108" s="29">
        <v>11.28</v>
      </c>
      <c r="H108" s="24">
        <v>46126</v>
      </c>
      <c r="I108" s="29">
        <v>11.3</v>
      </c>
      <c r="J108" s="11">
        <f t="shared" si="4"/>
        <v>2.000000000000135E-2</v>
      </c>
    </row>
    <row r="109" spans="1:12" x14ac:dyDescent="0.25">
      <c r="D109" s="25" t="s">
        <v>40</v>
      </c>
      <c r="E109" s="31"/>
      <c r="F109" s="31">
        <v>46134</v>
      </c>
      <c r="G109" s="29">
        <v>9.5500000000000007</v>
      </c>
      <c r="H109" s="31">
        <v>46134</v>
      </c>
      <c r="I109" s="29">
        <v>10</v>
      </c>
      <c r="J109" s="11">
        <f t="shared" si="4"/>
        <v>0.44999999999999929</v>
      </c>
    </row>
    <row r="110" spans="1:12" x14ac:dyDescent="0.25">
      <c r="D110" s="25"/>
      <c r="E110" s="26"/>
      <c r="F110" s="24"/>
      <c r="G110" s="10"/>
      <c r="H110" s="24"/>
      <c r="I110" s="10"/>
      <c r="J110" s="11">
        <f t="shared" si="4"/>
        <v>0</v>
      </c>
    </row>
    <row r="111" spans="1:12" x14ac:dyDescent="0.25">
      <c r="D111" s="54"/>
      <c r="E111" s="56"/>
      <c r="F111" s="24"/>
      <c r="G111" s="10"/>
      <c r="H111" s="24"/>
      <c r="I111" s="10"/>
      <c r="J111" s="11">
        <f t="shared" si="4"/>
        <v>0</v>
      </c>
    </row>
    <row r="112" spans="1:12" x14ac:dyDescent="0.25">
      <c r="D112" s="54"/>
      <c r="E112" s="56"/>
      <c r="F112" s="24"/>
      <c r="G112" s="10"/>
      <c r="H112" s="24"/>
      <c r="I112" s="10"/>
      <c r="J112" s="11">
        <f t="shared" si="4"/>
        <v>0</v>
      </c>
    </row>
    <row r="113" spans="4:10" x14ac:dyDescent="0.25">
      <c r="D113" s="54"/>
      <c r="E113" s="56"/>
      <c r="F113" s="10"/>
      <c r="G113" s="10"/>
      <c r="H113" s="10"/>
      <c r="I113" s="10"/>
      <c r="J113" s="11">
        <f t="shared" si="4"/>
        <v>0</v>
      </c>
    </row>
    <row r="114" spans="4:10" x14ac:dyDescent="0.25">
      <c r="D114" s="60" t="s">
        <v>11</v>
      </c>
      <c r="E114" s="61"/>
      <c r="F114" s="61"/>
      <c r="G114" s="61"/>
      <c r="H114" s="61"/>
      <c r="I114" s="62"/>
      <c r="J114" s="30">
        <f>AVERAGE(J104:J113)</f>
        <v>0.18499999999999997</v>
      </c>
    </row>
  </sheetData>
  <mergeCells count="47">
    <mergeCell ref="J102:J103"/>
    <mergeCell ref="D114:I114"/>
    <mergeCell ref="D108:E108"/>
    <mergeCell ref="D105:E105"/>
    <mergeCell ref="D106:E106"/>
    <mergeCell ref="D107:E107"/>
    <mergeCell ref="D111:E111"/>
    <mergeCell ref="D112:E112"/>
    <mergeCell ref="D113:E113"/>
    <mergeCell ref="D102:E103"/>
    <mergeCell ref="F102:G102"/>
    <mergeCell ref="D104:E104"/>
    <mergeCell ref="H102:I102"/>
    <mergeCell ref="D80:E81"/>
    <mergeCell ref="F80:G80"/>
    <mergeCell ref="J80:J81"/>
    <mergeCell ref="H80:I80"/>
    <mergeCell ref="D98:I98"/>
    <mergeCell ref="D67:O67"/>
    <mergeCell ref="D68:O68"/>
    <mergeCell ref="D69:O69"/>
    <mergeCell ref="D70:O70"/>
    <mergeCell ref="D76:F76"/>
    <mergeCell ref="D66:O66"/>
    <mergeCell ref="D27:F27"/>
    <mergeCell ref="D32:O32"/>
    <mergeCell ref="D33:O33"/>
    <mergeCell ref="D34:O34"/>
    <mergeCell ref="D35:O35"/>
    <mergeCell ref="D36:O36"/>
    <mergeCell ref="D37:O37"/>
    <mergeCell ref="D43:F43"/>
    <mergeCell ref="D49:F49"/>
    <mergeCell ref="D55:F55"/>
    <mergeCell ref="D61:F61"/>
    <mergeCell ref="D21:F21"/>
    <mergeCell ref="D5:O5"/>
    <mergeCell ref="D6:O6"/>
    <mergeCell ref="D7:O7"/>
    <mergeCell ref="D8:O8"/>
    <mergeCell ref="D9:O9"/>
    <mergeCell ref="D12:O12"/>
    <mergeCell ref="F13:G13"/>
    <mergeCell ref="H13:I13"/>
    <mergeCell ref="F14:G14"/>
    <mergeCell ref="H14:I14"/>
    <mergeCell ref="D15:I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 fix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</cp:lastModifiedBy>
  <dcterms:created xsi:type="dcterms:W3CDTF">2026-04-09T06:25:30Z</dcterms:created>
  <dcterms:modified xsi:type="dcterms:W3CDTF">2026-05-07T05:30:25Z</dcterms:modified>
</cp:coreProperties>
</file>